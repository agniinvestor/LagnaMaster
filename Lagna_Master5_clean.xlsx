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Users/harsh/Downloads/"/>
    </mc:Choice>
  </mc:AlternateContent>
  <xr:revisionPtr revIDLastSave="0" documentId="8_{D707C066-369D-3B43-8742-7E5D654BB5A9}" xr6:coauthVersionLast="47" xr6:coauthVersionMax="47" xr10:uidLastSave="{00000000-0000-0000-0000-000000000000}"/>
  <bookViews>
    <workbookView xWindow="0" yWindow="500" windowWidth="28800" windowHeight="16180" tabRatio="500" xr2:uid="{00000000-000D-0000-FFFF-FFFF00000000}"/>
  </bookViews>
  <sheets>
    <sheet name="00_INDEX" sheetId="1" r:id="rId1"/>
    <sheet name="INPUT_BirthData" sheetId="2" r:id="rId2"/>
    <sheet name="INPUT_Chart" sheetId="3" r:id="rId3"/>
    <sheet name="INPUT_Gochar" sheetId="4" r:id="rId4"/>
    <sheet name="INPUT_Chart_Scenario" sheetId="5" r:id="rId5"/>
    <sheet name="REF_Zodiac" sheetId="6" r:id="rId6"/>
    <sheet name="REF_Zodiac_Lookup" sheetId="7" r:id="rId7"/>
    <sheet name="REF_Planets" sheetId="8" r:id="rId8"/>
    <sheet name="REF_Planets_Lookup" sheetId="9" r:id="rId9"/>
    <sheet name="REF_Dignity" sheetId="10" r:id="rId10"/>
    <sheet name="REF_Nakshatra" sheetId="11" r:id="rId11"/>
    <sheet name="REF_Aspects" sheetId="12" r:id="rId12"/>
    <sheet name="REF_Houses" sheetId="13" r:id="rId13"/>
    <sheet name="REF_NaisargikaFriendship" sheetId="14" r:id="rId14"/>
    <sheet name="REF_ShubhAshubh" sheetId="15" r:id="rId15"/>
    <sheet name="REF_DivisionalRules" sheetId="16" r:id="rId16"/>
    <sheet name="REF_DashaSequence" sheetId="17" r:id="rId17"/>
    <sheet name="REF_PushkaraNavamsha" sheetId="18" r:id="rId18"/>
    <sheet name="REF_Config" sheetId="19" r:id="rId19"/>
    <sheet name="REF_ArgalaRules" sheetId="20" r:id="rId20"/>
    <sheet name="REF_ArudhaRules" sheetId="21" r:id="rId21"/>
    <sheet name="REF_GrahaYuddha" sheetId="22" r:id="rId22"/>
    <sheet name="REF_AvasthaRules" sheetId="23" r:id="rId23"/>
    <sheet name="REF_VimshopakaBala" sheetId="24" r:id="rId24"/>
    <sheet name="REF_NarayanaDasaRules" sheetId="25" r:id="rId25"/>
    <sheet name="REF_D60SignMap" sheetId="26" r:id="rId26"/>
    <sheet name="REF_KPSubLordTable" sheetId="27" r:id="rId27"/>
    <sheet name="CALC_KPSubLord" sheetId="28" r:id="rId28"/>
    <sheet name="REF_APIFieldMap" sheetId="29" r:id="rId29"/>
    <sheet name="REF_RuleInteractionMatrix" sheetId="30" r:id="rId30"/>
    <sheet name="REF_EmpiricaSchema" sheetId="31" r:id="rId31"/>
    <sheet name="REF_StudentGlossary" sheetId="32" r:id="rId32"/>
    <sheet name="REF_SchoolConfig" sheetId="33" r:id="rId33"/>
    <sheet name="CALC_PlanetLongitudes" sheetId="34" r:id="rId34"/>
    <sheet name="CALC_PlanetPositions" sheetId="35" r:id="rId35"/>
    <sheet name="CALC_BhaveshMap" sheetId="36" r:id="rId36"/>
    <sheet name="CALC_KarakMap" sheetId="37" r:id="rId37"/>
    <sheet name="CALC_LagneshStrength" sheetId="38" r:id="rId38"/>
    <sheet name="CALC_TatkalikFriendship" sheetId="39" r:id="rId39"/>
    <sheet name="CALC_PanchadhaMaitri" sheetId="40" r:id="rId40"/>
    <sheet name="CALC_CombustionCheck" sheetId="41" r:id="rId41"/>
    <sheet name="CALC_DigBala" sheetId="42" r:id="rId42"/>
    <sheet name="CALC_RetrogradeFix" sheetId="43" r:id="rId43"/>
    <sheet name="CALC_CharaKarak" sheetId="44" r:id="rId44"/>
    <sheet name="CALC_DashaActive" sheetId="45" r:id="rId45"/>
    <sheet name="CALC_DashaModifier" sheetId="46" r:id="rId46"/>
    <sheet name="CALC_Ashtakavarga" sheetId="47" r:id="rId47"/>
    <sheet name="REF_ShadbalaData" sheetId="48" r:id="rId48"/>
    <sheet name="CALC_Shadbala" sheetId="49" r:id="rId49"/>
    <sheet name="CALC_Gochar" sheetId="50" r:id="rId50"/>
    <sheet name="CALC_D9_Navamsha" sheetId="51" r:id="rId51"/>
    <sheet name="CALC_DivisionalMap" sheetId="52" r:id="rId52"/>
    <sheet name="CALC_ChandraLagna" sheetId="53" r:id="rId53"/>
    <sheet name="CALC_SuryaLagna" sheetId="54" r:id="rId54"/>
    <sheet name="CALC_YogakarakaMap" sheetId="55" r:id="rId55"/>
    <sheet name="CALC_GrahaYuddha" sheetId="56" r:id="rId56"/>
    <sheet name="CALC_Argala" sheetId="57" r:id="rId57"/>
    <sheet name="CALC_BhavatBhavam" sheetId="58" r:id="rId58"/>
    <sheet name="CALC_ArudhaPada" sheetId="59" r:id="rId59"/>
    <sheet name="CALC_RasiDrishti" sheetId="60" r:id="rId60"/>
    <sheet name="CALC_Avasthas" sheetId="61" r:id="rId61"/>
    <sheet name="CALC_Karakamsha" sheetId="62" r:id="rId62"/>
    <sheet name="CALC_D9_BhaveshMap" sheetId="63" r:id="rId63"/>
    <sheet name="CALC_D10_Dashamsha" sheetId="64" r:id="rId64"/>
    <sheet name="CALC_AntarDasha" sheetId="65" r:id="rId65"/>
    <sheet name="CALC_NarayanaDasa" sheetId="66" r:id="rId66"/>
    <sheet name="CALC_NarayanaDasa_Antardasha" sheetId="67" r:id="rId67"/>
    <sheet name="CALC_Compatibility" sheetId="68" r:id="rId68"/>
    <sheet name="CALC_D60_Shastiamsha" sheetId="69" r:id="rId69"/>
    <sheet name="CALC_SwissEphemeris" sheetId="70" r:id="rId70"/>
    <sheet name="CALC_SwissEphemeris_Live" sheetId="71" r:id="rId71"/>
    <sheet name="CALC_RuleInteractionEngine" sheetId="72" r:id="rId72"/>
    <sheet name="CALC_CompositeVargaScore" sheetId="73" r:id="rId73"/>
    <sheet name="CALC_VimshopakaBala" sheetId="74" r:id="rId74"/>
    <sheet name="CALC_SchoolAdjustedScore" sheetId="75" r:id="rId75"/>
    <sheet name="CALC_PredictiveTimeline" sheetId="76" r:id="rId76"/>
    <sheet name="SCORE_AllHouses" sheetId="77" r:id="rId77"/>
    <sheet name="SCORE_DrillDown" sheetId="78" r:id="rId78"/>
    <sheet name="SCORE_H1_Self" sheetId="79" r:id="rId79"/>
    <sheet name="SCORE_H2_Wealth" sheetId="80" r:id="rId80"/>
    <sheet name="SCORE_H3_Courage" sheetId="81" r:id="rId81"/>
    <sheet name="SCORE_H4_Home" sheetId="82" r:id="rId82"/>
    <sheet name="SCORE_H5_Intellect" sheetId="83" r:id="rId83"/>
    <sheet name="SCORE_H6_Conflicts" sheetId="84" r:id="rId84"/>
    <sheet name="SCORE_H7_Partnerships" sheetId="85" r:id="rId85"/>
    <sheet name="SCORE_H8_Longevity" sheetId="86" r:id="rId86"/>
    <sheet name="SCORE_H9_Fortune" sheetId="87" r:id="rId87"/>
    <sheet name="SCORE_H10_Career" sheetId="88" r:id="rId88"/>
    <sheet name="SCORE_H11_Gains" sheetId="89" r:id="rId89"/>
    <sheet name="SCORE_H12_Liberation" sheetId="90" r:id="rId90"/>
    <sheet name="SCORE_H1_Chandra" sheetId="91" r:id="rId91"/>
    <sheet name="SCORE_H2_Chandra" sheetId="92" r:id="rId92"/>
    <sheet name="SCORE_H3_Chandra" sheetId="93" r:id="rId93"/>
    <sheet name="SCORE_H4_Chandra" sheetId="94" r:id="rId94"/>
    <sheet name="SCORE_H5_Chandra" sheetId="95" r:id="rId95"/>
    <sheet name="SCORE_H6_Chandra" sheetId="96" r:id="rId96"/>
    <sheet name="SCORE_H7_Chandra" sheetId="97" r:id="rId97"/>
    <sheet name="SCORE_H8_Chandra" sheetId="98" r:id="rId98"/>
    <sheet name="SCORE_H9_Chandra" sheetId="99" r:id="rId99"/>
    <sheet name="SCORE_H10_Chandra" sheetId="100" r:id="rId100"/>
    <sheet name="SCORE_H11_Chandra" sheetId="101" r:id="rId101"/>
    <sheet name="SCORE_H12_Chandra" sheetId="102" r:id="rId102"/>
    <sheet name="SCORE_H1_Surya" sheetId="103" r:id="rId103"/>
    <sheet name="SCORE_H2_Surya" sheetId="104" r:id="rId104"/>
    <sheet name="SCORE_H3_Surya" sheetId="105" r:id="rId105"/>
    <sheet name="SCORE_H4_Surya" sheetId="106" r:id="rId106"/>
    <sheet name="SCORE_H5_Surya" sheetId="107" r:id="rId107"/>
    <sheet name="SCORE_H6_Surya" sheetId="108" r:id="rId108"/>
    <sheet name="SCORE_H7_Surya" sheetId="109" r:id="rId109"/>
    <sheet name="SCORE_H8_Surya" sheetId="110" r:id="rId110"/>
    <sheet name="SCORE_H9_Surya" sheetId="111" r:id="rId111"/>
    <sheet name="SCORE_H10_Surya" sheetId="112" r:id="rId112"/>
    <sheet name="SCORE_H11_Surya" sheetId="113" r:id="rId113"/>
    <sheet name="SCORE_H12_Surya" sheetId="114" r:id="rId114"/>
    <sheet name="SCORE_H1_D9" sheetId="115" r:id="rId115"/>
    <sheet name="SCORE_H2_D9" sheetId="116" r:id="rId116"/>
    <sheet name="SCORE_H3_D9" sheetId="117" r:id="rId117"/>
    <sheet name="SCORE_H4_D9" sheetId="118" r:id="rId118"/>
    <sheet name="SCORE_H5_D9" sheetId="119" r:id="rId119"/>
    <sheet name="SCORE_H6_D9" sheetId="120" r:id="rId120"/>
    <sheet name="SCORE_H7_D9" sheetId="121" r:id="rId121"/>
    <sheet name="SCORE_H8_D9" sheetId="122" r:id="rId122"/>
    <sheet name="SCORE_H9_D9" sheetId="123" r:id="rId123"/>
    <sheet name="SCORE_H10_D9" sheetId="124" r:id="rId124"/>
    <sheet name="SCORE_H11_D9" sheetId="125" r:id="rId125"/>
    <sheet name="SCORE_H12_D9" sheetId="126" r:id="rId126"/>
    <sheet name="SCORE_H1_D10" sheetId="127" r:id="rId127"/>
    <sheet name="SCORE_H2_D10" sheetId="128" r:id="rId128"/>
    <sheet name="SCORE_H3_D10" sheetId="129" r:id="rId129"/>
    <sheet name="SCORE_H4_D10" sheetId="130" r:id="rId130"/>
    <sheet name="SCORE_H5_D10" sheetId="131" r:id="rId131"/>
    <sheet name="SCORE_H6_D10" sheetId="132" r:id="rId132"/>
    <sheet name="SCORE_H7_D10" sheetId="133" r:id="rId133"/>
    <sheet name="SCORE_H8_D10" sheetId="134" r:id="rId134"/>
    <sheet name="SCORE_H9_D10" sheetId="135" r:id="rId135"/>
    <sheet name="SCORE_H10_D10" sheetId="136" r:id="rId136"/>
    <sheet name="SCORE_H11_D10" sheetId="137" r:id="rId137"/>
    <sheet name="SCORE_H12_D10" sheetId="138" r:id="rId138"/>
    <sheet name="SCORE_Karakamsha" sheetId="139" r:id="rId139"/>
    <sheet name="SCORE_H2_Karakamsha" sheetId="140" r:id="rId140"/>
    <sheet name="SCORE_H3_Karakamsha" sheetId="141" r:id="rId141"/>
    <sheet name="SCORE_H4_Karakamsha" sheetId="142" r:id="rId142"/>
    <sheet name="SCORE_H5_Karakamsha" sheetId="143" r:id="rId143"/>
    <sheet name="SCORE_H6_Karakamsha" sheetId="144" r:id="rId144"/>
    <sheet name="SCORE_H7_Karakamsha" sheetId="145" r:id="rId145"/>
    <sheet name="SCORE_H8_Karakamsha" sheetId="146" r:id="rId146"/>
    <sheet name="SCORE_H9_Karakamsha" sheetId="147" r:id="rId147"/>
    <sheet name="SCORE_H10_Karakamsha" sheetId="148" r:id="rId148"/>
    <sheet name="SCORE_H11_Karakamsha" sheetId="149" r:id="rId149"/>
    <sheet name="SCORE_H12_Karakamsha" sheetId="150" r:id="rId150"/>
    <sheet name="SCORE_Karakamsha_AllHouses" sheetId="151" r:id="rId151"/>
    <sheet name="YOGA_Mahapurush" sheetId="152" r:id="rId152"/>
    <sheet name="YOGA_DhanaRaja" sheetId="153" r:id="rId153"/>
    <sheet name="YOGA_Graha" sheetId="154" r:id="rId154"/>
    <sheet name="YOGA_Viparita" sheetId="155" r:id="rId155"/>
    <sheet name="YOGA_NeechaBhanga" sheetId="156" r:id="rId156"/>
    <sheet name="OUTPUT_Summary" sheetId="157" r:id="rId157"/>
    <sheet name="OUTPUT_LifeDomains" sheetId="158" r:id="rId158"/>
    <sheet name="OUTPUT_DrillDown" sheetId="159" r:id="rId159"/>
    <sheet name="OUTPUT_MultiLagna" sheetId="160" r:id="rId160"/>
    <sheet name="OUTPUT_LifePressureIndex" sheetId="161" r:id="rId161"/>
    <sheet name="OUTPUT_LifePressureIndex_Full" sheetId="162" r:id="rId162"/>
    <sheet name="OUTPUT_DashaTimeline" sheetId="163" r:id="rId163"/>
    <sheet name="OUTPUT_TransitAnalysis" sheetId="164" r:id="rId164"/>
    <sheet name="OUTPUT_D9Analysis" sheetId="165" r:id="rId165"/>
    <sheet name="OUTPUT_StrengthDashboard" sheetId="166" r:id="rId166"/>
    <sheet name="OUTPUT_Compatibility" sheetId="167" r:id="rId167"/>
    <sheet name="OUTPUT_NarrativeReport" sheetId="168" r:id="rId168"/>
    <sheet name="OUTPUT_ValidationDashboard" sheetId="169" r:id="rId169"/>
    <sheet name="LEGEND_ScoringRules" sheetId="170" r:id="rId170"/>
    <sheet name="NOTES_BPHSCompliance" sheetId="171" r:id="rId171"/>
    <sheet name="NOTES_NarayanaDasaCompliance" sheetId="172" r:id="rId172"/>
    <sheet name="NOTES_Zodiac" sheetId="173" r:id="rId173"/>
    <sheet name="HOWTO_ManualEntry" sheetId="174" r:id="rId174"/>
    <sheet name="UX_StudentMode" sheetId="175" r:id="rId175"/>
    <sheet name="UX_CounterfactualExplorer" sheetId="176" r:id="rId176"/>
    <sheet name="API_ProkeralaScript" sheetId="177" r:id="rId177"/>
    <sheet name="NOTES_VBAMacro" sheetId="179" r:id="rId178"/>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4" i="176" l="1"/>
  <c r="C23" i="176"/>
  <c r="C22" i="176"/>
  <c r="C21" i="176"/>
  <c r="C20" i="176"/>
  <c r="C19" i="176"/>
  <c r="C18" i="176"/>
  <c r="C17" i="176"/>
  <c r="C16" i="176"/>
  <c r="C15" i="176"/>
  <c r="C14" i="176"/>
  <c r="C13" i="176"/>
  <c r="C19" i="174"/>
  <c r="C15" i="174"/>
  <c r="C13" i="174"/>
  <c r="C11" i="174"/>
  <c r="C9" i="174"/>
  <c r="C7" i="174"/>
  <c r="C3" i="174"/>
  <c r="L1" i="174"/>
  <c r="L1" i="173"/>
  <c r="H1" i="171"/>
  <c r="L1" i="170"/>
  <c r="E22" i="169"/>
  <c r="D22" i="169"/>
  <c r="C22" i="169"/>
  <c r="B22" i="169"/>
  <c r="E21" i="169"/>
  <c r="D21" i="169"/>
  <c r="C21" i="169"/>
  <c r="B21" i="169"/>
  <c r="E20" i="169"/>
  <c r="D20" i="169"/>
  <c r="C20" i="169"/>
  <c r="B20" i="169"/>
  <c r="B15" i="169"/>
  <c r="B14" i="169"/>
  <c r="B13" i="169"/>
  <c r="B12" i="169"/>
  <c r="B11" i="169"/>
  <c r="B10" i="169"/>
  <c r="B9" i="169"/>
  <c r="Q16" i="77"/>
  <c r="G46" i="60"/>
  <c r="U16" i="77"/>
  <c r="S16" i="77"/>
  <c r="C28" i="162"/>
  <c r="E16" i="63"/>
  <c r="F16" i="63"/>
  <c r="G16" i="63"/>
  <c r="E8" i="63"/>
  <c r="F8" i="63"/>
  <c r="G8" i="63"/>
  <c r="E9" i="63"/>
  <c r="F9" i="63"/>
  <c r="G9" i="63"/>
  <c r="E11" i="63"/>
  <c r="F11" i="63"/>
  <c r="G11" i="63"/>
  <c r="E13" i="63"/>
  <c r="F13" i="63"/>
  <c r="G13" i="63"/>
  <c r="E14" i="63"/>
  <c r="F14" i="63"/>
  <c r="G14" i="63"/>
  <c r="C10" i="126"/>
  <c r="C11" i="126"/>
  <c r="H16" i="63"/>
  <c r="C12" i="126"/>
  <c r="C13" i="126"/>
  <c r="C29" i="126"/>
  <c r="C33" i="126"/>
  <c r="C21" i="126"/>
  <c r="E10" i="63"/>
  <c r="F10" i="63"/>
  <c r="G10" i="63"/>
  <c r="E12" i="63"/>
  <c r="F12" i="63"/>
  <c r="G12" i="63"/>
  <c r="C23" i="126"/>
  <c r="C35" i="126"/>
  <c r="C37" i="126"/>
  <c r="C38" i="126"/>
  <c r="C40" i="126"/>
  <c r="D17" i="73"/>
  <c r="F28" i="162"/>
  <c r="E16" i="64"/>
  <c r="F16" i="64"/>
  <c r="G16" i="64"/>
  <c r="E8" i="64"/>
  <c r="F8" i="64"/>
  <c r="G8" i="64"/>
  <c r="E9" i="64"/>
  <c r="F9" i="64"/>
  <c r="G9" i="64"/>
  <c r="E11" i="64"/>
  <c r="F11" i="64"/>
  <c r="G11" i="64"/>
  <c r="E13" i="64"/>
  <c r="F13" i="64"/>
  <c r="G13" i="64"/>
  <c r="E14" i="64"/>
  <c r="F14" i="64"/>
  <c r="G14" i="64"/>
  <c r="C10" i="138"/>
  <c r="C11" i="138"/>
  <c r="H16" i="64"/>
  <c r="C12" i="138"/>
  <c r="C13" i="138"/>
  <c r="C29" i="138"/>
  <c r="C33" i="138"/>
  <c r="C21" i="138"/>
  <c r="E10" i="64"/>
  <c r="F10" i="64"/>
  <c r="G10" i="64"/>
  <c r="E12" i="64"/>
  <c r="F12" i="64"/>
  <c r="G12" i="64"/>
  <c r="C23" i="138"/>
  <c r="C35" i="138"/>
  <c r="C37" i="138"/>
  <c r="C38" i="138"/>
  <c r="C40" i="138"/>
  <c r="E17" i="73"/>
  <c r="G28" i="162"/>
  <c r="C17" i="76"/>
  <c r="F4" i="45"/>
  <c r="F5" i="45"/>
  <c r="F6" i="45"/>
  <c r="F7" i="45"/>
  <c r="F8" i="45"/>
  <c r="F9" i="45"/>
  <c r="F10" i="45"/>
  <c r="F11" i="45"/>
  <c r="F12" i="45"/>
  <c r="B14" i="45"/>
  <c r="D17" i="76"/>
  <c r="B6" i="65"/>
  <c r="B7" i="65"/>
  <c r="D14" i="65"/>
  <c r="C14" i="65"/>
  <c r="E14" i="65"/>
  <c r="F14" i="65"/>
  <c r="D15" i="65"/>
  <c r="C15" i="65"/>
  <c r="E15" i="65"/>
  <c r="F15" i="65"/>
  <c r="D16" i="65"/>
  <c r="C16" i="65"/>
  <c r="E16" i="65"/>
  <c r="F16" i="65"/>
  <c r="D17" i="65"/>
  <c r="C17" i="65"/>
  <c r="E17" i="65"/>
  <c r="F17" i="65"/>
  <c r="D18" i="65"/>
  <c r="C18" i="65"/>
  <c r="E18" i="65"/>
  <c r="F18" i="65"/>
  <c r="D19" i="65"/>
  <c r="C19" i="65"/>
  <c r="E19" i="65"/>
  <c r="F19" i="65"/>
  <c r="D20" i="65"/>
  <c r="C20" i="65"/>
  <c r="E20" i="65"/>
  <c r="F20" i="65"/>
  <c r="D21" i="65"/>
  <c r="C21" i="65"/>
  <c r="E21" i="65"/>
  <c r="F21" i="65"/>
  <c r="D22" i="65"/>
  <c r="C22" i="65"/>
  <c r="E22" i="65"/>
  <c r="F22" i="65"/>
  <c r="E17" i="76"/>
  <c r="G17" i="76"/>
  <c r="H28" i="162"/>
  <c r="N28" i="162"/>
  <c r="O28" i="162"/>
  <c r="F20" i="168"/>
  <c r="E20" i="168"/>
  <c r="D20" i="168"/>
  <c r="C20" i="168"/>
  <c r="B20" i="168"/>
  <c r="Q12" i="77"/>
  <c r="G42" i="60"/>
  <c r="U12" i="77"/>
  <c r="S12" i="77"/>
  <c r="C24" i="162"/>
  <c r="C10" i="122"/>
  <c r="C11" i="122"/>
  <c r="H12" i="63"/>
  <c r="C12" i="122"/>
  <c r="C13" i="122"/>
  <c r="C29" i="122"/>
  <c r="C33" i="122"/>
  <c r="C21" i="122"/>
  <c r="C23" i="122"/>
  <c r="C35" i="122"/>
  <c r="C37" i="122"/>
  <c r="C38" i="122"/>
  <c r="C40" i="122"/>
  <c r="D13" i="73"/>
  <c r="F24" i="162"/>
  <c r="C10" i="134"/>
  <c r="C11" i="134"/>
  <c r="H12" i="64"/>
  <c r="C12" i="134"/>
  <c r="C13" i="134"/>
  <c r="C29" i="134"/>
  <c r="C33" i="134"/>
  <c r="C21" i="134"/>
  <c r="C23" i="134"/>
  <c r="C35" i="134"/>
  <c r="C37" i="134"/>
  <c r="C38" i="134"/>
  <c r="C40" i="134"/>
  <c r="E13" i="73"/>
  <c r="G24" i="162"/>
  <c r="C13" i="76"/>
  <c r="D13" i="76"/>
  <c r="E13" i="76"/>
  <c r="G13" i="76"/>
  <c r="H24" i="162"/>
  <c r="N24" i="162"/>
  <c r="O24" i="162"/>
  <c r="F19" i="168"/>
  <c r="E19" i="168"/>
  <c r="D19" i="168"/>
  <c r="C19" i="168"/>
  <c r="B19" i="168"/>
  <c r="Q8" i="77"/>
  <c r="G38" i="60"/>
  <c r="U8" i="77"/>
  <c r="S8" i="77"/>
  <c r="C20" i="162"/>
  <c r="C10" i="118"/>
  <c r="C11" i="118"/>
  <c r="H8" i="63"/>
  <c r="C12" i="118"/>
  <c r="C13" i="118"/>
  <c r="C29" i="118"/>
  <c r="C33" i="118"/>
  <c r="C21" i="118"/>
  <c r="C23" i="118"/>
  <c r="C35" i="118"/>
  <c r="C37" i="118"/>
  <c r="C38" i="118"/>
  <c r="C40" i="118"/>
  <c r="D9" i="73"/>
  <c r="F20" i="162"/>
  <c r="C10" i="130"/>
  <c r="C11" i="130"/>
  <c r="H8" i="64"/>
  <c r="C12" i="130"/>
  <c r="C13" i="130"/>
  <c r="C29" i="130"/>
  <c r="C33" i="130"/>
  <c r="C21" i="130"/>
  <c r="C23" i="130"/>
  <c r="C35" i="130"/>
  <c r="C37" i="130"/>
  <c r="C38" i="130"/>
  <c r="C40" i="130"/>
  <c r="E9" i="73"/>
  <c r="G20" i="162"/>
  <c r="C9" i="76"/>
  <c r="D9" i="76"/>
  <c r="E9" i="76"/>
  <c r="G9" i="76"/>
  <c r="H20" i="162"/>
  <c r="N20" i="162"/>
  <c r="O20" i="162"/>
  <c r="F18" i="168"/>
  <c r="E18" i="168"/>
  <c r="D18" i="168"/>
  <c r="C18" i="168"/>
  <c r="B18" i="168"/>
  <c r="Q15" i="77"/>
  <c r="G45" i="60"/>
  <c r="U15" i="77"/>
  <c r="S15" i="77"/>
  <c r="C27" i="162"/>
  <c r="E15" i="63"/>
  <c r="F15" i="63"/>
  <c r="G15" i="63"/>
  <c r="C10" i="125"/>
  <c r="C11" i="125"/>
  <c r="H15" i="63"/>
  <c r="C12" i="125"/>
  <c r="C13" i="125"/>
  <c r="C29" i="125"/>
  <c r="C33" i="125"/>
  <c r="C21" i="125"/>
  <c r="C23" i="125"/>
  <c r="C35" i="125"/>
  <c r="C37" i="125"/>
  <c r="C38" i="125"/>
  <c r="C40" i="125"/>
  <c r="D16" i="73"/>
  <c r="F27" i="162"/>
  <c r="E15" i="64"/>
  <c r="F15" i="64"/>
  <c r="G15" i="64"/>
  <c r="C10" i="137"/>
  <c r="C11" i="137"/>
  <c r="H15" i="64"/>
  <c r="C12" i="137"/>
  <c r="C13" i="137"/>
  <c r="C29" i="137"/>
  <c r="C33" i="137"/>
  <c r="C21" i="137"/>
  <c r="C23" i="137"/>
  <c r="C35" i="137"/>
  <c r="C37" i="137"/>
  <c r="C38" i="137"/>
  <c r="C40" i="137"/>
  <c r="E16" i="73"/>
  <c r="G27" i="162"/>
  <c r="C16" i="76"/>
  <c r="D16" i="76"/>
  <c r="E16" i="76"/>
  <c r="G16" i="76"/>
  <c r="H27" i="162"/>
  <c r="N27" i="162"/>
  <c r="O27" i="162"/>
  <c r="F16" i="168"/>
  <c r="E16" i="168"/>
  <c r="D16" i="168"/>
  <c r="C16" i="168"/>
  <c r="B16" i="168"/>
  <c r="Q11" i="77"/>
  <c r="G41" i="60"/>
  <c r="U11" i="77"/>
  <c r="S11" i="77"/>
  <c r="C23" i="162"/>
  <c r="C10" i="121"/>
  <c r="C11" i="121"/>
  <c r="H11" i="63"/>
  <c r="C12" i="121"/>
  <c r="C13" i="121"/>
  <c r="C29" i="121"/>
  <c r="C33" i="121"/>
  <c r="C21" i="121"/>
  <c r="C23" i="121"/>
  <c r="C35" i="121"/>
  <c r="C37" i="121"/>
  <c r="C38" i="121"/>
  <c r="C40" i="121"/>
  <c r="D12" i="73"/>
  <c r="F23" i="162"/>
  <c r="C10" i="133"/>
  <c r="C11" i="133"/>
  <c r="H11" i="64"/>
  <c r="C12" i="133"/>
  <c r="C13" i="133"/>
  <c r="C29" i="133"/>
  <c r="C33" i="133"/>
  <c r="C21" i="133"/>
  <c r="C23" i="133"/>
  <c r="C35" i="133"/>
  <c r="C37" i="133"/>
  <c r="C38" i="133"/>
  <c r="C40" i="133"/>
  <c r="E12" i="73"/>
  <c r="G23" i="162"/>
  <c r="C12" i="76"/>
  <c r="D12" i="76"/>
  <c r="E12" i="76"/>
  <c r="G12" i="76"/>
  <c r="H23" i="162"/>
  <c r="N23" i="162"/>
  <c r="O23" i="162"/>
  <c r="F15" i="168"/>
  <c r="E15" i="168"/>
  <c r="D15" i="168"/>
  <c r="C15" i="168"/>
  <c r="B15" i="168"/>
  <c r="Q7" i="77"/>
  <c r="G37" i="60"/>
  <c r="U7" i="77"/>
  <c r="S7" i="77"/>
  <c r="C19" i="162"/>
  <c r="E7" i="63"/>
  <c r="F7" i="63"/>
  <c r="G7" i="63"/>
  <c r="C10" i="117"/>
  <c r="C11" i="117"/>
  <c r="H7" i="63"/>
  <c r="C12" i="117"/>
  <c r="C13" i="117"/>
  <c r="C29" i="117"/>
  <c r="C33" i="117"/>
  <c r="C21" i="117"/>
  <c r="C23" i="117"/>
  <c r="C35" i="117"/>
  <c r="C37" i="117"/>
  <c r="C38" i="117"/>
  <c r="C40" i="117"/>
  <c r="D8" i="73"/>
  <c r="F19" i="162"/>
  <c r="E7" i="64"/>
  <c r="F7" i="64"/>
  <c r="G7" i="64"/>
  <c r="C10" i="129"/>
  <c r="C11" i="129"/>
  <c r="H7" i="64"/>
  <c r="C12" i="129"/>
  <c r="C13" i="129"/>
  <c r="C29" i="129"/>
  <c r="C33" i="129"/>
  <c r="C21" i="129"/>
  <c r="C23" i="129"/>
  <c r="C35" i="129"/>
  <c r="C37" i="129"/>
  <c r="C38" i="129"/>
  <c r="C40" i="129"/>
  <c r="E8" i="73"/>
  <c r="G19" i="162"/>
  <c r="C8" i="76"/>
  <c r="D8" i="76"/>
  <c r="E8" i="76"/>
  <c r="G8" i="76"/>
  <c r="H19" i="162"/>
  <c r="N19" i="162"/>
  <c r="O19" i="162"/>
  <c r="F14" i="168"/>
  <c r="E14" i="168"/>
  <c r="D14" i="168"/>
  <c r="C14" i="168"/>
  <c r="B14" i="168"/>
  <c r="Q14" i="77"/>
  <c r="G44" i="60"/>
  <c r="U14" i="77"/>
  <c r="S14" i="77"/>
  <c r="C26" i="162"/>
  <c r="C10" i="124"/>
  <c r="C11" i="124"/>
  <c r="H14" i="63"/>
  <c r="C12" i="124"/>
  <c r="C13" i="124"/>
  <c r="C29" i="124"/>
  <c r="C33" i="124"/>
  <c r="C21" i="124"/>
  <c r="C23" i="124"/>
  <c r="C35" i="124"/>
  <c r="C37" i="124"/>
  <c r="C38" i="124"/>
  <c r="C40" i="124"/>
  <c r="D15" i="73"/>
  <c r="F26" i="162"/>
  <c r="C10" i="136"/>
  <c r="C11" i="136"/>
  <c r="H14" i="64"/>
  <c r="C12" i="136"/>
  <c r="C13" i="136"/>
  <c r="C29" i="136"/>
  <c r="C33" i="136"/>
  <c r="C21" i="136"/>
  <c r="C23" i="136"/>
  <c r="C35" i="136"/>
  <c r="C37" i="136"/>
  <c r="C38" i="136"/>
  <c r="C40" i="136"/>
  <c r="E15" i="73"/>
  <c r="G26" i="162"/>
  <c r="C15" i="76"/>
  <c r="D15" i="76"/>
  <c r="E15" i="76"/>
  <c r="G15" i="76"/>
  <c r="H26" i="162"/>
  <c r="N26" i="162"/>
  <c r="O26" i="162"/>
  <c r="F12" i="168"/>
  <c r="E12" i="168"/>
  <c r="D12" i="168"/>
  <c r="C12" i="168"/>
  <c r="B12" i="168"/>
  <c r="Q10" i="77"/>
  <c r="G40" i="60"/>
  <c r="U10" i="77"/>
  <c r="S10" i="77"/>
  <c r="C22" i="162"/>
  <c r="C10" i="120"/>
  <c r="C11" i="120"/>
  <c r="H10" i="63"/>
  <c r="C12" i="120"/>
  <c r="C13" i="120"/>
  <c r="C29" i="120"/>
  <c r="C33" i="120"/>
  <c r="C21" i="120"/>
  <c r="C23" i="120"/>
  <c r="C35" i="120"/>
  <c r="C37" i="120"/>
  <c r="C38" i="120"/>
  <c r="C40" i="120"/>
  <c r="D11" i="73"/>
  <c r="F22" i="162"/>
  <c r="C10" i="132"/>
  <c r="C11" i="132"/>
  <c r="H10" i="64"/>
  <c r="C12" i="132"/>
  <c r="C13" i="132"/>
  <c r="C29" i="132"/>
  <c r="C33" i="132"/>
  <c r="C21" i="132"/>
  <c r="C23" i="132"/>
  <c r="C35" i="132"/>
  <c r="C37" i="132"/>
  <c r="C38" i="132"/>
  <c r="C40" i="132"/>
  <c r="E11" i="73"/>
  <c r="G22" i="162"/>
  <c r="C11" i="76"/>
  <c r="D11" i="76"/>
  <c r="E11" i="76"/>
  <c r="G11" i="76"/>
  <c r="H22" i="162"/>
  <c r="N22" i="162"/>
  <c r="O22" i="162"/>
  <c r="F11" i="168"/>
  <c r="E11" i="168"/>
  <c r="D11" i="168"/>
  <c r="C11" i="168"/>
  <c r="B11" i="168"/>
  <c r="Q6" i="77"/>
  <c r="G36" i="60"/>
  <c r="U6" i="77"/>
  <c r="S6" i="77"/>
  <c r="C18" i="162"/>
  <c r="E6" i="63"/>
  <c r="F6" i="63"/>
  <c r="G6" i="63"/>
  <c r="C10" i="116"/>
  <c r="C11" i="116"/>
  <c r="H6" i="63"/>
  <c r="C12" i="116"/>
  <c r="C13" i="116"/>
  <c r="C29" i="116"/>
  <c r="C33" i="116"/>
  <c r="C21" i="116"/>
  <c r="C23" i="116"/>
  <c r="C35" i="116"/>
  <c r="C37" i="116"/>
  <c r="C38" i="116"/>
  <c r="C40" i="116"/>
  <c r="D7" i="73"/>
  <c r="F18" i="162"/>
  <c r="E6" i="64"/>
  <c r="F6" i="64"/>
  <c r="G6" i="64"/>
  <c r="C10" i="128"/>
  <c r="C11" i="128"/>
  <c r="H6" i="64"/>
  <c r="C12" i="128"/>
  <c r="C13" i="128"/>
  <c r="C29" i="128"/>
  <c r="C33" i="128"/>
  <c r="C21" i="128"/>
  <c r="C23" i="128"/>
  <c r="C35" i="128"/>
  <c r="C37" i="128"/>
  <c r="C38" i="128"/>
  <c r="C40" i="128"/>
  <c r="E7" i="73"/>
  <c r="G18" i="162"/>
  <c r="C7" i="76"/>
  <c r="D7" i="76"/>
  <c r="E7" i="76"/>
  <c r="G7" i="76"/>
  <c r="H18" i="162"/>
  <c r="N18" i="162"/>
  <c r="O18" i="162"/>
  <c r="F10" i="168"/>
  <c r="E10" i="168"/>
  <c r="D10" i="168"/>
  <c r="C10" i="168"/>
  <c r="B10" i="168"/>
  <c r="Q13" i="77"/>
  <c r="G43" i="60"/>
  <c r="U13" i="77"/>
  <c r="S13" i="77"/>
  <c r="C25" i="162"/>
  <c r="C10" i="123"/>
  <c r="C11" i="123"/>
  <c r="H13" i="63"/>
  <c r="C12" i="123"/>
  <c r="C13" i="123"/>
  <c r="C29" i="123"/>
  <c r="C33" i="123"/>
  <c r="C21" i="123"/>
  <c r="C23" i="123"/>
  <c r="C35" i="123"/>
  <c r="C37" i="123"/>
  <c r="C38" i="123"/>
  <c r="C40" i="123"/>
  <c r="D14" i="73"/>
  <c r="F25" i="162"/>
  <c r="C10" i="135"/>
  <c r="C11" i="135"/>
  <c r="H13" i="64"/>
  <c r="C12" i="135"/>
  <c r="C13" i="135"/>
  <c r="C29" i="135"/>
  <c r="C33" i="135"/>
  <c r="C21" i="135"/>
  <c r="C23" i="135"/>
  <c r="C35" i="135"/>
  <c r="C37" i="135"/>
  <c r="C38" i="135"/>
  <c r="C40" i="135"/>
  <c r="E14" i="73"/>
  <c r="G25" i="162"/>
  <c r="C14" i="76"/>
  <c r="D14" i="76"/>
  <c r="E14" i="76"/>
  <c r="G14" i="76"/>
  <c r="H25" i="162"/>
  <c r="N25" i="162"/>
  <c r="O25" i="162"/>
  <c r="F8" i="168"/>
  <c r="E8" i="168"/>
  <c r="D8" i="168"/>
  <c r="C8" i="168"/>
  <c r="B8" i="168"/>
  <c r="Q9" i="77"/>
  <c r="G39" i="60"/>
  <c r="U9" i="77"/>
  <c r="S9" i="77"/>
  <c r="C21" i="162"/>
  <c r="C10" i="119"/>
  <c r="C11" i="119"/>
  <c r="H9" i="63"/>
  <c r="C12" i="119"/>
  <c r="C13" i="119"/>
  <c r="C29" i="119"/>
  <c r="C33" i="119"/>
  <c r="C21" i="119"/>
  <c r="C23" i="119"/>
  <c r="C35" i="119"/>
  <c r="C37" i="119"/>
  <c r="C38" i="119"/>
  <c r="C40" i="119"/>
  <c r="D10" i="73"/>
  <c r="F21" i="162"/>
  <c r="C10" i="131"/>
  <c r="C11" i="131"/>
  <c r="H9" i="64"/>
  <c r="C12" i="131"/>
  <c r="C13" i="131"/>
  <c r="C29" i="131"/>
  <c r="C33" i="131"/>
  <c r="C21" i="131"/>
  <c r="C23" i="131"/>
  <c r="C35" i="131"/>
  <c r="C37" i="131"/>
  <c r="C38" i="131"/>
  <c r="C40" i="131"/>
  <c r="E10" i="73"/>
  <c r="G21" i="162"/>
  <c r="C10" i="76"/>
  <c r="D10" i="76"/>
  <c r="E10" i="76"/>
  <c r="G10" i="76"/>
  <c r="H21" i="162"/>
  <c r="N21" i="162"/>
  <c r="O21" i="162"/>
  <c r="F7" i="168"/>
  <c r="E7" i="168"/>
  <c r="D7" i="168"/>
  <c r="C7" i="168"/>
  <c r="B7" i="168"/>
  <c r="Q5" i="77"/>
  <c r="G35" i="60"/>
  <c r="U5" i="77"/>
  <c r="S5" i="77"/>
  <c r="C17" i="162"/>
  <c r="E5" i="63"/>
  <c r="F5" i="63"/>
  <c r="G5" i="63"/>
  <c r="C10" i="115"/>
  <c r="C11" i="115"/>
  <c r="H5" i="63"/>
  <c r="C12" i="115"/>
  <c r="C13" i="115"/>
  <c r="C29" i="115"/>
  <c r="C33" i="115"/>
  <c r="C21" i="115"/>
  <c r="C23" i="115"/>
  <c r="C35" i="115"/>
  <c r="C37" i="115"/>
  <c r="C38" i="115"/>
  <c r="C40" i="115"/>
  <c r="D6" i="73"/>
  <c r="F17" i="162"/>
  <c r="E5" i="64"/>
  <c r="F5" i="64"/>
  <c r="G5" i="64"/>
  <c r="C10" i="127"/>
  <c r="C11" i="127"/>
  <c r="H5" i="64"/>
  <c r="C12" i="127"/>
  <c r="C13" i="127"/>
  <c r="C29" i="127"/>
  <c r="C33" i="127"/>
  <c r="C21" i="127"/>
  <c r="C23" i="127"/>
  <c r="C35" i="127"/>
  <c r="C37" i="127"/>
  <c r="C38" i="127"/>
  <c r="C40" i="127"/>
  <c r="E6" i="73"/>
  <c r="G17" i="162"/>
  <c r="C6" i="76"/>
  <c r="D6" i="76"/>
  <c r="E6" i="76"/>
  <c r="G6" i="76"/>
  <c r="H17" i="162"/>
  <c r="N17" i="162"/>
  <c r="O17" i="162"/>
  <c r="F6" i="168"/>
  <c r="E6" i="168"/>
  <c r="D6" i="168"/>
  <c r="C6" i="168"/>
  <c r="B6" i="168"/>
  <c r="F21" i="167"/>
  <c r="E21" i="167"/>
  <c r="D21" i="167"/>
  <c r="C21" i="167"/>
  <c r="B21" i="167"/>
  <c r="A21" i="167"/>
  <c r="F20" i="167"/>
  <c r="E20" i="167"/>
  <c r="D20" i="167"/>
  <c r="C20" i="167"/>
  <c r="B20" i="167"/>
  <c r="A20" i="167"/>
  <c r="F19" i="167"/>
  <c r="E19" i="167"/>
  <c r="D19" i="167"/>
  <c r="C19" i="167"/>
  <c r="B19" i="167"/>
  <c r="A19" i="167"/>
  <c r="F18" i="167"/>
  <c r="E18" i="167"/>
  <c r="D18" i="167"/>
  <c r="C18" i="167"/>
  <c r="B18" i="167"/>
  <c r="A18" i="167"/>
  <c r="F17" i="167"/>
  <c r="E17" i="167"/>
  <c r="D17" i="167"/>
  <c r="C17" i="167"/>
  <c r="B17" i="167"/>
  <c r="A17" i="167"/>
  <c r="F16" i="167"/>
  <c r="E16" i="167"/>
  <c r="D16" i="167"/>
  <c r="C16" i="167"/>
  <c r="B16" i="167"/>
  <c r="A16" i="167"/>
  <c r="F15" i="167"/>
  <c r="E15" i="167"/>
  <c r="D15" i="167"/>
  <c r="C15" i="167"/>
  <c r="B15" i="167"/>
  <c r="A15" i="167"/>
  <c r="F14" i="167"/>
  <c r="E14" i="167"/>
  <c r="D14" i="167"/>
  <c r="C14" i="167"/>
  <c r="B14" i="167"/>
  <c r="A14" i="167"/>
  <c r="B10" i="167"/>
  <c r="B9" i="167"/>
  <c r="B8" i="167"/>
  <c r="B7" i="167"/>
  <c r="B6" i="167"/>
  <c r="B5" i="167"/>
  <c r="K12" i="166"/>
  <c r="F11" i="61"/>
  <c r="I12" i="166"/>
  <c r="J12" i="166"/>
  <c r="H11" i="61"/>
  <c r="H12" i="166"/>
  <c r="G12" i="166"/>
  <c r="F12" i="166"/>
  <c r="E12" i="166"/>
  <c r="D12" i="166"/>
  <c r="C12" i="166"/>
  <c r="B12" i="166"/>
  <c r="K11" i="166"/>
  <c r="F10" i="61"/>
  <c r="I11" i="166"/>
  <c r="J11" i="166"/>
  <c r="H10" i="61"/>
  <c r="H11" i="166"/>
  <c r="G11" i="166"/>
  <c r="F11" i="166"/>
  <c r="E11" i="166"/>
  <c r="D11" i="166"/>
  <c r="C11" i="166"/>
  <c r="B11" i="166"/>
  <c r="K10" i="166"/>
  <c r="F9" i="61"/>
  <c r="I10" i="166"/>
  <c r="J10" i="166"/>
  <c r="H9" i="61"/>
  <c r="H10" i="166"/>
  <c r="G10" i="166"/>
  <c r="F10" i="166"/>
  <c r="E10" i="166"/>
  <c r="D10" i="166"/>
  <c r="C10" i="166"/>
  <c r="B10" i="166"/>
  <c r="K9" i="166"/>
  <c r="F8" i="61"/>
  <c r="I9" i="166"/>
  <c r="J9" i="166"/>
  <c r="H8" i="61"/>
  <c r="H9" i="166"/>
  <c r="G9" i="166"/>
  <c r="F9" i="166"/>
  <c r="E9" i="166"/>
  <c r="D9" i="166"/>
  <c r="C9" i="166"/>
  <c r="B9" i="166"/>
  <c r="K8" i="166"/>
  <c r="F7" i="61"/>
  <c r="I8" i="166"/>
  <c r="J8" i="166"/>
  <c r="H7" i="61"/>
  <c r="H8" i="166"/>
  <c r="G8" i="166"/>
  <c r="F8" i="166"/>
  <c r="E8" i="166"/>
  <c r="D8" i="166"/>
  <c r="C8" i="166"/>
  <c r="B8" i="166"/>
  <c r="K7" i="166"/>
  <c r="F6" i="61"/>
  <c r="I7" i="166"/>
  <c r="J7" i="166"/>
  <c r="H6" i="61"/>
  <c r="H7" i="166"/>
  <c r="G7" i="166"/>
  <c r="F7" i="166"/>
  <c r="E7" i="166"/>
  <c r="D7" i="166"/>
  <c r="C7" i="166"/>
  <c r="B7" i="166"/>
  <c r="K6" i="166"/>
  <c r="F5" i="61"/>
  <c r="I6" i="166"/>
  <c r="J6" i="166"/>
  <c r="H5" i="61"/>
  <c r="H6" i="166"/>
  <c r="G6" i="166"/>
  <c r="F6" i="166"/>
  <c r="E6" i="166"/>
  <c r="D6" i="166"/>
  <c r="C6" i="166"/>
  <c r="B6" i="166"/>
  <c r="C10" i="139"/>
  <c r="C11" i="139"/>
  <c r="C12" i="139"/>
  <c r="C13" i="139"/>
  <c r="C29" i="139"/>
  <c r="C33" i="139"/>
  <c r="C21" i="139"/>
  <c r="C23" i="139"/>
  <c r="C35" i="139"/>
  <c r="C37" i="139"/>
  <c r="C38" i="139"/>
  <c r="C40" i="139"/>
  <c r="B27" i="165"/>
  <c r="B24" i="165"/>
  <c r="B23" i="165"/>
  <c r="B8" i="62"/>
  <c r="B22" i="165"/>
  <c r="B21" i="165"/>
  <c r="B20" i="165"/>
  <c r="F15" i="165"/>
  <c r="E15" i="165"/>
  <c r="D15" i="165"/>
  <c r="C15" i="165"/>
  <c r="B15" i="165"/>
  <c r="F14" i="165"/>
  <c r="E14" i="165"/>
  <c r="D14" i="165"/>
  <c r="C14" i="165"/>
  <c r="B14" i="165"/>
  <c r="F13" i="165"/>
  <c r="E13" i="165"/>
  <c r="D13" i="165"/>
  <c r="C13" i="165"/>
  <c r="B13" i="165"/>
  <c r="F12" i="165"/>
  <c r="E12" i="165"/>
  <c r="D12" i="165"/>
  <c r="C12" i="165"/>
  <c r="B12" i="165"/>
  <c r="F11" i="165"/>
  <c r="E11" i="165"/>
  <c r="D11" i="165"/>
  <c r="C11" i="165"/>
  <c r="B11" i="165"/>
  <c r="F10" i="165"/>
  <c r="E10" i="165"/>
  <c r="D10" i="165"/>
  <c r="C10" i="165"/>
  <c r="B10" i="165"/>
  <c r="F9" i="165"/>
  <c r="E9" i="165"/>
  <c r="D9" i="165"/>
  <c r="C9" i="165"/>
  <c r="B9" i="165"/>
  <c r="F8" i="165"/>
  <c r="E8" i="165"/>
  <c r="D8" i="165"/>
  <c r="C8" i="165"/>
  <c r="B8" i="165"/>
  <c r="F7" i="165"/>
  <c r="E7" i="165"/>
  <c r="D7" i="165"/>
  <c r="C7" i="165"/>
  <c r="B7" i="165"/>
  <c r="F6" i="165"/>
  <c r="E6" i="165"/>
  <c r="D6" i="165"/>
  <c r="C6" i="165"/>
  <c r="B6" i="165"/>
  <c r="D21" i="164"/>
  <c r="C21" i="164"/>
  <c r="D20" i="164"/>
  <c r="C20" i="164"/>
  <c r="D19" i="164"/>
  <c r="C19" i="164"/>
  <c r="J14" i="164"/>
  <c r="I14" i="164"/>
  <c r="F14" i="164"/>
  <c r="E14" i="164"/>
  <c r="D14" i="164"/>
  <c r="C14" i="164"/>
  <c r="J13" i="164"/>
  <c r="I13" i="164"/>
  <c r="F13" i="164"/>
  <c r="E13" i="164"/>
  <c r="D13" i="164"/>
  <c r="C13" i="164"/>
  <c r="J12" i="164"/>
  <c r="I12" i="164"/>
  <c r="G12" i="164"/>
  <c r="F12" i="164"/>
  <c r="E12" i="164"/>
  <c r="D12" i="164"/>
  <c r="C12" i="164"/>
  <c r="J11" i="164"/>
  <c r="I11" i="164"/>
  <c r="F11" i="164"/>
  <c r="E11" i="164"/>
  <c r="D11" i="164"/>
  <c r="C11" i="164"/>
  <c r="J10" i="164"/>
  <c r="I10" i="164"/>
  <c r="H10" i="164"/>
  <c r="F10" i="164"/>
  <c r="E10" i="164"/>
  <c r="D10" i="164"/>
  <c r="C10" i="164"/>
  <c r="J9" i="164"/>
  <c r="I9" i="164"/>
  <c r="F9" i="164"/>
  <c r="E9" i="164"/>
  <c r="D9" i="164"/>
  <c r="C9" i="164"/>
  <c r="J8" i="164"/>
  <c r="I8" i="164"/>
  <c r="F8" i="164"/>
  <c r="E8" i="164"/>
  <c r="D8" i="164"/>
  <c r="C8" i="164"/>
  <c r="J7" i="164"/>
  <c r="I7" i="164"/>
  <c r="F7" i="164"/>
  <c r="E7" i="164"/>
  <c r="D7" i="164"/>
  <c r="C7" i="164"/>
  <c r="J6" i="164"/>
  <c r="I6" i="164"/>
  <c r="F6" i="164"/>
  <c r="E6" i="164"/>
  <c r="D6" i="164"/>
  <c r="C6" i="164"/>
  <c r="F14" i="66"/>
  <c r="F15" i="66"/>
  <c r="F16" i="66"/>
  <c r="F17" i="66"/>
  <c r="F18" i="66"/>
  <c r="F19" i="66"/>
  <c r="F20" i="66"/>
  <c r="F21" i="66"/>
  <c r="F22" i="66"/>
  <c r="F23" i="66"/>
  <c r="F24" i="66"/>
  <c r="F25" i="66"/>
  <c r="D37" i="163"/>
  <c r="C37" i="163"/>
  <c r="B37" i="163"/>
  <c r="D36" i="163"/>
  <c r="C36" i="163"/>
  <c r="B36" i="163"/>
  <c r="G35" i="163"/>
  <c r="F35" i="163"/>
  <c r="B18" i="45"/>
  <c r="E35" i="163"/>
  <c r="B17" i="45"/>
  <c r="D35" i="163"/>
  <c r="C35" i="163"/>
  <c r="B35" i="163"/>
  <c r="H25" i="66"/>
  <c r="I30" i="163"/>
  <c r="G25" i="66"/>
  <c r="H30" i="163"/>
  <c r="G30" i="163"/>
  <c r="F30" i="163"/>
  <c r="E30" i="163"/>
  <c r="D30" i="163"/>
  <c r="C30" i="163"/>
  <c r="B30" i="163"/>
  <c r="H24" i="66"/>
  <c r="I29" i="163"/>
  <c r="G24" i="66"/>
  <c r="H29" i="163"/>
  <c r="G29" i="163"/>
  <c r="F29" i="163"/>
  <c r="E29" i="163"/>
  <c r="D29" i="163"/>
  <c r="C29" i="163"/>
  <c r="B29" i="163"/>
  <c r="H23" i="66"/>
  <c r="I28" i="163"/>
  <c r="G23" i="66"/>
  <c r="H28" i="163"/>
  <c r="G28" i="163"/>
  <c r="F28" i="163"/>
  <c r="E28" i="163"/>
  <c r="D28" i="163"/>
  <c r="C28" i="163"/>
  <c r="B28" i="163"/>
  <c r="H22" i="66"/>
  <c r="I27" i="163"/>
  <c r="G22" i="66"/>
  <c r="H27" i="163"/>
  <c r="G27" i="163"/>
  <c r="F27" i="163"/>
  <c r="E27" i="163"/>
  <c r="D27" i="163"/>
  <c r="C27" i="163"/>
  <c r="B27" i="163"/>
  <c r="H21" i="66"/>
  <c r="I26" i="163"/>
  <c r="G21" i="66"/>
  <c r="H26" i="163"/>
  <c r="G26" i="163"/>
  <c r="F26" i="163"/>
  <c r="E26" i="163"/>
  <c r="D26" i="163"/>
  <c r="C26" i="163"/>
  <c r="B26" i="163"/>
  <c r="H20" i="66"/>
  <c r="I25" i="163"/>
  <c r="G20" i="66"/>
  <c r="H25" i="163"/>
  <c r="G25" i="163"/>
  <c r="F25" i="163"/>
  <c r="E25" i="163"/>
  <c r="D25" i="163"/>
  <c r="C25" i="163"/>
  <c r="B25" i="163"/>
  <c r="H19" i="66"/>
  <c r="I24" i="163"/>
  <c r="G19" i="66"/>
  <c r="H24" i="163"/>
  <c r="G24" i="163"/>
  <c r="F24" i="163"/>
  <c r="E24" i="163"/>
  <c r="D24" i="163"/>
  <c r="C24" i="163"/>
  <c r="B24" i="163"/>
  <c r="H18" i="66"/>
  <c r="I23" i="163"/>
  <c r="G18" i="66"/>
  <c r="H23" i="163"/>
  <c r="G23" i="163"/>
  <c r="F23" i="163"/>
  <c r="E23" i="163"/>
  <c r="D23" i="163"/>
  <c r="C23" i="163"/>
  <c r="B23" i="163"/>
  <c r="H17" i="66"/>
  <c r="I22" i="163"/>
  <c r="G17" i="66"/>
  <c r="H22" i="163"/>
  <c r="G22" i="163"/>
  <c r="F22" i="163"/>
  <c r="E22" i="163"/>
  <c r="D22" i="163"/>
  <c r="C22" i="163"/>
  <c r="B22" i="163"/>
  <c r="H16" i="66"/>
  <c r="I21" i="163"/>
  <c r="G16" i="66"/>
  <c r="H21" i="163"/>
  <c r="G21" i="163"/>
  <c r="F21" i="163"/>
  <c r="E21" i="163"/>
  <c r="D21" i="163"/>
  <c r="C21" i="163"/>
  <c r="B21" i="163"/>
  <c r="H15" i="66"/>
  <c r="I20" i="163"/>
  <c r="G15" i="66"/>
  <c r="H20" i="163"/>
  <c r="G20" i="163"/>
  <c r="F20" i="163"/>
  <c r="E20" i="163"/>
  <c r="D20" i="163"/>
  <c r="C20" i="163"/>
  <c r="B20" i="163"/>
  <c r="H14" i="66"/>
  <c r="I19" i="163"/>
  <c r="G14" i="66"/>
  <c r="H19" i="163"/>
  <c r="G19" i="163"/>
  <c r="F19" i="163"/>
  <c r="E19" i="163"/>
  <c r="D19" i="163"/>
  <c r="C19" i="163"/>
  <c r="B19" i="163"/>
  <c r="L14" i="163"/>
  <c r="F14" i="163"/>
  <c r="K14" i="163"/>
  <c r="J14" i="163"/>
  <c r="I14" i="163"/>
  <c r="H14" i="163"/>
  <c r="G14" i="163"/>
  <c r="E14" i="163"/>
  <c r="D14" i="163"/>
  <c r="C14" i="163"/>
  <c r="B14" i="163"/>
  <c r="L13" i="163"/>
  <c r="F13" i="163"/>
  <c r="K13" i="163"/>
  <c r="J13" i="163"/>
  <c r="I13" i="163"/>
  <c r="H13" i="163"/>
  <c r="G13" i="163"/>
  <c r="E13" i="163"/>
  <c r="D13" i="163"/>
  <c r="C13" i="163"/>
  <c r="B13" i="163"/>
  <c r="L12" i="163"/>
  <c r="F12" i="163"/>
  <c r="K12" i="163"/>
  <c r="J12" i="163"/>
  <c r="I12" i="163"/>
  <c r="H12" i="163"/>
  <c r="G12" i="163"/>
  <c r="E12" i="163"/>
  <c r="D12" i="163"/>
  <c r="C12" i="163"/>
  <c r="B12" i="163"/>
  <c r="L11" i="163"/>
  <c r="F11" i="163"/>
  <c r="K11" i="163"/>
  <c r="J11" i="163"/>
  <c r="I11" i="163"/>
  <c r="H11" i="163"/>
  <c r="G11" i="163"/>
  <c r="E11" i="163"/>
  <c r="D11" i="163"/>
  <c r="C11" i="163"/>
  <c r="B11" i="163"/>
  <c r="L10" i="163"/>
  <c r="F10" i="163"/>
  <c r="K10" i="163"/>
  <c r="J10" i="163"/>
  <c r="I10" i="163"/>
  <c r="H10" i="163"/>
  <c r="G10" i="163"/>
  <c r="E10" i="163"/>
  <c r="D10" i="163"/>
  <c r="C10" i="163"/>
  <c r="B10" i="163"/>
  <c r="L9" i="163"/>
  <c r="F9" i="163"/>
  <c r="K9" i="163"/>
  <c r="J9" i="163"/>
  <c r="I9" i="163"/>
  <c r="H9" i="163"/>
  <c r="G9" i="163"/>
  <c r="E9" i="163"/>
  <c r="D9" i="163"/>
  <c r="C9" i="163"/>
  <c r="B9" i="163"/>
  <c r="L8" i="163"/>
  <c r="F8" i="163"/>
  <c r="K8" i="163"/>
  <c r="J8" i="163"/>
  <c r="I8" i="163"/>
  <c r="H8" i="163"/>
  <c r="G8" i="163"/>
  <c r="E8" i="163"/>
  <c r="D8" i="163"/>
  <c r="C8" i="163"/>
  <c r="B8" i="163"/>
  <c r="L7" i="163"/>
  <c r="F7" i="163"/>
  <c r="K7" i="163"/>
  <c r="J7" i="163"/>
  <c r="I7" i="163"/>
  <c r="H7" i="163"/>
  <c r="G7" i="163"/>
  <c r="E7" i="163"/>
  <c r="D7" i="163"/>
  <c r="C7" i="163"/>
  <c r="B7" i="163"/>
  <c r="L6" i="163"/>
  <c r="F6" i="163"/>
  <c r="K6" i="163"/>
  <c r="J6" i="163"/>
  <c r="I6" i="163"/>
  <c r="H6" i="163"/>
  <c r="G6" i="163"/>
  <c r="E6" i="163"/>
  <c r="D6" i="163"/>
  <c r="C6" i="163"/>
  <c r="B6" i="163"/>
  <c r="J20" i="162"/>
  <c r="J24" i="162"/>
  <c r="J28" i="162"/>
  <c r="D35" i="162"/>
  <c r="G35" i="162"/>
  <c r="J17" i="162"/>
  <c r="J18" i="162"/>
  <c r="J19" i="162"/>
  <c r="J21" i="162"/>
  <c r="J22" i="162"/>
  <c r="J23" i="162"/>
  <c r="J25" i="162"/>
  <c r="J26" i="162"/>
  <c r="J27" i="162"/>
  <c r="F35" i="162"/>
  <c r="E35" i="162"/>
  <c r="C35" i="162"/>
  <c r="D34" i="162"/>
  <c r="G34" i="162"/>
  <c r="F34" i="162"/>
  <c r="E34" i="162"/>
  <c r="C34" i="162"/>
  <c r="D33" i="162"/>
  <c r="G33" i="162"/>
  <c r="F33" i="162"/>
  <c r="E33" i="162"/>
  <c r="C33" i="162"/>
  <c r="D32" i="162"/>
  <c r="G32" i="162"/>
  <c r="F32" i="162"/>
  <c r="E32" i="162"/>
  <c r="C32" i="162"/>
  <c r="R28" i="162"/>
  <c r="Q28" i="162"/>
  <c r="P28" i="162"/>
  <c r="M28" i="162"/>
  <c r="L28" i="162"/>
  <c r="K28" i="162"/>
  <c r="I28" i="162"/>
  <c r="E28" i="162"/>
  <c r="D28" i="162"/>
  <c r="R27" i="162"/>
  <c r="Q27" i="162"/>
  <c r="P27" i="162"/>
  <c r="M27" i="162"/>
  <c r="L27" i="162"/>
  <c r="K27" i="162"/>
  <c r="I27" i="162"/>
  <c r="E27" i="162"/>
  <c r="D27" i="162"/>
  <c r="R26" i="162"/>
  <c r="Q26" i="162"/>
  <c r="P26" i="162"/>
  <c r="M26" i="162"/>
  <c r="L26" i="162"/>
  <c r="K26" i="162"/>
  <c r="I26" i="162"/>
  <c r="E26" i="162"/>
  <c r="D26" i="162"/>
  <c r="R25" i="162"/>
  <c r="Q25" i="162"/>
  <c r="P25" i="162"/>
  <c r="M25" i="162"/>
  <c r="L25" i="162"/>
  <c r="K25" i="162"/>
  <c r="I25" i="162"/>
  <c r="E25" i="162"/>
  <c r="D25" i="162"/>
  <c r="R24" i="162"/>
  <c r="Q24" i="162"/>
  <c r="P24" i="162"/>
  <c r="M24" i="162"/>
  <c r="L24" i="162"/>
  <c r="K24" i="162"/>
  <c r="I24" i="162"/>
  <c r="E24" i="162"/>
  <c r="D24" i="162"/>
  <c r="R23" i="162"/>
  <c r="Q23" i="162"/>
  <c r="P23" i="162"/>
  <c r="M23" i="162"/>
  <c r="L23" i="162"/>
  <c r="K23" i="162"/>
  <c r="I23" i="162"/>
  <c r="E23" i="162"/>
  <c r="D23" i="162"/>
  <c r="R22" i="162"/>
  <c r="Q22" i="162"/>
  <c r="P22" i="162"/>
  <c r="M22" i="162"/>
  <c r="L22" i="162"/>
  <c r="K22" i="162"/>
  <c r="I22" i="162"/>
  <c r="E22" i="162"/>
  <c r="D22" i="162"/>
  <c r="R21" i="162"/>
  <c r="Q21" i="162"/>
  <c r="P21" i="162"/>
  <c r="M21" i="162"/>
  <c r="L21" i="162"/>
  <c r="K21" i="162"/>
  <c r="I21" i="162"/>
  <c r="E21" i="162"/>
  <c r="D21" i="162"/>
  <c r="R20" i="162"/>
  <c r="Q20" i="162"/>
  <c r="P20" i="162"/>
  <c r="M20" i="162"/>
  <c r="L20" i="162"/>
  <c r="K20" i="162"/>
  <c r="I20" i="162"/>
  <c r="E20" i="162"/>
  <c r="D20" i="162"/>
  <c r="R19" i="162"/>
  <c r="Q19" i="162"/>
  <c r="P19" i="162"/>
  <c r="M19" i="162"/>
  <c r="L19" i="162"/>
  <c r="K19" i="162"/>
  <c r="I19" i="162"/>
  <c r="E19" i="162"/>
  <c r="D19" i="162"/>
  <c r="R18" i="162"/>
  <c r="Q18" i="162"/>
  <c r="P18" i="162"/>
  <c r="M18" i="162"/>
  <c r="L18" i="162"/>
  <c r="K18" i="162"/>
  <c r="I18" i="162"/>
  <c r="E18" i="162"/>
  <c r="D18" i="162"/>
  <c r="R17" i="162"/>
  <c r="Q17" i="162"/>
  <c r="P17" i="162"/>
  <c r="M17" i="162"/>
  <c r="L17" i="162"/>
  <c r="K17" i="162"/>
  <c r="I17" i="162"/>
  <c r="E17" i="162"/>
  <c r="D17" i="162"/>
  <c r="C17" i="161"/>
  <c r="G17" i="161"/>
  <c r="K17" i="161"/>
  <c r="D16" i="46"/>
  <c r="F16" i="46"/>
  <c r="M16" i="77"/>
  <c r="F17" i="161"/>
  <c r="J17" i="161"/>
  <c r="I17" i="161"/>
  <c r="H17" i="161"/>
  <c r="E17" i="161"/>
  <c r="D17" i="161"/>
  <c r="C16" i="161"/>
  <c r="G16" i="161"/>
  <c r="K16" i="161"/>
  <c r="D15" i="46"/>
  <c r="E15" i="46"/>
  <c r="F15" i="46"/>
  <c r="M15" i="77"/>
  <c r="F16" i="161"/>
  <c r="J16" i="161"/>
  <c r="I16" i="161"/>
  <c r="H16" i="161"/>
  <c r="E16" i="161"/>
  <c r="D16" i="161"/>
  <c r="C15" i="161"/>
  <c r="G15" i="161"/>
  <c r="K15" i="161"/>
  <c r="D14" i="46"/>
  <c r="E14" i="46"/>
  <c r="F14" i="46"/>
  <c r="M14" i="77"/>
  <c r="F15" i="161"/>
  <c r="J15" i="161"/>
  <c r="I15" i="161"/>
  <c r="H15" i="161"/>
  <c r="E15" i="161"/>
  <c r="D15" i="161"/>
  <c r="C14" i="161"/>
  <c r="G14" i="161"/>
  <c r="K14" i="161"/>
  <c r="D13" i="46"/>
  <c r="E13" i="46"/>
  <c r="F13" i="46"/>
  <c r="M13" i="77"/>
  <c r="F14" i="161"/>
  <c r="J14" i="161"/>
  <c r="I14" i="161"/>
  <c r="H14" i="161"/>
  <c r="E14" i="161"/>
  <c r="D14" i="161"/>
  <c r="C13" i="161"/>
  <c r="G13" i="161"/>
  <c r="K13" i="161"/>
  <c r="D12" i="46"/>
  <c r="E12" i="46"/>
  <c r="F12" i="46"/>
  <c r="M12" i="77"/>
  <c r="F13" i="161"/>
  <c r="J13" i="161"/>
  <c r="I13" i="161"/>
  <c r="H13" i="161"/>
  <c r="E13" i="161"/>
  <c r="D13" i="161"/>
  <c r="C12" i="161"/>
  <c r="G12" i="161"/>
  <c r="K12" i="161"/>
  <c r="D11" i="46"/>
  <c r="F11" i="46"/>
  <c r="M11" i="77"/>
  <c r="F12" i="161"/>
  <c r="J12" i="161"/>
  <c r="I12" i="161"/>
  <c r="H12" i="161"/>
  <c r="E12" i="161"/>
  <c r="D12" i="161"/>
  <c r="C11" i="161"/>
  <c r="G11" i="161"/>
  <c r="K11" i="161"/>
  <c r="D10" i="46"/>
  <c r="E10" i="46"/>
  <c r="F10" i="46"/>
  <c r="M10" i="77"/>
  <c r="F11" i="161"/>
  <c r="J11" i="161"/>
  <c r="I11" i="161"/>
  <c r="H11" i="161"/>
  <c r="E11" i="161"/>
  <c r="D11" i="161"/>
  <c r="C10" i="161"/>
  <c r="G10" i="161"/>
  <c r="K10" i="161"/>
  <c r="D9" i="46"/>
  <c r="E9" i="46"/>
  <c r="F9" i="46"/>
  <c r="M9" i="77"/>
  <c r="F10" i="161"/>
  <c r="J10" i="161"/>
  <c r="I10" i="161"/>
  <c r="H10" i="161"/>
  <c r="E10" i="161"/>
  <c r="D10" i="161"/>
  <c r="C9" i="161"/>
  <c r="G9" i="161"/>
  <c r="K9" i="161"/>
  <c r="D8" i="46"/>
  <c r="E8" i="46"/>
  <c r="F8" i="46"/>
  <c r="M8" i="77"/>
  <c r="F9" i="161"/>
  <c r="J9" i="161"/>
  <c r="I9" i="161"/>
  <c r="H9" i="161"/>
  <c r="E9" i="161"/>
  <c r="D9" i="161"/>
  <c r="C8" i="161"/>
  <c r="G8" i="161"/>
  <c r="K8" i="161"/>
  <c r="D7" i="46"/>
  <c r="E7" i="46"/>
  <c r="F7" i="46"/>
  <c r="M7" i="77"/>
  <c r="F8" i="161"/>
  <c r="J8" i="161"/>
  <c r="I8" i="161"/>
  <c r="H8" i="161"/>
  <c r="E8" i="161"/>
  <c r="D8" i="161"/>
  <c r="C7" i="161"/>
  <c r="G7" i="161"/>
  <c r="K7" i="161"/>
  <c r="D6" i="46"/>
  <c r="E6" i="46"/>
  <c r="F6" i="46"/>
  <c r="M6" i="77"/>
  <c r="F7" i="161"/>
  <c r="J7" i="161"/>
  <c r="I7" i="161"/>
  <c r="H7" i="161"/>
  <c r="E7" i="161"/>
  <c r="D7" i="161"/>
  <c r="C6" i="161"/>
  <c r="G6" i="161"/>
  <c r="K6" i="161"/>
  <c r="D5" i="46"/>
  <c r="E5" i="46"/>
  <c r="F5" i="46"/>
  <c r="M5" i="77"/>
  <c r="F6" i="161"/>
  <c r="J6" i="161"/>
  <c r="I6" i="161"/>
  <c r="H6" i="161"/>
  <c r="E6" i="161"/>
  <c r="D6" i="161"/>
  <c r="C6" i="160"/>
  <c r="C7" i="160"/>
  <c r="C8" i="160"/>
  <c r="C9" i="160"/>
  <c r="C10" i="160"/>
  <c r="C11" i="160"/>
  <c r="C12" i="160"/>
  <c r="C13" i="160"/>
  <c r="C14" i="160"/>
  <c r="C15" i="160"/>
  <c r="C16" i="160"/>
  <c r="C17" i="160"/>
  <c r="C25" i="160"/>
  <c r="F25" i="160"/>
  <c r="G25" i="160"/>
  <c r="E25" i="160"/>
  <c r="D25" i="160"/>
  <c r="C24" i="160"/>
  <c r="F24" i="160"/>
  <c r="G24" i="160"/>
  <c r="E24" i="160"/>
  <c r="D24" i="160"/>
  <c r="C23" i="160"/>
  <c r="F23" i="160"/>
  <c r="G23" i="160"/>
  <c r="E23" i="160"/>
  <c r="D23" i="160"/>
  <c r="C22" i="160"/>
  <c r="F22" i="160"/>
  <c r="G22" i="160"/>
  <c r="E22" i="160"/>
  <c r="D22" i="160"/>
  <c r="C21" i="160"/>
  <c r="F21" i="160"/>
  <c r="G21" i="160"/>
  <c r="E21" i="160"/>
  <c r="D21" i="160"/>
  <c r="G17" i="160"/>
  <c r="I17" i="160"/>
  <c r="F17" i="160"/>
  <c r="H17" i="160"/>
  <c r="E17" i="160"/>
  <c r="D17" i="160"/>
  <c r="G16" i="160"/>
  <c r="I16" i="160"/>
  <c r="F16" i="160"/>
  <c r="H16" i="160"/>
  <c r="E16" i="160"/>
  <c r="D16" i="160"/>
  <c r="G15" i="160"/>
  <c r="I15" i="160"/>
  <c r="F15" i="160"/>
  <c r="H15" i="160"/>
  <c r="E15" i="160"/>
  <c r="D15" i="160"/>
  <c r="G14" i="160"/>
  <c r="I14" i="160"/>
  <c r="F14" i="160"/>
  <c r="H14" i="160"/>
  <c r="E14" i="160"/>
  <c r="D14" i="160"/>
  <c r="G13" i="160"/>
  <c r="I13" i="160"/>
  <c r="F13" i="160"/>
  <c r="H13" i="160"/>
  <c r="E13" i="160"/>
  <c r="D13" i="160"/>
  <c r="G12" i="160"/>
  <c r="I12" i="160"/>
  <c r="F12" i="160"/>
  <c r="H12" i="160"/>
  <c r="E12" i="160"/>
  <c r="D12" i="160"/>
  <c r="G11" i="160"/>
  <c r="I11" i="160"/>
  <c r="F11" i="160"/>
  <c r="H11" i="160"/>
  <c r="E11" i="160"/>
  <c r="D11" i="160"/>
  <c r="G10" i="160"/>
  <c r="I10" i="160"/>
  <c r="F10" i="160"/>
  <c r="H10" i="160"/>
  <c r="E10" i="160"/>
  <c r="D10" i="160"/>
  <c r="G9" i="160"/>
  <c r="I9" i="160"/>
  <c r="F9" i="160"/>
  <c r="H9" i="160"/>
  <c r="E9" i="160"/>
  <c r="D9" i="160"/>
  <c r="G8" i="160"/>
  <c r="I8" i="160"/>
  <c r="F8" i="160"/>
  <c r="H8" i="160"/>
  <c r="E8" i="160"/>
  <c r="D8" i="160"/>
  <c r="G7" i="160"/>
  <c r="I7" i="160"/>
  <c r="F7" i="160"/>
  <c r="H7" i="160"/>
  <c r="E7" i="160"/>
  <c r="D7" i="160"/>
  <c r="G6" i="160"/>
  <c r="I6" i="160"/>
  <c r="F6" i="160"/>
  <c r="H6" i="160"/>
  <c r="E6" i="160"/>
  <c r="D6" i="160"/>
  <c r="C24" i="159"/>
  <c r="E23" i="159"/>
  <c r="C23" i="159"/>
  <c r="E22" i="159"/>
  <c r="C22" i="159"/>
  <c r="E21" i="159"/>
  <c r="C21" i="159"/>
  <c r="E20" i="159"/>
  <c r="C20" i="159"/>
  <c r="E19" i="159"/>
  <c r="C19" i="159"/>
  <c r="E18" i="159"/>
  <c r="C18" i="159"/>
  <c r="E17" i="159"/>
  <c r="C17" i="159"/>
  <c r="E16" i="159"/>
  <c r="C16" i="159"/>
  <c r="E15" i="159"/>
  <c r="C15" i="159"/>
  <c r="E14" i="159"/>
  <c r="C14" i="159"/>
  <c r="E13" i="159"/>
  <c r="C13" i="159"/>
  <c r="E12" i="159"/>
  <c r="C12" i="159"/>
  <c r="E11" i="159"/>
  <c r="C11" i="159"/>
  <c r="E10" i="159"/>
  <c r="C10" i="159"/>
  <c r="E9" i="159"/>
  <c r="C9" i="159"/>
  <c r="E8" i="159"/>
  <c r="C8" i="159"/>
  <c r="E7" i="159"/>
  <c r="C7" i="159"/>
  <c r="E6" i="159"/>
  <c r="C6" i="159"/>
  <c r="C4" i="159"/>
  <c r="B4" i="159"/>
  <c r="C3" i="159"/>
  <c r="A2" i="159"/>
  <c r="L1" i="159"/>
  <c r="D15" i="158"/>
  <c r="I15" i="158"/>
  <c r="H15" i="158"/>
  <c r="G15" i="158"/>
  <c r="F15" i="158"/>
  <c r="E15" i="158"/>
  <c r="H14" i="158"/>
  <c r="G14" i="158"/>
  <c r="F14" i="158"/>
  <c r="D14" i="158"/>
  <c r="E14" i="158"/>
  <c r="H13" i="158"/>
  <c r="G13" i="158"/>
  <c r="F13" i="158"/>
  <c r="D13" i="158"/>
  <c r="E13" i="158"/>
  <c r="H12" i="158"/>
  <c r="G12" i="158"/>
  <c r="F12" i="158"/>
  <c r="D12" i="158"/>
  <c r="E12" i="158"/>
  <c r="H11" i="158"/>
  <c r="G11" i="158"/>
  <c r="F11" i="158"/>
  <c r="D11" i="158"/>
  <c r="E11" i="158"/>
  <c r="H10" i="158"/>
  <c r="G10" i="158"/>
  <c r="F10" i="158"/>
  <c r="D10" i="158"/>
  <c r="E10" i="158"/>
  <c r="H9" i="158"/>
  <c r="G9" i="158"/>
  <c r="F9" i="158"/>
  <c r="D9" i="158"/>
  <c r="E9" i="158"/>
  <c r="H8" i="158"/>
  <c r="G8" i="158"/>
  <c r="F8" i="158"/>
  <c r="D8" i="158"/>
  <c r="E8" i="158"/>
  <c r="H7" i="158"/>
  <c r="G7" i="158"/>
  <c r="F7" i="158"/>
  <c r="D7" i="158"/>
  <c r="E7" i="158"/>
  <c r="H6" i="158"/>
  <c r="G6" i="158"/>
  <c r="F6" i="158"/>
  <c r="D6" i="158"/>
  <c r="E6" i="158"/>
  <c r="H5" i="158"/>
  <c r="G5" i="158"/>
  <c r="F5" i="158"/>
  <c r="D5" i="158"/>
  <c r="E5" i="158"/>
  <c r="H4" i="158"/>
  <c r="G4" i="158"/>
  <c r="F4" i="158"/>
  <c r="D4" i="158"/>
  <c r="E4" i="158"/>
  <c r="A2" i="158"/>
  <c r="L1" i="158"/>
  <c r="H34" i="157"/>
  <c r="G12" i="45"/>
  <c r="G34" i="157"/>
  <c r="F34" i="157"/>
  <c r="E34" i="157"/>
  <c r="D34" i="157"/>
  <c r="C34" i="157"/>
  <c r="B34" i="157"/>
  <c r="A34" i="157"/>
  <c r="H33" i="157"/>
  <c r="G11" i="45"/>
  <c r="G33" i="157"/>
  <c r="F33" i="157"/>
  <c r="E33" i="157"/>
  <c r="D33" i="157"/>
  <c r="C33" i="157"/>
  <c r="B33" i="157"/>
  <c r="A33" i="157"/>
  <c r="H32" i="157"/>
  <c r="G10" i="45"/>
  <c r="G32" i="157"/>
  <c r="F32" i="157"/>
  <c r="E32" i="157"/>
  <c r="D32" i="157"/>
  <c r="C32" i="157"/>
  <c r="B32" i="157"/>
  <c r="A32" i="157"/>
  <c r="H31" i="157"/>
  <c r="G9" i="45"/>
  <c r="G31" i="157"/>
  <c r="F31" i="157"/>
  <c r="E31" i="157"/>
  <c r="D31" i="157"/>
  <c r="C31" i="157"/>
  <c r="B31" i="157"/>
  <c r="A31" i="157"/>
  <c r="S17" i="77"/>
  <c r="D22" i="157"/>
  <c r="M30" i="157"/>
  <c r="H30" i="157"/>
  <c r="G8" i="45"/>
  <c r="G30" i="157"/>
  <c r="F30" i="157"/>
  <c r="E30" i="157"/>
  <c r="D30" i="157"/>
  <c r="C30" i="157"/>
  <c r="B30" i="157"/>
  <c r="A30" i="157"/>
  <c r="M29" i="157"/>
  <c r="H29" i="157"/>
  <c r="G7" i="45"/>
  <c r="G29" i="157"/>
  <c r="F29" i="157"/>
  <c r="E29" i="157"/>
  <c r="D29" i="157"/>
  <c r="C29" i="157"/>
  <c r="B29" i="157"/>
  <c r="A29" i="157"/>
  <c r="M28" i="157"/>
  <c r="H28" i="157"/>
  <c r="G6" i="45"/>
  <c r="G28" i="157"/>
  <c r="F28" i="157"/>
  <c r="E28" i="157"/>
  <c r="D28" i="157"/>
  <c r="C28" i="157"/>
  <c r="B28" i="157"/>
  <c r="A28" i="157"/>
  <c r="M27" i="157"/>
  <c r="H27" i="157"/>
  <c r="G5" i="45"/>
  <c r="G27" i="157"/>
  <c r="F27" i="157"/>
  <c r="E27" i="157"/>
  <c r="D27" i="157"/>
  <c r="C27" i="157"/>
  <c r="B27" i="157"/>
  <c r="A27" i="157"/>
  <c r="M26" i="157"/>
  <c r="H26" i="157"/>
  <c r="G4" i="45"/>
  <c r="G26" i="157"/>
  <c r="F26" i="157"/>
  <c r="E26" i="157"/>
  <c r="D26" i="157"/>
  <c r="C26" i="157"/>
  <c r="B26" i="157"/>
  <c r="A26" i="157"/>
  <c r="S10" i="157"/>
  <c r="S11" i="157"/>
  <c r="S12" i="157"/>
  <c r="S13" i="157"/>
  <c r="S14" i="157"/>
  <c r="S15" i="157"/>
  <c r="S16" i="157"/>
  <c r="S17" i="157"/>
  <c r="S18" i="157"/>
  <c r="S19" i="157"/>
  <c r="S20" i="157"/>
  <c r="S21" i="157"/>
  <c r="S22" i="157"/>
  <c r="F10" i="157"/>
  <c r="F11" i="157"/>
  <c r="F12" i="157"/>
  <c r="F13" i="157"/>
  <c r="F14" i="157"/>
  <c r="F15" i="157"/>
  <c r="F16" i="157"/>
  <c r="F17" i="157"/>
  <c r="F18" i="157"/>
  <c r="F19" i="157"/>
  <c r="F20" i="157"/>
  <c r="F21" i="157"/>
  <c r="F22" i="157"/>
  <c r="C10" i="157"/>
  <c r="C11" i="157"/>
  <c r="C12" i="157"/>
  <c r="C13" i="157"/>
  <c r="C14" i="157"/>
  <c r="C15" i="157"/>
  <c r="C16" i="157"/>
  <c r="C17" i="157"/>
  <c r="C18" i="157"/>
  <c r="C19" i="157"/>
  <c r="C20" i="157"/>
  <c r="C21" i="157"/>
  <c r="C22" i="157"/>
  <c r="U21" i="157"/>
  <c r="T21" i="157"/>
  <c r="C10" i="150"/>
  <c r="C11" i="150"/>
  <c r="C12" i="150"/>
  <c r="C13" i="150"/>
  <c r="C29" i="150"/>
  <c r="C33" i="150"/>
  <c r="C21" i="150"/>
  <c r="C23" i="150"/>
  <c r="C35" i="150"/>
  <c r="C37" i="150"/>
  <c r="C38" i="150"/>
  <c r="C40" i="150"/>
  <c r="E15" i="151"/>
  <c r="F15" i="151"/>
  <c r="R21" i="157"/>
  <c r="Q21" i="157"/>
  <c r="P21" i="157"/>
  <c r="H17" i="76"/>
  <c r="O21" i="157"/>
  <c r="N21" i="157"/>
  <c r="M21" i="157"/>
  <c r="L21" i="157"/>
  <c r="K21" i="157"/>
  <c r="J21" i="157"/>
  <c r="I21" i="157"/>
  <c r="H21" i="157"/>
  <c r="G21" i="157"/>
  <c r="E21" i="157"/>
  <c r="D21" i="157"/>
  <c r="U20" i="157"/>
  <c r="T20" i="157"/>
  <c r="C10" i="149"/>
  <c r="C11" i="149"/>
  <c r="C12" i="149"/>
  <c r="C13" i="149"/>
  <c r="C29" i="149"/>
  <c r="C33" i="149"/>
  <c r="C21" i="149"/>
  <c r="C23" i="149"/>
  <c r="C35" i="149"/>
  <c r="C37" i="149"/>
  <c r="C38" i="149"/>
  <c r="C40" i="149"/>
  <c r="E14" i="151"/>
  <c r="F14" i="151"/>
  <c r="R20" i="157"/>
  <c r="Q20" i="157"/>
  <c r="P20" i="157"/>
  <c r="H16" i="76"/>
  <c r="O20" i="157"/>
  <c r="N20" i="157"/>
  <c r="M20" i="157"/>
  <c r="L20" i="157"/>
  <c r="K20" i="157"/>
  <c r="J20" i="157"/>
  <c r="I20" i="157"/>
  <c r="H20" i="157"/>
  <c r="G20" i="157"/>
  <c r="E20" i="157"/>
  <c r="D20" i="157"/>
  <c r="U19" i="157"/>
  <c r="T19" i="157"/>
  <c r="C10" i="148"/>
  <c r="C11" i="148"/>
  <c r="C12" i="148"/>
  <c r="C13" i="148"/>
  <c r="C29" i="148"/>
  <c r="C33" i="148"/>
  <c r="C21" i="148"/>
  <c r="C23" i="148"/>
  <c r="C35" i="148"/>
  <c r="C37" i="148"/>
  <c r="C38" i="148"/>
  <c r="C40" i="148"/>
  <c r="E13" i="151"/>
  <c r="F13" i="151"/>
  <c r="R19" i="157"/>
  <c r="Q19" i="157"/>
  <c r="P19" i="157"/>
  <c r="H15" i="76"/>
  <c r="O19" i="157"/>
  <c r="N19" i="157"/>
  <c r="M19" i="157"/>
  <c r="L19" i="157"/>
  <c r="K19" i="157"/>
  <c r="J19" i="157"/>
  <c r="I19" i="157"/>
  <c r="H19" i="157"/>
  <c r="G19" i="157"/>
  <c r="E19" i="157"/>
  <c r="D19" i="157"/>
  <c r="U18" i="157"/>
  <c r="T18" i="157"/>
  <c r="C10" i="147"/>
  <c r="C11" i="147"/>
  <c r="C12" i="147"/>
  <c r="C13" i="147"/>
  <c r="C29" i="147"/>
  <c r="C33" i="147"/>
  <c r="C21" i="147"/>
  <c r="C23" i="147"/>
  <c r="C35" i="147"/>
  <c r="C37" i="147"/>
  <c r="C38" i="147"/>
  <c r="C40" i="147"/>
  <c r="E12" i="151"/>
  <c r="F12" i="151"/>
  <c r="R18" i="157"/>
  <c r="Q18" i="157"/>
  <c r="P18" i="157"/>
  <c r="H14" i="76"/>
  <c r="O18" i="157"/>
  <c r="N18" i="157"/>
  <c r="M18" i="157"/>
  <c r="L18" i="157"/>
  <c r="K18" i="157"/>
  <c r="J18" i="157"/>
  <c r="I18" i="157"/>
  <c r="H18" i="157"/>
  <c r="G18" i="157"/>
  <c r="E18" i="157"/>
  <c r="D18" i="157"/>
  <c r="U17" i="157"/>
  <c r="T17" i="157"/>
  <c r="C10" i="146"/>
  <c r="C11" i="146"/>
  <c r="C12" i="146"/>
  <c r="C13" i="146"/>
  <c r="C29" i="146"/>
  <c r="C33" i="146"/>
  <c r="C21" i="146"/>
  <c r="C23" i="146"/>
  <c r="C35" i="146"/>
  <c r="C37" i="146"/>
  <c r="C38" i="146"/>
  <c r="C40" i="146"/>
  <c r="E11" i="151"/>
  <c r="F11" i="151"/>
  <c r="R17" i="157"/>
  <c r="Q17" i="157"/>
  <c r="P17" i="157"/>
  <c r="H13" i="76"/>
  <c r="O17" i="157"/>
  <c r="N17" i="157"/>
  <c r="M17" i="157"/>
  <c r="L17" i="157"/>
  <c r="K17" i="157"/>
  <c r="J17" i="157"/>
  <c r="I17" i="157"/>
  <c r="H17" i="157"/>
  <c r="G17" i="157"/>
  <c r="E17" i="157"/>
  <c r="D17" i="157"/>
  <c r="U16" i="157"/>
  <c r="T16" i="157"/>
  <c r="C10" i="145"/>
  <c r="C11" i="145"/>
  <c r="C12" i="145"/>
  <c r="C13" i="145"/>
  <c r="C29" i="145"/>
  <c r="C33" i="145"/>
  <c r="C21" i="145"/>
  <c r="C23" i="145"/>
  <c r="C35" i="145"/>
  <c r="C37" i="145"/>
  <c r="C38" i="145"/>
  <c r="C40" i="145"/>
  <c r="E10" i="151"/>
  <c r="F10" i="151"/>
  <c r="R16" i="157"/>
  <c r="Q16" i="157"/>
  <c r="P16" i="157"/>
  <c r="H12" i="76"/>
  <c r="O16" i="157"/>
  <c r="N16" i="157"/>
  <c r="M16" i="157"/>
  <c r="L16" i="157"/>
  <c r="K16" i="157"/>
  <c r="J16" i="157"/>
  <c r="I16" i="157"/>
  <c r="H16" i="157"/>
  <c r="G16" i="157"/>
  <c r="E16" i="157"/>
  <c r="D16" i="157"/>
  <c r="U15" i="157"/>
  <c r="T15" i="157"/>
  <c r="C10" i="144"/>
  <c r="C11" i="144"/>
  <c r="C12" i="144"/>
  <c r="C13" i="144"/>
  <c r="C29" i="144"/>
  <c r="C33" i="144"/>
  <c r="C21" i="144"/>
  <c r="C23" i="144"/>
  <c r="C35" i="144"/>
  <c r="C37" i="144"/>
  <c r="C38" i="144"/>
  <c r="C40" i="144"/>
  <c r="E9" i="151"/>
  <c r="F9" i="151"/>
  <c r="R15" i="157"/>
  <c r="Q15" i="157"/>
  <c r="P15" i="157"/>
  <c r="H11" i="76"/>
  <c r="O15" i="157"/>
  <c r="N15" i="157"/>
  <c r="M15" i="157"/>
  <c r="L15" i="157"/>
  <c r="K15" i="157"/>
  <c r="J15" i="157"/>
  <c r="I15" i="157"/>
  <c r="H15" i="157"/>
  <c r="G15" i="157"/>
  <c r="E15" i="157"/>
  <c r="D15" i="157"/>
  <c r="U14" i="157"/>
  <c r="T14" i="157"/>
  <c r="C10" i="143"/>
  <c r="C11" i="143"/>
  <c r="C12" i="143"/>
  <c r="C13" i="143"/>
  <c r="C29" i="143"/>
  <c r="C33" i="143"/>
  <c r="C21" i="143"/>
  <c r="C23" i="143"/>
  <c r="C35" i="143"/>
  <c r="C37" i="143"/>
  <c r="C38" i="143"/>
  <c r="C40" i="143"/>
  <c r="E8" i="151"/>
  <c r="F8" i="151"/>
  <c r="R14" i="157"/>
  <c r="Q14" i="157"/>
  <c r="P14" i="157"/>
  <c r="H10" i="76"/>
  <c r="O14" i="157"/>
  <c r="N14" i="157"/>
  <c r="M14" i="157"/>
  <c r="L14" i="157"/>
  <c r="K14" i="157"/>
  <c r="J14" i="157"/>
  <c r="I14" i="157"/>
  <c r="H14" i="157"/>
  <c r="G14" i="157"/>
  <c r="E14" i="157"/>
  <c r="D14" i="157"/>
  <c r="U13" i="157"/>
  <c r="T13" i="157"/>
  <c r="C10" i="142"/>
  <c r="C11" i="142"/>
  <c r="C12" i="142"/>
  <c r="C13" i="142"/>
  <c r="C29" i="142"/>
  <c r="C33" i="142"/>
  <c r="C21" i="142"/>
  <c r="C23" i="142"/>
  <c r="C35" i="142"/>
  <c r="C37" i="142"/>
  <c r="C38" i="142"/>
  <c r="C40" i="142"/>
  <c r="E7" i="151"/>
  <c r="F7" i="151"/>
  <c r="R13" i="157"/>
  <c r="Q13" i="157"/>
  <c r="P13" i="157"/>
  <c r="H9" i="76"/>
  <c r="O13" i="157"/>
  <c r="N13" i="157"/>
  <c r="M13" i="157"/>
  <c r="L13" i="157"/>
  <c r="K13" i="157"/>
  <c r="J13" i="157"/>
  <c r="I13" i="157"/>
  <c r="H13" i="157"/>
  <c r="G13" i="157"/>
  <c r="E13" i="157"/>
  <c r="D13" i="157"/>
  <c r="U12" i="157"/>
  <c r="T12" i="157"/>
  <c r="C10" i="141"/>
  <c r="C11" i="141"/>
  <c r="C12" i="141"/>
  <c r="C13" i="141"/>
  <c r="C29" i="141"/>
  <c r="C33" i="141"/>
  <c r="C21" i="141"/>
  <c r="C23" i="141"/>
  <c r="C35" i="141"/>
  <c r="C37" i="141"/>
  <c r="C38" i="141"/>
  <c r="C40" i="141"/>
  <c r="E6" i="151"/>
  <c r="F6" i="151"/>
  <c r="R12" i="157"/>
  <c r="Q12" i="157"/>
  <c r="P12" i="157"/>
  <c r="H8" i="76"/>
  <c r="O12" i="157"/>
  <c r="N12" i="157"/>
  <c r="M12" i="157"/>
  <c r="L12" i="157"/>
  <c r="K12" i="157"/>
  <c r="J12" i="157"/>
  <c r="I12" i="157"/>
  <c r="H12" i="157"/>
  <c r="G12" i="157"/>
  <c r="E12" i="157"/>
  <c r="D12" i="157"/>
  <c r="U11" i="157"/>
  <c r="T11" i="157"/>
  <c r="C10" i="140"/>
  <c r="C11" i="140"/>
  <c r="C12" i="140"/>
  <c r="C13" i="140"/>
  <c r="C29" i="140"/>
  <c r="C33" i="140"/>
  <c r="C21" i="140"/>
  <c r="C23" i="140"/>
  <c r="C35" i="140"/>
  <c r="C37" i="140"/>
  <c r="C38" i="140"/>
  <c r="C40" i="140"/>
  <c r="E5" i="151"/>
  <c r="F5" i="151"/>
  <c r="R11" i="157"/>
  <c r="Q11" i="157"/>
  <c r="P11" i="157"/>
  <c r="H7" i="76"/>
  <c r="O11" i="157"/>
  <c r="N11" i="157"/>
  <c r="M11" i="157"/>
  <c r="L11" i="157"/>
  <c r="K11" i="157"/>
  <c r="J11" i="157"/>
  <c r="I11" i="157"/>
  <c r="H11" i="157"/>
  <c r="G11" i="157"/>
  <c r="E11" i="157"/>
  <c r="D11" i="157"/>
  <c r="U10" i="157"/>
  <c r="T10" i="157"/>
  <c r="E4" i="151"/>
  <c r="F4" i="151"/>
  <c r="R10" i="157"/>
  <c r="Q10" i="157"/>
  <c r="P10" i="157"/>
  <c r="H6" i="76"/>
  <c r="O10" i="157"/>
  <c r="N10" i="157"/>
  <c r="M10" i="157"/>
  <c r="L10" i="157"/>
  <c r="K10" i="157"/>
  <c r="J10" i="157"/>
  <c r="I10" i="157"/>
  <c r="H10" i="157"/>
  <c r="G10" i="157"/>
  <c r="E10" i="157"/>
  <c r="D10" i="157"/>
  <c r="A6" i="157"/>
  <c r="I5" i="157"/>
  <c r="G5" i="157"/>
  <c r="N5" i="77"/>
  <c r="O5" i="77"/>
  <c r="N6" i="77"/>
  <c r="O6" i="77"/>
  <c r="N7" i="77"/>
  <c r="O7" i="77"/>
  <c r="N8" i="77"/>
  <c r="O8" i="77"/>
  <c r="N9" i="77"/>
  <c r="O9" i="77"/>
  <c r="N10" i="77"/>
  <c r="O10" i="77"/>
  <c r="N11" i="77"/>
  <c r="O11" i="77"/>
  <c r="N12" i="77"/>
  <c r="O12" i="77"/>
  <c r="N13" i="77"/>
  <c r="O13" i="77"/>
  <c r="N14" i="77"/>
  <c r="O14" i="77"/>
  <c r="N15" i="77"/>
  <c r="O15" i="77"/>
  <c r="N16" i="77"/>
  <c r="O16" i="77"/>
  <c r="E5" i="157"/>
  <c r="C5" i="157"/>
  <c r="A5" i="157"/>
  <c r="J3" i="157"/>
  <c r="A2" i="157"/>
  <c r="L1" i="157"/>
  <c r="G13" i="156"/>
  <c r="H11" i="156"/>
  <c r="I11" i="156"/>
  <c r="J11" i="156"/>
  <c r="G11" i="156"/>
  <c r="D11" i="156"/>
  <c r="C11" i="156"/>
  <c r="H10" i="156"/>
  <c r="I10" i="156"/>
  <c r="J10" i="156"/>
  <c r="G10" i="156"/>
  <c r="D10" i="156"/>
  <c r="C10" i="156"/>
  <c r="H9" i="156"/>
  <c r="I9" i="156"/>
  <c r="J9" i="156"/>
  <c r="G9" i="156"/>
  <c r="D9" i="156"/>
  <c r="C9" i="156"/>
  <c r="H8" i="156"/>
  <c r="I8" i="156"/>
  <c r="J8" i="156"/>
  <c r="G8" i="156"/>
  <c r="D8" i="156"/>
  <c r="C8" i="156"/>
  <c r="H7" i="156"/>
  <c r="I7" i="156"/>
  <c r="J7" i="156"/>
  <c r="G7" i="156"/>
  <c r="D7" i="156"/>
  <c r="C7" i="156"/>
  <c r="H6" i="156"/>
  <c r="I6" i="156"/>
  <c r="J6" i="156"/>
  <c r="G6" i="156"/>
  <c r="D6" i="156"/>
  <c r="C6" i="156"/>
  <c r="H5" i="156"/>
  <c r="I5" i="156"/>
  <c r="J5" i="156"/>
  <c r="G5" i="156"/>
  <c r="D5" i="156"/>
  <c r="C5" i="156"/>
  <c r="L1" i="156"/>
  <c r="G14" i="155"/>
  <c r="D14" i="155"/>
  <c r="C14" i="155"/>
  <c r="G12" i="155"/>
  <c r="C10" i="155"/>
  <c r="H7" i="155"/>
  <c r="I7" i="155"/>
  <c r="J7" i="155"/>
  <c r="G7" i="155"/>
  <c r="D7" i="155"/>
  <c r="C7" i="155"/>
  <c r="H6" i="155"/>
  <c r="I6" i="155"/>
  <c r="J6" i="155"/>
  <c r="G6" i="155"/>
  <c r="D6" i="155"/>
  <c r="C6" i="155"/>
  <c r="H5" i="155"/>
  <c r="I5" i="155"/>
  <c r="J5" i="155"/>
  <c r="G5" i="155"/>
  <c r="D5" i="155"/>
  <c r="C5" i="155"/>
  <c r="L1" i="155"/>
  <c r="G16" i="154"/>
  <c r="H14" i="154"/>
  <c r="I14" i="154"/>
  <c r="J14" i="154"/>
  <c r="G14" i="154"/>
  <c r="C14" i="154"/>
  <c r="H13" i="154"/>
  <c r="I13" i="154"/>
  <c r="J13" i="154"/>
  <c r="G13" i="154"/>
  <c r="C13" i="154"/>
  <c r="H12" i="154"/>
  <c r="I12" i="154"/>
  <c r="J12" i="154"/>
  <c r="G12" i="154"/>
  <c r="C12" i="154"/>
  <c r="H11" i="154"/>
  <c r="I11" i="154"/>
  <c r="J11" i="154"/>
  <c r="G11" i="154"/>
  <c r="C11" i="154"/>
  <c r="H10" i="154"/>
  <c r="I10" i="154"/>
  <c r="J10" i="154"/>
  <c r="G10" i="154"/>
  <c r="C10" i="154"/>
  <c r="H9" i="154"/>
  <c r="I9" i="154"/>
  <c r="J9" i="154"/>
  <c r="G9" i="154"/>
  <c r="D9" i="154"/>
  <c r="C9" i="154"/>
  <c r="H8" i="154"/>
  <c r="I8" i="154"/>
  <c r="J8" i="154"/>
  <c r="G8" i="154"/>
  <c r="C8" i="154"/>
  <c r="H7" i="154"/>
  <c r="I7" i="154"/>
  <c r="J7" i="154"/>
  <c r="G7" i="154"/>
  <c r="C7" i="154"/>
  <c r="H6" i="154"/>
  <c r="I6" i="154"/>
  <c r="J6" i="154"/>
  <c r="G6" i="154"/>
  <c r="C6" i="154"/>
  <c r="H5" i="154"/>
  <c r="I5" i="154"/>
  <c r="J5" i="154"/>
  <c r="G5" i="154"/>
  <c r="C5" i="154"/>
  <c r="L1" i="154"/>
  <c r="H5" i="153"/>
  <c r="I5" i="153"/>
  <c r="H6" i="153"/>
  <c r="I6" i="153"/>
  <c r="H7" i="153"/>
  <c r="I7" i="153"/>
  <c r="H8" i="153"/>
  <c r="I8" i="153"/>
  <c r="H9" i="153"/>
  <c r="I9" i="153"/>
  <c r="H10" i="153"/>
  <c r="I10" i="153"/>
  <c r="H11" i="153"/>
  <c r="I11" i="153"/>
  <c r="H12" i="153"/>
  <c r="I12" i="153"/>
  <c r="H15" i="153"/>
  <c r="I15" i="153"/>
  <c r="H16" i="153"/>
  <c r="I16" i="153"/>
  <c r="H17" i="153"/>
  <c r="I17" i="153"/>
  <c r="H18" i="153"/>
  <c r="I18" i="153"/>
  <c r="H19" i="153"/>
  <c r="I19" i="153"/>
  <c r="J21" i="153"/>
  <c r="G21" i="153"/>
  <c r="J19" i="153"/>
  <c r="G19" i="153"/>
  <c r="D19" i="153"/>
  <c r="C19" i="153"/>
  <c r="J18" i="153"/>
  <c r="G18" i="153"/>
  <c r="D18" i="153"/>
  <c r="C18" i="153"/>
  <c r="J17" i="153"/>
  <c r="G17" i="153"/>
  <c r="D17" i="153"/>
  <c r="C17" i="153"/>
  <c r="J16" i="153"/>
  <c r="G16" i="153"/>
  <c r="D16" i="153"/>
  <c r="C16" i="153"/>
  <c r="J15" i="153"/>
  <c r="G15" i="153"/>
  <c r="D15" i="153"/>
  <c r="C15" i="153"/>
  <c r="J12" i="153"/>
  <c r="G12" i="153"/>
  <c r="D12" i="153"/>
  <c r="C12" i="153"/>
  <c r="J11" i="153"/>
  <c r="G11" i="153"/>
  <c r="D11" i="153"/>
  <c r="C11" i="153"/>
  <c r="J10" i="153"/>
  <c r="G10" i="153"/>
  <c r="D10" i="153"/>
  <c r="C10" i="153"/>
  <c r="J9" i="153"/>
  <c r="G9" i="153"/>
  <c r="D9" i="153"/>
  <c r="C9" i="153"/>
  <c r="J8" i="153"/>
  <c r="G8" i="153"/>
  <c r="D8" i="153"/>
  <c r="C8" i="153"/>
  <c r="J7" i="153"/>
  <c r="G7" i="153"/>
  <c r="D7" i="153"/>
  <c r="C7" i="153"/>
  <c r="J6" i="153"/>
  <c r="G6" i="153"/>
  <c r="D6" i="153"/>
  <c r="C6" i="153"/>
  <c r="J5" i="153"/>
  <c r="G5" i="153"/>
  <c r="D5" i="153"/>
  <c r="C5" i="153"/>
  <c r="L1" i="153"/>
  <c r="H5" i="152"/>
  <c r="I5" i="152"/>
  <c r="H6" i="152"/>
  <c r="I6" i="152"/>
  <c r="H7" i="152"/>
  <c r="I7" i="152"/>
  <c r="H8" i="152"/>
  <c r="I8" i="152"/>
  <c r="H9" i="152"/>
  <c r="I9" i="152"/>
  <c r="H12" i="152"/>
  <c r="I12" i="152"/>
  <c r="H13" i="152"/>
  <c r="I13" i="152"/>
  <c r="H14" i="152"/>
  <c r="I14" i="152"/>
  <c r="H15" i="152"/>
  <c r="I15" i="152"/>
  <c r="H16" i="152"/>
  <c r="I16" i="152"/>
  <c r="J18" i="152"/>
  <c r="G18" i="152"/>
  <c r="J16" i="152"/>
  <c r="G16" i="152"/>
  <c r="D16" i="152"/>
  <c r="C16" i="152"/>
  <c r="J15" i="152"/>
  <c r="G15" i="152"/>
  <c r="D15" i="152"/>
  <c r="C15" i="152"/>
  <c r="J14" i="152"/>
  <c r="G14" i="152"/>
  <c r="D14" i="152"/>
  <c r="C14" i="152"/>
  <c r="J13" i="152"/>
  <c r="G13" i="152"/>
  <c r="D13" i="152"/>
  <c r="C13" i="152"/>
  <c r="J12" i="152"/>
  <c r="G12" i="152"/>
  <c r="D12" i="152"/>
  <c r="C12" i="152"/>
  <c r="J9" i="152"/>
  <c r="G9" i="152"/>
  <c r="D9" i="152"/>
  <c r="C9" i="152"/>
  <c r="J8" i="152"/>
  <c r="G8" i="152"/>
  <c r="D8" i="152"/>
  <c r="C8" i="152"/>
  <c r="J7" i="152"/>
  <c r="G7" i="152"/>
  <c r="D7" i="152"/>
  <c r="C7" i="152"/>
  <c r="J6" i="152"/>
  <c r="G6" i="152"/>
  <c r="D6" i="152"/>
  <c r="C6" i="152"/>
  <c r="J5" i="152"/>
  <c r="G5" i="152"/>
  <c r="D5" i="152"/>
  <c r="C5" i="152"/>
  <c r="L1" i="152"/>
  <c r="E16" i="151"/>
  <c r="D16" i="151"/>
  <c r="G15" i="151"/>
  <c r="D15" i="151"/>
  <c r="C15" i="151"/>
  <c r="G14" i="151"/>
  <c r="D14" i="151"/>
  <c r="C14" i="151"/>
  <c r="G13" i="151"/>
  <c r="D13" i="151"/>
  <c r="C13" i="151"/>
  <c r="G12" i="151"/>
  <c r="D12" i="151"/>
  <c r="C12" i="151"/>
  <c r="G11" i="151"/>
  <c r="D11" i="151"/>
  <c r="C11" i="151"/>
  <c r="G10" i="151"/>
  <c r="D10" i="151"/>
  <c r="C10" i="151"/>
  <c r="G9" i="151"/>
  <c r="D9" i="151"/>
  <c r="C9" i="151"/>
  <c r="G8" i="151"/>
  <c r="D8" i="151"/>
  <c r="C8" i="151"/>
  <c r="G7" i="151"/>
  <c r="D7" i="151"/>
  <c r="C7" i="151"/>
  <c r="G6" i="151"/>
  <c r="D6" i="151"/>
  <c r="C6" i="151"/>
  <c r="G5" i="151"/>
  <c r="D5" i="151"/>
  <c r="C5" i="151"/>
  <c r="G4" i="151"/>
  <c r="D4" i="151"/>
  <c r="C4" i="151"/>
  <c r="A2" i="151"/>
  <c r="C41" i="150"/>
  <c r="D40" i="150"/>
  <c r="C39" i="150"/>
  <c r="C36" i="150"/>
  <c r="C34" i="150"/>
  <c r="C32" i="150"/>
  <c r="F31" i="150"/>
  <c r="C30" i="150"/>
  <c r="C28" i="150"/>
  <c r="C27" i="150"/>
  <c r="C26" i="150"/>
  <c r="C25" i="150"/>
  <c r="C22" i="150"/>
  <c r="C18" i="150"/>
  <c r="C16" i="150"/>
  <c r="C15" i="150"/>
  <c r="C9" i="150"/>
  <c r="C7" i="150"/>
  <c r="C6" i="150"/>
  <c r="C5" i="150"/>
  <c r="A2" i="150"/>
  <c r="C41" i="149"/>
  <c r="D40" i="149"/>
  <c r="C39" i="149"/>
  <c r="C36" i="149"/>
  <c r="C34" i="149"/>
  <c r="C32" i="149"/>
  <c r="F31" i="149"/>
  <c r="C30" i="149"/>
  <c r="C28" i="149"/>
  <c r="C27" i="149"/>
  <c r="C26" i="149"/>
  <c r="C25" i="149"/>
  <c r="C22" i="149"/>
  <c r="C18" i="149"/>
  <c r="C16" i="149"/>
  <c r="C15" i="149"/>
  <c r="C9" i="149"/>
  <c r="C7" i="149"/>
  <c r="C6" i="149"/>
  <c r="C5" i="149"/>
  <c r="A2" i="149"/>
  <c r="C41" i="148"/>
  <c r="D40" i="148"/>
  <c r="C39" i="148"/>
  <c r="C36" i="148"/>
  <c r="C34" i="148"/>
  <c r="C32" i="148"/>
  <c r="F31" i="148"/>
  <c r="C30" i="148"/>
  <c r="C28" i="148"/>
  <c r="C27" i="148"/>
  <c r="C26" i="148"/>
  <c r="C25" i="148"/>
  <c r="C22" i="148"/>
  <c r="C18" i="148"/>
  <c r="C16" i="148"/>
  <c r="C15" i="148"/>
  <c r="C9" i="148"/>
  <c r="C7" i="148"/>
  <c r="C6" i="148"/>
  <c r="C5" i="148"/>
  <c r="A2" i="148"/>
  <c r="C41" i="147"/>
  <c r="D40" i="147"/>
  <c r="C39" i="147"/>
  <c r="C36" i="147"/>
  <c r="C34" i="147"/>
  <c r="C32" i="147"/>
  <c r="F31" i="147"/>
  <c r="C30" i="147"/>
  <c r="C28" i="147"/>
  <c r="C27" i="147"/>
  <c r="C26" i="147"/>
  <c r="C25" i="147"/>
  <c r="C22" i="147"/>
  <c r="C18" i="147"/>
  <c r="C16" i="147"/>
  <c r="C15" i="147"/>
  <c r="C9" i="147"/>
  <c r="C7" i="147"/>
  <c r="C6" i="147"/>
  <c r="C5" i="147"/>
  <c r="A2" i="147"/>
  <c r="C41" i="146"/>
  <c r="D40" i="146"/>
  <c r="C39" i="146"/>
  <c r="C36" i="146"/>
  <c r="C34" i="146"/>
  <c r="C32" i="146"/>
  <c r="F31" i="146"/>
  <c r="C30" i="146"/>
  <c r="C28" i="146"/>
  <c r="C27" i="146"/>
  <c r="C26" i="146"/>
  <c r="C25" i="146"/>
  <c r="C22" i="146"/>
  <c r="C18" i="146"/>
  <c r="C16" i="146"/>
  <c r="C15" i="146"/>
  <c r="C9" i="146"/>
  <c r="C7" i="146"/>
  <c r="C6" i="146"/>
  <c r="C5" i="146"/>
  <c r="A2" i="146"/>
  <c r="C41" i="145"/>
  <c r="D40" i="145"/>
  <c r="C39" i="145"/>
  <c r="C36" i="145"/>
  <c r="C34" i="145"/>
  <c r="C32" i="145"/>
  <c r="F31" i="145"/>
  <c r="C30" i="145"/>
  <c r="C28" i="145"/>
  <c r="C27" i="145"/>
  <c r="C26" i="145"/>
  <c r="C25" i="145"/>
  <c r="C22" i="145"/>
  <c r="C18" i="145"/>
  <c r="C16" i="145"/>
  <c r="C15" i="145"/>
  <c r="C9" i="145"/>
  <c r="C7" i="145"/>
  <c r="C6" i="145"/>
  <c r="C5" i="145"/>
  <c r="A2" i="145"/>
  <c r="C41" i="144"/>
  <c r="D40" i="144"/>
  <c r="C39" i="144"/>
  <c r="C36" i="144"/>
  <c r="C34" i="144"/>
  <c r="C32" i="144"/>
  <c r="F31" i="144"/>
  <c r="C30" i="144"/>
  <c r="C28" i="144"/>
  <c r="C27" i="144"/>
  <c r="C26" i="144"/>
  <c r="C25" i="144"/>
  <c r="C22" i="144"/>
  <c r="C18" i="144"/>
  <c r="C16" i="144"/>
  <c r="C15" i="144"/>
  <c r="C9" i="144"/>
  <c r="C7" i="144"/>
  <c r="C6" i="144"/>
  <c r="C5" i="144"/>
  <c r="A2" i="144"/>
  <c r="C41" i="143"/>
  <c r="D40" i="143"/>
  <c r="C39" i="143"/>
  <c r="C36" i="143"/>
  <c r="C34" i="143"/>
  <c r="C32" i="143"/>
  <c r="F31" i="143"/>
  <c r="C30" i="143"/>
  <c r="C28" i="143"/>
  <c r="C27" i="143"/>
  <c r="C26" i="143"/>
  <c r="C25" i="143"/>
  <c r="C22" i="143"/>
  <c r="C18" i="143"/>
  <c r="C16" i="143"/>
  <c r="C15" i="143"/>
  <c r="C9" i="143"/>
  <c r="C7" i="143"/>
  <c r="C6" i="143"/>
  <c r="C5" i="143"/>
  <c r="A2" i="143"/>
  <c r="C41" i="142"/>
  <c r="D40" i="142"/>
  <c r="C39" i="142"/>
  <c r="C36" i="142"/>
  <c r="C34" i="142"/>
  <c r="C32" i="142"/>
  <c r="F31" i="142"/>
  <c r="C30" i="142"/>
  <c r="C28" i="142"/>
  <c r="C27" i="142"/>
  <c r="C26" i="142"/>
  <c r="C25" i="142"/>
  <c r="C22" i="142"/>
  <c r="C18" i="142"/>
  <c r="C16" i="142"/>
  <c r="C15" i="142"/>
  <c r="C9" i="142"/>
  <c r="C7" i="142"/>
  <c r="C6" i="142"/>
  <c r="C5" i="142"/>
  <c r="A2" i="142"/>
  <c r="C41" i="141"/>
  <c r="D40" i="141"/>
  <c r="C39" i="141"/>
  <c r="C36" i="141"/>
  <c r="C34" i="141"/>
  <c r="C32" i="141"/>
  <c r="F31" i="141"/>
  <c r="C30" i="141"/>
  <c r="C28" i="141"/>
  <c r="C27" i="141"/>
  <c r="C26" i="141"/>
  <c r="C25" i="141"/>
  <c r="C22" i="141"/>
  <c r="C18" i="141"/>
  <c r="C16" i="141"/>
  <c r="C15" i="141"/>
  <c r="C9" i="141"/>
  <c r="C7" i="141"/>
  <c r="C6" i="141"/>
  <c r="C5" i="141"/>
  <c r="A2" i="141"/>
  <c r="C41" i="140"/>
  <c r="D40" i="140"/>
  <c r="C39" i="140"/>
  <c r="C36" i="140"/>
  <c r="C34" i="140"/>
  <c r="C32" i="140"/>
  <c r="F31" i="140"/>
  <c r="C30" i="140"/>
  <c r="C28" i="140"/>
  <c r="C27" i="140"/>
  <c r="C26" i="140"/>
  <c r="C25" i="140"/>
  <c r="C22" i="140"/>
  <c r="C18" i="140"/>
  <c r="C16" i="140"/>
  <c r="C15" i="140"/>
  <c r="C9" i="140"/>
  <c r="C7" i="140"/>
  <c r="C6" i="140"/>
  <c r="C5" i="140"/>
  <c r="A2" i="140"/>
  <c r="C41" i="139"/>
  <c r="D40" i="139"/>
  <c r="C39" i="139"/>
  <c r="C36" i="139"/>
  <c r="C34" i="139"/>
  <c r="C32" i="139"/>
  <c r="F31" i="139"/>
  <c r="C30" i="139"/>
  <c r="C28" i="139"/>
  <c r="C27" i="139"/>
  <c r="C26" i="139"/>
  <c r="C25" i="139"/>
  <c r="C22" i="139"/>
  <c r="C18" i="139"/>
  <c r="C16" i="139"/>
  <c r="C15" i="139"/>
  <c r="C9" i="139"/>
  <c r="C7" i="139"/>
  <c r="C6" i="139"/>
  <c r="C5" i="139"/>
  <c r="A2" i="139"/>
  <c r="D40" i="138"/>
  <c r="C39" i="138"/>
  <c r="C36" i="138"/>
  <c r="C34" i="138"/>
  <c r="C32" i="138"/>
  <c r="F31" i="138"/>
  <c r="C30" i="138"/>
  <c r="C28" i="138"/>
  <c r="C27" i="138"/>
  <c r="C26" i="138"/>
  <c r="C25" i="138"/>
  <c r="C22" i="138"/>
  <c r="C18" i="138"/>
  <c r="C16" i="138"/>
  <c r="C15" i="138"/>
  <c r="C9" i="138"/>
  <c r="C7" i="138"/>
  <c r="C6" i="138"/>
  <c r="C5" i="138"/>
  <c r="A2" i="138"/>
  <c r="D40" i="137"/>
  <c r="C39" i="137"/>
  <c r="C36" i="137"/>
  <c r="C34" i="137"/>
  <c r="C32" i="137"/>
  <c r="F31" i="137"/>
  <c r="C30" i="137"/>
  <c r="C28" i="137"/>
  <c r="C27" i="137"/>
  <c r="C26" i="137"/>
  <c r="C25" i="137"/>
  <c r="C22" i="137"/>
  <c r="C18" i="137"/>
  <c r="C16" i="137"/>
  <c r="C15" i="137"/>
  <c r="C9" i="137"/>
  <c r="C7" i="137"/>
  <c r="C6" i="137"/>
  <c r="C5" i="137"/>
  <c r="A2" i="137"/>
  <c r="D40" i="136"/>
  <c r="C39" i="136"/>
  <c r="C36" i="136"/>
  <c r="C34" i="136"/>
  <c r="C32" i="136"/>
  <c r="F31" i="136"/>
  <c r="C30" i="136"/>
  <c r="C28" i="136"/>
  <c r="C27" i="136"/>
  <c r="C26" i="136"/>
  <c r="C25" i="136"/>
  <c r="C22" i="136"/>
  <c r="C18" i="136"/>
  <c r="C16" i="136"/>
  <c r="C15" i="136"/>
  <c r="C9" i="136"/>
  <c r="C7" i="136"/>
  <c r="C6" i="136"/>
  <c r="C5" i="136"/>
  <c r="A2" i="136"/>
  <c r="D40" i="135"/>
  <c r="C39" i="135"/>
  <c r="C36" i="135"/>
  <c r="C34" i="135"/>
  <c r="C32" i="135"/>
  <c r="F31" i="135"/>
  <c r="C30" i="135"/>
  <c r="C28" i="135"/>
  <c r="C27" i="135"/>
  <c r="C26" i="135"/>
  <c r="C25" i="135"/>
  <c r="C22" i="135"/>
  <c r="C18" i="135"/>
  <c r="C16" i="135"/>
  <c r="C15" i="135"/>
  <c r="C9" i="135"/>
  <c r="C7" i="135"/>
  <c r="C6" i="135"/>
  <c r="C5" i="135"/>
  <c r="A2" i="135"/>
  <c r="D40" i="134"/>
  <c r="C39" i="134"/>
  <c r="C36" i="134"/>
  <c r="C34" i="134"/>
  <c r="C32" i="134"/>
  <c r="F31" i="134"/>
  <c r="C30" i="134"/>
  <c r="C28" i="134"/>
  <c r="C27" i="134"/>
  <c r="C26" i="134"/>
  <c r="C25" i="134"/>
  <c r="C22" i="134"/>
  <c r="C18" i="134"/>
  <c r="C16" i="134"/>
  <c r="C15" i="134"/>
  <c r="C9" i="134"/>
  <c r="C7" i="134"/>
  <c r="C6" i="134"/>
  <c r="C5" i="134"/>
  <c r="A2" i="134"/>
  <c r="D40" i="133"/>
  <c r="C39" i="133"/>
  <c r="C36" i="133"/>
  <c r="C34" i="133"/>
  <c r="C32" i="133"/>
  <c r="F31" i="133"/>
  <c r="C30" i="133"/>
  <c r="C28" i="133"/>
  <c r="C27" i="133"/>
  <c r="C26" i="133"/>
  <c r="C25" i="133"/>
  <c r="C22" i="133"/>
  <c r="C18" i="133"/>
  <c r="C16" i="133"/>
  <c r="C15" i="133"/>
  <c r="C9" i="133"/>
  <c r="C7" i="133"/>
  <c r="C6" i="133"/>
  <c r="C5" i="133"/>
  <c r="A2" i="133"/>
  <c r="D40" i="132"/>
  <c r="C39" i="132"/>
  <c r="C36" i="132"/>
  <c r="C34" i="132"/>
  <c r="C32" i="132"/>
  <c r="F31" i="132"/>
  <c r="C30" i="132"/>
  <c r="C28" i="132"/>
  <c r="C27" i="132"/>
  <c r="C26" i="132"/>
  <c r="C25" i="132"/>
  <c r="C22" i="132"/>
  <c r="C18" i="132"/>
  <c r="C16" i="132"/>
  <c r="C15" i="132"/>
  <c r="C9" i="132"/>
  <c r="C7" i="132"/>
  <c r="C6" i="132"/>
  <c r="C5" i="132"/>
  <c r="A2" i="132"/>
  <c r="D40" i="131"/>
  <c r="C39" i="131"/>
  <c r="C36" i="131"/>
  <c r="C34" i="131"/>
  <c r="C32" i="131"/>
  <c r="F31" i="131"/>
  <c r="C30" i="131"/>
  <c r="C28" i="131"/>
  <c r="C27" i="131"/>
  <c r="C26" i="131"/>
  <c r="C25" i="131"/>
  <c r="C22" i="131"/>
  <c r="C18" i="131"/>
  <c r="C16" i="131"/>
  <c r="C15" i="131"/>
  <c r="C9" i="131"/>
  <c r="C7" i="131"/>
  <c r="C6" i="131"/>
  <c r="C5" i="131"/>
  <c r="A2" i="131"/>
  <c r="D40" i="130"/>
  <c r="C39" i="130"/>
  <c r="C36" i="130"/>
  <c r="C34" i="130"/>
  <c r="C32" i="130"/>
  <c r="F31" i="130"/>
  <c r="C30" i="130"/>
  <c r="C28" i="130"/>
  <c r="C27" i="130"/>
  <c r="C26" i="130"/>
  <c r="C25" i="130"/>
  <c r="C22" i="130"/>
  <c r="C18" i="130"/>
  <c r="C16" i="130"/>
  <c r="C15" i="130"/>
  <c r="C9" i="130"/>
  <c r="C7" i="130"/>
  <c r="C6" i="130"/>
  <c r="C5" i="130"/>
  <c r="A2" i="130"/>
  <c r="D40" i="129"/>
  <c r="C39" i="129"/>
  <c r="C36" i="129"/>
  <c r="C34" i="129"/>
  <c r="C32" i="129"/>
  <c r="F31" i="129"/>
  <c r="C30" i="129"/>
  <c r="C28" i="129"/>
  <c r="C27" i="129"/>
  <c r="C26" i="129"/>
  <c r="C25" i="129"/>
  <c r="C22" i="129"/>
  <c r="C18" i="129"/>
  <c r="C16" i="129"/>
  <c r="C15" i="129"/>
  <c r="C9" i="129"/>
  <c r="C7" i="129"/>
  <c r="C6" i="129"/>
  <c r="C5" i="129"/>
  <c r="A2" i="129"/>
  <c r="D40" i="128"/>
  <c r="C39" i="128"/>
  <c r="C36" i="128"/>
  <c r="C34" i="128"/>
  <c r="C32" i="128"/>
  <c r="F31" i="128"/>
  <c r="C30" i="128"/>
  <c r="C28" i="128"/>
  <c r="C27" i="128"/>
  <c r="C26" i="128"/>
  <c r="C25" i="128"/>
  <c r="C22" i="128"/>
  <c r="C18" i="128"/>
  <c r="C16" i="128"/>
  <c r="C15" i="128"/>
  <c r="C9" i="128"/>
  <c r="C7" i="128"/>
  <c r="C6" i="128"/>
  <c r="C5" i="128"/>
  <c r="A2" i="128"/>
  <c r="D40" i="127"/>
  <c r="C39" i="127"/>
  <c r="C36" i="127"/>
  <c r="C34" i="127"/>
  <c r="C32" i="127"/>
  <c r="F31" i="127"/>
  <c r="C30" i="127"/>
  <c r="C28" i="127"/>
  <c r="C27" i="127"/>
  <c r="C26" i="127"/>
  <c r="C25" i="127"/>
  <c r="C22" i="127"/>
  <c r="C18" i="127"/>
  <c r="C16" i="127"/>
  <c r="C15" i="127"/>
  <c r="C9" i="127"/>
  <c r="C7" i="127"/>
  <c r="C6" i="127"/>
  <c r="C5" i="127"/>
  <c r="A2" i="127"/>
  <c r="D40" i="126"/>
  <c r="C39" i="126"/>
  <c r="C36" i="126"/>
  <c r="C34" i="126"/>
  <c r="C32" i="126"/>
  <c r="F31" i="126"/>
  <c r="C30" i="126"/>
  <c r="C28" i="126"/>
  <c r="C27" i="126"/>
  <c r="C26" i="126"/>
  <c r="C25" i="126"/>
  <c r="C22" i="126"/>
  <c r="C18" i="126"/>
  <c r="C16" i="126"/>
  <c r="C15" i="126"/>
  <c r="C9" i="126"/>
  <c r="C7" i="126"/>
  <c r="C6" i="126"/>
  <c r="C5" i="126"/>
  <c r="A2" i="126"/>
  <c r="D40" i="125"/>
  <c r="C39" i="125"/>
  <c r="C36" i="125"/>
  <c r="C34" i="125"/>
  <c r="C32" i="125"/>
  <c r="F31" i="125"/>
  <c r="C30" i="125"/>
  <c r="C28" i="125"/>
  <c r="C27" i="125"/>
  <c r="C26" i="125"/>
  <c r="C25" i="125"/>
  <c r="C22" i="125"/>
  <c r="C18" i="125"/>
  <c r="C16" i="125"/>
  <c r="C15" i="125"/>
  <c r="C9" i="125"/>
  <c r="C7" i="125"/>
  <c r="C6" i="125"/>
  <c r="C5" i="125"/>
  <c r="A2" i="125"/>
  <c r="D40" i="124"/>
  <c r="C39" i="124"/>
  <c r="C36" i="124"/>
  <c r="C34" i="124"/>
  <c r="C32" i="124"/>
  <c r="F31" i="124"/>
  <c r="C30" i="124"/>
  <c r="C28" i="124"/>
  <c r="C27" i="124"/>
  <c r="C26" i="124"/>
  <c r="C25" i="124"/>
  <c r="C22" i="124"/>
  <c r="C18" i="124"/>
  <c r="C16" i="124"/>
  <c r="C15" i="124"/>
  <c r="C9" i="124"/>
  <c r="C7" i="124"/>
  <c r="C6" i="124"/>
  <c r="C5" i="124"/>
  <c r="A2" i="124"/>
  <c r="D40" i="123"/>
  <c r="C39" i="123"/>
  <c r="C36" i="123"/>
  <c r="C34" i="123"/>
  <c r="C32" i="123"/>
  <c r="F31" i="123"/>
  <c r="C30" i="123"/>
  <c r="C28" i="123"/>
  <c r="C27" i="123"/>
  <c r="C26" i="123"/>
  <c r="C25" i="123"/>
  <c r="C22" i="123"/>
  <c r="C18" i="123"/>
  <c r="C16" i="123"/>
  <c r="C15" i="123"/>
  <c r="C9" i="123"/>
  <c r="C7" i="123"/>
  <c r="C6" i="123"/>
  <c r="C5" i="123"/>
  <c r="A2" i="123"/>
  <c r="D40" i="122"/>
  <c r="C39" i="122"/>
  <c r="C36" i="122"/>
  <c r="C34" i="122"/>
  <c r="C32" i="122"/>
  <c r="F31" i="122"/>
  <c r="C30" i="122"/>
  <c r="C28" i="122"/>
  <c r="C27" i="122"/>
  <c r="C26" i="122"/>
  <c r="C25" i="122"/>
  <c r="C22" i="122"/>
  <c r="C18" i="122"/>
  <c r="C16" i="122"/>
  <c r="C15" i="122"/>
  <c r="C9" i="122"/>
  <c r="C7" i="122"/>
  <c r="C6" i="122"/>
  <c r="C5" i="122"/>
  <c r="A2" i="122"/>
  <c r="D40" i="121"/>
  <c r="C39" i="121"/>
  <c r="C36" i="121"/>
  <c r="C34" i="121"/>
  <c r="C32" i="121"/>
  <c r="F31" i="121"/>
  <c r="C30" i="121"/>
  <c r="C28" i="121"/>
  <c r="C27" i="121"/>
  <c r="C26" i="121"/>
  <c r="C25" i="121"/>
  <c r="C22" i="121"/>
  <c r="C18" i="121"/>
  <c r="C16" i="121"/>
  <c r="C15" i="121"/>
  <c r="C9" i="121"/>
  <c r="C7" i="121"/>
  <c r="C6" i="121"/>
  <c r="C5" i="121"/>
  <c r="A2" i="121"/>
  <c r="D40" i="120"/>
  <c r="C39" i="120"/>
  <c r="C36" i="120"/>
  <c r="C34" i="120"/>
  <c r="C32" i="120"/>
  <c r="F31" i="120"/>
  <c r="C30" i="120"/>
  <c r="C28" i="120"/>
  <c r="C27" i="120"/>
  <c r="C26" i="120"/>
  <c r="C25" i="120"/>
  <c r="C22" i="120"/>
  <c r="C18" i="120"/>
  <c r="C16" i="120"/>
  <c r="C15" i="120"/>
  <c r="C9" i="120"/>
  <c r="C7" i="120"/>
  <c r="C6" i="120"/>
  <c r="C5" i="120"/>
  <c r="A2" i="120"/>
  <c r="D40" i="119"/>
  <c r="C39" i="119"/>
  <c r="C36" i="119"/>
  <c r="C34" i="119"/>
  <c r="C32" i="119"/>
  <c r="F31" i="119"/>
  <c r="C30" i="119"/>
  <c r="C28" i="119"/>
  <c r="C27" i="119"/>
  <c r="C26" i="119"/>
  <c r="C25" i="119"/>
  <c r="C22" i="119"/>
  <c r="C18" i="119"/>
  <c r="C16" i="119"/>
  <c r="C15" i="119"/>
  <c r="C9" i="119"/>
  <c r="C7" i="119"/>
  <c r="C6" i="119"/>
  <c r="C5" i="119"/>
  <c r="A2" i="119"/>
  <c r="D40" i="118"/>
  <c r="C39" i="118"/>
  <c r="C36" i="118"/>
  <c r="C34" i="118"/>
  <c r="C32" i="118"/>
  <c r="F31" i="118"/>
  <c r="C30" i="118"/>
  <c r="C28" i="118"/>
  <c r="C27" i="118"/>
  <c r="C26" i="118"/>
  <c r="C25" i="118"/>
  <c r="C22" i="118"/>
  <c r="C18" i="118"/>
  <c r="C16" i="118"/>
  <c r="C15" i="118"/>
  <c r="C9" i="118"/>
  <c r="C7" i="118"/>
  <c r="C6" i="118"/>
  <c r="C5" i="118"/>
  <c r="A2" i="118"/>
  <c r="D40" i="117"/>
  <c r="C39" i="117"/>
  <c r="C36" i="117"/>
  <c r="C34" i="117"/>
  <c r="C32" i="117"/>
  <c r="F31" i="117"/>
  <c r="C30" i="117"/>
  <c r="C28" i="117"/>
  <c r="C27" i="117"/>
  <c r="C26" i="117"/>
  <c r="C25" i="117"/>
  <c r="C22" i="117"/>
  <c r="C18" i="117"/>
  <c r="C16" i="117"/>
  <c r="C15" i="117"/>
  <c r="C9" i="117"/>
  <c r="C7" i="117"/>
  <c r="C6" i="117"/>
  <c r="C5" i="117"/>
  <c r="A2" i="117"/>
  <c r="D40" i="116"/>
  <c r="C39" i="116"/>
  <c r="C36" i="116"/>
  <c r="C34" i="116"/>
  <c r="C32" i="116"/>
  <c r="F31" i="116"/>
  <c r="C30" i="116"/>
  <c r="C28" i="116"/>
  <c r="C27" i="116"/>
  <c r="C26" i="116"/>
  <c r="C25" i="116"/>
  <c r="C22" i="116"/>
  <c r="C18" i="116"/>
  <c r="C16" i="116"/>
  <c r="C15" i="116"/>
  <c r="C9" i="116"/>
  <c r="C7" i="116"/>
  <c r="C6" i="116"/>
  <c r="C5" i="116"/>
  <c r="A2" i="116"/>
  <c r="D40" i="115"/>
  <c r="C39" i="115"/>
  <c r="C36" i="115"/>
  <c r="C34" i="115"/>
  <c r="C32" i="115"/>
  <c r="F31" i="115"/>
  <c r="C30" i="115"/>
  <c r="C28" i="115"/>
  <c r="C27" i="115"/>
  <c r="C26" i="115"/>
  <c r="C25" i="115"/>
  <c r="C22" i="115"/>
  <c r="C18" i="115"/>
  <c r="C16" i="115"/>
  <c r="C15" i="115"/>
  <c r="C9" i="115"/>
  <c r="C7" i="115"/>
  <c r="C6" i="115"/>
  <c r="C5" i="115"/>
  <c r="A2" i="115"/>
  <c r="C42" i="114"/>
  <c r="D40" i="114"/>
  <c r="C40" i="114"/>
  <c r="C39" i="114"/>
  <c r="C38" i="114"/>
  <c r="C37" i="114"/>
  <c r="C36" i="114"/>
  <c r="C35" i="114"/>
  <c r="C34" i="114"/>
  <c r="C33" i="114"/>
  <c r="C32" i="114"/>
  <c r="F31" i="114"/>
  <c r="C30" i="114"/>
  <c r="C29" i="114"/>
  <c r="C28" i="114"/>
  <c r="C27" i="114"/>
  <c r="C26" i="114"/>
  <c r="C25" i="114"/>
  <c r="C23" i="114"/>
  <c r="C22" i="114"/>
  <c r="C21" i="114"/>
  <c r="C18" i="114"/>
  <c r="C16" i="114"/>
  <c r="C15" i="114"/>
  <c r="C13" i="114"/>
  <c r="C12" i="114"/>
  <c r="C11" i="114"/>
  <c r="C10" i="114"/>
  <c r="C9" i="114"/>
  <c r="C7" i="114"/>
  <c r="C6" i="114"/>
  <c r="C5" i="114"/>
  <c r="A2" i="114"/>
  <c r="C42" i="113"/>
  <c r="D40" i="113"/>
  <c r="C40" i="113"/>
  <c r="C39" i="113"/>
  <c r="C38" i="113"/>
  <c r="C37" i="113"/>
  <c r="C36" i="113"/>
  <c r="C35" i="113"/>
  <c r="C34" i="113"/>
  <c r="C33" i="113"/>
  <c r="C32" i="113"/>
  <c r="F31" i="113"/>
  <c r="C30" i="113"/>
  <c r="C29" i="113"/>
  <c r="C28" i="113"/>
  <c r="C27" i="113"/>
  <c r="C26" i="113"/>
  <c r="C25" i="113"/>
  <c r="C23" i="113"/>
  <c r="C22" i="113"/>
  <c r="C21" i="113"/>
  <c r="C18" i="113"/>
  <c r="C16" i="113"/>
  <c r="C15" i="113"/>
  <c r="C13" i="113"/>
  <c r="C12" i="113"/>
  <c r="C11" i="113"/>
  <c r="C10" i="113"/>
  <c r="C9" i="113"/>
  <c r="C7" i="113"/>
  <c r="C6" i="113"/>
  <c r="C5" i="113"/>
  <c r="A2" i="113"/>
  <c r="C42" i="112"/>
  <c r="D40" i="112"/>
  <c r="C40" i="112"/>
  <c r="C39" i="112"/>
  <c r="C38" i="112"/>
  <c r="C37" i="112"/>
  <c r="C36" i="112"/>
  <c r="C35" i="112"/>
  <c r="C34" i="112"/>
  <c r="C33" i="112"/>
  <c r="C32" i="112"/>
  <c r="F31" i="112"/>
  <c r="C30" i="112"/>
  <c r="C29" i="112"/>
  <c r="C28" i="112"/>
  <c r="C27" i="112"/>
  <c r="C26" i="112"/>
  <c r="C25" i="112"/>
  <c r="C23" i="112"/>
  <c r="C22" i="112"/>
  <c r="C21" i="112"/>
  <c r="C18" i="112"/>
  <c r="C16" i="112"/>
  <c r="C15" i="112"/>
  <c r="C13" i="112"/>
  <c r="C12" i="112"/>
  <c r="C11" i="112"/>
  <c r="C10" i="112"/>
  <c r="C9" i="112"/>
  <c r="C7" i="112"/>
  <c r="C6" i="112"/>
  <c r="C5" i="112"/>
  <c r="A2" i="112"/>
  <c r="C42" i="111"/>
  <c r="D40" i="111"/>
  <c r="C40" i="111"/>
  <c r="C39" i="111"/>
  <c r="C38" i="111"/>
  <c r="C37" i="111"/>
  <c r="C36" i="111"/>
  <c r="C35" i="111"/>
  <c r="C34" i="111"/>
  <c r="C33" i="111"/>
  <c r="C32" i="111"/>
  <c r="F31" i="111"/>
  <c r="C30" i="111"/>
  <c r="C29" i="111"/>
  <c r="C28" i="111"/>
  <c r="C27" i="111"/>
  <c r="C26" i="111"/>
  <c r="C25" i="111"/>
  <c r="C23" i="111"/>
  <c r="C22" i="111"/>
  <c r="C21" i="111"/>
  <c r="C18" i="111"/>
  <c r="C16" i="111"/>
  <c r="C15" i="111"/>
  <c r="C13" i="111"/>
  <c r="C12" i="111"/>
  <c r="C11" i="111"/>
  <c r="C10" i="111"/>
  <c r="C9" i="111"/>
  <c r="C7" i="111"/>
  <c r="C6" i="111"/>
  <c r="C5" i="111"/>
  <c r="A2" i="111"/>
  <c r="C42" i="110"/>
  <c r="D40" i="110"/>
  <c r="C40" i="110"/>
  <c r="C39" i="110"/>
  <c r="C38" i="110"/>
  <c r="C37" i="110"/>
  <c r="C36" i="110"/>
  <c r="C35" i="110"/>
  <c r="C34" i="110"/>
  <c r="C33" i="110"/>
  <c r="C32" i="110"/>
  <c r="F31" i="110"/>
  <c r="C30" i="110"/>
  <c r="C29" i="110"/>
  <c r="C28" i="110"/>
  <c r="C27" i="110"/>
  <c r="C26" i="110"/>
  <c r="C25" i="110"/>
  <c r="C23" i="110"/>
  <c r="C22" i="110"/>
  <c r="C21" i="110"/>
  <c r="C18" i="110"/>
  <c r="C16" i="110"/>
  <c r="C15" i="110"/>
  <c r="C13" i="110"/>
  <c r="C12" i="110"/>
  <c r="C11" i="110"/>
  <c r="C10" i="110"/>
  <c r="C9" i="110"/>
  <c r="C7" i="110"/>
  <c r="C6" i="110"/>
  <c r="C5" i="110"/>
  <c r="A2" i="110"/>
  <c r="C42" i="109"/>
  <c r="D40" i="109"/>
  <c r="C40" i="109"/>
  <c r="C39" i="109"/>
  <c r="C38" i="109"/>
  <c r="C37" i="109"/>
  <c r="C36" i="109"/>
  <c r="C35" i="109"/>
  <c r="C34" i="109"/>
  <c r="C33" i="109"/>
  <c r="C32" i="109"/>
  <c r="F31" i="109"/>
  <c r="C30" i="109"/>
  <c r="C29" i="109"/>
  <c r="C28" i="109"/>
  <c r="C27" i="109"/>
  <c r="C26" i="109"/>
  <c r="C25" i="109"/>
  <c r="C23" i="109"/>
  <c r="C22" i="109"/>
  <c r="C21" i="109"/>
  <c r="C18" i="109"/>
  <c r="C16" i="109"/>
  <c r="C15" i="109"/>
  <c r="C13" i="109"/>
  <c r="C12" i="109"/>
  <c r="C11" i="109"/>
  <c r="C10" i="109"/>
  <c r="C9" i="109"/>
  <c r="C7" i="109"/>
  <c r="C6" i="109"/>
  <c r="C5" i="109"/>
  <c r="A2" i="109"/>
  <c r="C42" i="108"/>
  <c r="D40" i="108"/>
  <c r="C40" i="108"/>
  <c r="C39" i="108"/>
  <c r="C38" i="108"/>
  <c r="C37" i="108"/>
  <c r="C36" i="108"/>
  <c r="C35" i="108"/>
  <c r="C34" i="108"/>
  <c r="C33" i="108"/>
  <c r="C32" i="108"/>
  <c r="F31" i="108"/>
  <c r="C30" i="108"/>
  <c r="C29" i="108"/>
  <c r="C28" i="108"/>
  <c r="C27" i="108"/>
  <c r="C26" i="108"/>
  <c r="C25" i="108"/>
  <c r="C23" i="108"/>
  <c r="C22" i="108"/>
  <c r="C21" i="108"/>
  <c r="C18" i="108"/>
  <c r="C16" i="108"/>
  <c r="C15" i="108"/>
  <c r="C13" i="108"/>
  <c r="C12" i="108"/>
  <c r="C11" i="108"/>
  <c r="C10" i="108"/>
  <c r="C9" i="108"/>
  <c r="C7" i="108"/>
  <c r="C6" i="108"/>
  <c r="C5" i="108"/>
  <c r="A2" i="108"/>
  <c r="C42" i="107"/>
  <c r="D40" i="107"/>
  <c r="C40" i="107"/>
  <c r="C39" i="107"/>
  <c r="C38" i="107"/>
  <c r="C37" i="107"/>
  <c r="C36" i="107"/>
  <c r="C35" i="107"/>
  <c r="C34" i="107"/>
  <c r="C33" i="107"/>
  <c r="C32" i="107"/>
  <c r="F31" i="107"/>
  <c r="C30" i="107"/>
  <c r="C29" i="107"/>
  <c r="C28" i="107"/>
  <c r="C27" i="107"/>
  <c r="C26" i="107"/>
  <c r="C25" i="107"/>
  <c r="C23" i="107"/>
  <c r="C22" i="107"/>
  <c r="C21" i="107"/>
  <c r="C18" i="107"/>
  <c r="C16" i="107"/>
  <c r="C15" i="107"/>
  <c r="C13" i="107"/>
  <c r="C12" i="107"/>
  <c r="C11" i="107"/>
  <c r="C10" i="107"/>
  <c r="C9" i="107"/>
  <c r="C7" i="107"/>
  <c r="C6" i="107"/>
  <c r="C5" i="107"/>
  <c r="A2" i="107"/>
  <c r="C42" i="106"/>
  <c r="D40" i="106"/>
  <c r="C40" i="106"/>
  <c r="C39" i="106"/>
  <c r="C38" i="106"/>
  <c r="C37" i="106"/>
  <c r="C36" i="106"/>
  <c r="C35" i="106"/>
  <c r="C34" i="106"/>
  <c r="C33" i="106"/>
  <c r="C32" i="106"/>
  <c r="F31" i="106"/>
  <c r="C30" i="106"/>
  <c r="C29" i="106"/>
  <c r="C28" i="106"/>
  <c r="C27" i="106"/>
  <c r="C26" i="106"/>
  <c r="C25" i="106"/>
  <c r="C23" i="106"/>
  <c r="C22" i="106"/>
  <c r="C21" i="106"/>
  <c r="C18" i="106"/>
  <c r="C16" i="106"/>
  <c r="C15" i="106"/>
  <c r="C13" i="106"/>
  <c r="C12" i="106"/>
  <c r="C11" i="106"/>
  <c r="C10" i="106"/>
  <c r="C9" i="106"/>
  <c r="C7" i="106"/>
  <c r="C6" i="106"/>
  <c r="C5" i="106"/>
  <c r="A2" i="106"/>
  <c r="C42" i="105"/>
  <c r="D40" i="105"/>
  <c r="C40" i="105"/>
  <c r="C39" i="105"/>
  <c r="C38" i="105"/>
  <c r="C37" i="105"/>
  <c r="C36" i="105"/>
  <c r="C35" i="105"/>
  <c r="C34" i="105"/>
  <c r="C33" i="105"/>
  <c r="C32" i="105"/>
  <c r="F31" i="105"/>
  <c r="C30" i="105"/>
  <c r="C29" i="105"/>
  <c r="C28" i="105"/>
  <c r="C27" i="105"/>
  <c r="C26" i="105"/>
  <c r="C25" i="105"/>
  <c r="C23" i="105"/>
  <c r="C22" i="105"/>
  <c r="C21" i="105"/>
  <c r="C18" i="105"/>
  <c r="C16" i="105"/>
  <c r="C15" i="105"/>
  <c r="C13" i="105"/>
  <c r="C12" i="105"/>
  <c r="C11" i="105"/>
  <c r="C10" i="105"/>
  <c r="C9" i="105"/>
  <c r="C7" i="105"/>
  <c r="C6" i="105"/>
  <c r="C5" i="105"/>
  <c r="A2" i="105"/>
  <c r="C42" i="104"/>
  <c r="D40" i="104"/>
  <c r="C40" i="104"/>
  <c r="C39" i="104"/>
  <c r="C38" i="104"/>
  <c r="C37" i="104"/>
  <c r="C36" i="104"/>
  <c r="C35" i="104"/>
  <c r="C34" i="104"/>
  <c r="C33" i="104"/>
  <c r="C32" i="104"/>
  <c r="F31" i="104"/>
  <c r="C30" i="104"/>
  <c r="C29" i="104"/>
  <c r="C28" i="104"/>
  <c r="C27" i="104"/>
  <c r="C26" i="104"/>
  <c r="C25" i="104"/>
  <c r="C23" i="104"/>
  <c r="C22" i="104"/>
  <c r="C21" i="104"/>
  <c r="C18" i="104"/>
  <c r="C16" i="104"/>
  <c r="C15" i="104"/>
  <c r="C13" i="104"/>
  <c r="C12" i="104"/>
  <c r="C11" i="104"/>
  <c r="C10" i="104"/>
  <c r="C9" i="104"/>
  <c r="C7" i="104"/>
  <c r="C6" i="104"/>
  <c r="C5" i="104"/>
  <c r="A2" i="104"/>
  <c r="C42" i="103"/>
  <c r="D40" i="103"/>
  <c r="C40" i="103"/>
  <c r="C39" i="103"/>
  <c r="C38" i="103"/>
  <c r="C37" i="103"/>
  <c r="C36" i="103"/>
  <c r="C35" i="103"/>
  <c r="C34" i="103"/>
  <c r="C33" i="103"/>
  <c r="C32" i="103"/>
  <c r="F31" i="103"/>
  <c r="C30" i="103"/>
  <c r="C29" i="103"/>
  <c r="C28" i="103"/>
  <c r="C27" i="103"/>
  <c r="C26" i="103"/>
  <c r="C25" i="103"/>
  <c r="C23" i="103"/>
  <c r="C22" i="103"/>
  <c r="C21" i="103"/>
  <c r="C18" i="103"/>
  <c r="C16" i="103"/>
  <c r="C15" i="103"/>
  <c r="C13" i="103"/>
  <c r="C12" i="103"/>
  <c r="C11" i="103"/>
  <c r="C10" i="103"/>
  <c r="C9" i="103"/>
  <c r="C7" i="103"/>
  <c r="C6" i="103"/>
  <c r="C5" i="103"/>
  <c r="A2" i="103"/>
  <c r="C42" i="102"/>
  <c r="D40" i="102"/>
  <c r="C40" i="102"/>
  <c r="C39" i="102"/>
  <c r="C38" i="102"/>
  <c r="C37" i="102"/>
  <c r="C36" i="102"/>
  <c r="C35" i="102"/>
  <c r="C34" i="102"/>
  <c r="C33" i="102"/>
  <c r="C32" i="102"/>
  <c r="F31" i="102"/>
  <c r="C30" i="102"/>
  <c r="C29" i="102"/>
  <c r="C28" i="102"/>
  <c r="C27" i="102"/>
  <c r="C26" i="102"/>
  <c r="C25" i="102"/>
  <c r="C23" i="102"/>
  <c r="C22" i="102"/>
  <c r="C21" i="102"/>
  <c r="C18" i="102"/>
  <c r="C16" i="102"/>
  <c r="C15" i="102"/>
  <c r="C13" i="102"/>
  <c r="C12" i="102"/>
  <c r="C11" i="102"/>
  <c r="C10" i="102"/>
  <c r="C9" i="102"/>
  <c r="C7" i="102"/>
  <c r="C6" i="102"/>
  <c r="C5" i="102"/>
  <c r="A2" i="102"/>
  <c r="C42" i="101"/>
  <c r="D40" i="101"/>
  <c r="C40" i="101"/>
  <c r="C39" i="101"/>
  <c r="C38" i="101"/>
  <c r="C37" i="101"/>
  <c r="C36" i="101"/>
  <c r="C35" i="101"/>
  <c r="C34" i="101"/>
  <c r="C33" i="101"/>
  <c r="C32" i="101"/>
  <c r="F31" i="101"/>
  <c r="C30" i="101"/>
  <c r="C29" i="101"/>
  <c r="C28" i="101"/>
  <c r="C27" i="101"/>
  <c r="C26" i="101"/>
  <c r="C25" i="101"/>
  <c r="C23" i="101"/>
  <c r="C22" i="101"/>
  <c r="C21" i="101"/>
  <c r="C18" i="101"/>
  <c r="C16" i="101"/>
  <c r="C15" i="101"/>
  <c r="C13" i="101"/>
  <c r="C12" i="101"/>
  <c r="C11" i="101"/>
  <c r="C10" i="101"/>
  <c r="C9" i="101"/>
  <c r="C7" i="101"/>
  <c r="C6" i="101"/>
  <c r="C5" i="101"/>
  <c r="A2" i="101"/>
  <c r="C42" i="100"/>
  <c r="D40" i="100"/>
  <c r="C40" i="100"/>
  <c r="C39" i="100"/>
  <c r="C38" i="100"/>
  <c r="C37" i="100"/>
  <c r="C36" i="100"/>
  <c r="C35" i="100"/>
  <c r="C34" i="100"/>
  <c r="C33" i="100"/>
  <c r="C32" i="100"/>
  <c r="F31" i="100"/>
  <c r="C30" i="100"/>
  <c r="C29" i="100"/>
  <c r="C28" i="100"/>
  <c r="C27" i="100"/>
  <c r="C26" i="100"/>
  <c r="C25" i="100"/>
  <c r="C23" i="100"/>
  <c r="C22" i="100"/>
  <c r="C21" i="100"/>
  <c r="C18" i="100"/>
  <c r="C16" i="100"/>
  <c r="C15" i="100"/>
  <c r="C13" i="100"/>
  <c r="C12" i="100"/>
  <c r="C11" i="100"/>
  <c r="C10" i="100"/>
  <c r="C9" i="100"/>
  <c r="C7" i="100"/>
  <c r="C6" i="100"/>
  <c r="C5" i="100"/>
  <c r="A2" i="100"/>
  <c r="C42" i="99"/>
  <c r="D40" i="99"/>
  <c r="C40" i="99"/>
  <c r="C39" i="99"/>
  <c r="C38" i="99"/>
  <c r="C37" i="99"/>
  <c r="C36" i="99"/>
  <c r="C35" i="99"/>
  <c r="C34" i="99"/>
  <c r="C33" i="99"/>
  <c r="C32" i="99"/>
  <c r="F31" i="99"/>
  <c r="C30" i="99"/>
  <c r="C29" i="99"/>
  <c r="C28" i="99"/>
  <c r="C27" i="99"/>
  <c r="C26" i="99"/>
  <c r="C25" i="99"/>
  <c r="C23" i="99"/>
  <c r="C22" i="99"/>
  <c r="C21" i="99"/>
  <c r="C18" i="99"/>
  <c r="C16" i="99"/>
  <c r="C15" i="99"/>
  <c r="C13" i="99"/>
  <c r="C12" i="99"/>
  <c r="C11" i="99"/>
  <c r="C10" i="99"/>
  <c r="C9" i="99"/>
  <c r="C7" i="99"/>
  <c r="C6" i="99"/>
  <c r="C5" i="99"/>
  <c r="A2" i="99"/>
  <c r="C42" i="98"/>
  <c r="D40" i="98"/>
  <c r="C40" i="98"/>
  <c r="C39" i="98"/>
  <c r="C38" i="98"/>
  <c r="C37" i="98"/>
  <c r="C36" i="98"/>
  <c r="C35" i="98"/>
  <c r="C34" i="98"/>
  <c r="C33" i="98"/>
  <c r="C32" i="98"/>
  <c r="F31" i="98"/>
  <c r="C30" i="98"/>
  <c r="C29" i="98"/>
  <c r="C28" i="98"/>
  <c r="C27" i="98"/>
  <c r="C26" i="98"/>
  <c r="C25" i="98"/>
  <c r="C23" i="98"/>
  <c r="C22" i="98"/>
  <c r="C21" i="98"/>
  <c r="C18" i="98"/>
  <c r="C16" i="98"/>
  <c r="C15" i="98"/>
  <c r="C13" i="98"/>
  <c r="C12" i="98"/>
  <c r="C11" i="98"/>
  <c r="C10" i="98"/>
  <c r="C9" i="98"/>
  <c r="C7" i="98"/>
  <c r="C6" i="98"/>
  <c r="C5" i="98"/>
  <c r="A2" i="98"/>
  <c r="C42" i="97"/>
  <c r="D40" i="97"/>
  <c r="C40" i="97"/>
  <c r="C39" i="97"/>
  <c r="C38" i="97"/>
  <c r="C37" i="97"/>
  <c r="C36" i="97"/>
  <c r="C35" i="97"/>
  <c r="C34" i="97"/>
  <c r="C33" i="97"/>
  <c r="C32" i="97"/>
  <c r="F31" i="97"/>
  <c r="C30" i="97"/>
  <c r="C29" i="97"/>
  <c r="C28" i="97"/>
  <c r="C27" i="97"/>
  <c r="C26" i="97"/>
  <c r="C25" i="97"/>
  <c r="C23" i="97"/>
  <c r="C22" i="97"/>
  <c r="C21" i="97"/>
  <c r="C18" i="97"/>
  <c r="C16" i="97"/>
  <c r="C15" i="97"/>
  <c r="C13" i="97"/>
  <c r="C12" i="97"/>
  <c r="C11" i="97"/>
  <c r="C10" i="97"/>
  <c r="C9" i="97"/>
  <c r="C7" i="97"/>
  <c r="C6" i="97"/>
  <c r="C5" i="97"/>
  <c r="A2" i="97"/>
  <c r="C42" i="96"/>
  <c r="D40" i="96"/>
  <c r="C40" i="96"/>
  <c r="C39" i="96"/>
  <c r="C38" i="96"/>
  <c r="C37" i="96"/>
  <c r="C36" i="96"/>
  <c r="C35" i="96"/>
  <c r="C34" i="96"/>
  <c r="C33" i="96"/>
  <c r="C32" i="96"/>
  <c r="F31" i="96"/>
  <c r="C30" i="96"/>
  <c r="C29" i="96"/>
  <c r="C28" i="96"/>
  <c r="C27" i="96"/>
  <c r="C26" i="96"/>
  <c r="C25" i="96"/>
  <c r="C23" i="96"/>
  <c r="C22" i="96"/>
  <c r="C21" i="96"/>
  <c r="C18" i="96"/>
  <c r="C16" i="96"/>
  <c r="C15" i="96"/>
  <c r="C13" i="96"/>
  <c r="C12" i="96"/>
  <c r="C11" i="96"/>
  <c r="C10" i="96"/>
  <c r="C9" i="96"/>
  <c r="C7" i="96"/>
  <c r="C6" i="96"/>
  <c r="C5" i="96"/>
  <c r="A2" i="96"/>
  <c r="C42" i="95"/>
  <c r="D40" i="95"/>
  <c r="C40" i="95"/>
  <c r="C39" i="95"/>
  <c r="C38" i="95"/>
  <c r="C37" i="95"/>
  <c r="C36" i="95"/>
  <c r="C35" i="95"/>
  <c r="C34" i="95"/>
  <c r="C33" i="95"/>
  <c r="C32" i="95"/>
  <c r="F31" i="95"/>
  <c r="C30" i="95"/>
  <c r="C29" i="95"/>
  <c r="C28" i="95"/>
  <c r="C27" i="95"/>
  <c r="C26" i="95"/>
  <c r="C25" i="95"/>
  <c r="C23" i="95"/>
  <c r="C22" i="95"/>
  <c r="C21" i="95"/>
  <c r="C18" i="95"/>
  <c r="C16" i="95"/>
  <c r="C15" i="95"/>
  <c r="C13" i="95"/>
  <c r="C12" i="95"/>
  <c r="C11" i="95"/>
  <c r="C10" i="95"/>
  <c r="C9" i="95"/>
  <c r="C7" i="95"/>
  <c r="C6" i="95"/>
  <c r="C5" i="95"/>
  <c r="A2" i="95"/>
  <c r="C42" i="94"/>
  <c r="D40" i="94"/>
  <c r="C40" i="94"/>
  <c r="C39" i="94"/>
  <c r="C38" i="94"/>
  <c r="C37" i="94"/>
  <c r="C36" i="94"/>
  <c r="C35" i="94"/>
  <c r="C34" i="94"/>
  <c r="C33" i="94"/>
  <c r="C32" i="94"/>
  <c r="F31" i="94"/>
  <c r="C30" i="94"/>
  <c r="C29" i="94"/>
  <c r="C28" i="94"/>
  <c r="C27" i="94"/>
  <c r="C26" i="94"/>
  <c r="C25" i="94"/>
  <c r="C23" i="94"/>
  <c r="C22" i="94"/>
  <c r="C21" i="94"/>
  <c r="C18" i="94"/>
  <c r="C16" i="94"/>
  <c r="C15" i="94"/>
  <c r="C13" i="94"/>
  <c r="C12" i="94"/>
  <c r="C11" i="94"/>
  <c r="C10" i="94"/>
  <c r="C9" i="94"/>
  <c r="C7" i="94"/>
  <c r="C6" i="94"/>
  <c r="C5" i="94"/>
  <c r="A2" i="94"/>
  <c r="C42" i="93"/>
  <c r="D40" i="93"/>
  <c r="C40" i="93"/>
  <c r="C39" i="93"/>
  <c r="C38" i="93"/>
  <c r="C37" i="93"/>
  <c r="C36" i="93"/>
  <c r="C35" i="93"/>
  <c r="C34" i="93"/>
  <c r="C33" i="93"/>
  <c r="C32" i="93"/>
  <c r="F31" i="93"/>
  <c r="C30" i="93"/>
  <c r="C29" i="93"/>
  <c r="C28" i="93"/>
  <c r="C27" i="93"/>
  <c r="C26" i="93"/>
  <c r="C25" i="93"/>
  <c r="C23" i="93"/>
  <c r="C22" i="93"/>
  <c r="C21" i="93"/>
  <c r="C18" i="93"/>
  <c r="C16" i="93"/>
  <c r="C15" i="93"/>
  <c r="C13" i="93"/>
  <c r="C12" i="93"/>
  <c r="C11" i="93"/>
  <c r="C10" i="93"/>
  <c r="C9" i="93"/>
  <c r="C7" i="93"/>
  <c r="C6" i="93"/>
  <c r="C5" i="93"/>
  <c r="A2" i="93"/>
  <c r="C42" i="92"/>
  <c r="D40" i="92"/>
  <c r="C40" i="92"/>
  <c r="C39" i="92"/>
  <c r="C38" i="92"/>
  <c r="C37" i="92"/>
  <c r="C36" i="92"/>
  <c r="C35" i="92"/>
  <c r="C34" i="92"/>
  <c r="C33" i="92"/>
  <c r="C32" i="92"/>
  <c r="F31" i="92"/>
  <c r="C30" i="92"/>
  <c r="C29" i="92"/>
  <c r="C28" i="92"/>
  <c r="C27" i="92"/>
  <c r="C26" i="92"/>
  <c r="C25" i="92"/>
  <c r="C23" i="92"/>
  <c r="C22" i="92"/>
  <c r="C21" i="92"/>
  <c r="C18" i="92"/>
  <c r="C16" i="92"/>
  <c r="C15" i="92"/>
  <c r="C13" i="92"/>
  <c r="C12" i="92"/>
  <c r="C11" i="92"/>
  <c r="C10" i="92"/>
  <c r="C9" i="92"/>
  <c r="C7" i="92"/>
  <c r="C6" i="92"/>
  <c r="C5" i="92"/>
  <c r="A2" i="92"/>
  <c r="C42" i="91"/>
  <c r="D40" i="91"/>
  <c r="C40" i="91"/>
  <c r="C39" i="91"/>
  <c r="C38" i="91"/>
  <c r="C37" i="91"/>
  <c r="C36" i="91"/>
  <c r="C35" i="91"/>
  <c r="C34" i="91"/>
  <c r="C33" i="91"/>
  <c r="C32" i="91"/>
  <c r="F31" i="91"/>
  <c r="C30" i="91"/>
  <c r="C29" i="91"/>
  <c r="C28" i="91"/>
  <c r="C27" i="91"/>
  <c r="C26" i="91"/>
  <c r="C25" i="91"/>
  <c r="C23" i="91"/>
  <c r="C22" i="91"/>
  <c r="C21" i="91"/>
  <c r="C18" i="91"/>
  <c r="C16" i="91"/>
  <c r="C15" i="91"/>
  <c r="C13" i="91"/>
  <c r="C12" i="91"/>
  <c r="C11" i="91"/>
  <c r="C10" i="91"/>
  <c r="C9" i="91"/>
  <c r="C7" i="91"/>
  <c r="C6" i="91"/>
  <c r="C5" i="91"/>
  <c r="A2" i="91"/>
  <c r="C41" i="90"/>
  <c r="D40" i="90"/>
  <c r="C40" i="90"/>
  <c r="C39" i="90"/>
  <c r="C38" i="90"/>
  <c r="C37" i="90"/>
  <c r="C36" i="90"/>
  <c r="C35" i="90"/>
  <c r="C34" i="90"/>
  <c r="C33" i="90"/>
  <c r="C32" i="90"/>
  <c r="F31" i="90"/>
  <c r="C30" i="90"/>
  <c r="C29" i="90"/>
  <c r="C28" i="90"/>
  <c r="C27" i="90"/>
  <c r="C26" i="90"/>
  <c r="C25" i="90"/>
  <c r="C23" i="90"/>
  <c r="C22" i="90"/>
  <c r="C21" i="90"/>
  <c r="C18" i="90"/>
  <c r="C16" i="90"/>
  <c r="C15" i="90"/>
  <c r="C13" i="90"/>
  <c r="C12" i="90"/>
  <c r="C11" i="90"/>
  <c r="C10" i="90"/>
  <c r="C9" i="90"/>
  <c r="C7" i="90"/>
  <c r="C6" i="90"/>
  <c r="C5" i="90"/>
  <c r="A2" i="90"/>
  <c r="L1" i="90"/>
  <c r="C41" i="89"/>
  <c r="D40" i="89"/>
  <c r="C40" i="89"/>
  <c r="C39" i="89"/>
  <c r="C38" i="89"/>
  <c r="C37" i="89"/>
  <c r="C36" i="89"/>
  <c r="C35" i="89"/>
  <c r="C34" i="89"/>
  <c r="C33" i="89"/>
  <c r="C32" i="89"/>
  <c r="F31" i="89"/>
  <c r="C30" i="89"/>
  <c r="C29" i="89"/>
  <c r="C28" i="89"/>
  <c r="C27" i="89"/>
  <c r="C26" i="89"/>
  <c r="C25" i="89"/>
  <c r="C23" i="89"/>
  <c r="C22" i="89"/>
  <c r="C21" i="89"/>
  <c r="C18" i="89"/>
  <c r="C16" i="89"/>
  <c r="C15" i="89"/>
  <c r="C13" i="89"/>
  <c r="C12" i="89"/>
  <c r="C11" i="89"/>
  <c r="C10" i="89"/>
  <c r="C9" i="89"/>
  <c r="C7" i="89"/>
  <c r="C6" i="89"/>
  <c r="C5" i="89"/>
  <c r="A2" i="89"/>
  <c r="L1" i="89"/>
  <c r="C41" i="88"/>
  <c r="D40" i="88"/>
  <c r="C40" i="88"/>
  <c r="C39" i="88"/>
  <c r="C38" i="88"/>
  <c r="C37" i="88"/>
  <c r="C36" i="88"/>
  <c r="C35" i="88"/>
  <c r="C34" i="88"/>
  <c r="C33" i="88"/>
  <c r="C32" i="88"/>
  <c r="F31" i="88"/>
  <c r="C30" i="88"/>
  <c r="C29" i="88"/>
  <c r="C28" i="88"/>
  <c r="C27" i="88"/>
  <c r="C26" i="88"/>
  <c r="C25" i="88"/>
  <c r="C23" i="88"/>
  <c r="C22" i="88"/>
  <c r="C21" i="88"/>
  <c r="C18" i="88"/>
  <c r="C16" i="88"/>
  <c r="C15" i="88"/>
  <c r="C13" i="88"/>
  <c r="C12" i="88"/>
  <c r="C11" i="88"/>
  <c r="C10" i="88"/>
  <c r="C9" i="88"/>
  <c r="C7" i="88"/>
  <c r="C6" i="88"/>
  <c r="C5" i="88"/>
  <c r="A2" i="88"/>
  <c r="L1" i="88"/>
  <c r="C41" i="87"/>
  <c r="D40" i="87"/>
  <c r="C40" i="87"/>
  <c r="C39" i="87"/>
  <c r="C38" i="87"/>
  <c r="C37" i="87"/>
  <c r="C36" i="87"/>
  <c r="C35" i="87"/>
  <c r="C34" i="87"/>
  <c r="C33" i="87"/>
  <c r="C32" i="87"/>
  <c r="F31" i="87"/>
  <c r="C30" i="87"/>
  <c r="C29" i="87"/>
  <c r="C28" i="87"/>
  <c r="C27" i="87"/>
  <c r="C26" i="87"/>
  <c r="C25" i="87"/>
  <c r="C23" i="87"/>
  <c r="C22" i="87"/>
  <c r="C21" i="87"/>
  <c r="C18" i="87"/>
  <c r="C16" i="87"/>
  <c r="C15" i="87"/>
  <c r="C13" i="87"/>
  <c r="C12" i="87"/>
  <c r="C11" i="87"/>
  <c r="C10" i="87"/>
  <c r="C9" i="87"/>
  <c r="C7" i="87"/>
  <c r="C6" i="87"/>
  <c r="C5" i="87"/>
  <c r="A2" i="87"/>
  <c r="L1" i="87"/>
  <c r="C41" i="86"/>
  <c r="D40" i="86"/>
  <c r="C40" i="86"/>
  <c r="C39" i="86"/>
  <c r="C38" i="86"/>
  <c r="C37" i="86"/>
  <c r="C36" i="86"/>
  <c r="C35" i="86"/>
  <c r="C34" i="86"/>
  <c r="C33" i="86"/>
  <c r="C32" i="86"/>
  <c r="F31" i="86"/>
  <c r="C30" i="86"/>
  <c r="C29" i="86"/>
  <c r="C28" i="86"/>
  <c r="C27" i="86"/>
  <c r="C26" i="86"/>
  <c r="C25" i="86"/>
  <c r="C23" i="86"/>
  <c r="C22" i="86"/>
  <c r="C21" i="86"/>
  <c r="C18" i="86"/>
  <c r="C16" i="86"/>
  <c r="C15" i="86"/>
  <c r="C13" i="86"/>
  <c r="C12" i="86"/>
  <c r="C11" i="86"/>
  <c r="C10" i="86"/>
  <c r="C9" i="86"/>
  <c r="C7" i="86"/>
  <c r="C6" i="86"/>
  <c r="C5" i="86"/>
  <c r="A2" i="86"/>
  <c r="L1" i="86"/>
  <c r="C41" i="85"/>
  <c r="D40" i="85"/>
  <c r="C40" i="85"/>
  <c r="C39" i="85"/>
  <c r="C38" i="85"/>
  <c r="C37" i="85"/>
  <c r="C36" i="85"/>
  <c r="C35" i="85"/>
  <c r="C34" i="85"/>
  <c r="C33" i="85"/>
  <c r="C32" i="85"/>
  <c r="F31" i="85"/>
  <c r="C30" i="85"/>
  <c r="C29" i="85"/>
  <c r="C28" i="85"/>
  <c r="C27" i="85"/>
  <c r="C26" i="85"/>
  <c r="C25" i="85"/>
  <c r="C23" i="85"/>
  <c r="C22" i="85"/>
  <c r="C21" i="85"/>
  <c r="C18" i="85"/>
  <c r="C16" i="85"/>
  <c r="C15" i="85"/>
  <c r="C13" i="85"/>
  <c r="C12" i="85"/>
  <c r="C11" i="85"/>
  <c r="C10" i="85"/>
  <c r="C9" i="85"/>
  <c r="C7" i="85"/>
  <c r="C6" i="85"/>
  <c r="C5" i="85"/>
  <c r="A2" i="85"/>
  <c r="L1" i="85"/>
  <c r="C41" i="84"/>
  <c r="D40" i="84"/>
  <c r="C40" i="84"/>
  <c r="C39" i="84"/>
  <c r="C38" i="84"/>
  <c r="C37" i="84"/>
  <c r="C36" i="84"/>
  <c r="C35" i="84"/>
  <c r="C34" i="84"/>
  <c r="C33" i="84"/>
  <c r="C32" i="84"/>
  <c r="F31" i="84"/>
  <c r="C30" i="84"/>
  <c r="C29" i="84"/>
  <c r="C28" i="84"/>
  <c r="C27" i="84"/>
  <c r="C26" i="84"/>
  <c r="C25" i="84"/>
  <c r="C23" i="84"/>
  <c r="C22" i="84"/>
  <c r="C21" i="84"/>
  <c r="C18" i="84"/>
  <c r="C16" i="84"/>
  <c r="C15" i="84"/>
  <c r="C13" i="84"/>
  <c r="C12" i="84"/>
  <c r="C11" i="84"/>
  <c r="C10" i="84"/>
  <c r="C9" i="84"/>
  <c r="C7" i="84"/>
  <c r="C6" i="84"/>
  <c r="C5" i="84"/>
  <c r="A2" i="84"/>
  <c r="L1" i="84"/>
  <c r="C41" i="83"/>
  <c r="D40" i="83"/>
  <c r="C40" i="83"/>
  <c r="C39" i="83"/>
  <c r="C38" i="83"/>
  <c r="C37" i="83"/>
  <c r="C36" i="83"/>
  <c r="C35" i="83"/>
  <c r="C34" i="83"/>
  <c r="C33" i="83"/>
  <c r="C32" i="83"/>
  <c r="F31" i="83"/>
  <c r="C30" i="83"/>
  <c r="C29" i="83"/>
  <c r="C28" i="83"/>
  <c r="C27" i="83"/>
  <c r="C26" i="83"/>
  <c r="C25" i="83"/>
  <c r="C23" i="83"/>
  <c r="C22" i="83"/>
  <c r="C21" i="83"/>
  <c r="C18" i="83"/>
  <c r="C16" i="83"/>
  <c r="C15" i="83"/>
  <c r="C13" i="83"/>
  <c r="C12" i="83"/>
  <c r="C11" i="83"/>
  <c r="C10" i="83"/>
  <c r="C9" i="83"/>
  <c r="C7" i="83"/>
  <c r="C6" i="83"/>
  <c r="C5" i="83"/>
  <c r="A2" i="83"/>
  <c r="L1" i="83"/>
  <c r="C41" i="82"/>
  <c r="D40" i="82"/>
  <c r="C40" i="82"/>
  <c r="C39" i="82"/>
  <c r="C38" i="82"/>
  <c r="C37" i="82"/>
  <c r="C36" i="82"/>
  <c r="C35" i="82"/>
  <c r="C34" i="82"/>
  <c r="C33" i="82"/>
  <c r="C32" i="82"/>
  <c r="F31" i="82"/>
  <c r="C30" i="82"/>
  <c r="C29" i="82"/>
  <c r="C28" i="82"/>
  <c r="C27" i="82"/>
  <c r="C26" i="82"/>
  <c r="C25" i="82"/>
  <c r="C23" i="82"/>
  <c r="C22" i="82"/>
  <c r="C21" i="82"/>
  <c r="C18" i="82"/>
  <c r="C16" i="82"/>
  <c r="C15" i="82"/>
  <c r="C13" i="82"/>
  <c r="C12" i="82"/>
  <c r="C11" i="82"/>
  <c r="C10" i="82"/>
  <c r="C9" i="82"/>
  <c r="C7" i="82"/>
  <c r="C6" i="82"/>
  <c r="C5" i="82"/>
  <c r="A2" i="82"/>
  <c r="L1" i="82"/>
  <c r="C41" i="81"/>
  <c r="D40" i="81"/>
  <c r="C40" i="81"/>
  <c r="C39" i="81"/>
  <c r="C38" i="81"/>
  <c r="C37" i="81"/>
  <c r="C36" i="81"/>
  <c r="C35" i="81"/>
  <c r="C34" i="81"/>
  <c r="C33" i="81"/>
  <c r="C32" i="81"/>
  <c r="F31" i="81"/>
  <c r="C30" i="81"/>
  <c r="C29" i="81"/>
  <c r="C28" i="81"/>
  <c r="C27" i="81"/>
  <c r="C26" i="81"/>
  <c r="C25" i="81"/>
  <c r="C23" i="81"/>
  <c r="C22" i="81"/>
  <c r="C21" i="81"/>
  <c r="C18" i="81"/>
  <c r="C16" i="81"/>
  <c r="C15" i="81"/>
  <c r="C13" i="81"/>
  <c r="C12" i="81"/>
  <c r="C11" i="81"/>
  <c r="C10" i="81"/>
  <c r="C9" i="81"/>
  <c r="C7" i="81"/>
  <c r="C6" i="81"/>
  <c r="C5" i="81"/>
  <c r="A2" i="81"/>
  <c r="L1" i="81"/>
  <c r="C41" i="80"/>
  <c r="D40" i="80"/>
  <c r="C40" i="80"/>
  <c r="C39" i="80"/>
  <c r="C38" i="80"/>
  <c r="C37" i="80"/>
  <c r="C36" i="80"/>
  <c r="C35" i="80"/>
  <c r="C34" i="80"/>
  <c r="C33" i="80"/>
  <c r="C32" i="80"/>
  <c r="F31" i="80"/>
  <c r="C30" i="80"/>
  <c r="C29" i="80"/>
  <c r="C28" i="80"/>
  <c r="C27" i="80"/>
  <c r="C26" i="80"/>
  <c r="C25" i="80"/>
  <c r="C23" i="80"/>
  <c r="C22" i="80"/>
  <c r="C21" i="80"/>
  <c r="C18" i="80"/>
  <c r="C16" i="80"/>
  <c r="C15" i="80"/>
  <c r="C13" i="80"/>
  <c r="C12" i="80"/>
  <c r="C11" i="80"/>
  <c r="C10" i="80"/>
  <c r="C9" i="80"/>
  <c r="C7" i="80"/>
  <c r="C6" i="80"/>
  <c r="C5" i="80"/>
  <c r="A2" i="80"/>
  <c r="L1" i="80"/>
  <c r="C41" i="79"/>
  <c r="D40" i="79"/>
  <c r="C40" i="79"/>
  <c r="C39" i="79"/>
  <c r="C38" i="79"/>
  <c r="C37" i="79"/>
  <c r="C36" i="79"/>
  <c r="C35" i="79"/>
  <c r="C34" i="79"/>
  <c r="C33" i="79"/>
  <c r="C32" i="79"/>
  <c r="F31" i="79"/>
  <c r="C30" i="79"/>
  <c r="C29" i="79"/>
  <c r="C28" i="79"/>
  <c r="C27" i="79"/>
  <c r="C26" i="79"/>
  <c r="C25" i="79"/>
  <c r="C23" i="79"/>
  <c r="C22" i="79"/>
  <c r="C21" i="79"/>
  <c r="C18" i="79"/>
  <c r="C16" i="79"/>
  <c r="C15" i="79"/>
  <c r="C13" i="79"/>
  <c r="C12" i="79"/>
  <c r="C11" i="79"/>
  <c r="C10" i="79"/>
  <c r="C9" i="79"/>
  <c r="C7" i="79"/>
  <c r="C6" i="79"/>
  <c r="C5" i="79"/>
  <c r="A2" i="79"/>
  <c r="L1" i="79"/>
  <c r="G266" i="78"/>
  <c r="G265" i="78"/>
  <c r="F265" i="78"/>
  <c r="G264" i="78"/>
  <c r="F264" i="78"/>
  <c r="G263" i="78"/>
  <c r="F263" i="78"/>
  <c r="G262" i="78"/>
  <c r="F262" i="78"/>
  <c r="G261" i="78"/>
  <c r="F261" i="78"/>
  <c r="G260" i="78"/>
  <c r="G259" i="78"/>
  <c r="F259" i="78"/>
  <c r="G258" i="78"/>
  <c r="G257" i="78"/>
  <c r="F257" i="78"/>
  <c r="G256" i="78"/>
  <c r="F256" i="78"/>
  <c r="G255" i="78"/>
  <c r="F255" i="78"/>
  <c r="G254" i="78"/>
  <c r="F254" i="78"/>
  <c r="G253" i="78"/>
  <c r="G252" i="78"/>
  <c r="F252" i="78"/>
  <c r="G251" i="78"/>
  <c r="F251" i="78"/>
  <c r="G250" i="78"/>
  <c r="F250" i="78"/>
  <c r="G249" i="78"/>
  <c r="F249" i="78"/>
  <c r="G248" i="78"/>
  <c r="F248" i="78"/>
  <c r="G244" i="78"/>
  <c r="G243" i="78"/>
  <c r="F243" i="78"/>
  <c r="G242" i="78"/>
  <c r="F242" i="78"/>
  <c r="G241" i="78"/>
  <c r="F241" i="78"/>
  <c r="G240" i="78"/>
  <c r="F240" i="78"/>
  <c r="G239" i="78"/>
  <c r="F239" i="78"/>
  <c r="G238" i="78"/>
  <c r="G237" i="78"/>
  <c r="F237" i="78"/>
  <c r="G236" i="78"/>
  <c r="G235" i="78"/>
  <c r="F235" i="78"/>
  <c r="G234" i="78"/>
  <c r="F234" i="78"/>
  <c r="G233" i="78"/>
  <c r="F233" i="78"/>
  <c r="G232" i="78"/>
  <c r="F232" i="78"/>
  <c r="G231" i="78"/>
  <c r="G230" i="78"/>
  <c r="F230" i="78"/>
  <c r="G229" i="78"/>
  <c r="F229" i="78"/>
  <c r="G228" i="78"/>
  <c r="F228" i="78"/>
  <c r="G227" i="78"/>
  <c r="F227" i="78"/>
  <c r="G226" i="78"/>
  <c r="F226" i="78"/>
  <c r="G222" i="78"/>
  <c r="G221" i="78"/>
  <c r="F221" i="78"/>
  <c r="G220" i="78"/>
  <c r="F220" i="78"/>
  <c r="G219" i="78"/>
  <c r="F219" i="78"/>
  <c r="G218" i="78"/>
  <c r="F218" i="78"/>
  <c r="G217" i="78"/>
  <c r="F217" i="78"/>
  <c r="G216" i="78"/>
  <c r="G215" i="78"/>
  <c r="F215" i="78"/>
  <c r="G214" i="78"/>
  <c r="G213" i="78"/>
  <c r="F213" i="78"/>
  <c r="G212" i="78"/>
  <c r="F212" i="78"/>
  <c r="G211" i="78"/>
  <c r="F211" i="78"/>
  <c r="G210" i="78"/>
  <c r="F210" i="78"/>
  <c r="G209" i="78"/>
  <c r="G208" i="78"/>
  <c r="F208" i="78"/>
  <c r="G207" i="78"/>
  <c r="F207" i="78"/>
  <c r="G206" i="78"/>
  <c r="F206" i="78"/>
  <c r="G205" i="78"/>
  <c r="F205" i="78"/>
  <c r="G204" i="78"/>
  <c r="F204" i="78"/>
  <c r="G200" i="78"/>
  <c r="G199" i="78"/>
  <c r="F199" i="78"/>
  <c r="G198" i="78"/>
  <c r="F198" i="78"/>
  <c r="G197" i="78"/>
  <c r="F197" i="78"/>
  <c r="G196" i="78"/>
  <c r="F196" i="78"/>
  <c r="G195" i="78"/>
  <c r="F195" i="78"/>
  <c r="G194" i="78"/>
  <c r="G193" i="78"/>
  <c r="F193" i="78"/>
  <c r="G192" i="78"/>
  <c r="G191" i="78"/>
  <c r="F191" i="78"/>
  <c r="G190" i="78"/>
  <c r="F190" i="78"/>
  <c r="G189" i="78"/>
  <c r="F189" i="78"/>
  <c r="G188" i="78"/>
  <c r="F188" i="78"/>
  <c r="G187" i="78"/>
  <c r="G186" i="78"/>
  <c r="F186" i="78"/>
  <c r="G185" i="78"/>
  <c r="F185" i="78"/>
  <c r="G184" i="78"/>
  <c r="F184" i="78"/>
  <c r="G183" i="78"/>
  <c r="F183" i="78"/>
  <c r="G182" i="78"/>
  <c r="F182" i="78"/>
  <c r="G178" i="78"/>
  <c r="G177" i="78"/>
  <c r="F177" i="78"/>
  <c r="G176" i="78"/>
  <c r="F176" i="78"/>
  <c r="G175" i="78"/>
  <c r="F175" i="78"/>
  <c r="G174" i="78"/>
  <c r="F174" i="78"/>
  <c r="G173" i="78"/>
  <c r="F173" i="78"/>
  <c r="G172" i="78"/>
  <c r="G171" i="78"/>
  <c r="F171" i="78"/>
  <c r="G170" i="78"/>
  <c r="G169" i="78"/>
  <c r="F169" i="78"/>
  <c r="G168" i="78"/>
  <c r="F168" i="78"/>
  <c r="G167" i="78"/>
  <c r="F167" i="78"/>
  <c r="G166" i="78"/>
  <c r="F166" i="78"/>
  <c r="G165" i="78"/>
  <c r="G164" i="78"/>
  <c r="F164" i="78"/>
  <c r="G163" i="78"/>
  <c r="F163" i="78"/>
  <c r="G162" i="78"/>
  <c r="F162" i="78"/>
  <c r="G161" i="78"/>
  <c r="F161" i="78"/>
  <c r="G160" i="78"/>
  <c r="F160" i="78"/>
  <c r="G156" i="78"/>
  <c r="G155" i="78"/>
  <c r="F155" i="78"/>
  <c r="G154" i="78"/>
  <c r="F154" i="78"/>
  <c r="G153" i="78"/>
  <c r="F153" i="78"/>
  <c r="G152" i="78"/>
  <c r="F152" i="78"/>
  <c r="G151" i="78"/>
  <c r="F151" i="78"/>
  <c r="G150" i="78"/>
  <c r="G149" i="78"/>
  <c r="F149" i="78"/>
  <c r="G148" i="78"/>
  <c r="G147" i="78"/>
  <c r="F147" i="78"/>
  <c r="G146" i="78"/>
  <c r="F146" i="78"/>
  <c r="G145" i="78"/>
  <c r="F145" i="78"/>
  <c r="G144" i="78"/>
  <c r="F144" i="78"/>
  <c r="G143" i="78"/>
  <c r="G142" i="78"/>
  <c r="F142" i="78"/>
  <c r="G141" i="78"/>
  <c r="F141" i="78"/>
  <c r="G140" i="78"/>
  <c r="F140" i="78"/>
  <c r="G139" i="78"/>
  <c r="F139" i="78"/>
  <c r="G138" i="78"/>
  <c r="F138" i="78"/>
  <c r="G134" i="78"/>
  <c r="G133" i="78"/>
  <c r="F133" i="78"/>
  <c r="G132" i="78"/>
  <c r="F132" i="78"/>
  <c r="G131" i="78"/>
  <c r="F131" i="78"/>
  <c r="G130" i="78"/>
  <c r="F130" i="78"/>
  <c r="G129" i="78"/>
  <c r="F129" i="78"/>
  <c r="G128" i="78"/>
  <c r="G127" i="78"/>
  <c r="F127" i="78"/>
  <c r="G126" i="78"/>
  <c r="G125" i="78"/>
  <c r="F125" i="78"/>
  <c r="G124" i="78"/>
  <c r="F124" i="78"/>
  <c r="G123" i="78"/>
  <c r="F123" i="78"/>
  <c r="G122" i="78"/>
  <c r="F122" i="78"/>
  <c r="G121" i="78"/>
  <c r="G120" i="78"/>
  <c r="F120" i="78"/>
  <c r="G119" i="78"/>
  <c r="F119" i="78"/>
  <c r="G118" i="78"/>
  <c r="F118" i="78"/>
  <c r="G117" i="78"/>
  <c r="F117" i="78"/>
  <c r="G116" i="78"/>
  <c r="F116" i="78"/>
  <c r="G112" i="78"/>
  <c r="G111" i="78"/>
  <c r="F111" i="78"/>
  <c r="G110" i="78"/>
  <c r="F110" i="78"/>
  <c r="G109" i="78"/>
  <c r="F109" i="78"/>
  <c r="G108" i="78"/>
  <c r="F108" i="78"/>
  <c r="G107" i="78"/>
  <c r="F107" i="78"/>
  <c r="G106" i="78"/>
  <c r="G105" i="78"/>
  <c r="F105" i="78"/>
  <c r="G104" i="78"/>
  <c r="G103" i="78"/>
  <c r="F103" i="78"/>
  <c r="G102" i="78"/>
  <c r="F102" i="78"/>
  <c r="G101" i="78"/>
  <c r="F101" i="78"/>
  <c r="G100" i="78"/>
  <c r="F100" i="78"/>
  <c r="G99" i="78"/>
  <c r="G98" i="78"/>
  <c r="F98" i="78"/>
  <c r="G97" i="78"/>
  <c r="F97" i="78"/>
  <c r="G96" i="78"/>
  <c r="F96" i="78"/>
  <c r="G95" i="78"/>
  <c r="F95" i="78"/>
  <c r="G94" i="78"/>
  <c r="F94" i="78"/>
  <c r="G90" i="78"/>
  <c r="G89" i="78"/>
  <c r="F89" i="78"/>
  <c r="G88" i="78"/>
  <c r="F88" i="78"/>
  <c r="G87" i="78"/>
  <c r="F87" i="78"/>
  <c r="G86" i="78"/>
  <c r="F86" i="78"/>
  <c r="G85" i="78"/>
  <c r="F85" i="78"/>
  <c r="G84" i="78"/>
  <c r="G83" i="78"/>
  <c r="F83" i="78"/>
  <c r="G82" i="78"/>
  <c r="G81" i="78"/>
  <c r="F81" i="78"/>
  <c r="G80" i="78"/>
  <c r="F80" i="78"/>
  <c r="G79" i="78"/>
  <c r="F79" i="78"/>
  <c r="G78" i="78"/>
  <c r="F78" i="78"/>
  <c r="G77" i="78"/>
  <c r="G76" i="78"/>
  <c r="F76" i="78"/>
  <c r="G75" i="78"/>
  <c r="F75" i="78"/>
  <c r="G74" i="78"/>
  <c r="F74" i="78"/>
  <c r="G73" i="78"/>
  <c r="F73" i="78"/>
  <c r="G72" i="78"/>
  <c r="F72" i="78"/>
  <c r="G68" i="78"/>
  <c r="G67" i="78"/>
  <c r="F67" i="78"/>
  <c r="G66" i="78"/>
  <c r="F66" i="78"/>
  <c r="G65" i="78"/>
  <c r="F65" i="78"/>
  <c r="G64" i="78"/>
  <c r="F64" i="78"/>
  <c r="G63" i="78"/>
  <c r="F63" i="78"/>
  <c r="G62" i="78"/>
  <c r="G61" i="78"/>
  <c r="F61" i="78"/>
  <c r="G60" i="78"/>
  <c r="G59" i="78"/>
  <c r="F59" i="78"/>
  <c r="G58" i="78"/>
  <c r="F58" i="78"/>
  <c r="G57" i="78"/>
  <c r="F57" i="78"/>
  <c r="G56" i="78"/>
  <c r="F56" i="78"/>
  <c r="G55" i="78"/>
  <c r="G54" i="78"/>
  <c r="F54" i="78"/>
  <c r="G53" i="78"/>
  <c r="F53" i="78"/>
  <c r="G52" i="78"/>
  <c r="F52" i="78"/>
  <c r="G51" i="78"/>
  <c r="F51" i="78"/>
  <c r="G50" i="78"/>
  <c r="F50" i="78"/>
  <c r="G46" i="78"/>
  <c r="G45" i="78"/>
  <c r="F45" i="78"/>
  <c r="G44" i="78"/>
  <c r="F44" i="78"/>
  <c r="G43" i="78"/>
  <c r="F43" i="78"/>
  <c r="G42" i="78"/>
  <c r="F42" i="78"/>
  <c r="G41" i="78"/>
  <c r="F41" i="78"/>
  <c r="G40" i="78"/>
  <c r="G39" i="78"/>
  <c r="F39" i="78"/>
  <c r="G38" i="78"/>
  <c r="G37" i="78"/>
  <c r="F37" i="78"/>
  <c r="G36" i="78"/>
  <c r="F36" i="78"/>
  <c r="G35" i="78"/>
  <c r="F35" i="78"/>
  <c r="G34" i="78"/>
  <c r="F34" i="78"/>
  <c r="G33" i="78"/>
  <c r="G32" i="78"/>
  <c r="F32" i="78"/>
  <c r="G31" i="78"/>
  <c r="F31" i="78"/>
  <c r="G30" i="78"/>
  <c r="F30" i="78"/>
  <c r="G29" i="78"/>
  <c r="F29" i="78"/>
  <c r="G28" i="78"/>
  <c r="F28" i="78"/>
  <c r="G24" i="78"/>
  <c r="G23" i="78"/>
  <c r="F23" i="78"/>
  <c r="G22" i="78"/>
  <c r="F22" i="78"/>
  <c r="G21" i="78"/>
  <c r="F21" i="78"/>
  <c r="G20" i="78"/>
  <c r="F20" i="78"/>
  <c r="G19" i="78"/>
  <c r="F19" i="78"/>
  <c r="G18" i="78"/>
  <c r="G17" i="78"/>
  <c r="F17" i="78"/>
  <c r="G16" i="78"/>
  <c r="G15" i="78"/>
  <c r="F15" i="78"/>
  <c r="G14" i="78"/>
  <c r="F14" i="78"/>
  <c r="G13" i="78"/>
  <c r="F13" i="78"/>
  <c r="G12" i="78"/>
  <c r="F12" i="78"/>
  <c r="G11" i="78"/>
  <c r="G10" i="78"/>
  <c r="F10" i="78"/>
  <c r="G9" i="78"/>
  <c r="F9" i="78"/>
  <c r="G8" i="78"/>
  <c r="F8" i="78"/>
  <c r="G7" i="78"/>
  <c r="F7" i="78"/>
  <c r="G6" i="78"/>
  <c r="F6" i="78"/>
  <c r="L1" i="78"/>
  <c r="C25" i="77"/>
  <c r="C24" i="77"/>
  <c r="C23" i="77"/>
  <c r="C22" i="77"/>
  <c r="C21" i="77"/>
  <c r="C20" i="77"/>
  <c r="C19" i="77"/>
  <c r="J17" i="77"/>
  <c r="I17" i="77"/>
  <c r="H17" i="77"/>
  <c r="V16" i="77"/>
  <c r="T16" i="77"/>
  <c r="R16" i="77"/>
  <c r="P16" i="77"/>
  <c r="L16" i="77"/>
  <c r="K16" i="77"/>
  <c r="J16" i="77"/>
  <c r="I16" i="77"/>
  <c r="H16" i="77"/>
  <c r="G16" i="77"/>
  <c r="F16" i="77"/>
  <c r="E16" i="77"/>
  <c r="D16" i="77"/>
  <c r="V15" i="77"/>
  <c r="T15" i="77"/>
  <c r="R15" i="77"/>
  <c r="P15" i="77"/>
  <c r="L15" i="77"/>
  <c r="K15" i="77"/>
  <c r="J15" i="77"/>
  <c r="I15" i="77"/>
  <c r="H15" i="77"/>
  <c r="G15" i="77"/>
  <c r="F15" i="77"/>
  <c r="E15" i="77"/>
  <c r="D15" i="77"/>
  <c r="V14" i="77"/>
  <c r="T14" i="77"/>
  <c r="R14" i="77"/>
  <c r="P14" i="77"/>
  <c r="L14" i="77"/>
  <c r="K14" i="77"/>
  <c r="J14" i="77"/>
  <c r="I14" i="77"/>
  <c r="H14" i="77"/>
  <c r="G14" i="77"/>
  <c r="F14" i="77"/>
  <c r="E14" i="77"/>
  <c r="D14" i="77"/>
  <c r="V13" i="77"/>
  <c r="T13" i="77"/>
  <c r="R13" i="77"/>
  <c r="P13" i="77"/>
  <c r="L13" i="77"/>
  <c r="K13" i="77"/>
  <c r="J13" i="77"/>
  <c r="I13" i="77"/>
  <c r="H13" i="77"/>
  <c r="G13" i="77"/>
  <c r="F13" i="77"/>
  <c r="E13" i="77"/>
  <c r="D13" i="77"/>
  <c r="V12" i="77"/>
  <c r="T12" i="77"/>
  <c r="R12" i="77"/>
  <c r="P12" i="77"/>
  <c r="L12" i="77"/>
  <c r="K12" i="77"/>
  <c r="J12" i="77"/>
  <c r="I12" i="77"/>
  <c r="H12" i="77"/>
  <c r="G12" i="77"/>
  <c r="F12" i="77"/>
  <c r="E12" i="77"/>
  <c r="D12" i="77"/>
  <c r="V11" i="77"/>
  <c r="T11" i="77"/>
  <c r="R11" i="77"/>
  <c r="P11" i="77"/>
  <c r="L11" i="77"/>
  <c r="K11" i="77"/>
  <c r="J11" i="77"/>
  <c r="I11" i="77"/>
  <c r="H11" i="77"/>
  <c r="G11" i="77"/>
  <c r="F11" i="77"/>
  <c r="E11" i="77"/>
  <c r="D11" i="77"/>
  <c r="V10" i="77"/>
  <c r="T10" i="77"/>
  <c r="R10" i="77"/>
  <c r="P10" i="77"/>
  <c r="L10" i="77"/>
  <c r="K10" i="77"/>
  <c r="J10" i="77"/>
  <c r="I10" i="77"/>
  <c r="H10" i="77"/>
  <c r="G10" i="77"/>
  <c r="F10" i="77"/>
  <c r="E10" i="77"/>
  <c r="D10" i="77"/>
  <c r="V9" i="77"/>
  <c r="T9" i="77"/>
  <c r="R9" i="77"/>
  <c r="P9" i="77"/>
  <c r="L9" i="77"/>
  <c r="K9" i="77"/>
  <c r="J9" i="77"/>
  <c r="I9" i="77"/>
  <c r="H9" i="77"/>
  <c r="G9" i="77"/>
  <c r="F9" i="77"/>
  <c r="E9" i="77"/>
  <c r="D9" i="77"/>
  <c r="V8" i="77"/>
  <c r="T8" i="77"/>
  <c r="R8" i="77"/>
  <c r="P8" i="77"/>
  <c r="L8" i="77"/>
  <c r="K8" i="77"/>
  <c r="J8" i="77"/>
  <c r="I8" i="77"/>
  <c r="H8" i="77"/>
  <c r="G8" i="77"/>
  <c r="F8" i="77"/>
  <c r="E8" i="77"/>
  <c r="D8" i="77"/>
  <c r="V7" i="77"/>
  <c r="T7" i="77"/>
  <c r="R7" i="77"/>
  <c r="P7" i="77"/>
  <c r="L7" i="77"/>
  <c r="K7" i="77"/>
  <c r="J7" i="77"/>
  <c r="I7" i="77"/>
  <c r="H7" i="77"/>
  <c r="G7" i="77"/>
  <c r="F7" i="77"/>
  <c r="E7" i="77"/>
  <c r="D7" i="77"/>
  <c r="V6" i="77"/>
  <c r="T6" i="77"/>
  <c r="R6" i="77"/>
  <c r="P6" i="77"/>
  <c r="L6" i="77"/>
  <c r="K6" i="77"/>
  <c r="J6" i="77"/>
  <c r="I6" i="77"/>
  <c r="H6" i="77"/>
  <c r="G6" i="77"/>
  <c r="F6" i="77"/>
  <c r="E6" i="77"/>
  <c r="D6" i="77"/>
  <c r="V5" i="77"/>
  <c r="T5" i="77"/>
  <c r="R5" i="77"/>
  <c r="P5" i="77"/>
  <c r="L5" i="77"/>
  <c r="K5" i="77"/>
  <c r="J5" i="77"/>
  <c r="I5" i="77"/>
  <c r="H5" i="77"/>
  <c r="G5" i="77"/>
  <c r="F5" i="77"/>
  <c r="E5" i="77"/>
  <c r="D5" i="77"/>
  <c r="N1" i="77"/>
  <c r="I8" i="76"/>
  <c r="E23" i="76"/>
  <c r="D23" i="76"/>
  <c r="C23" i="76"/>
  <c r="B23" i="76"/>
  <c r="I6" i="76"/>
  <c r="E22" i="76"/>
  <c r="D22" i="76"/>
  <c r="C22" i="76"/>
  <c r="B22" i="76"/>
  <c r="I11" i="76"/>
  <c r="E21" i="76"/>
  <c r="D21" i="76"/>
  <c r="C21" i="76"/>
  <c r="B21" i="76"/>
  <c r="I17" i="76"/>
  <c r="F17" i="76"/>
  <c r="I16" i="76"/>
  <c r="F16" i="76"/>
  <c r="I15" i="76"/>
  <c r="F15" i="76"/>
  <c r="I14" i="76"/>
  <c r="F14" i="76"/>
  <c r="I13" i="76"/>
  <c r="F13" i="76"/>
  <c r="I12" i="76"/>
  <c r="F12" i="76"/>
  <c r="F11" i="76"/>
  <c r="I10" i="76"/>
  <c r="F10" i="76"/>
  <c r="I9" i="76"/>
  <c r="F9" i="76"/>
  <c r="F8" i="76"/>
  <c r="I7" i="76"/>
  <c r="F7" i="76"/>
  <c r="F6" i="76"/>
  <c r="G31" i="75"/>
  <c r="F31" i="75"/>
  <c r="G30" i="75"/>
  <c r="F30" i="75"/>
  <c r="G29" i="75"/>
  <c r="F29" i="75"/>
  <c r="G28" i="75"/>
  <c r="F28" i="75"/>
  <c r="G27" i="75"/>
  <c r="F27" i="75"/>
  <c r="G26" i="75"/>
  <c r="F26" i="75"/>
  <c r="G25" i="75"/>
  <c r="F25" i="75"/>
  <c r="G24" i="75"/>
  <c r="F24" i="75"/>
  <c r="G23" i="75"/>
  <c r="F23" i="75"/>
  <c r="G22" i="75"/>
  <c r="F22" i="75"/>
  <c r="G17" i="75"/>
  <c r="E17" i="75"/>
  <c r="D17" i="75"/>
  <c r="C17" i="75"/>
  <c r="I15" i="75"/>
  <c r="H15" i="75"/>
  <c r="G15" i="75"/>
  <c r="F15" i="75"/>
  <c r="E15" i="75"/>
  <c r="D15" i="75"/>
  <c r="C15" i="75"/>
  <c r="I14" i="75"/>
  <c r="H14" i="75"/>
  <c r="G14" i="75"/>
  <c r="F14" i="75"/>
  <c r="E14" i="75"/>
  <c r="D14" i="75"/>
  <c r="C14" i="75"/>
  <c r="I13" i="75"/>
  <c r="H13" i="75"/>
  <c r="G13" i="75"/>
  <c r="F13" i="75"/>
  <c r="E13" i="75"/>
  <c r="D13" i="75"/>
  <c r="C13" i="75"/>
  <c r="I12" i="75"/>
  <c r="H12" i="75"/>
  <c r="G12" i="75"/>
  <c r="F12" i="75"/>
  <c r="E12" i="75"/>
  <c r="D12" i="75"/>
  <c r="C12" i="75"/>
  <c r="I11" i="75"/>
  <c r="H11" i="75"/>
  <c r="G11" i="75"/>
  <c r="F11" i="75"/>
  <c r="E11" i="75"/>
  <c r="D11" i="75"/>
  <c r="C11" i="75"/>
  <c r="I10" i="75"/>
  <c r="H10" i="75"/>
  <c r="G10" i="75"/>
  <c r="F10" i="75"/>
  <c r="E10" i="75"/>
  <c r="D10" i="75"/>
  <c r="C10" i="75"/>
  <c r="I9" i="75"/>
  <c r="H9" i="75"/>
  <c r="G9" i="75"/>
  <c r="F9" i="75"/>
  <c r="E9" i="75"/>
  <c r="D9" i="75"/>
  <c r="C9" i="75"/>
  <c r="I8" i="75"/>
  <c r="H8" i="75"/>
  <c r="G8" i="75"/>
  <c r="F8" i="75"/>
  <c r="E8" i="75"/>
  <c r="D8" i="75"/>
  <c r="C8" i="75"/>
  <c r="I7" i="75"/>
  <c r="H7" i="75"/>
  <c r="G7" i="75"/>
  <c r="F7" i="75"/>
  <c r="E7" i="75"/>
  <c r="D7" i="75"/>
  <c r="C7" i="75"/>
  <c r="I6" i="75"/>
  <c r="H6" i="75"/>
  <c r="G6" i="75"/>
  <c r="F6" i="75"/>
  <c r="E6" i="75"/>
  <c r="D6" i="75"/>
  <c r="C6" i="75"/>
  <c r="I5" i="75"/>
  <c r="H5" i="75"/>
  <c r="G5" i="75"/>
  <c r="F5" i="75"/>
  <c r="E5" i="75"/>
  <c r="D5" i="75"/>
  <c r="C5" i="75"/>
  <c r="I4" i="75"/>
  <c r="H4" i="75"/>
  <c r="G4" i="75"/>
  <c r="F4" i="75"/>
  <c r="E4" i="75"/>
  <c r="D4" i="75"/>
  <c r="C4" i="75"/>
  <c r="S11" i="74"/>
  <c r="R11" i="74"/>
  <c r="Q11" i="74"/>
  <c r="P11" i="74"/>
  <c r="O11" i="74"/>
  <c r="N11" i="74"/>
  <c r="M11" i="74"/>
  <c r="L11" i="74"/>
  <c r="K11" i="74"/>
  <c r="J11" i="74"/>
  <c r="I11" i="74"/>
  <c r="H11" i="74"/>
  <c r="G11" i="74"/>
  <c r="F11" i="74"/>
  <c r="E11" i="74"/>
  <c r="D11" i="74"/>
  <c r="C11" i="74"/>
  <c r="B11" i="74"/>
  <c r="S10" i="74"/>
  <c r="R10" i="74"/>
  <c r="Q10" i="74"/>
  <c r="P10" i="74"/>
  <c r="O10" i="74"/>
  <c r="N10" i="74"/>
  <c r="M10" i="74"/>
  <c r="L10" i="74"/>
  <c r="K10" i="74"/>
  <c r="J10" i="74"/>
  <c r="I10" i="74"/>
  <c r="H10" i="74"/>
  <c r="G10" i="74"/>
  <c r="F10" i="74"/>
  <c r="E10" i="74"/>
  <c r="D10" i="74"/>
  <c r="C10" i="74"/>
  <c r="B10" i="74"/>
  <c r="S9" i="74"/>
  <c r="R9" i="74"/>
  <c r="Q9" i="74"/>
  <c r="P9" i="74"/>
  <c r="O9" i="74"/>
  <c r="N9" i="74"/>
  <c r="M9" i="74"/>
  <c r="L9" i="74"/>
  <c r="K9" i="74"/>
  <c r="J9" i="74"/>
  <c r="I9" i="74"/>
  <c r="H9" i="74"/>
  <c r="G9" i="74"/>
  <c r="F9" i="74"/>
  <c r="E9" i="74"/>
  <c r="D9" i="74"/>
  <c r="C9" i="74"/>
  <c r="B9" i="74"/>
  <c r="S8" i="74"/>
  <c r="R8" i="74"/>
  <c r="Q8" i="74"/>
  <c r="P8" i="74"/>
  <c r="O8" i="74"/>
  <c r="N8" i="74"/>
  <c r="M8" i="74"/>
  <c r="L8" i="74"/>
  <c r="K8" i="74"/>
  <c r="J8" i="74"/>
  <c r="I8" i="74"/>
  <c r="H8" i="74"/>
  <c r="G8" i="74"/>
  <c r="F8" i="74"/>
  <c r="E8" i="74"/>
  <c r="D8" i="74"/>
  <c r="C8" i="74"/>
  <c r="B8" i="74"/>
  <c r="S7" i="74"/>
  <c r="R7" i="74"/>
  <c r="Q7" i="74"/>
  <c r="P7" i="74"/>
  <c r="O7" i="74"/>
  <c r="N7" i="74"/>
  <c r="M7" i="74"/>
  <c r="L7" i="74"/>
  <c r="K7" i="74"/>
  <c r="J7" i="74"/>
  <c r="I7" i="74"/>
  <c r="H7" i="74"/>
  <c r="G7" i="74"/>
  <c r="F7" i="74"/>
  <c r="E7" i="74"/>
  <c r="D7" i="74"/>
  <c r="C7" i="74"/>
  <c r="B7" i="74"/>
  <c r="S6" i="74"/>
  <c r="R6" i="74"/>
  <c r="Q6" i="74"/>
  <c r="P6" i="74"/>
  <c r="O6" i="74"/>
  <c r="N6" i="74"/>
  <c r="M6" i="74"/>
  <c r="L6" i="74"/>
  <c r="K6" i="74"/>
  <c r="J6" i="74"/>
  <c r="I6" i="74"/>
  <c r="H6" i="74"/>
  <c r="G6" i="74"/>
  <c r="F6" i="74"/>
  <c r="E6" i="74"/>
  <c r="D6" i="74"/>
  <c r="C6" i="74"/>
  <c r="B6" i="74"/>
  <c r="S5" i="74"/>
  <c r="R5" i="74"/>
  <c r="Q5" i="74"/>
  <c r="P5" i="74"/>
  <c r="O5" i="74"/>
  <c r="N5" i="74"/>
  <c r="M5" i="74"/>
  <c r="L5" i="74"/>
  <c r="K5" i="74"/>
  <c r="J5" i="74"/>
  <c r="I5" i="74"/>
  <c r="H5" i="74"/>
  <c r="G5" i="74"/>
  <c r="F5" i="74"/>
  <c r="E5" i="74"/>
  <c r="D5" i="74"/>
  <c r="C5" i="74"/>
  <c r="B5" i="74"/>
  <c r="C17" i="73"/>
  <c r="F17" i="73"/>
  <c r="J17" i="73"/>
  <c r="I17" i="73"/>
  <c r="H17" i="73"/>
  <c r="G17" i="73"/>
  <c r="C16" i="73"/>
  <c r="F16" i="73"/>
  <c r="J16" i="73"/>
  <c r="I16" i="73"/>
  <c r="H16" i="73"/>
  <c r="G16" i="73"/>
  <c r="C15" i="73"/>
  <c r="F15" i="73"/>
  <c r="J15" i="73"/>
  <c r="I15" i="73"/>
  <c r="H15" i="73"/>
  <c r="G15" i="73"/>
  <c r="C14" i="73"/>
  <c r="F14" i="73"/>
  <c r="J14" i="73"/>
  <c r="I14" i="73"/>
  <c r="H14" i="73"/>
  <c r="G14" i="73"/>
  <c r="C13" i="73"/>
  <c r="F13" i="73"/>
  <c r="J13" i="73"/>
  <c r="I13" i="73"/>
  <c r="H13" i="73"/>
  <c r="G13" i="73"/>
  <c r="C12" i="73"/>
  <c r="F12" i="73"/>
  <c r="J12" i="73"/>
  <c r="I12" i="73"/>
  <c r="H12" i="73"/>
  <c r="G12" i="73"/>
  <c r="C11" i="73"/>
  <c r="F11" i="73"/>
  <c r="J11" i="73"/>
  <c r="I11" i="73"/>
  <c r="H11" i="73"/>
  <c r="G11" i="73"/>
  <c r="C10" i="73"/>
  <c r="F10" i="73"/>
  <c r="J10" i="73"/>
  <c r="I10" i="73"/>
  <c r="H10" i="73"/>
  <c r="G10" i="73"/>
  <c r="C9" i="73"/>
  <c r="F9" i="73"/>
  <c r="J9" i="73"/>
  <c r="I9" i="73"/>
  <c r="H9" i="73"/>
  <c r="G9" i="73"/>
  <c r="C8" i="73"/>
  <c r="F8" i="73"/>
  <c r="J8" i="73"/>
  <c r="I8" i="73"/>
  <c r="H8" i="73"/>
  <c r="G8" i="73"/>
  <c r="C7" i="73"/>
  <c r="F7" i="73"/>
  <c r="J7" i="73"/>
  <c r="I7" i="73"/>
  <c r="H7" i="73"/>
  <c r="G7" i="73"/>
  <c r="C6" i="73"/>
  <c r="F6" i="73"/>
  <c r="J6" i="73"/>
  <c r="I6" i="73"/>
  <c r="H6" i="73"/>
  <c r="G6" i="73"/>
  <c r="I17" i="72"/>
  <c r="H17" i="72"/>
  <c r="G17" i="72"/>
  <c r="F17" i="72"/>
  <c r="E17" i="72"/>
  <c r="D17" i="72"/>
  <c r="C17" i="72"/>
  <c r="B17" i="72"/>
  <c r="I16" i="72"/>
  <c r="H16" i="72"/>
  <c r="G16" i="72"/>
  <c r="F16" i="72"/>
  <c r="E16" i="72"/>
  <c r="D16" i="72"/>
  <c r="C16" i="72"/>
  <c r="B16" i="72"/>
  <c r="I15" i="72"/>
  <c r="H15" i="72"/>
  <c r="G15" i="72"/>
  <c r="F15" i="72"/>
  <c r="E15" i="72"/>
  <c r="D15" i="72"/>
  <c r="C15" i="72"/>
  <c r="B15" i="72"/>
  <c r="I14" i="72"/>
  <c r="H14" i="72"/>
  <c r="G14" i="72"/>
  <c r="F14" i="72"/>
  <c r="E14" i="72"/>
  <c r="D14" i="72"/>
  <c r="C14" i="72"/>
  <c r="B14" i="72"/>
  <c r="I13" i="72"/>
  <c r="H13" i="72"/>
  <c r="G13" i="72"/>
  <c r="F13" i="72"/>
  <c r="E13" i="72"/>
  <c r="D13" i="72"/>
  <c r="C13" i="72"/>
  <c r="B13" i="72"/>
  <c r="I12" i="72"/>
  <c r="G12" i="72"/>
  <c r="F12" i="72"/>
  <c r="E12" i="72"/>
  <c r="D12" i="72"/>
  <c r="C12" i="72"/>
  <c r="B12" i="72"/>
  <c r="I11" i="72"/>
  <c r="H11" i="72"/>
  <c r="G11" i="72"/>
  <c r="F11" i="72"/>
  <c r="E11" i="72"/>
  <c r="D11" i="72"/>
  <c r="C11" i="72"/>
  <c r="B11" i="72"/>
  <c r="I10" i="72"/>
  <c r="H10" i="72"/>
  <c r="G10" i="72"/>
  <c r="F10" i="72"/>
  <c r="E10" i="72"/>
  <c r="D10" i="72"/>
  <c r="C10" i="72"/>
  <c r="B10" i="72"/>
  <c r="I9" i="72"/>
  <c r="H9" i="72"/>
  <c r="G9" i="72"/>
  <c r="F9" i="72"/>
  <c r="E9" i="72"/>
  <c r="D9" i="72"/>
  <c r="C9" i="72"/>
  <c r="B9" i="72"/>
  <c r="I8" i="72"/>
  <c r="H8" i="72"/>
  <c r="G8" i="72"/>
  <c r="F8" i="72"/>
  <c r="E8" i="72"/>
  <c r="D8" i="72"/>
  <c r="C8" i="72"/>
  <c r="B8" i="72"/>
  <c r="I7" i="72"/>
  <c r="H7" i="72"/>
  <c r="G7" i="72"/>
  <c r="F7" i="72"/>
  <c r="E7" i="72"/>
  <c r="D7" i="72"/>
  <c r="C7" i="72"/>
  <c r="B7" i="72"/>
  <c r="I6" i="72"/>
  <c r="H6" i="72"/>
  <c r="G6" i="72"/>
  <c r="F6" i="72"/>
  <c r="E6" i="72"/>
  <c r="D6" i="72"/>
  <c r="C6" i="72"/>
  <c r="B6" i="72"/>
  <c r="H12" i="69"/>
  <c r="G12" i="69"/>
  <c r="F12" i="69"/>
  <c r="E12" i="69"/>
  <c r="D12" i="69"/>
  <c r="C12" i="69"/>
  <c r="B12" i="69"/>
  <c r="H11" i="69"/>
  <c r="G11" i="69"/>
  <c r="F11" i="69"/>
  <c r="E11" i="69"/>
  <c r="D11" i="69"/>
  <c r="C11" i="69"/>
  <c r="B11" i="69"/>
  <c r="H10" i="69"/>
  <c r="G10" i="69"/>
  <c r="F10" i="69"/>
  <c r="E10" i="69"/>
  <c r="D10" i="69"/>
  <c r="C10" i="69"/>
  <c r="B10" i="69"/>
  <c r="H9" i="69"/>
  <c r="G9" i="69"/>
  <c r="F9" i="69"/>
  <c r="E9" i="69"/>
  <c r="D9" i="69"/>
  <c r="C9" i="69"/>
  <c r="B9" i="69"/>
  <c r="H8" i="69"/>
  <c r="G8" i="69"/>
  <c r="F8" i="69"/>
  <c r="E8" i="69"/>
  <c r="D8" i="69"/>
  <c r="C8" i="69"/>
  <c r="B8" i="69"/>
  <c r="H7" i="69"/>
  <c r="G7" i="69"/>
  <c r="F7" i="69"/>
  <c r="E7" i="69"/>
  <c r="D7" i="69"/>
  <c r="C7" i="69"/>
  <c r="B7" i="69"/>
  <c r="H6" i="69"/>
  <c r="G6" i="69"/>
  <c r="F6" i="69"/>
  <c r="E6" i="69"/>
  <c r="D6" i="69"/>
  <c r="C6" i="69"/>
  <c r="B6" i="69"/>
  <c r="H5" i="69"/>
  <c r="G5" i="69"/>
  <c r="F5" i="69"/>
  <c r="E5" i="69"/>
  <c r="D5" i="69"/>
  <c r="C5" i="69"/>
  <c r="B5" i="69"/>
  <c r="F23" i="68"/>
  <c r="F22" i="68"/>
  <c r="F21" i="68"/>
  <c r="D21" i="68"/>
  <c r="C21" i="68"/>
  <c r="F20" i="68"/>
  <c r="D20" i="68"/>
  <c r="C20" i="68"/>
  <c r="F19" i="68"/>
  <c r="D19" i="68"/>
  <c r="C19" i="68"/>
  <c r="F18" i="68"/>
  <c r="D18" i="68"/>
  <c r="C18" i="68"/>
  <c r="F17" i="68"/>
  <c r="D17" i="68"/>
  <c r="C17" i="68"/>
  <c r="F16" i="68"/>
  <c r="D16" i="68"/>
  <c r="C16" i="68"/>
  <c r="F15" i="68"/>
  <c r="D15" i="68"/>
  <c r="C15" i="68"/>
  <c r="F14" i="68"/>
  <c r="D14" i="68"/>
  <c r="C14" i="68"/>
  <c r="B8" i="68"/>
  <c r="B7" i="68"/>
  <c r="B6" i="68"/>
  <c r="K159" i="67"/>
  <c r="I159" i="67"/>
  <c r="J159" i="67"/>
  <c r="H159" i="67"/>
  <c r="G159" i="67"/>
  <c r="F159" i="67"/>
  <c r="E159" i="67"/>
  <c r="C159" i="67"/>
  <c r="B159" i="67"/>
  <c r="A159" i="67"/>
  <c r="K158" i="67"/>
  <c r="I158" i="67"/>
  <c r="J158" i="67"/>
  <c r="H158" i="67"/>
  <c r="G158" i="67"/>
  <c r="F158" i="67"/>
  <c r="E158" i="67"/>
  <c r="C158" i="67"/>
  <c r="B158" i="67"/>
  <c r="A158" i="67"/>
  <c r="K157" i="67"/>
  <c r="I157" i="67"/>
  <c r="J157" i="67"/>
  <c r="H157" i="67"/>
  <c r="G157" i="67"/>
  <c r="F157" i="67"/>
  <c r="E157" i="67"/>
  <c r="C157" i="67"/>
  <c r="B157" i="67"/>
  <c r="A157" i="67"/>
  <c r="K156" i="67"/>
  <c r="I156" i="67"/>
  <c r="J156" i="67"/>
  <c r="H156" i="67"/>
  <c r="G156" i="67"/>
  <c r="F156" i="67"/>
  <c r="E156" i="67"/>
  <c r="C156" i="67"/>
  <c r="B156" i="67"/>
  <c r="A156" i="67"/>
  <c r="K155" i="67"/>
  <c r="I155" i="67"/>
  <c r="J155" i="67"/>
  <c r="H155" i="67"/>
  <c r="G155" i="67"/>
  <c r="F155" i="67"/>
  <c r="E155" i="67"/>
  <c r="C155" i="67"/>
  <c r="B155" i="67"/>
  <c r="A155" i="67"/>
  <c r="K154" i="67"/>
  <c r="I154" i="67"/>
  <c r="J154" i="67"/>
  <c r="H154" i="67"/>
  <c r="G154" i="67"/>
  <c r="F154" i="67"/>
  <c r="E154" i="67"/>
  <c r="C154" i="67"/>
  <c r="B154" i="67"/>
  <c r="A154" i="67"/>
  <c r="K153" i="67"/>
  <c r="I153" i="67"/>
  <c r="J153" i="67"/>
  <c r="H153" i="67"/>
  <c r="G153" i="67"/>
  <c r="F153" i="67"/>
  <c r="E153" i="67"/>
  <c r="C153" i="67"/>
  <c r="B153" i="67"/>
  <c r="A153" i="67"/>
  <c r="K152" i="67"/>
  <c r="I152" i="67"/>
  <c r="J152" i="67"/>
  <c r="H152" i="67"/>
  <c r="G152" i="67"/>
  <c r="F152" i="67"/>
  <c r="E152" i="67"/>
  <c r="C152" i="67"/>
  <c r="B152" i="67"/>
  <c r="A152" i="67"/>
  <c r="K151" i="67"/>
  <c r="I151" i="67"/>
  <c r="J151" i="67"/>
  <c r="H151" i="67"/>
  <c r="G151" i="67"/>
  <c r="F151" i="67"/>
  <c r="E151" i="67"/>
  <c r="C151" i="67"/>
  <c r="B151" i="67"/>
  <c r="A151" i="67"/>
  <c r="K150" i="67"/>
  <c r="I150" i="67"/>
  <c r="J150" i="67"/>
  <c r="H150" i="67"/>
  <c r="G150" i="67"/>
  <c r="F150" i="67"/>
  <c r="E150" i="67"/>
  <c r="C150" i="67"/>
  <c r="B150" i="67"/>
  <c r="A150" i="67"/>
  <c r="K149" i="67"/>
  <c r="I149" i="67"/>
  <c r="J149" i="67"/>
  <c r="H149" i="67"/>
  <c r="G149" i="67"/>
  <c r="F149" i="67"/>
  <c r="E149" i="67"/>
  <c r="C149" i="67"/>
  <c r="B149" i="67"/>
  <c r="A149" i="67"/>
  <c r="K148" i="67"/>
  <c r="I148" i="67"/>
  <c r="J148" i="67"/>
  <c r="H148" i="67"/>
  <c r="G148" i="67"/>
  <c r="F148" i="67"/>
  <c r="E148" i="67"/>
  <c r="C148" i="67"/>
  <c r="B148" i="67"/>
  <c r="A148" i="67"/>
  <c r="A147" i="67"/>
  <c r="K146" i="67"/>
  <c r="I146" i="67"/>
  <c r="J146" i="67"/>
  <c r="H146" i="67"/>
  <c r="G146" i="67"/>
  <c r="F146" i="67"/>
  <c r="E146" i="67"/>
  <c r="C146" i="67"/>
  <c r="B146" i="67"/>
  <c r="A146" i="67"/>
  <c r="K145" i="67"/>
  <c r="I145" i="67"/>
  <c r="J145" i="67"/>
  <c r="H145" i="67"/>
  <c r="G145" i="67"/>
  <c r="F145" i="67"/>
  <c r="E145" i="67"/>
  <c r="C145" i="67"/>
  <c r="B145" i="67"/>
  <c r="A145" i="67"/>
  <c r="K144" i="67"/>
  <c r="I144" i="67"/>
  <c r="J144" i="67"/>
  <c r="H144" i="67"/>
  <c r="G144" i="67"/>
  <c r="F144" i="67"/>
  <c r="E144" i="67"/>
  <c r="C144" i="67"/>
  <c r="B144" i="67"/>
  <c r="A144" i="67"/>
  <c r="K143" i="67"/>
  <c r="I143" i="67"/>
  <c r="J143" i="67"/>
  <c r="H143" i="67"/>
  <c r="G143" i="67"/>
  <c r="F143" i="67"/>
  <c r="E143" i="67"/>
  <c r="C143" i="67"/>
  <c r="B143" i="67"/>
  <c r="A143" i="67"/>
  <c r="K142" i="67"/>
  <c r="I142" i="67"/>
  <c r="J142" i="67"/>
  <c r="H142" i="67"/>
  <c r="G142" i="67"/>
  <c r="F142" i="67"/>
  <c r="E142" i="67"/>
  <c r="C142" i="67"/>
  <c r="B142" i="67"/>
  <c r="A142" i="67"/>
  <c r="K141" i="67"/>
  <c r="I141" i="67"/>
  <c r="J141" i="67"/>
  <c r="H141" i="67"/>
  <c r="G141" i="67"/>
  <c r="F141" i="67"/>
  <c r="E141" i="67"/>
  <c r="C141" i="67"/>
  <c r="B141" i="67"/>
  <c r="A141" i="67"/>
  <c r="K140" i="67"/>
  <c r="I140" i="67"/>
  <c r="J140" i="67"/>
  <c r="H140" i="67"/>
  <c r="G140" i="67"/>
  <c r="F140" i="67"/>
  <c r="E140" i="67"/>
  <c r="C140" i="67"/>
  <c r="B140" i="67"/>
  <c r="A140" i="67"/>
  <c r="K139" i="67"/>
  <c r="I139" i="67"/>
  <c r="J139" i="67"/>
  <c r="H139" i="67"/>
  <c r="G139" i="67"/>
  <c r="F139" i="67"/>
  <c r="E139" i="67"/>
  <c r="C139" i="67"/>
  <c r="B139" i="67"/>
  <c r="A139" i="67"/>
  <c r="K138" i="67"/>
  <c r="I138" i="67"/>
  <c r="J138" i="67"/>
  <c r="H138" i="67"/>
  <c r="G138" i="67"/>
  <c r="F138" i="67"/>
  <c r="E138" i="67"/>
  <c r="C138" i="67"/>
  <c r="B138" i="67"/>
  <c r="A138" i="67"/>
  <c r="K137" i="67"/>
  <c r="I137" i="67"/>
  <c r="J137" i="67"/>
  <c r="H137" i="67"/>
  <c r="G137" i="67"/>
  <c r="F137" i="67"/>
  <c r="E137" i="67"/>
  <c r="C137" i="67"/>
  <c r="B137" i="67"/>
  <c r="A137" i="67"/>
  <c r="K136" i="67"/>
  <c r="I136" i="67"/>
  <c r="J136" i="67"/>
  <c r="H136" i="67"/>
  <c r="G136" i="67"/>
  <c r="F136" i="67"/>
  <c r="E136" i="67"/>
  <c r="C136" i="67"/>
  <c r="B136" i="67"/>
  <c r="A136" i="67"/>
  <c r="K135" i="67"/>
  <c r="I135" i="67"/>
  <c r="J135" i="67"/>
  <c r="H135" i="67"/>
  <c r="G135" i="67"/>
  <c r="F135" i="67"/>
  <c r="E135" i="67"/>
  <c r="C135" i="67"/>
  <c r="B135" i="67"/>
  <c r="A135" i="67"/>
  <c r="A134" i="67"/>
  <c r="K133" i="67"/>
  <c r="I133" i="67"/>
  <c r="J133" i="67"/>
  <c r="H133" i="67"/>
  <c r="G133" i="67"/>
  <c r="F133" i="67"/>
  <c r="E133" i="67"/>
  <c r="C133" i="67"/>
  <c r="B133" i="67"/>
  <c r="A133" i="67"/>
  <c r="K132" i="67"/>
  <c r="I132" i="67"/>
  <c r="J132" i="67"/>
  <c r="H132" i="67"/>
  <c r="G132" i="67"/>
  <c r="F132" i="67"/>
  <c r="E132" i="67"/>
  <c r="C132" i="67"/>
  <c r="B132" i="67"/>
  <c r="A132" i="67"/>
  <c r="K131" i="67"/>
  <c r="I131" i="67"/>
  <c r="J131" i="67"/>
  <c r="H131" i="67"/>
  <c r="G131" i="67"/>
  <c r="F131" i="67"/>
  <c r="E131" i="67"/>
  <c r="C131" i="67"/>
  <c r="B131" i="67"/>
  <c r="A131" i="67"/>
  <c r="K130" i="67"/>
  <c r="I130" i="67"/>
  <c r="J130" i="67"/>
  <c r="H130" i="67"/>
  <c r="G130" i="67"/>
  <c r="F130" i="67"/>
  <c r="E130" i="67"/>
  <c r="C130" i="67"/>
  <c r="B130" i="67"/>
  <c r="A130" i="67"/>
  <c r="K129" i="67"/>
  <c r="I129" i="67"/>
  <c r="J129" i="67"/>
  <c r="H129" i="67"/>
  <c r="G129" i="67"/>
  <c r="F129" i="67"/>
  <c r="E129" i="67"/>
  <c r="C129" i="67"/>
  <c r="B129" i="67"/>
  <c r="A129" i="67"/>
  <c r="K128" i="67"/>
  <c r="I128" i="67"/>
  <c r="J128" i="67"/>
  <c r="H128" i="67"/>
  <c r="G128" i="67"/>
  <c r="F128" i="67"/>
  <c r="E128" i="67"/>
  <c r="C128" i="67"/>
  <c r="B128" i="67"/>
  <c r="A128" i="67"/>
  <c r="K127" i="67"/>
  <c r="I127" i="67"/>
  <c r="J127" i="67"/>
  <c r="H127" i="67"/>
  <c r="G127" i="67"/>
  <c r="F127" i="67"/>
  <c r="E127" i="67"/>
  <c r="C127" i="67"/>
  <c r="B127" i="67"/>
  <c r="A127" i="67"/>
  <c r="K126" i="67"/>
  <c r="I126" i="67"/>
  <c r="J126" i="67"/>
  <c r="H126" i="67"/>
  <c r="G126" i="67"/>
  <c r="F126" i="67"/>
  <c r="E126" i="67"/>
  <c r="C126" i="67"/>
  <c r="B126" i="67"/>
  <c r="A126" i="67"/>
  <c r="K125" i="67"/>
  <c r="I125" i="67"/>
  <c r="J125" i="67"/>
  <c r="H125" i="67"/>
  <c r="G125" i="67"/>
  <c r="F125" i="67"/>
  <c r="E125" i="67"/>
  <c r="C125" i="67"/>
  <c r="B125" i="67"/>
  <c r="A125" i="67"/>
  <c r="K124" i="67"/>
  <c r="I124" i="67"/>
  <c r="J124" i="67"/>
  <c r="H124" i="67"/>
  <c r="G124" i="67"/>
  <c r="F124" i="67"/>
  <c r="E124" i="67"/>
  <c r="C124" i="67"/>
  <c r="B124" i="67"/>
  <c r="A124" i="67"/>
  <c r="K123" i="67"/>
  <c r="I123" i="67"/>
  <c r="J123" i="67"/>
  <c r="H123" i="67"/>
  <c r="G123" i="67"/>
  <c r="F123" i="67"/>
  <c r="E123" i="67"/>
  <c r="C123" i="67"/>
  <c r="B123" i="67"/>
  <c r="A123" i="67"/>
  <c r="K122" i="67"/>
  <c r="I122" i="67"/>
  <c r="J122" i="67"/>
  <c r="H122" i="67"/>
  <c r="G122" i="67"/>
  <c r="F122" i="67"/>
  <c r="E122" i="67"/>
  <c r="C122" i="67"/>
  <c r="B122" i="67"/>
  <c r="A122" i="67"/>
  <c r="A121" i="67"/>
  <c r="K120" i="67"/>
  <c r="I120" i="67"/>
  <c r="J120" i="67"/>
  <c r="H120" i="67"/>
  <c r="G120" i="67"/>
  <c r="F120" i="67"/>
  <c r="E120" i="67"/>
  <c r="C120" i="67"/>
  <c r="B120" i="67"/>
  <c r="A120" i="67"/>
  <c r="K119" i="67"/>
  <c r="I119" i="67"/>
  <c r="J119" i="67"/>
  <c r="H119" i="67"/>
  <c r="G119" i="67"/>
  <c r="F119" i="67"/>
  <c r="E119" i="67"/>
  <c r="C119" i="67"/>
  <c r="B119" i="67"/>
  <c r="A119" i="67"/>
  <c r="K118" i="67"/>
  <c r="I118" i="67"/>
  <c r="J118" i="67"/>
  <c r="H118" i="67"/>
  <c r="G118" i="67"/>
  <c r="F118" i="67"/>
  <c r="E118" i="67"/>
  <c r="C118" i="67"/>
  <c r="B118" i="67"/>
  <c r="A118" i="67"/>
  <c r="K117" i="67"/>
  <c r="I117" i="67"/>
  <c r="J117" i="67"/>
  <c r="H117" i="67"/>
  <c r="G117" i="67"/>
  <c r="F117" i="67"/>
  <c r="E117" i="67"/>
  <c r="C117" i="67"/>
  <c r="B117" i="67"/>
  <c r="A117" i="67"/>
  <c r="K116" i="67"/>
  <c r="I116" i="67"/>
  <c r="J116" i="67"/>
  <c r="H116" i="67"/>
  <c r="G116" i="67"/>
  <c r="F116" i="67"/>
  <c r="E116" i="67"/>
  <c r="C116" i="67"/>
  <c r="B116" i="67"/>
  <c r="A116" i="67"/>
  <c r="K115" i="67"/>
  <c r="I115" i="67"/>
  <c r="J115" i="67"/>
  <c r="H115" i="67"/>
  <c r="G115" i="67"/>
  <c r="F115" i="67"/>
  <c r="E115" i="67"/>
  <c r="C115" i="67"/>
  <c r="B115" i="67"/>
  <c r="A115" i="67"/>
  <c r="K114" i="67"/>
  <c r="I114" i="67"/>
  <c r="J114" i="67"/>
  <c r="H114" i="67"/>
  <c r="G114" i="67"/>
  <c r="F114" i="67"/>
  <c r="E114" i="67"/>
  <c r="C114" i="67"/>
  <c r="B114" i="67"/>
  <c r="A114" i="67"/>
  <c r="K113" i="67"/>
  <c r="I113" i="67"/>
  <c r="J113" i="67"/>
  <c r="H113" i="67"/>
  <c r="G113" i="67"/>
  <c r="F113" i="67"/>
  <c r="E113" i="67"/>
  <c r="C113" i="67"/>
  <c r="B113" i="67"/>
  <c r="A113" i="67"/>
  <c r="K112" i="67"/>
  <c r="I112" i="67"/>
  <c r="J112" i="67"/>
  <c r="H112" i="67"/>
  <c r="G112" i="67"/>
  <c r="F112" i="67"/>
  <c r="E112" i="67"/>
  <c r="C112" i="67"/>
  <c r="B112" i="67"/>
  <c r="A112" i="67"/>
  <c r="K111" i="67"/>
  <c r="I111" i="67"/>
  <c r="J111" i="67"/>
  <c r="H111" i="67"/>
  <c r="G111" i="67"/>
  <c r="F111" i="67"/>
  <c r="E111" i="67"/>
  <c r="C111" i="67"/>
  <c r="B111" i="67"/>
  <c r="A111" i="67"/>
  <c r="K110" i="67"/>
  <c r="I110" i="67"/>
  <c r="J110" i="67"/>
  <c r="H110" i="67"/>
  <c r="G110" i="67"/>
  <c r="F110" i="67"/>
  <c r="E110" i="67"/>
  <c r="C110" i="67"/>
  <c r="B110" i="67"/>
  <c r="A110" i="67"/>
  <c r="K109" i="67"/>
  <c r="I109" i="67"/>
  <c r="J109" i="67"/>
  <c r="H109" i="67"/>
  <c r="G109" i="67"/>
  <c r="F109" i="67"/>
  <c r="E109" i="67"/>
  <c r="C109" i="67"/>
  <c r="B109" i="67"/>
  <c r="A109" i="67"/>
  <c r="A108" i="67"/>
  <c r="K107" i="67"/>
  <c r="I107" i="67"/>
  <c r="J107" i="67"/>
  <c r="H107" i="67"/>
  <c r="G107" i="67"/>
  <c r="F107" i="67"/>
  <c r="E107" i="67"/>
  <c r="C107" i="67"/>
  <c r="B107" i="67"/>
  <c r="A107" i="67"/>
  <c r="K106" i="67"/>
  <c r="I106" i="67"/>
  <c r="J106" i="67"/>
  <c r="H106" i="67"/>
  <c r="G106" i="67"/>
  <c r="F106" i="67"/>
  <c r="E106" i="67"/>
  <c r="C106" i="67"/>
  <c r="B106" i="67"/>
  <c r="A106" i="67"/>
  <c r="K105" i="67"/>
  <c r="I105" i="67"/>
  <c r="J105" i="67"/>
  <c r="H105" i="67"/>
  <c r="G105" i="67"/>
  <c r="F105" i="67"/>
  <c r="E105" i="67"/>
  <c r="C105" i="67"/>
  <c r="B105" i="67"/>
  <c r="A105" i="67"/>
  <c r="K104" i="67"/>
  <c r="I104" i="67"/>
  <c r="J104" i="67"/>
  <c r="H104" i="67"/>
  <c r="G104" i="67"/>
  <c r="F104" i="67"/>
  <c r="E104" i="67"/>
  <c r="C104" i="67"/>
  <c r="B104" i="67"/>
  <c r="A104" i="67"/>
  <c r="K103" i="67"/>
  <c r="I103" i="67"/>
  <c r="J103" i="67"/>
  <c r="H103" i="67"/>
  <c r="G103" i="67"/>
  <c r="F103" i="67"/>
  <c r="E103" i="67"/>
  <c r="C103" i="67"/>
  <c r="B103" i="67"/>
  <c r="A103" i="67"/>
  <c r="K102" i="67"/>
  <c r="I102" i="67"/>
  <c r="J102" i="67"/>
  <c r="H102" i="67"/>
  <c r="G102" i="67"/>
  <c r="F102" i="67"/>
  <c r="E102" i="67"/>
  <c r="C102" i="67"/>
  <c r="B102" i="67"/>
  <c r="A102" i="67"/>
  <c r="K101" i="67"/>
  <c r="I101" i="67"/>
  <c r="J101" i="67"/>
  <c r="H101" i="67"/>
  <c r="G101" i="67"/>
  <c r="F101" i="67"/>
  <c r="E101" i="67"/>
  <c r="C101" i="67"/>
  <c r="B101" i="67"/>
  <c r="A101" i="67"/>
  <c r="K100" i="67"/>
  <c r="I100" i="67"/>
  <c r="J100" i="67"/>
  <c r="H100" i="67"/>
  <c r="G100" i="67"/>
  <c r="F100" i="67"/>
  <c r="E100" i="67"/>
  <c r="C100" i="67"/>
  <c r="B100" i="67"/>
  <c r="A100" i="67"/>
  <c r="K99" i="67"/>
  <c r="I99" i="67"/>
  <c r="J99" i="67"/>
  <c r="H99" i="67"/>
  <c r="G99" i="67"/>
  <c r="F99" i="67"/>
  <c r="E99" i="67"/>
  <c r="C99" i="67"/>
  <c r="B99" i="67"/>
  <c r="A99" i="67"/>
  <c r="K98" i="67"/>
  <c r="I98" i="67"/>
  <c r="J98" i="67"/>
  <c r="H98" i="67"/>
  <c r="G98" i="67"/>
  <c r="F98" i="67"/>
  <c r="E98" i="67"/>
  <c r="C98" i="67"/>
  <c r="B98" i="67"/>
  <c r="A98" i="67"/>
  <c r="K97" i="67"/>
  <c r="I97" i="67"/>
  <c r="J97" i="67"/>
  <c r="H97" i="67"/>
  <c r="G97" i="67"/>
  <c r="F97" i="67"/>
  <c r="E97" i="67"/>
  <c r="C97" i="67"/>
  <c r="B97" i="67"/>
  <c r="A97" i="67"/>
  <c r="K96" i="67"/>
  <c r="I96" i="67"/>
  <c r="J96" i="67"/>
  <c r="H96" i="67"/>
  <c r="G96" i="67"/>
  <c r="F96" i="67"/>
  <c r="E96" i="67"/>
  <c r="C96" i="67"/>
  <c r="B96" i="67"/>
  <c r="A96" i="67"/>
  <c r="A95" i="67"/>
  <c r="K94" i="67"/>
  <c r="I94" i="67"/>
  <c r="J94" i="67"/>
  <c r="H94" i="67"/>
  <c r="G94" i="67"/>
  <c r="F94" i="67"/>
  <c r="E94" i="67"/>
  <c r="C94" i="67"/>
  <c r="B94" i="67"/>
  <c r="A94" i="67"/>
  <c r="K93" i="67"/>
  <c r="I93" i="67"/>
  <c r="J93" i="67"/>
  <c r="H93" i="67"/>
  <c r="G93" i="67"/>
  <c r="F93" i="67"/>
  <c r="E93" i="67"/>
  <c r="C93" i="67"/>
  <c r="B93" i="67"/>
  <c r="A93" i="67"/>
  <c r="K92" i="67"/>
  <c r="I92" i="67"/>
  <c r="J92" i="67"/>
  <c r="H92" i="67"/>
  <c r="G92" i="67"/>
  <c r="F92" i="67"/>
  <c r="E92" i="67"/>
  <c r="C92" i="67"/>
  <c r="B92" i="67"/>
  <c r="A92" i="67"/>
  <c r="K91" i="67"/>
  <c r="I91" i="67"/>
  <c r="J91" i="67"/>
  <c r="H91" i="67"/>
  <c r="G91" i="67"/>
  <c r="F91" i="67"/>
  <c r="E91" i="67"/>
  <c r="C91" i="67"/>
  <c r="B91" i="67"/>
  <c r="A91" i="67"/>
  <c r="K90" i="67"/>
  <c r="I90" i="67"/>
  <c r="J90" i="67"/>
  <c r="H90" i="67"/>
  <c r="G90" i="67"/>
  <c r="F90" i="67"/>
  <c r="E90" i="67"/>
  <c r="C90" i="67"/>
  <c r="B90" i="67"/>
  <c r="A90" i="67"/>
  <c r="K89" i="67"/>
  <c r="I89" i="67"/>
  <c r="J89" i="67"/>
  <c r="H89" i="67"/>
  <c r="G89" i="67"/>
  <c r="F89" i="67"/>
  <c r="E89" i="67"/>
  <c r="C89" i="67"/>
  <c r="B89" i="67"/>
  <c r="A89" i="67"/>
  <c r="K88" i="67"/>
  <c r="I88" i="67"/>
  <c r="J88" i="67"/>
  <c r="H88" i="67"/>
  <c r="G88" i="67"/>
  <c r="F88" i="67"/>
  <c r="E88" i="67"/>
  <c r="C88" i="67"/>
  <c r="B88" i="67"/>
  <c r="A88" i="67"/>
  <c r="K87" i="67"/>
  <c r="I87" i="67"/>
  <c r="J87" i="67"/>
  <c r="H87" i="67"/>
  <c r="G87" i="67"/>
  <c r="F87" i="67"/>
  <c r="E87" i="67"/>
  <c r="C87" i="67"/>
  <c r="B87" i="67"/>
  <c r="A87" i="67"/>
  <c r="K86" i="67"/>
  <c r="I86" i="67"/>
  <c r="J86" i="67"/>
  <c r="H86" i="67"/>
  <c r="G86" i="67"/>
  <c r="F86" i="67"/>
  <c r="E86" i="67"/>
  <c r="C86" i="67"/>
  <c r="B86" i="67"/>
  <c r="A86" i="67"/>
  <c r="K85" i="67"/>
  <c r="I85" i="67"/>
  <c r="J85" i="67"/>
  <c r="H85" i="67"/>
  <c r="G85" i="67"/>
  <c r="F85" i="67"/>
  <c r="E85" i="67"/>
  <c r="C85" i="67"/>
  <c r="B85" i="67"/>
  <c r="A85" i="67"/>
  <c r="K84" i="67"/>
  <c r="I84" i="67"/>
  <c r="J84" i="67"/>
  <c r="H84" i="67"/>
  <c r="G84" i="67"/>
  <c r="F84" i="67"/>
  <c r="E84" i="67"/>
  <c r="C84" i="67"/>
  <c r="B84" i="67"/>
  <c r="A84" i="67"/>
  <c r="K83" i="67"/>
  <c r="I83" i="67"/>
  <c r="J83" i="67"/>
  <c r="H83" i="67"/>
  <c r="G83" i="67"/>
  <c r="F83" i="67"/>
  <c r="E83" i="67"/>
  <c r="C83" i="67"/>
  <c r="B83" i="67"/>
  <c r="A83" i="67"/>
  <c r="A82" i="67"/>
  <c r="K81" i="67"/>
  <c r="I81" i="67"/>
  <c r="J81" i="67"/>
  <c r="H81" i="67"/>
  <c r="G81" i="67"/>
  <c r="F81" i="67"/>
  <c r="E81" i="67"/>
  <c r="C81" i="67"/>
  <c r="B81" i="67"/>
  <c r="A81" i="67"/>
  <c r="K80" i="67"/>
  <c r="I80" i="67"/>
  <c r="J80" i="67"/>
  <c r="H80" i="67"/>
  <c r="G80" i="67"/>
  <c r="F80" i="67"/>
  <c r="E80" i="67"/>
  <c r="C80" i="67"/>
  <c r="B80" i="67"/>
  <c r="A80" i="67"/>
  <c r="K79" i="67"/>
  <c r="I79" i="67"/>
  <c r="J79" i="67"/>
  <c r="H79" i="67"/>
  <c r="G79" i="67"/>
  <c r="F79" i="67"/>
  <c r="E79" i="67"/>
  <c r="C79" i="67"/>
  <c r="B79" i="67"/>
  <c r="A79" i="67"/>
  <c r="K78" i="67"/>
  <c r="I78" i="67"/>
  <c r="J78" i="67"/>
  <c r="H78" i="67"/>
  <c r="G78" i="67"/>
  <c r="F78" i="67"/>
  <c r="E78" i="67"/>
  <c r="C78" i="67"/>
  <c r="B78" i="67"/>
  <c r="A78" i="67"/>
  <c r="K77" i="67"/>
  <c r="I77" i="67"/>
  <c r="J77" i="67"/>
  <c r="H77" i="67"/>
  <c r="G77" i="67"/>
  <c r="F77" i="67"/>
  <c r="E77" i="67"/>
  <c r="C77" i="67"/>
  <c r="B77" i="67"/>
  <c r="A77" i="67"/>
  <c r="K76" i="67"/>
  <c r="I76" i="67"/>
  <c r="J76" i="67"/>
  <c r="H76" i="67"/>
  <c r="G76" i="67"/>
  <c r="F76" i="67"/>
  <c r="E76" i="67"/>
  <c r="C76" i="67"/>
  <c r="B76" i="67"/>
  <c r="A76" i="67"/>
  <c r="K75" i="67"/>
  <c r="I75" i="67"/>
  <c r="J75" i="67"/>
  <c r="H75" i="67"/>
  <c r="G75" i="67"/>
  <c r="F75" i="67"/>
  <c r="E75" i="67"/>
  <c r="C75" i="67"/>
  <c r="B75" i="67"/>
  <c r="A75" i="67"/>
  <c r="K74" i="67"/>
  <c r="I74" i="67"/>
  <c r="J74" i="67"/>
  <c r="H74" i="67"/>
  <c r="G74" i="67"/>
  <c r="F74" i="67"/>
  <c r="E74" i="67"/>
  <c r="C74" i="67"/>
  <c r="B74" i="67"/>
  <c r="A74" i="67"/>
  <c r="K73" i="67"/>
  <c r="I73" i="67"/>
  <c r="J73" i="67"/>
  <c r="H73" i="67"/>
  <c r="G73" i="67"/>
  <c r="F73" i="67"/>
  <c r="E73" i="67"/>
  <c r="C73" i="67"/>
  <c r="B73" i="67"/>
  <c r="A73" i="67"/>
  <c r="K72" i="67"/>
  <c r="I72" i="67"/>
  <c r="J72" i="67"/>
  <c r="H72" i="67"/>
  <c r="G72" i="67"/>
  <c r="F72" i="67"/>
  <c r="E72" i="67"/>
  <c r="C72" i="67"/>
  <c r="B72" i="67"/>
  <c r="A72" i="67"/>
  <c r="K71" i="67"/>
  <c r="I71" i="67"/>
  <c r="J71" i="67"/>
  <c r="H71" i="67"/>
  <c r="G71" i="67"/>
  <c r="F71" i="67"/>
  <c r="E71" i="67"/>
  <c r="C71" i="67"/>
  <c r="B71" i="67"/>
  <c r="A71" i="67"/>
  <c r="K70" i="67"/>
  <c r="I70" i="67"/>
  <c r="J70" i="67"/>
  <c r="H70" i="67"/>
  <c r="G70" i="67"/>
  <c r="F70" i="67"/>
  <c r="E70" i="67"/>
  <c r="C70" i="67"/>
  <c r="B70" i="67"/>
  <c r="A70" i="67"/>
  <c r="A69" i="67"/>
  <c r="K68" i="67"/>
  <c r="I68" i="67"/>
  <c r="J68" i="67"/>
  <c r="H68" i="67"/>
  <c r="G68" i="67"/>
  <c r="F68" i="67"/>
  <c r="E68" i="67"/>
  <c r="C68" i="67"/>
  <c r="B68" i="67"/>
  <c r="A68" i="67"/>
  <c r="K67" i="67"/>
  <c r="I67" i="67"/>
  <c r="J67" i="67"/>
  <c r="H67" i="67"/>
  <c r="G67" i="67"/>
  <c r="F67" i="67"/>
  <c r="E67" i="67"/>
  <c r="C67" i="67"/>
  <c r="B67" i="67"/>
  <c r="A67" i="67"/>
  <c r="K66" i="67"/>
  <c r="I66" i="67"/>
  <c r="J66" i="67"/>
  <c r="H66" i="67"/>
  <c r="G66" i="67"/>
  <c r="F66" i="67"/>
  <c r="E66" i="67"/>
  <c r="C66" i="67"/>
  <c r="B66" i="67"/>
  <c r="A66" i="67"/>
  <c r="K65" i="67"/>
  <c r="I65" i="67"/>
  <c r="J65" i="67"/>
  <c r="H65" i="67"/>
  <c r="G65" i="67"/>
  <c r="F65" i="67"/>
  <c r="E65" i="67"/>
  <c r="C65" i="67"/>
  <c r="B65" i="67"/>
  <c r="A65" i="67"/>
  <c r="K64" i="67"/>
  <c r="I64" i="67"/>
  <c r="J64" i="67"/>
  <c r="H64" i="67"/>
  <c r="G64" i="67"/>
  <c r="F64" i="67"/>
  <c r="E64" i="67"/>
  <c r="C64" i="67"/>
  <c r="B64" i="67"/>
  <c r="A64" i="67"/>
  <c r="K63" i="67"/>
  <c r="I63" i="67"/>
  <c r="J63" i="67"/>
  <c r="H63" i="67"/>
  <c r="G63" i="67"/>
  <c r="F63" i="67"/>
  <c r="E63" i="67"/>
  <c r="C63" i="67"/>
  <c r="B63" i="67"/>
  <c r="A63" i="67"/>
  <c r="K62" i="67"/>
  <c r="I62" i="67"/>
  <c r="J62" i="67"/>
  <c r="H62" i="67"/>
  <c r="G62" i="67"/>
  <c r="F62" i="67"/>
  <c r="E62" i="67"/>
  <c r="C62" i="67"/>
  <c r="B62" i="67"/>
  <c r="A62" i="67"/>
  <c r="K61" i="67"/>
  <c r="I61" i="67"/>
  <c r="J61" i="67"/>
  <c r="H61" i="67"/>
  <c r="G61" i="67"/>
  <c r="F61" i="67"/>
  <c r="E61" i="67"/>
  <c r="C61" i="67"/>
  <c r="B61" i="67"/>
  <c r="A61" i="67"/>
  <c r="K60" i="67"/>
  <c r="I60" i="67"/>
  <c r="J60" i="67"/>
  <c r="H60" i="67"/>
  <c r="G60" i="67"/>
  <c r="F60" i="67"/>
  <c r="E60" i="67"/>
  <c r="C60" i="67"/>
  <c r="B60" i="67"/>
  <c r="A60" i="67"/>
  <c r="K59" i="67"/>
  <c r="I59" i="67"/>
  <c r="J59" i="67"/>
  <c r="H59" i="67"/>
  <c r="G59" i="67"/>
  <c r="F59" i="67"/>
  <c r="E59" i="67"/>
  <c r="C59" i="67"/>
  <c r="B59" i="67"/>
  <c r="A59" i="67"/>
  <c r="K58" i="67"/>
  <c r="I58" i="67"/>
  <c r="J58" i="67"/>
  <c r="H58" i="67"/>
  <c r="G58" i="67"/>
  <c r="F58" i="67"/>
  <c r="E58" i="67"/>
  <c r="C58" i="67"/>
  <c r="B58" i="67"/>
  <c r="A58" i="67"/>
  <c r="K57" i="67"/>
  <c r="I57" i="67"/>
  <c r="J57" i="67"/>
  <c r="H57" i="67"/>
  <c r="G57" i="67"/>
  <c r="F57" i="67"/>
  <c r="E57" i="67"/>
  <c r="C57" i="67"/>
  <c r="B57" i="67"/>
  <c r="A57" i="67"/>
  <c r="A56" i="67"/>
  <c r="K55" i="67"/>
  <c r="I55" i="67"/>
  <c r="J55" i="67"/>
  <c r="H55" i="67"/>
  <c r="G55" i="67"/>
  <c r="F55" i="67"/>
  <c r="E55" i="67"/>
  <c r="C55" i="67"/>
  <c r="B55" i="67"/>
  <c r="A55" i="67"/>
  <c r="K54" i="67"/>
  <c r="I54" i="67"/>
  <c r="J54" i="67"/>
  <c r="H54" i="67"/>
  <c r="G54" i="67"/>
  <c r="F54" i="67"/>
  <c r="E54" i="67"/>
  <c r="C54" i="67"/>
  <c r="B54" i="67"/>
  <c r="A54" i="67"/>
  <c r="K53" i="67"/>
  <c r="I53" i="67"/>
  <c r="J53" i="67"/>
  <c r="H53" i="67"/>
  <c r="G53" i="67"/>
  <c r="F53" i="67"/>
  <c r="E53" i="67"/>
  <c r="C53" i="67"/>
  <c r="B53" i="67"/>
  <c r="A53" i="67"/>
  <c r="K52" i="67"/>
  <c r="I52" i="67"/>
  <c r="J52" i="67"/>
  <c r="H52" i="67"/>
  <c r="G52" i="67"/>
  <c r="F52" i="67"/>
  <c r="E52" i="67"/>
  <c r="C52" i="67"/>
  <c r="B52" i="67"/>
  <c r="A52" i="67"/>
  <c r="K51" i="67"/>
  <c r="I51" i="67"/>
  <c r="J51" i="67"/>
  <c r="H51" i="67"/>
  <c r="G51" i="67"/>
  <c r="F51" i="67"/>
  <c r="E51" i="67"/>
  <c r="C51" i="67"/>
  <c r="B51" i="67"/>
  <c r="A51" i="67"/>
  <c r="K50" i="67"/>
  <c r="I50" i="67"/>
  <c r="J50" i="67"/>
  <c r="H50" i="67"/>
  <c r="G50" i="67"/>
  <c r="F50" i="67"/>
  <c r="E50" i="67"/>
  <c r="C50" i="67"/>
  <c r="B50" i="67"/>
  <c r="A50" i="67"/>
  <c r="K49" i="67"/>
  <c r="I49" i="67"/>
  <c r="J49" i="67"/>
  <c r="H49" i="67"/>
  <c r="G49" i="67"/>
  <c r="F49" i="67"/>
  <c r="E49" i="67"/>
  <c r="C49" i="67"/>
  <c r="B49" i="67"/>
  <c r="A49" i="67"/>
  <c r="K48" i="67"/>
  <c r="I48" i="67"/>
  <c r="J48" i="67"/>
  <c r="H48" i="67"/>
  <c r="G48" i="67"/>
  <c r="F48" i="67"/>
  <c r="E48" i="67"/>
  <c r="C48" i="67"/>
  <c r="B48" i="67"/>
  <c r="A48" i="67"/>
  <c r="K47" i="67"/>
  <c r="I47" i="67"/>
  <c r="J47" i="67"/>
  <c r="H47" i="67"/>
  <c r="G47" i="67"/>
  <c r="F47" i="67"/>
  <c r="E47" i="67"/>
  <c r="C47" i="67"/>
  <c r="B47" i="67"/>
  <c r="A47" i="67"/>
  <c r="K46" i="67"/>
  <c r="I46" i="67"/>
  <c r="J46" i="67"/>
  <c r="H46" i="67"/>
  <c r="G46" i="67"/>
  <c r="F46" i="67"/>
  <c r="E46" i="67"/>
  <c r="C46" i="67"/>
  <c r="B46" i="67"/>
  <c r="A46" i="67"/>
  <c r="K45" i="67"/>
  <c r="I45" i="67"/>
  <c r="J45" i="67"/>
  <c r="H45" i="67"/>
  <c r="G45" i="67"/>
  <c r="F45" i="67"/>
  <c r="E45" i="67"/>
  <c r="C45" i="67"/>
  <c r="B45" i="67"/>
  <c r="A45" i="67"/>
  <c r="K44" i="67"/>
  <c r="I44" i="67"/>
  <c r="J44" i="67"/>
  <c r="H44" i="67"/>
  <c r="G44" i="67"/>
  <c r="F44" i="67"/>
  <c r="E44" i="67"/>
  <c r="C44" i="67"/>
  <c r="B44" i="67"/>
  <c r="A44" i="67"/>
  <c r="A43" i="67"/>
  <c r="K42" i="67"/>
  <c r="I42" i="67"/>
  <c r="J42" i="67"/>
  <c r="H42" i="67"/>
  <c r="G42" i="67"/>
  <c r="F42" i="67"/>
  <c r="E42" i="67"/>
  <c r="C42" i="67"/>
  <c r="B42" i="67"/>
  <c r="A42" i="67"/>
  <c r="K41" i="67"/>
  <c r="I41" i="67"/>
  <c r="J41" i="67"/>
  <c r="H41" i="67"/>
  <c r="G41" i="67"/>
  <c r="F41" i="67"/>
  <c r="E41" i="67"/>
  <c r="C41" i="67"/>
  <c r="B41" i="67"/>
  <c r="A41" i="67"/>
  <c r="K40" i="67"/>
  <c r="I40" i="67"/>
  <c r="J40" i="67"/>
  <c r="H40" i="67"/>
  <c r="G40" i="67"/>
  <c r="F40" i="67"/>
  <c r="E40" i="67"/>
  <c r="C40" i="67"/>
  <c r="B40" i="67"/>
  <c r="A40" i="67"/>
  <c r="K39" i="67"/>
  <c r="I39" i="67"/>
  <c r="J39" i="67"/>
  <c r="H39" i="67"/>
  <c r="G39" i="67"/>
  <c r="F39" i="67"/>
  <c r="E39" i="67"/>
  <c r="C39" i="67"/>
  <c r="B39" i="67"/>
  <c r="A39" i="67"/>
  <c r="K38" i="67"/>
  <c r="I38" i="67"/>
  <c r="J38" i="67"/>
  <c r="H38" i="67"/>
  <c r="G38" i="67"/>
  <c r="F38" i="67"/>
  <c r="E38" i="67"/>
  <c r="C38" i="67"/>
  <c r="B38" i="67"/>
  <c r="A38" i="67"/>
  <c r="K37" i="67"/>
  <c r="I37" i="67"/>
  <c r="J37" i="67"/>
  <c r="H37" i="67"/>
  <c r="G37" i="67"/>
  <c r="F37" i="67"/>
  <c r="E37" i="67"/>
  <c r="C37" i="67"/>
  <c r="B37" i="67"/>
  <c r="A37" i="67"/>
  <c r="K36" i="67"/>
  <c r="I36" i="67"/>
  <c r="J36" i="67"/>
  <c r="H36" i="67"/>
  <c r="G36" i="67"/>
  <c r="F36" i="67"/>
  <c r="E36" i="67"/>
  <c r="C36" i="67"/>
  <c r="B36" i="67"/>
  <c r="A36" i="67"/>
  <c r="K35" i="67"/>
  <c r="I35" i="67"/>
  <c r="J35" i="67"/>
  <c r="H35" i="67"/>
  <c r="G35" i="67"/>
  <c r="F35" i="67"/>
  <c r="E35" i="67"/>
  <c r="C35" i="67"/>
  <c r="B35" i="67"/>
  <c r="A35" i="67"/>
  <c r="K34" i="67"/>
  <c r="I34" i="67"/>
  <c r="J34" i="67"/>
  <c r="H34" i="67"/>
  <c r="G34" i="67"/>
  <c r="F34" i="67"/>
  <c r="E34" i="67"/>
  <c r="C34" i="67"/>
  <c r="B34" i="67"/>
  <c r="A34" i="67"/>
  <c r="K33" i="67"/>
  <c r="I33" i="67"/>
  <c r="J33" i="67"/>
  <c r="H33" i="67"/>
  <c r="G33" i="67"/>
  <c r="F33" i="67"/>
  <c r="E33" i="67"/>
  <c r="C33" i="67"/>
  <c r="B33" i="67"/>
  <c r="A33" i="67"/>
  <c r="K32" i="67"/>
  <c r="I32" i="67"/>
  <c r="J32" i="67"/>
  <c r="H32" i="67"/>
  <c r="G32" i="67"/>
  <c r="F32" i="67"/>
  <c r="E32" i="67"/>
  <c r="C32" i="67"/>
  <c r="B32" i="67"/>
  <c r="A32" i="67"/>
  <c r="K31" i="67"/>
  <c r="I31" i="67"/>
  <c r="J31" i="67"/>
  <c r="H31" i="67"/>
  <c r="G31" i="67"/>
  <c r="F31" i="67"/>
  <c r="E31" i="67"/>
  <c r="C31" i="67"/>
  <c r="B31" i="67"/>
  <c r="A31" i="67"/>
  <c r="A30" i="67"/>
  <c r="K29" i="67"/>
  <c r="I29" i="67"/>
  <c r="J29" i="67"/>
  <c r="H29" i="67"/>
  <c r="G29" i="67"/>
  <c r="F29" i="67"/>
  <c r="E29" i="67"/>
  <c r="C29" i="67"/>
  <c r="B29" i="67"/>
  <c r="A29" i="67"/>
  <c r="K28" i="67"/>
  <c r="I28" i="67"/>
  <c r="J28" i="67"/>
  <c r="H28" i="67"/>
  <c r="G28" i="67"/>
  <c r="F28" i="67"/>
  <c r="E28" i="67"/>
  <c r="C28" i="67"/>
  <c r="B28" i="67"/>
  <c r="A28" i="67"/>
  <c r="K27" i="67"/>
  <c r="I27" i="67"/>
  <c r="J27" i="67"/>
  <c r="H27" i="67"/>
  <c r="G27" i="67"/>
  <c r="F27" i="67"/>
  <c r="E27" i="67"/>
  <c r="C27" i="67"/>
  <c r="B27" i="67"/>
  <c r="A27" i="67"/>
  <c r="K26" i="67"/>
  <c r="I26" i="67"/>
  <c r="J26" i="67"/>
  <c r="H26" i="67"/>
  <c r="G26" i="67"/>
  <c r="F26" i="67"/>
  <c r="E26" i="67"/>
  <c r="C26" i="67"/>
  <c r="B26" i="67"/>
  <c r="A26" i="67"/>
  <c r="K25" i="67"/>
  <c r="I25" i="67"/>
  <c r="J25" i="67"/>
  <c r="H25" i="67"/>
  <c r="G25" i="67"/>
  <c r="F25" i="67"/>
  <c r="E25" i="67"/>
  <c r="C25" i="67"/>
  <c r="B25" i="67"/>
  <c r="A25" i="67"/>
  <c r="K24" i="67"/>
  <c r="I24" i="67"/>
  <c r="J24" i="67"/>
  <c r="H24" i="67"/>
  <c r="G24" i="67"/>
  <c r="F24" i="67"/>
  <c r="E24" i="67"/>
  <c r="C24" i="67"/>
  <c r="B24" i="67"/>
  <c r="A24" i="67"/>
  <c r="K23" i="67"/>
  <c r="I23" i="67"/>
  <c r="J23" i="67"/>
  <c r="H23" i="67"/>
  <c r="G23" i="67"/>
  <c r="F23" i="67"/>
  <c r="E23" i="67"/>
  <c r="C23" i="67"/>
  <c r="B23" i="67"/>
  <c r="A23" i="67"/>
  <c r="K22" i="67"/>
  <c r="I22" i="67"/>
  <c r="J22" i="67"/>
  <c r="H22" i="67"/>
  <c r="G22" i="67"/>
  <c r="F22" i="67"/>
  <c r="E22" i="67"/>
  <c r="C22" i="67"/>
  <c r="B22" i="67"/>
  <c r="A22" i="67"/>
  <c r="K21" i="67"/>
  <c r="I21" i="67"/>
  <c r="J21" i="67"/>
  <c r="H21" i="67"/>
  <c r="G21" i="67"/>
  <c r="F21" i="67"/>
  <c r="E21" i="67"/>
  <c r="C21" i="67"/>
  <c r="B21" i="67"/>
  <c r="A21" i="67"/>
  <c r="K20" i="67"/>
  <c r="I20" i="67"/>
  <c r="J20" i="67"/>
  <c r="H20" i="67"/>
  <c r="G20" i="67"/>
  <c r="F20" i="67"/>
  <c r="E20" i="67"/>
  <c r="C20" i="67"/>
  <c r="B20" i="67"/>
  <c r="A20" i="67"/>
  <c r="K19" i="67"/>
  <c r="I19" i="67"/>
  <c r="J19" i="67"/>
  <c r="H19" i="67"/>
  <c r="G19" i="67"/>
  <c r="F19" i="67"/>
  <c r="E19" i="67"/>
  <c r="C19" i="67"/>
  <c r="B19" i="67"/>
  <c r="A19" i="67"/>
  <c r="K18" i="67"/>
  <c r="I18" i="67"/>
  <c r="J18" i="67"/>
  <c r="H18" i="67"/>
  <c r="G18" i="67"/>
  <c r="F18" i="67"/>
  <c r="E18" i="67"/>
  <c r="C18" i="67"/>
  <c r="B18" i="67"/>
  <c r="A18" i="67"/>
  <c r="A17" i="67"/>
  <c r="K16" i="67"/>
  <c r="I16" i="67"/>
  <c r="J16" i="67"/>
  <c r="H16" i="67"/>
  <c r="G16" i="67"/>
  <c r="F16" i="67"/>
  <c r="E16" i="67"/>
  <c r="C16" i="67"/>
  <c r="B16" i="67"/>
  <c r="A16" i="67"/>
  <c r="K15" i="67"/>
  <c r="I15" i="67"/>
  <c r="J15" i="67"/>
  <c r="H15" i="67"/>
  <c r="G15" i="67"/>
  <c r="F15" i="67"/>
  <c r="E15" i="67"/>
  <c r="C15" i="67"/>
  <c r="B15" i="67"/>
  <c r="A15" i="67"/>
  <c r="K14" i="67"/>
  <c r="I14" i="67"/>
  <c r="J14" i="67"/>
  <c r="H14" i="67"/>
  <c r="G14" i="67"/>
  <c r="F14" i="67"/>
  <c r="E14" i="67"/>
  <c r="C14" i="67"/>
  <c r="B14" i="67"/>
  <c r="A14" i="67"/>
  <c r="K13" i="67"/>
  <c r="I13" i="67"/>
  <c r="J13" i="67"/>
  <c r="H13" i="67"/>
  <c r="G13" i="67"/>
  <c r="F13" i="67"/>
  <c r="E13" i="67"/>
  <c r="C13" i="67"/>
  <c r="B13" i="67"/>
  <c r="A13" i="67"/>
  <c r="K12" i="67"/>
  <c r="I12" i="67"/>
  <c r="J12" i="67"/>
  <c r="H12" i="67"/>
  <c r="G12" i="67"/>
  <c r="F12" i="67"/>
  <c r="E12" i="67"/>
  <c r="C12" i="67"/>
  <c r="B12" i="67"/>
  <c r="A12" i="67"/>
  <c r="K11" i="67"/>
  <c r="I11" i="67"/>
  <c r="J11" i="67"/>
  <c r="H11" i="67"/>
  <c r="G11" i="67"/>
  <c r="F11" i="67"/>
  <c r="E11" i="67"/>
  <c r="C11" i="67"/>
  <c r="B11" i="67"/>
  <c r="A11" i="67"/>
  <c r="K10" i="67"/>
  <c r="I10" i="67"/>
  <c r="J10" i="67"/>
  <c r="H10" i="67"/>
  <c r="G10" i="67"/>
  <c r="F10" i="67"/>
  <c r="E10" i="67"/>
  <c r="C10" i="67"/>
  <c r="B10" i="67"/>
  <c r="A10" i="67"/>
  <c r="K9" i="67"/>
  <c r="I9" i="67"/>
  <c r="J9" i="67"/>
  <c r="H9" i="67"/>
  <c r="G9" i="67"/>
  <c r="F9" i="67"/>
  <c r="E9" i="67"/>
  <c r="C9" i="67"/>
  <c r="B9" i="67"/>
  <c r="A9" i="67"/>
  <c r="K8" i="67"/>
  <c r="I8" i="67"/>
  <c r="J8" i="67"/>
  <c r="H8" i="67"/>
  <c r="G8" i="67"/>
  <c r="F8" i="67"/>
  <c r="E8" i="67"/>
  <c r="C8" i="67"/>
  <c r="B8" i="67"/>
  <c r="A8" i="67"/>
  <c r="K7" i="67"/>
  <c r="I7" i="67"/>
  <c r="J7" i="67"/>
  <c r="H7" i="67"/>
  <c r="G7" i="67"/>
  <c r="F7" i="67"/>
  <c r="E7" i="67"/>
  <c r="C7" i="67"/>
  <c r="B7" i="67"/>
  <c r="A7" i="67"/>
  <c r="K6" i="67"/>
  <c r="I6" i="67"/>
  <c r="J6" i="67"/>
  <c r="H6" i="67"/>
  <c r="G6" i="67"/>
  <c r="F6" i="67"/>
  <c r="E6" i="67"/>
  <c r="C6" i="67"/>
  <c r="B6" i="67"/>
  <c r="A6" i="67"/>
  <c r="K5" i="67"/>
  <c r="I5" i="67"/>
  <c r="J5" i="67"/>
  <c r="H5" i="67"/>
  <c r="G5" i="67"/>
  <c r="F5" i="67"/>
  <c r="E5" i="67"/>
  <c r="C5" i="67"/>
  <c r="B5" i="67"/>
  <c r="A5" i="67"/>
  <c r="A4" i="67"/>
  <c r="B30" i="66"/>
  <c r="B32" i="66"/>
  <c r="B31" i="66"/>
  <c r="J25" i="66"/>
  <c r="I25" i="66"/>
  <c r="E25" i="66"/>
  <c r="D25" i="66"/>
  <c r="C25" i="66"/>
  <c r="J24" i="66"/>
  <c r="I24" i="66"/>
  <c r="E24" i="66"/>
  <c r="D24" i="66"/>
  <c r="C24" i="66"/>
  <c r="J23" i="66"/>
  <c r="I23" i="66"/>
  <c r="E23" i="66"/>
  <c r="D23" i="66"/>
  <c r="C23" i="66"/>
  <c r="J22" i="66"/>
  <c r="I22" i="66"/>
  <c r="E22" i="66"/>
  <c r="D22" i="66"/>
  <c r="C22" i="66"/>
  <c r="J21" i="66"/>
  <c r="I21" i="66"/>
  <c r="E21" i="66"/>
  <c r="D21" i="66"/>
  <c r="C21" i="66"/>
  <c r="J20" i="66"/>
  <c r="I20" i="66"/>
  <c r="E20" i="66"/>
  <c r="D20" i="66"/>
  <c r="C20" i="66"/>
  <c r="J19" i="66"/>
  <c r="I19" i="66"/>
  <c r="E19" i="66"/>
  <c r="D19" i="66"/>
  <c r="C19" i="66"/>
  <c r="J18" i="66"/>
  <c r="I18" i="66"/>
  <c r="E18" i="66"/>
  <c r="D18" i="66"/>
  <c r="C18" i="66"/>
  <c r="J17" i="66"/>
  <c r="I17" i="66"/>
  <c r="E17" i="66"/>
  <c r="D17" i="66"/>
  <c r="C17" i="66"/>
  <c r="J16" i="66"/>
  <c r="I16" i="66"/>
  <c r="E16" i="66"/>
  <c r="D16" i="66"/>
  <c r="C16" i="66"/>
  <c r="J15" i="66"/>
  <c r="I15" i="66"/>
  <c r="E15" i="66"/>
  <c r="D15" i="66"/>
  <c r="C15" i="66"/>
  <c r="J14" i="66"/>
  <c r="I14" i="66"/>
  <c r="E14" i="66"/>
  <c r="D14" i="66"/>
  <c r="C14" i="66"/>
  <c r="B9" i="66"/>
  <c r="B8" i="66"/>
  <c r="B7" i="66"/>
  <c r="B6" i="66"/>
  <c r="B31" i="65"/>
  <c r="B30" i="65"/>
  <c r="B29" i="65"/>
  <c r="B28" i="65"/>
  <c r="B27" i="65"/>
  <c r="B22" i="65"/>
  <c r="I22" i="65"/>
  <c r="H22" i="65"/>
  <c r="G22" i="65"/>
  <c r="B21" i="65"/>
  <c r="I21" i="65"/>
  <c r="H21" i="65"/>
  <c r="G21" i="65"/>
  <c r="B20" i="65"/>
  <c r="I20" i="65"/>
  <c r="H20" i="65"/>
  <c r="G20" i="65"/>
  <c r="B19" i="65"/>
  <c r="I19" i="65"/>
  <c r="H19" i="65"/>
  <c r="G19" i="65"/>
  <c r="B18" i="65"/>
  <c r="I18" i="65"/>
  <c r="H18" i="65"/>
  <c r="G18" i="65"/>
  <c r="B17" i="65"/>
  <c r="I17" i="65"/>
  <c r="H17" i="65"/>
  <c r="G17" i="65"/>
  <c r="B16" i="65"/>
  <c r="I16" i="65"/>
  <c r="H16" i="65"/>
  <c r="G16" i="65"/>
  <c r="B15" i="65"/>
  <c r="I15" i="65"/>
  <c r="H15" i="65"/>
  <c r="G15" i="65"/>
  <c r="B14" i="65"/>
  <c r="I14" i="65"/>
  <c r="H14" i="65"/>
  <c r="G14" i="65"/>
  <c r="B9" i="65"/>
  <c r="B8" i="65"/>
  <c r="D16" i="64"/>
  <c r="C16" i="64"/>
  <c r="D15" i="64"/>
  <c r="C15" i="64"/>
  <c r="D14" i="64"/>
  <c r="C14" i="64"/>
  <c r="D13" i="64"/>
  <c r="C13" i="64"/>
  <c r="D12" i="64"/>
  <c r="C12" i="64"/>
  <c r="D11" i="64"/>
  <c r="C11" i="64"/>
  <c r="D10" i="64"/>
  <c r="C10" i="64"/>
  <c r="D9" i="64"/>
  <c r="C9" i="64"/>
  <c r="D8" i="64"/>
  <c r="C8" i="64"/>
  <c r="D7" i="64"/>
  <c r="C7" i="64"/>
  <c r="D6" i="64"/>
  <c r="C6" i="64"/>
  <c r="D5" i="64"/>
  <c r="C5" i="64"/>
  <c r="D16" i="63"/>
  <c r="C16" i="63"/>
  <c r="D15" i="63"/>
  <c r="C15" i="63"/>
  <c r="D14" i="63"/>
  <c r="C14" i="63"/>
  <c r="D13" i="63"/>
  <c r="C13" i="63"/>
  <c r="D12" i="63"/>
  <c r="C12" i="63"/>
  <c r="D11" i="63"/>
  <c r="C11" i="63"/>
  <c r="D10" i="63"/>
  <c r="C10" i="63"/>
  <c r="D9" i="63"/>
  <c r="C9" i="63"/>
  <c r="D8" i="63"/>
  <c r="C8" i="63"/>
  <c r="D7" i="63"/>
  <c r="C7" i="63"/>
  <c r="D6" i="63"/>
  <c r="C6" i="63"/>
  <c r="D5" i="63"/>
  <c r="C5" i="63"/>
  <c r="B12" i="62"/>
  <c r="B11" i="62"/>
  <c r="B10" i="62"/>
  <c r="B9" i="62"/>
  <c r="B7" i="62"/>
  <c r="B6" i="62"/>
  <c r="B5" i="62"/>
  <c r="G11" i="61"/>
  <c r="E11" i="61"/>
  <c r="D11" i="61"/>
  <c r="C11" i="61"/>
  <c r="B11" i="61"/>
  <c r="G10" i="61"/>
  <c r="E10" i="61"/>
  <c r="D10" i="61"/>
  <c r="C10" i="61"/>
  <c r="B10" i="61"/>
  <c r="G9" i="61"/>
  <c r="E9" i="61"/>
  <c r="D9" i="61"/>
  <c r="C9" i="61"/>
  <c r="B9" i="61"/>
  <c r="G8" i="61"/>
  <c r="E8" i="61"/>
  <c r="D8" i="61"/>
  <c r="C8" i="61"/>
  <c r="B8" i="61"/>
  <c r="G7" i="61"/>
  <c r="E7" i="61"/>
  <c r="D7" i="61"/>
  <c r="C7" i="61"/>
  <c r="B7" i="61"/>
  <c r="G6" i="61"/>
  <c r="E6" i="61"/>
  <c r="D6" i="61"/>
  <c r="C6" i="61"/>
  <c r="B6" i="61"/>
  <c r="G5" i="61"/>
  <c r="E5" i="61"/>
  <c r="D5" i="61"/>
  <c r="C5" i="61"/>
  <c r="B5" i="61"/>
  <c r="H46" i="60"/>
  <c r="F46" i="60"/>
  <c r="E46" i="60"/>
  <c r="D46" i="60"/>
  <c r="C46" i="60"/>
  <c r="B46" i="60"/>
  <c r="H45" i="60"/>
  <c r="F45" i="60"/>
  <c r="E45" i="60"/>
  <c r="D45" i="60"/>
  <c r="C45" i="60"/>
  <c r="B45" i="60"/>
  <c r="H44" i="60"/>
  <c r="F44" i="60"/>
  <c r="E44" i="60"/>
  <c r="D44" i="60"/>
  <c r="C44" i="60"/>
  <c r="B44" i="60"/>
  <c r="H43" i="60"/>
  <c r="F43" i="60"/>
  <c r="E43" i="60"/>
  <c r="D43" i="60"/>
  <c r="C43" i="60"/>
  <c r="B43" i="60"/>
  <c r="H42" i="60"/>
  <c r="F42" i="60"/>
  <c r="E42" i="60"/>
  <c r="D42" i="60"/>
  <c r="C42" i="60"/>
  <c r="B42" i="60"/>
  <c r="H41" i="60"/>
  <c r="F41" i="60"/>
  <c r="E41" i="60"/>
  <c r="D41" i="60"/>
  <c r="C41" i="60"/>
  <c r="B41" i="60"/>
  <c r="H40" i="60"/>
  <c r="F40" i="60"/>
  <c r="E40" i="60"/>
  <c r="D40" i="60"/>
  <c r="C40" i="60"/>
  <c r="B40" i="60"/>
  <c r="H39" i="60"/>
  <c r="F39" i="60"/>
  <c r="E39" i="60"/>
  <c r="D39" i="60"/>
  <c r="C39" i="60"/>
  <c r="B39" i="60"/>
  <c r="H38" i="60"/>
  <c r="F38" i="60"/>
  <c r="E38" i="60"/>
  <c r="D38" i="60"/>
  <c r="C38" i="60"/>
  <c r="B38" i="60"/>
  <c r="H37" i="60"/>
  <c r="F37" i="60"/>
  <c r="E37" i="60"/>
  <c r="D37" i="60"/>
  <c r="C37" i="60"/>
  <c r="B37" i="60"/>
  <c r="H36" i="60"/>
  <c r="F36" i="60"/>
  <c r="E36" i="60"/>
  <c r="D36" i="60"/>
  <c r="C36" i="60"/>
  <c r="B36" i="60"/>
  <c r="H35" i="60"/>
  <c r="F35" i="60"/>
  <c r="E35" i="60"/>
  <c r="D35" i="60"/>
  <c r="C35" i="60"/>
  <c r="B35" i="60"/>
  <c r="C23" i="59"/>
  <c r="C22" i="59"/>
  <c r="C21" i="59"/>
  <c r="C20" i="59"/>
  <c r="H16" i="59"/>
  <c r="G16" i="59"/>
  <c r="F16" i="59"/>
  <c r="D16" i="59"/>
  <c r="C16" i="59"/>
  <c r="H15" i="59"/>
  <c r="G15" i="59"/>
  <c r="F15" i="59"/>
  <c r="D15" i="59"/>
  <c r="C15" i="59"/>
  <c r="H14" i="59"/>
  <c r="G14" i="59"/>
  <c r="F14" i="59"/>
  <c r="D14" i="59"/>
  <c r="C14" i="59"/>
  <c r="H13" i="59"/>
  <c r="G13" i="59"/>
  <c r="F13" i="59"/>
  <c r="D13" i="59"/>
  <c r="C13" i="59"/>
  <c r="H12" i="59"/>
  <c r="G12" i="59"/>
  <c r="F12" i="59"/>
  <c r="D12" i="59"/>
  <c r="C12" i="59"/>
  <c r="H11" i="59"/>
  <c r="G11" i="59"/>
  <c r="F11" i="59"/>
  <c r="D11" i="59"/>
  <c r="C11" i="59"/>
  <c r="H10" i="59"/>
  <c r="G10" i="59"/>
  <c r="F10" i="59"/>
  <c r="D10" i="59"/>
  <c r="C10" i="59"/>
  <c r="H9" i="59"/>
  <c r="G9" i="59"/>
  <c r="F9" i="59"/>
  <c r="D9" i="59"/>
  <c r="C9" i="59"/>
  <c r="H8" i="59"/>
  <c r="G8" i="59"/>
  <c r="F8" i="59"/>
  <c r="D8" i="59"/>
  <c r="C8" i="59"/>
  <c r="H7" i="59"/>
  <c r="G7" i="59"/>
  <c r="F7" i="59"/>
  <c r="D7" i="59"/>
  <c r="C7" i="59"/>
  <c r="H6" i="59"/>
  <c r="G6" i="59"/>
  <c r="F6" i="59"/>
  <c r="D6" i="59"/>
  <c r="C6" i="59"/>
  <c r="H5" i="59"/>
  <c r="G5" i="59"/>
  <c r="F5" i="59"/>
  <c r="D5" i="59"/>
  <c r="C5" i="59"/>
  <c r="H16" i="58"/>
  <c r="G16" i="58"/>
  <c r="F16" i="58"/>
  <c r="E16" i="58"/>
  <c r="D16" i="58"/>
  <c r="H15" i="58"/>
  <c r="G15" i="58"/>
  <c r="F15" i="58"/>
  <c r="E15" i="58"/>
  <c r="D15" i="58"/>
  <c r="H14" i="58"/>
  <c r="G14" i="58"/>
  <c r="F14" i="58"/>
  <c r="E14" i="58"/>
  <c r="D14" i="58"/>
  <c r="H13" i="58"/>
  <c r="G13" i="58"/>
  <c r="F13" i="58"/>
  <c r="E13" i="58"/>
  <c r="D13" i="58"/>
  <c r="H12" i="58"/>
  <c r="G12" i="58"/>
  <c r="F12" i="58"/>
  <c r="E12" i="58"/>
  <c r="D12" i="58"/>
  <c r="H11" i="58"/>
  <c r="G11" i="58"/>
  <c r="F11" i="58"/>
  <c r="E11" i="58"/>
  <c r="D11" i="58"/>
  <c r="H10" i="58"/>
  <c r="G10" i="58"/>
  <c r="F10" i="58"/>
  <c r="E10" i="58"/>
  <c r="D10" i="58"/>
  <c r="H9" i="58"/>
  <c r="G9" i="58"/>
  <c r="F9" i="58"/>
  <c r="E9" i="58"/>
  <c r="D9" i="58"/>
  <c r="H8" i="58"/>
  <c r="G8" i="58"/>
  <c r="F8" i="58"/>
  <c r="E8" i="58"/>
  <c r="D8" i="58"/>
  <c r="H7" i="58"/>
  <c r="G7" i="58"/>
  <c r="F7" i="58"/>
  <c r="E7" i="58"/>
  <c r="D7" i="58"/>
  <c r="H6" i="58"/>
  <c r="G6" i="58"/>
  <c r="F6" i="58"/>
  <c r="E6" i="58"/>
  <c r="D6" i="58"/>
  <c r="H5" i="58"/>
  <c r="G5" i="58"/>
  <c r="F5" i="58"/>
  <c r="E5" i="58"/>
  <c r="D5" i="58"/>
  <c r="L1" i="58"/>
  <c r="G16" i="57"/>
  <c r="F16" i="57"/>
  <c r="E16" i="57"/>
  <c r="D16" i="57"/>
  <c r="C16" i="57"/>
  <c r="B16" i="57"/>
  <c r="G15" i="57"/>
  <c r="F15" i="57"/>
  <c r="E15" i="57"/>
  <c r="D15" i="57"/>
  <c r="C15" i="57"/>
  <c r="B15" i="57"/>
  <c r="G14" i="57"/>
  <c r="F14" i="57"/>
  <c r="E14" i="57"/>
  <c r="D14" i="57"/>
  <c r="C14" i="57"/>
  <c r="B14" i="57"/>
  <c r="G13" i="57"/>
  <c r="F13" i="57"/>
  <c r="E13" i="57"/>
  <c r="D13" i="57"/>
  <c r="C13" i="57"/>
  <c r="B13" i="57"/>
  <c r="G12" i="57"/>
  <c r="F12" i="57"/>
  <c r="E12" i="57"/>
  <c r="D12" i="57"/>
  <c r="C12" i="57"/>
  <c r="B12" i="57"/>
  <c r="G11" i="57"/>
  <c r="F11" i="57"/>
  <c r="E11" i="57"/>
  <c r="D11" i="57"/>
  <c r="C11" i="57"/>
  <c r="B11" i="57"/>
  <c r="G10" i="57"/>
  <c r="F10" i="57"/>
  <c r="E10" i="57"/>
  <c r="D10" i="57"/>
  <c r="C10" i="57"/>
  <c r="B10" i="57"/>
  <c r="G9" i="57"/>
  <c r="F9" i="57"/>
  <c r="E9" i="57"/>
  <c r="D9" i="57"/>
  <c r="C9" i="57"/>
  <c r="B9" i="57"/>
  <c r="G8" i="57"/>
  <c r="F8" i="57"/>
  <c r="E8" i="57"/>
  <c r="D8" i="57"/>
  <c r="C8" i="57"/>
  <c r="B8" i="57"/>
  <c r="G7" i="57"/>
  <c r="F7" i="57"/>
  <c r="E7" i="57"/>
  <c r="D7" i="57"/>
  <c r="C7" i="57"/>
  <c r="B7" i="57"/>
  <c r="G6" i="57"/>
  <c r="F6" i="57"/>
  <c r="E6" i="57"/>
  <c r="D6" i="57"/>
  <c r="C6" i="57"/>
  <c r="B6" i="57"/>
  <c r="G5" i="57"/>
  <c r="F5" i="57"/>
  <c r="E5" i="57"/>
  <c r="D5" i="57"/>
  <c r="C5" i="57"/>
  <c r="B5" i="57"/>
  <c r="D25" i="56"/>
  <c r="B25" i="56"/>
  <c r="D24" i="56"/>
  <c r="B24" i="56"/>
  <c r="D23" i="56"/>
  <c r="B23" i="56"/>
  <c r="D22" i="56"/>
  <c r="B22" i="56"/>
  <c r="D21" i="56"/>
  <c r="B21" i="56"/>
  <c r="K14" i="56"/>
  <c r="H14" i="56"/>
  <c r="G14" i="56"/>
  <c r="F14" i="56"/>
  <c r="E14" i="56"/>
  <c r="D14" i="56"/>
  <c r="C14" i="56"/>
  <c r="K13" i="56"/>
  <c r="H13" i="56"/>
  <c r="G13" i="56"/>
  <c r="F13" i="56"/>
  <c r="E13" i="56"/>
  <c r="D13" i="56"/>
  <c r="C13" i="56"/>
  <c r="K12" i="56"/>
  <c r="H12" i="56"/>
  <c r="G12" i="56"/>
  <c r="F12" i="56"/>
  <c r="E12" i="56"/>
  <c r="D12" i="56"/>
  <c r="C12" i="56"/>
  <c r="K11" i="56"/>
  <c r="H11" i="56"/>
  <c r="G11" i="56"/>
  <c r="F11" i="56"/>
  <c r="E11" i="56"/>
  <c r="D11" i="56"/>
  <c r="C11" i="56"/>
  <c r="K10" i="56"/>
  <c r="H10" i="56"/>
  <c r="G10" i="56"/>
  <c r="F10" i="56"/>
  <c r="E10" i="56"/>
  <c r="D10" i="56"/>
  <c r="C10" i="56"/>
  <c r="K9" i="56"/>
  <c r="H9" i="56"/>
  <c r="G9" i="56"/>
  <c r="F9" i="56"/>
  <c r="E9" i="56"/>
  <c r="D9" i="56"/>
  <c r="C9" i="56"/>
  <c r="K8" i="56"/>
  <c r="H8" i="56"/>
  <c r="G8" i="56"/>
  <c r="F8" i="56"/>
  <c r="E8" i="56"/>
  <c r="D8" i="56"/>
  <c r="C8" i="56"/>
  <c r="K7" i="56"/>
  <c r="H7" i="56"/>
  <c r="G7" i="56"/>
  <c r="F7" i="56"/>
  <c r="E7" i="56"/>
  <c r="D7" i="56"/>
  <c r="C7" i="56"/>
  <c r="K6" i="56"/>
  <c r="H6" i="56"/>
  <c r="G6" i="56"/>
  <c r="F6" i="56"/>
  <c r="E6" i="56"/>
  <c r="D6" i="56"/>
  <c r="C6" i="56"/>
  <c r="K5" i="56"/>
  <c r="H5" i="56"/>
  <c r="G5" i="56"/>
  <c r="F5" i="56"/>
  <c r="E5" i="56"/>
  <c r="D5" i="56"/>
  <c r="C5" i="56"/>
  <c r="B19" i="55"/>
  <c r="I15" i="54"/>
  <c r="H15" i="54"/>
  <c r="G15" i="54"/>
  <c r="F15" i="54"/>
  <c r="E15" i="54"/>
  <c r="D15" i="54"/>
  <c r="C15" i="54"/>
  <c r="I14" i="54"/>
  <c r="H14" i="54"/>
  <c r="G14" i="54"/>
  <c r="F14" i="54"/>
  <c r="E14" i="54"/>
  <c r="D14" i="54"/>
  <c r="C14" i="54"/>
  <c r="I13" i="54"/>
  <c r="H13" i="54"/>
  <c r="G13" i="54"/>
  <c r="F13" i="54"/>
  <c r="E13" i="54"/>
  <c r="D13" i="54"/>
  <c r="C13" i="54"/>
  <c r="I12" i="54"/>
  <c r="H12" i="54"/>
  <c r="G12" i="54"/>
  <c r="F12" i="54"/>
  <c r="E12" i="54"/>
  <c r="D12" i="54"/>
  <c r="C12" i="54"/>
  <c r="I11" i="54"/>
  <c r="H11" i="54"/>
  <c r="G11" i="54"/>
  <c r="F11" i="54"/>
  <c r="E11" i="54"/>
  <c r="D11" i="54"/>
  <c r="C11" i="54"/>
  <c r="I10" i="54"/>
  <c r="H10" i="54"/>
  <c r="G10" i="54"/>
  <c r="F10" i="54"/>
  <c r="E10" i="54"/>
  <c r="D10" i="54"/>
  <c r="C10" i="54"/>
  <c r="I9" i="54"/>
  <c r="H9" i="54"/>
  <c r="G9" i="54"/>
  <c r="F9" i="54"/>
  <c r="E9" i="54"/>
  <c r="D9" i="54"/>
  <c r="C9" i="54"/>
  <c r="I8" i="54"/>
  <c r="H8" i="54"/>
  <c r="G8" i="54"/>
  <c r="F8" i="54"/>
  <c r="E8" i="54"/>
  <c r="D8" i="54"/>
  <c r="C8" i="54"/>
  <c r="I7" i="54"/>
  <c r="H7" i="54"/>
  <c r="G7" i="54"/>
  <c r="F7" i="54"/>
  <c r="E7" i="54"/>
  <c r="D7" i="54"/>
  <c r="C7" i="54"/>
  <c r="I6" i="54"/>
  <c r="H6" i="54"/>
  <c r="G6" i="54"/>
  <c r="F6" i="54"/>
  <c r="E6" i="54"/>
  <c r="D6" i="54"/>
  <c r="C6" i="54"/>
  <c r="I5" i="54"/>
  <c r="H5" i="54"/>
  <c r="G5" i="54"/>
  <c r="F5" i="54"/>
  <c r="E5" i="54"/>
  <c r="D5" i="54"/>
  <c r="C5" i="54"/>
  <c r="I4" i="54"/>
  <c r="H4" i="54"/>
  <c r="G4" i="54"/>
  <c r="F4" i="54"/>
  <c r="E4" i="54"/>
  <c r="D4" i="54"/>
  <c r="C4" i="54"/>
  <c r="M1" i="54"/>
  <c r="I15" i="53"/>
  <c r="H15" i="53"/>
  <c r="G15" i="53"/>
  <c r="F15" i="53"/>
  <c r="E15" i="53"/>
  <c r="D15" i="53"/>
  <c r="C15" i="53"/>
  <c r="I14" i="53"/>
  <c r="H14" i="53"/>
  <c r="G14" i="53"/>
  <c r="F14" i="53"/>
  <c r="E14" i="53"/>
  <c r="D14" i="53"/>
  <c r="C14" i="53"/>
  <c r="I13" i="53"/>
  <c r="H13" i="53"/>
  <c r="G13" i="53"/>
  <c r="F13" i="53"/>
  <c r="E13" i="53"/>
  <c r="D13" i="53"/>
  <c r="C13" i="53"/>
  <c r="I12" i="53"/>
  <c r="H12" i="53"/>
  <c r="G12" i="53"/>
  <c r="F12" i="53"/>
  <c r="E12" i="53"/>
  <c r="D12" i="53"/>
  <c r="C12" i="53"/>
  <c r="I11" i="53"/>
  <c r="H11" i="53"/>
  <c r="G11" i="53"/>
  <c r="F11" i="53"/>
  <c r="E11" i="53"/>
  <c r="D11" i="53"/>
  <c r="C11" i="53"/>
  <c r="I10" i="53"/>
  <c r="H10" i="53"/>
  <c r="G10" i="53"/>
  <c r="F10" i="53"/>
  <c r="E10" i="53"/>
  <c r="D10" i="53"/>
  <c r="C10" i="53"/>
  <c r="I9" i="53"/>
  <c r="H9" i="53"/>
  <c r="G9" i="53"/>
  <c r="F9" i="53"/>
  <c r="E9" i="53"/>
  <c r="D9" i="53"/>
  <c r="C9" i="53"/>
  <c r="I8" i="53"/>
  <c r="H8" i="53"/>
  <c r="G8" i="53"/>
  <c r="F8" i="53"/>
  <c r="E8" i="53"/>
  <c r="D8" i="53"/>
  <c r="C8" i="53"/>
  <c r="I7" i="53"/>
  <c r="H7" i="53"/>
  <c r="G7" i="53"/>
  <c r="F7" i="53"/>
  <c r="E7" i="53"/>
  <c r="D7" i="53"/>
  <c r="C7" i="53"/>
  <c r="I6" i="53"/>
  <c r="H6" i="53"/>
  <c r="G6" i="53"/>
  <c r="F6" i="53"/>
  <c r="E6" i="53"/>
  <c r="D6" i="53"/>
  <c r="C6" i="53"/>
  <c r="I5" i="53"/>
  <c r="H5" i="53"/>
  <c r="G5" i="53"/>
  <c r="F5" i="53"/>
  <c r="E5" i="53"/>
  <c r="D5" i="53"/>
  <c r="C5" i="53"/>
  <c r="I4" i="53"/>
  <c r="H4" i="53"/>
  <c r="G4" i="53"/>
  <c r="F4" i="53"/>
  <c r="E4" i="53"/>
  <c r="D4" i="53"/>
  <c r="C4" i="53"/>
  <c r="M1" i="53"/>
  <c r="S13" i="52"/>
  <c r="R13" i="52"/>
  <c r="Q13" i="52"/>
  <c r="P13" i="52"/>
  <c r="O13" i="52"/>
  <c r="N13" i="52"/>
  <c r="M13" i="52"/>
  <c r="L13" i="52"/>
  <c r="K13" i="52"/>
  <c r="J13" i="52"/>
  <c r="I13" i="52"/>
  <c r="H13" i="52"/>
  <c r="G13" i="52"/>
  <c r="F13" i="52"/>
  <c r="E13" i="52"/>
  <c r="D13" i="52"/>
  <c r="C13" i="52"/>
  <c r="B13" i="52"/>
  <c r="S12" i="52"/>
  <c r="R12" i="52"/>
  <c r="Q12" i="52"/>
  <c r="P12" i="52"/>
  <c r="O12" i="52"/>
  <c r="N12" i="52"/>
  <c r="M12" i="52"/>
  <c r="L12" i="52"/>
  <c r="K12" i="52"/>
  <c r="J12" i="52"/>
  <c r="I12" i="52"/>
  <c r="H12" i="52"/>
  <c r="G12" i="52"/>
  <c r="F12" i="52"/>
  <c r="E12" i="52"/>
  <c r="D12" i="52"/>
  <c r="C12" i="52"/>
  <c r="B12" i="52"/>
  <c r="S11" i="52"/>
  <c r="R11" i="52"/>
  <c r="Q11" i="52"/>
  <c r="P11" i="52"/>
  <c r="O11" i="52"/>
  <c r="N11" i="52"/>
  <c r="M11" i="52"/>
  <c r="L11" i="52"/>
  <c r="K11" i="52"/>
  <c r="J11" i="52"/>
  <c r="I11" i="52"/>
  <c r="H11" i="52"/>
  <c r="G11" i="52"/>
  <c r="F11" i="52"/>
  <c r="E11" i="52"/>
  <c r="D11" i="52"/>
  <c r="C11" i="52"/>
  <c r="B11" i="52"/>
  <c r="S10" i="52"/>
  <c r="R10" i="52"/>
  <c r="Q10" i="52"/>
  <c r="P10" i="52"/>
  <c r="O10" i="52"/>
  <c r="N10" i="52"/>
  <c r="M10" i="52"/>
  <c r="L10" i="52"/>
  <c r="K10" i="52"/>
  <c r="J10" i="52"/>
  <c r="I10" i="52"/>
  <c r="H10" i="52"/>
  <c r="G10" i="52"/>
  <c r="F10" i="52"/>
  <c r="E10" i="52"/>
  <c r="D10" i="52"/>
  <c r="C10" i="52"/>
  <c r="B10" i="52"/>
  <c r="S9" i="52"/>
  <c r="R9" i="52"/>
  <c r="Q9" i="52"/>
  <c r="P9" i="52"/>
  <c r="O9" i="52"/>
  <c r="N9" i="52"/>
  <c r="M9" i="52"/>
  <c r="L9" i="52"/>
  <c r="K9" i="52"/>
  <c r="J9" i="52"/>
  <c r="I9" i="52"/>
  <c r="H9" i="52"/>
  <c r="G9" i="52"/>
  <c r="F9" i="52"/>
  <c r="E9" i="52"/>
  <c r="D9" i="52"/>
  <c r="C9" i="52"/>
  <c r="B9" i="52"/>
  <c r="S8" i="52"/>
  <c r="R8" i="52"/>
  <c r="Q8" i="52"/>
  <c r="P8" i="52"/>
  <c r="O8" i="52"/>
  <c r="N8" i="52"/>
  <c r="M8" i="52"/>
  <c r="L8" i="52"/>
  <c r="K8" i="52"/>
  <c r="J8" i="52"/>
  <c r="I8" i="52"/>
  <c r="H8" i="52"/>
  <c r="G8" i="52"/>
  <c r="F8" i="52"/>
  <c r="E8" i="52"/>
  <c r="D8" i="52"/>
  <c r="C8" i="52"/>
  <c r="B8" i="52"/>
  <c r="S7" i="52"/>
  <c r="R7" i="52"/>
  <c r="Q7" i="52"/>
  <c r="P7" i="52"/>
  <c r="O7" i="52"/>
  <c r="N7" i="52"/>
  <c r="M7" i="52"/>
  <c r="L7" i="52"/>
  <c r="K7" i="52"/>
  <c r="J7" i="52"/>
  <c r="I7" i="52"/>
  <c r="H7" i="52"/>
  <c r="G7" i="52"/>
  <c r="F7" i="52"/>
  <c r="E7" i="52"/>
  <c r="D7" i="52"/>
  <c r="C7" i="52"/>
  <c r="B7" i="52"/>
  <c r="S6" i="52"/>
  <c r="R6" i="52"/>
  <c r="Q6" i="52"/>
  <c r="P6" i="52"/>
  <c r="O6" i="52"/>
  <c r="N6" i="52"/>
  <c r="M6" i="52"/>
  <c r="L6" i="52"/>
  <c r="K6" i="52"/>
  <c r="J6" i="52"/>
  <c r="I6" i="52"/>
  <c r="H6" i="52"/>
  <c r="G6" i="52"/>
  <c r="F6" i="52"/>
  <c r="E6" i="52"/>
  <c r="D6" i="52"/>
  <c r="C6" i="52"/>
  <c r="B6" i="52"/>
  <c r="S5" i="52"/>
  <c r="R5" i="52"/>
  <c r="Q5" i="52"/>
  <c r="P5" i="52"/>
  <c r="O5" i="52"/>
  <c r="N5" i="52"/>
  <c r="M5" i="52"/>
  <c r="L5" i="52"/>
  <c r="K5" i="52"/>
  <c r="J5" i="52"/>
  <c r="I5" i="52"/>
  <c r="H5" i="52"/>
  <c r="G5" i="52"/>
  <c r="F5" i="52"/>
  <c r="E5" i="52"/>
  <c r="D5" i="52"/>
  <c r="C5" i="52"/>
  <c r="B5" i="52"/>
  <c r="S4" i="52"/>
  <c r="R4" i="52"/>
  <c r="Q4" i="52"/>
  <c r="P4" i="52"/>
  <c r="O4" i="52"/>
  <c r="N4" i="52"/>
  <c r="M4" i="52"/>
  <c r="L4" i="52"/>
  <c r="K4" i="52"/>
  <c r="J4" i="52"/>
  <c r="I4" i="52"/>
  <c r="H4" i="52"/>
  <c r="G4" i="52"/>
  <c r="F4" i="52"/>
  <c r="E4" i="52"/>
  <c r="D4" i="52"/>
  <c r="C4" i="52"/>
  <c r="B4" i="52"/>
  <c r="L1" i="52"/>
  <c r="F13" i="51"/>
  <c r="E13" i="51"/>
  <c r="D13" i="51"/>
  <c r="C13" i="51"/>
  <c r="B13" i="51"/>
  <c r="F12" i="51"/>
  <c r="E12" i="51"/>
  <c r="D12" i="51"/>
  <c r="C12" i="51"/>
  <c r="B12" i="51"/>
  <c r="F11" i="51"/>
  <c r="E11" i="51"/>
  <c r="D11" i="51"/>
  <c r="C11" i="51"/>
  <c r="B11" i="51"/>
  <c r="F10" i="51"/>
  <c r="E10" i="51"/>
  <c r="D10" i="51"/>
  <c r="C10" i="51"/>
  <c r="B10" i="51"/>
  <c r="F9" i="51"/>
  <c r="E9" i="51"/>
  <c r="D9" i="51"/>
  <c r="C9" i="51"/>
  <c r="B9" i="51"/>
  <c r="F8" i="51"/>
  <c r="E8" i="51"/>
  <c r="D8" i="51"/>
  <c r="C8" i="51"/>
  <c r="B8" i="51"/>
  <c r="F7" i="51"/>
  <c r="E7" i="51"/>
  <c r="D7" i="51"/>
  <c r="C7" i="51"/>
  <c r="B7" i="51"/>
  <c r="F6" i="51"/>
  <c r="E6" i="51"/>
  <c r="D6" i="51"/>
  <c r="C6" i="51"/>
  <c r="B6" i="51"/>
  <c r="F5" i="51"/>
  <c r="E5" i="51"/>
  <c r="D5" i="51"/>
  <c r="C5" i="51"/>
  <c r="B5" i="51"/>
  <c r="F4" i="51"/>
  <c r="E4" i="51"/>
  <c r="D4" i="51"/>
  <c r="C4" i="51"/>
  <c r="B4" i="51"/>
  <c r="L1" i="51"/>
  <c r="G12" i="50"/>
  <c r="F12" i="50"/>
  <c r="E12" i="50"/>
  <c r="D12" i="50"/>
  <c r="C12" i="50"/>
  <c r="B12" i="50"/>
  <c r="G11" i="50"/>
  <c r="F11" i="50"/>
  <c r="E11" i="50"/>
  <c r="D11" i="50"/>
  <c r="C11" i="50"/>
  <c r="B11" i="50"/>
  <c r="K10" i="50"/>
  <c r="J10" i="50"/>
  <c r="G10" i="50"/>
  <c r="F10" i="50"/>
  <c r="E10" i="50"/>
  <c r="D10" i="50"/>
  <c r="C10" i="50"/>
  <c r="B10" i="50"/>
  <c r="K9" i="50"/>
  <c r="J9" i="50"/>
  <c r="G9" i="50"/>
  <c r="F9" i="50"/>
  <c r="E9" i="50"/>
  <c r="D9" i="50"/>
  <c r="C9" i="50"/>
  <c r="B9" i="50"/>
  <c r="K8" i="50"/>
  <c r="J8" i="50"/>
  <c r="G8" i="50"/>
  <c r="F8" i="50"/>
  <c r="E8" i="50"/>
  <c r="D8" i="50"/>
  <c r="C8" i="50"/>
  <c r="B8" i="50"/>
  <c r="K7" i="50"/>
  <c r="J7" i="50"/>
  <c r="G7" i="50"/>
  <c r="F7" i="50"/>
  <c r="E7" i="50"/>
  <c r="D7" i="50"/>
  <c r="C7" i="50"/>
  <c r="B7" i="50"/>
  <c r="K6" i="50"/>
  <c r="J6" i="50"/>
  <c r="G6" i="50"/>
  <c r="F6" i="50"/>
  <c r="E6" i="50"/>
  <c r="D6" i="50"/>
  <c r="C6" i="50"/>
  <c r="B6" i="50"/>
  <c r="K5" i="50"/>
  <c r="J5" i="50"/>
  <c r="G5" i="50"/>
  <c r="F5" i="50"/>
  <c r="E5" i="50"/>
  <c r="D5" i="50"/>
  <c r="C5" i="50"/>
  <c r="B5" i="50"/>
  <c r="K4" i="50"/>
  <c r="J4" i="50"/>
  <c r="G4" i="50"/>
  <c r="F4" i="50"/>
  <c r="E4" i="50"/>
  <c r="D4" i="50"/>
  <c r="C4" i="50"/>
  <c r="B4" i="50"/>
  <c r="L1" i="50"/>
  <c r="U12" i="49"/>
  <c r="T12" i="49"/>
  <c r="S12" i="49"/>
  <c r="R12" i="49"/>
  <c r="Q12" i="49"/>
  <c r="P12" i="49"/>
  <c r="O12" i="49"/>
  <c r="N12" i="49"/>
  <c r="M12" i="49"/>
  <c r="L12" i="49"/>
  <c r="K12" i="49"/>
  <c r="I12" i="49"/>
  <c r="H12" i="49"/>
  <c r="G12" i="49"/>
  <c r="E12" i="49"/>
  <c r="C12" i="49"/>
  <c r="B12" i="49"/>
  <c r="U11" i="49"/>
  <c r="T11" i="49"/>
  <c r="S11" i="49"/>
  <c r="R11" i="49"/>
  <c r="Q11" i="49"/>
  <c r="P11" i="49"/>
  <c r="O11" i="49"/>
  <c r="N11" i="49"/>
  <c r="M11" i="49"/>
  <c r="L11" i="49"/>
  <c r="K11" i="49"/>
  <c r="I11" i="49"/>
  <c r="H11" i="49"/>
  <c r="G11" i="49"/>
  <c r="E11" i="49"/>
  <c r="D11" i="49"/>
  <c r="C11" i="49"/>
  <c r="B11" i="49"/>
  <c r="U10" i="49"/>
  <c r="T10" i="49"/>
  <c r="S10" i="49"/>
  <c r="R10" i="49"/>
  <c r="Q10" i="49"/>
  <c r="P10" i="49"/>
  <c r="O10" i="49"/>
  <c r="N10" i="49"/>
  <c r="M10" i="49"/>
  <c r="L10" i="49"/>
  <c r="K10" i="49"/>
  <c r="I10" i="49"/>
  <c r="H10" i="49"/>
  <c r="G10" i="49"/>
  <c r="E10" i="49"/>
  <c r="D10" i="49"/>
  <c r="C10" i="49"/>
  <c r="B10" i="49"/>
  <c r="U9" i="49"/>
  <c r="T9" i="49"/>
  <c r="S9" i="49"/>
  <c r="R9" i="49"/>
  <c r="Q9" i="49"/>
  <c r="P9" i="49"/>
  <c r="O9" i="49"/>
  <c r="N9" i="49"/>
  <c r="M9" i="49"/>
  <c r="L9" i="49"/>
  <c r="K9" i="49"/>
  <c r="I9" i="49"/>
  <c r="H9" i="49"/>
  <c r="G9" i="49"/>
  <c r="E9" i="49"/>
  <c r="C9" i="49"/>
  <c r="B9" i="49"/>
  <c r="U8" i="49"/>
  <c r="T8" i="49"/>
  <c r="S8" i="49"/>
  <c r="R8" i="49"/>
  <c r="Q8" i="49"/>
  <c r="P8" i="49"/>
  <c r="O8" i="49"/>
  <c r="N8" i="49"/>
  <c r="M8" i="49"/>
  <c r="L8" i="49"/>
  <c r="K8" i="49"/>
  <c r="I8" i="49"/>
  <c r="H8" i="49"/>
  <c r="G8" i="49"/>
  <c r="E8" i="49"/>
  <c r="D8" i="49"/>
  <c r="C8" i="49"/>
  <c r="B8" i="49"/>
  <c r="U7" i="49"/>
  <c r="T7" i="49"/>
  <c r="S7" i="49"/>
  <c r="R7" i="49"/>
  <c r="Q7" i="49"/>
  <c r="P7" i="49"/>
  <c r="O7" i="49"/>
  <c r="N7" i="49"/>
  <c r="M7" i="49"/>
  <c r="L7" i="49"/>
  <c r="K7" i="49"/>
  <c r="I7" i="49"/>
  <c r="H7" i="49"/>
  <c r="G7" i="49"/>
  <c r="E7" i="49"/>
  <c r="D7" i="49"/>
  <c r="C7" i="49"/>
  <c r="B7" i="49"/>
  <c r="U6" i="49"/>
  <c r="T6" i="49"/>
  <c r="S6" i="49"/>
  <c r="R6" i="49"/>
  <c r="Q6" i="49"/>
  <c r="P6" i="49"/>
  <c r="O6" i="49"/>
  <c r="N6" i="49"/>
  <c r="M6" i="49"/>
  <c r="L6" i="49"/>
  <c r="K6" i="49"/>
  <c r="I6" i="49"/>
  <c r="H6" i="49"/>
  <c r="G6" i="49"/>
  <c r="E6" i="49"/>
  <c r="D6" i="49"/>
  <c r="C6" i="49"/>
  <c r="B6" i="49"/>
  <c r="M31" i="47"/>
  <c r="L31" i="47"/>
  <c r="K31" i="47"/>
  <c r="J31" i="47"/>
  <c r="I31" i="47"/>
  <c r="H31" i="47"/>
  <c r="G31" i="47"/>
  <c r="F31" i="47"/>
  <c r="E31" i="47"/>
  <c r="D31" i="47"/>
  <c r="C31" i="47"/>
  <c r="B31" i="47"/>
  <c r="M30" i="47"/>
  <c r="L30" i="47"/>
  <c r="K30" i="47"/>
  <c r="J30" i="47"/>
  <c r="I30" i="47"/>
  <c r="H30" i="47"/>
  <c r="G30" i="47"/>
  <c r="F30" i="47"/>
  <c r="E30" i="47"/>
  <c r="D30" i="47"/>
  <c r="C30" i="47"/>
  <c r="B30" i="47"/>
  <c r="M29" i="47"/>
  <c r="L29" i="47"/>
  <c r="K29" i="47"/>
  <c r="J29" i="47"/>
  <c r="I29" i="47"/>
  <c r="H29" i="47"/>
  <c r="G29" i="47"/>
  <c r="F29" i="47"/>
  <c r="E29" i="47"/>
  <c r="D29" i="47"/>
  <c r="C29" i="47"/>
  <c r="B29" i="47"/>
  <c r="M16" i="47"/>
  <c r="L16" i="47"/>
  <c r="K16" i="47"/>
  <c r="J16" i="47"/>
  <c r="I16" i="47"/>
  <c r="H16" i="47"/>
  <c r="G16" i="47"/>
  <c r="F16" i="47"/>
  <c r="E16" i="47"/>
  <c r="D16" i="47"/>
  <c r="C16" i="47"/>
  <c r="B16" i="47"/>
  <c r="N15" i="47"/>
  <c r="M15" i="47"/>
  <c r="L15" i="47"/>
  <c r="K15" i="47"/>
  <c r="J15" i="47"/>
  <c r="I15" i="47"/>
  <c r="H15" i="47"/>
  <c r="G15" i="47"/>
  <c r="F15" i="47"/>
  <c r="E15" i="47"/>
  <c r="D15" i="47"/>
  <c r="C15" i="47"/>
  <c r="B15" i="47"/>
  <c r="O13" i="47"/>
  <c r="N13" i="47"/>
  <c r="M13" i="47"/>
  <c r="L13" i="47"/>
  <c r="K13" i="47"/>
  <c r="J13" i="47"/>
  <c r="I13" i="47"/>
  <c r="H13" i="47"/>
  <c r="G13" i="47"/>
  <c r="F13" i="47"/>
  <c r="E13" i="47"/>
  <c r="D13" i="47"/>
  <c r="C13" i="47"/>
  <c r="B13" i="47"/>
  <c r="O12" i="47"/>
  <c r="N12" i="47"/>
  <c r="M12" i="47"/>
  <c r="L12" i="47"/>
  <c r="K12" i="47"/>
  <c r="J12" i="47"/>
  <c r="I12" i="47"/>
  <c r="H12" i="47"/>
  <c r="G12" i="47"/>
  <c r="F12" i="47"/>
  <c r="E12" i="47"/>
  <c r="D12" i="47"/>
  <c r="C12" i="47"/>
  <c r="B12" i="47"/>
  <c r="O11" i="47"/>
  <c r="N11" i="47"/>
  <c r="M11" i="47"/>
  <c r="L11" i="47"/>
  <c r="K11" i="47"/>
  <c r="J11" i="47"/>
  <c r="I11" i="47"/>
  <c r="H11" i="47"/>
  <c r="G11" i="47"/>
  <c r="F11" i="47"/>
  <c r="E11" i="47"/>
  <c r="D11" i="47"/>
  <c r="C11" i="47"/>
  <c r="B11" i="47"/>
  <c r="O10" i="47"/>
  <c r="N10" i="47"/>
  <c r="M10" i="47"/>
  <c r="L10" i="47"/>
  <c r="K10" i="47"/>
  <c r="J10" i="47"/>
  <c r="I10" i="47"/>
  <c r="H10" i="47"/>
  <c r="G10" i="47"/>
  <c r="F10" i="47"/>
  <c r="E10" i="47"/>
  <c r="D10" i="47"/>
  <c r="C10" i="47"/>
  <c r="B10" i="47"/>
  <c r="O9" i="47"/>
  <c r="N9" i="47"/>
  <c r="M9" i="47"/>
  <c r="L9" i="47"/>
  <c r="K9" i="47"/>
  <c r="J9" i="47"/>
  <c r="I9" i="47"/>
  <c r="H9" i="47"/>
  <c r="G9" i="47"/>
  <c r="F9" i="47"/>
  <c r="E9" i="47"/>
  <c r="D9" i="47"/>
  <c r="C9" i="47"/>
  <c r="B9" i="47"/>
  <c r="O8" i="47"/>
  <c r="N8" i="47"/>
  <c r="M8" i="47"/>
  <c r="L8" i="47"/>
  <c r="K8" i="47"/>
  <c r="J8" i="47"/>
  <c r="I8" i="47"/>
  <c r="H8" i="47"/>
  <c r="G8" i="47"/>
  <c r="F8" i="47"/>
  <c r="E8" i="47"/>
  <c r="D8" i="47"/>
  <c r="C8" i="47"/>
  <c r="B8" i="47"/>
  <c r="O7" i="47"/>
  <c r="N7" i="47"/>
  <c r="M7" i="47"/>
  <c r="L7" i="47"/>
  <c r="K7" i="47"/>
  <c r="J7" i="47"/>
  <c r="I7" i="47"/>
  <c r="H7" i="47"/>
  <c r="G7" i="47"/>
  <c r="F7" i="47"/>
  <c r="E7" i="47"/>
  <c r="D7" i="47"/>
  <c r="C7" i="47"/>
  <c r="B7" i="47"/>
  <c r="O6" i="47"/>
  <c r="N6" i="47"/>
  <c r="M6" i="47"/>
  <c r="L6" i="47"/>
  <c r="K6" i="47"/>
  <c r="J6" i="47"/>
  <c r="I6" i="47"/>
  <c r="H6" i="47"/>
  <c r="G6" i="47"/>
  <c r="F6" i="47"/>
  <c r="E6" i="47"/>
  <c r="D6" i="47"/>
  <c r="C6" i="47"/>
  <c r="B6" i="47"/>
  <c r="E16" i="46"/>
  <c r="C16" i="46"/>
  <c r="C15" i="46"/>
  <c r="C14" i="46"/>
  <c r="C13" i="46"/>
  <c r="C12" i="46"/>
  <c r="E11" i="46"/>
  <c r="C11" i="46"/>
  <c r="C10" i="46"/>
  <c r="C9" i="46"/>
  <c r="C8" i="46"/>
  <c r="C7" i="46"/>
  <c r="C6" i="46"/>
  <c r="C5" i="46"/>
  <c r="F1" i="46"/>
  <c r="B16" i="45"/>
  <c r="B15" i="45"/>
  <c r="H12" i="45"/>
  <c r="E12" i="45"/>
  <c r="D12" i="45"/>
  <c r="C12" i="45"/>
  <c r="B12" i="45"/>
  <c r="H11" i="45"/>
  <c r="E11" i="45"/>
  <c r="D11" i="45"/>
  <c r="C11" i="45"/>
  <c r="B11" i="45"/>
  <c r="H10" i="45"/>
  <c r="E10" i="45"/>
  <c r="D10" i="45"/>
  <c r="C10" i="45"/>
  <c r="B10" i="45"/>
  <c r="H9" i="45"/>
  <c r="E9" i="45"/>
  <c r="D9" i="45"/>
  <c r="C9" i="45"/>
  <c r="B9" i="45"/>
  <c r="H8" i="45"/>
  <c r="E8" i="45"/>
  <c r="D8" i="45"/>
  <c r="C8" i="45"/>
  <c r="B8" i="45"/>
  <c r="H7" i="45"/>
  <c r="E7" i="45"/>
  <c r="D7" i="45"/>
  <c r="C7" i="45"/>
  <c r="B7" i="45"/>
  <c r="H6" i="45"/>
  <c r="E6" i="45"/>
  <c r="D6" i="45"/>
  <c r="C6" i="45"/>
  <c r="B6" i="45"/>
  <c r="H5" i="45"/>
  <c r="E5" i="45"/>
  <c r="D5" i="45"/>
  <c r="C5" i="45"/>
  <c r="B5" i="45"/>
  <c r="H4" i="45"/>
  <c r="E4" i="45"/>
  <c r="D4" i="45"/>
  <c r="C4" i="45"/>
  <c r="B4" i="45"/>
  <c r="L1" i="45"/>
  <c r="C10" i="44"/>
  <c r="B10" i="44"/>
  <c r="C9" i="44"/>
  <c r="B9" i="44"/>
  <c r="C8" i="44"/>
  <c r="B8" i="44"/>
  <c r="C7" i="44"/>
  <c r="B7" i="44"/>
  <c r="C6" i="44"/>
  <c r="B6" i="44"/>
  <c r="C5" i="44"/>
  <c r="B5" i="44"/>
  <c r="C4" i="44"/>
  <c r="B4" i="44"/>
  <c r="L1" i="44"/>
  <c r="L1" i="43"/>
  <c r="G10" i="42"/>
  <c r="F10" i="42"/>
  <c r="E10" i="42"/>
  <c r="C10" i="42"/>
  <c r="G9" i="42"/>
  <c r="F9" i="42"/>
  <c r="E9" i="42"/>
  <c r="C9" i="42"/>
  <c r="G8" i="42"/>
  <c r="F8" i="42"/>
  <c r="E8" i="42"/>
  <c r="C8" i="42"/>
  <c r="G7" i="42"/>
  <c r="F7" i="42"/>
  <c r="E7" i="42"/>
  <c r="C7" i="42"/>
  <c r="G6" i="42"/>
  <c r="F6" i="42"/>
  <c r="E6" i="42"/>
  <c r="C6" i="42"/>
  <c r="G5" i="42"/>
  <c r="F5" i="42"/>
  <c r="E5" i="42"/>
  <c r="C5" i="42"/>
  <c r="G4" i="42"/>
  <c r="F4" i="42"/>
  <c r="E4" i="42"/>
  <c r="C4" i="42"/>
  <c r="L1" i="42"/>
  <c r="J9" i="41"/>
  <c r="I9" i="41"/>
  <c r="H9" i="41"/>
  <c r="G9" i="41"/>
  <c r="F9" i="41"/>
  <c r="D9" i="41"/>
  <c r="C9" i="41"/>
  <c r="B9" i="41"/>
  <c r="J8" i="41"/>
  <c r="I8" i="41"/>
  <c r="H8" i="41"/>
  <c r="G8" i="41"/>
  <c r="F8" i="41"/>
  <c r="D8" i="41"/>
  <c r="C8" i="41"/>
  <c r="B8" i="41"/>
  <c r="J7" i="41"/>
  <c r="I7" i="41"/>
  <c r="H7" i="41"/>
  <c r="G7" i="41"/>
  <c r="F7" i="41"/>
  <c r="D7" i="41"/>
  <c r="C7" i="41"/>
  <c r="B7" i="41"/>
  <c r="J6" i="41"/>
  <c r="I6" i="41"/>
  <c r="H6" i="41"/>
  <c r="G6" i="41"/>
  <c r="F6" i="41"/>
  <c r="D6" i="41"/>
  <c r="C6" i="41"/>
  <c r="B6" i="41"/>
  <c r="J5" i="41"/>
  <c r="I5" i="41"/>
  <c r="H5" i="41"/>
  <c r="G5" i="41"/>
  <c r="F5" i="41"/>
  <c r="D5" i="41"/>
  <c r="C5" i="41"/>
  <c r="B5" i="41"/>
  <c r="J4" i="41"/>
  <c r="G4" i="41"/>
  <c r="F4" i="41"/>
  <c r="D4" i="41"/>
  <c r="C4" i="41"/>
  <c r="B4" i="41"/>
  <c r="L1" i="41"/>
  <c r="C31" i="40"/>
  <c r="D31" i="40"/>
  <c r="F31" i="40"/>
  <c r="G31" i="40"/>
  <c r="H31" i="40"/>
  <c r="E31" i="40"/>
  <c r="B31" i="40"/>
  <c r="C30" i="40"/>
  <c r="D30" i="40"/>
  <c r="F30" i="40"/>
  <c r="G30" i="40"/>
  <c r="H30" i="40"/>
  <c r="E30" i="40"/>
  <c r="B30" i="40"/>
  <c r="C29" i="40"/>
  <c r="D29" i="40"/>
  <c r="F29" i="40"/>
  <c r="G29" i="40"/>
  <c r="H29" i="40"/>
  <c r="E29" i="40"/>
  <c r="B29" i="40"/>
  <c r="C28" i="40"/>
  <c r="D28" i="40"/>
  <c r="F28" i="40"/>
  <c r="G28" i="40"/>
  <c r="H28" i="40"/>
  <c r="E28" i="40"/>
  <c r="B28" i="40"/>
  <c r="C27" i="40"/>
  <c r="D27" i="40"/>
  <c r="F27" i="40"/>
  <c r="G27" i="40"/>
  <c r="H27" i="40"/>
  <c r="E27" i="40"/>
  <c r="B27" i="40"/>
  <c r="C26" i="40"/>
  <c r="D26" i="40"/>
  <c r="F26" i="40"/>
  <c r="G26" i="40"/>
  <c r="H26" i="40"/>
  <c r="E26" i="40"/>
  <c r="B26" i="40"/>
  <c r="C25" i="40"/>
  <c r="D25" i="40"/>
  <c r="F25" i="40"/>
  <c r="G25" i="40"/>
  <c r="H25" i="40"/>
  <c r="E25" i="40"/>
  <c r="B25" i="40"/>
  <c r="H21" i="40"/>
  <c r="G21" i="40"/>
  <c r="F21" i="40"/>
  <c r="E21" i="40"/>
  <c r="D21" i="40"/>
  <c r="C21" i="40"/>
  <c r="B21" i="40"/>
  <c r="I20" i="40"/>
  <c r="G20" i="40"/>
  <c r="F20" i="40"/>
  <c r="E20" i="40"/>
  <c r="D20" i="40"/>
  <c r="C20" i="40"/>
  <c r="B20" i="40"/>
  <c r="I19" i="40"/>
  <c r="H19" i="40"/>
  <c r="F19" i="40"/>
  <c r="E19" i="40"/>
  <c r="D19" i="40"/>
  <c r="C19" i="40"/>
  <c r="B19" i="40"/>
  <c r="I18" i="40"/>
  <c r="H18" i="40"/>
  <c r="G18" i="40"/>
  <c r="E18" i="40"/>
  <c r="D18" i="40"/>
  <c r="C18" i="40"/>
  <c r="B18" i="40"/>
  <c r="I17" i="40"/>
  <c r="H17" i="40"/>
  <c r="G17" i="40"/>
  <c r="F17" i="40"/>
  <c r="D17" i="40"/>
  <c r="C17" i="40"/>
  <c r="B17" i="40"/>
  <c r="I16" i="40"/>
  <c r="H16" i="40"/>
  <c r="G16" i="40"/>
  <c r="F16" i="40"/>
  <c r="E16" i="40"/>
  <c r="C16" i="40"/>
  <c r="B16" i="40"/>
  <c r="I15" i="40"/>
  <c r="H15" i="40"/>
  <c r="G15" i="40"/>
  <c r="F15" i="40"/>
  <c r="E15" i="40"/>
  <c r="D15" i="40"/>
  <c r="B15" i="40"/>
  <c r="H11" i="40"/>
  <c r="G11" i="40"/>
  <c r="F11" i="40"/>
  <c r="E11" i="40"/>
  <c r="D11" i="40"/>
  <c r="C11" i="40"/>
  <c r="B11" i="40"/>
  <c r="I10" i="40"/>
  <c r="G10" i="40"/>
  <c r="F10" i="40"/>
  <c r="E10" i="40"/>
  <c r="D10" i="40"/>
  <c r="C10" i="40"/>
  <c r="B10" i="40"/>
  <c r="I9" i="40"/>
  <c r="H9" i="40"/>
  <c r="F9" i="40"/>
  <c r="E9" i="40"/>
  <c r="D9" i="40"/>
  <c r="C9" i="40"/>
  <c r="B9" i="40"/>
  <c r="I8" i="40"/>
  <c r="H8" i="40"/>
  <c r="G8" i="40"/>
  <c r="E8" i="40"/>
  <c r="D8" i="40"/>
  <c r="C8" i="40"/>
  <c r="B8" i="40"/>
  <c r="I7" i="40"/>
  <c r="H7" i="40"/>
  <c r="G7" i="40"/>
  <c r="F7" i="40"/>
  <c r="D7" i="40"/>
  <c r="C7" i="40"/>
  <c r="B7" i="40"/>
  <c r="I6" i="40"/>
  <c r="H6" i="40"/>
  <c r="G6" i="40"/>
  <c r="F6" i="40"/>
  <c r="E6" i="40"/>
  <c r="C6" i="40"/>
  <c r="B6" i="40"/>
  <c r="I5" i="40"/>
  <c r="H5" i="40"/>
  <c r="G5" i="40"/>
  <c r="F5" i="40"/>
  <c r="E5" i="40"/>
  <c r="D5" i="40"/>
  <c r="B5" i="40"/>
  <c r="V2" i="40"/>
  <c r="H35" i="39"/>
  <c r="G35" i="39"/>
  <c r="F35" i="39"/>
  <c r="E35" i="39"/>
  <c r="D35" i="39"/>
  <c r="C35" i="39"/>
  <c r="B35" i="39"/>
  <c r="I34" i="39"/>
  <c r="G34" i="39"/>
  <c r="F34" i="39"/>
  <c r="E34" i="39"/>
  <c r="D34" i="39"/>
  <c r="C34" i="39"/>
  <c r="B34" i="39"/>
  <c r="I33" i="39"/>
  <c r="H33" i="39"/>
  <c r="F33" i="39"/>
  <c r="E33" i="39"/>
  <c r="D33" i="39"/>
  <c r="C33" i="39"/>
  <c r="B33" i="39"/>
  <c r="I32" i="39"/>
  <c r="H32" i="39"/>
  <c r="G32" i="39"/>
  <c r="E32" i="39"/>
  <c r="D32" i="39"/>
  <c r="C32" i="39"/>
  <c r="B32" i="39"/>
  <c r="I31" i="39"/>
  <c r="H31" i="39"/>
  <c r="G31" i="39"/>
  <c r="F31" i="39"/>
  <c r="D31" i="39"/>
  <c r="C31" i="39"/>
  <c r="B31" i="39"/>
  <c r="I30" i="39"/>
  <c r="H30" i="39"/>
  <c r="G30" i="39"/>
  <c r="F30" i="39"/>
  <c r="E30" i="39"/>
  <c r="C30" i="39"/>
  <c r="B30" i="39"/>
  <c r="I29" i="39"/>
  <c r="H29" i="39"/>
  <c r="G29" i="39"/>
  <c r="F29" i="39"/>
  <c r="E29" i="39"/>
  <c r="D29" i="39"/>
  <c r="B29" i="39"/>
  <c r="H25" i="39"/>
  <c r="G25" i="39"/>
  <c r="F25" i="39"/>
  <c r="E25" i="39"/>
  <c r="D25" i="39"/>
  <c r="C25" i="39"/>
  <c r="B25" i="39"/>
  <c r="I24" i="39"/>
  <c r="G24" i="39"/>
  <c r="F24" i="39"/>
  <c r="E24" i="39"/>
  <c r="D24" i="39"/>
  <c r="C24" i="39"/>
  <c r="B24" i="39"/>
  <c r="I23" i="39"/>
  <c r="H23" i="39"/>
  <c r="F23" i="39"/>
  <c r="E23" i="39"/>
  <c r="D23" i="39"/>
  <c r="C23" i="39"/>
  <c r="B23" i="39"/>
  <c r="I22" i="39"/>
  <c r="H22" i="39"/>
  <c r="G22" i="39"/>
  <c r="E22" i="39"/>
  <c r="D22" i="39"/>
  <c r="C22" i="39"/>
  <c r="B22" i="39"/>
  <c r="I21" i="39"/>
  <c r="H21" i="39"/>
  <c r="G21" i="39"/>
  <c r="F21" i="39"/>
  <c r="D21" i="39"/>
  <c r="C21" i="39"/>
  <c r="B21" i="39"/>
  <c r="I20" i="39"/>
  <c r="H20" i="39"/>
  <c r="G20" i="39"/>
  <c r="F20" i="39"/>
  <c r="E20" i="39"/>
  <c r="C20" i="39"/>
  <c r="B20" i="39"/>
  <c r="I19" i="39"/>
  <c r="H19" i="39"/>
  <c r="G19" i="39"/>
  <c r="F19" i="39"/>
  <c r="E19" i="39"/>
  <c r="D19" i="39"/>
  <c r="B19" i="39"/>
  <c r="H14" i="39"/>
  <c r="G14" i="39"/>
  <c r="F14" i="39"/>
  <c r="E14" i="39"/>
  <c r="D14" i="39"/>
  <c r="C14" i="39"/>
  <c r="B14" i="39"/>
  <c r="I13" i="39"/>
  <c r="G13" i="39"/>
  <c r="F13" i="39"/>
  <c r="E13" i="39"/>
  <c r="D13" i="39"/>
  <c r="C13" i="39"/>
  <c r="B13" i="39"/>
  <c r="I12" i="39"/>
  <c r="H12" i="39"/>
  <c r="F12" i="39"/>
  <c r="E12" i="39"/>
  <c r="D12" i="39"/>
  <c r="C12" i="39"/>
  <c r="B12" i="39"/>
  <c r="I11" i="39"/>
  <c r="H11" i="39"/>
  <c r="G11" i="39"/>
  <c r="E11" i="39"/>
  <c r="D11" i="39"/>
  <c r="C11" i="39"/>
  <c r="B11" i="39"/>
  <c r="I10" i="39"/>
  <c r="H10" i="39"/>
  <c r="G10" i="39"/>
  <c r="F10" i="39"/>
  <c r="D10" i="39"/>
  <c r="C10" i="39"/>
  <c r="B10" i="39"/>
  <c r="I9" i="39"/>
  <c r="H9" i="39"/>
  <c r="G9" i="39"/>
  <c r="F9" i="39"/>
  <c r="E9" i="39"/>
  <c r="C9" i="39"/>
  <c r="B9" i="39"/>
  <c r="I8" i="39"/>
  <c r="H8" i="39"/>
  <c r="G8" i="39"/>
  <c r="F8" i="39"/>
  <c r="E8" i="39"/>
  <c r="D8" i="39"/>
  <c r="B8" i="39"/>
  <c r="L1" i="39"/>
  <c r="J4" i="38"/>
  <c r="I4" i="38"/>
  <c r="H4" i="38"/>
  <c r="G4" i="38"/>
  <c r="F4" i="38"/>
  <c r="E4" i="38"/>
  <c r="D4" i="38"/>
  <c r="C4" i="38"/>
  <c r="B4" i="38"/>
  <c r="A4" i="38"/>
  <c r="L1" i="38"/>
  <c r="M16" i="37"/>
  <c r="K16" i="37"/>
  <c r="J16" i="37"/>
  <c r="I16" i="37"/>
  <c r="H16" i="37"/>
  <c r="G16" i="37"/>
  <c r="F16" i="37"/>
  <c r="E16" i="37"/>
  <c r="M15" i="37"/>
  <c r="K15" i="37"/>
  <c r="J15" i="37"/>
  <c r="I15" i="37"/>
  <c r="H15" i="37"/>
  <c r="G15" i="37"/>
  <c r="F15" i="37"/>
  <c r="E15" i="37"/>
  <c r="M14" i="37"/>
  <c r="K14" i="37"/>
  <c r="J14" i="37"/>
  <c r="I14" i="37"/>
  <c r="H14" i="37"/>
  <c r="G14" i="37"/>
  <c r="F14" i="37"/>
  <c r="E14" i="37"/>
  <c r="M13" i="37"/>
  <c r="K13" i="37"/>
  <c r="J13" i="37"/>
  <c r="I13" i="37"/>
  <c r="H13" i="37"/>
  <c r="G13" i="37"/>
  <c r="F13" i="37"/>
  <c r="E13" i="37"/>
  <c r="M12" i="37"/>
  <c r="K12" i="37"/>
  <c r="J12" i="37"/>
  <c r="I12" i="37"/>
  <c r="H12" i="37"/>
  <c r="G12" i="37"/>
  <c r="F12" i="37"/>
  <c r="E12" i="37"/>
  <c r="M11" i="37"/>
  <c r="K11" i="37"/>
  <c r="J11" i="37"/>
  <c r="I11" i="37"/>
  <c r="H11" i="37"/>
  <c r="G11" i="37"/>
  <c r="F11" i="37"/>
  <c r="E11" i="37"/>
  <c r="M10" i="37"/>
  <c r="K10" i="37"/>
  <c r="J10" i="37"/>
  <c r="I10" i="37"/>
  <c r="H10" i="37"/>
  <c r="G10" i="37"/>
  <c r="F10" i="37"/>
  <c r="E10" i="37"/>
  <c r="M9" i="37"/>
  <c r="K9" i="37"/>
  <c r="J9" i="37"/>
  <c r="I9" i="37"/>
  <c r="H9" i="37"/>
  <c r="G9" i="37"/>
  <c r="F9" i="37"/>
  <c r="E9" i="37"/>
  <c r="M8" i="37"/>
  <c r="K8" i="37"/>
  <c r="J8" i="37"/>
  <c r="I8" i="37"/>
  <c r="H8" i="37"/>
  <c r="G8" i="37"/>
  <c r="F8" i="37"/>
  <c r="E8" i="37"/>
  <c r="M7" i="37"/>
  <c r="K7" i="37"/>
  <c r="J7" i="37"/>
  <c r="I7" i="37"/>
  <c r="H7" i="37"/>
  <c r="G7" i="37"/>
  <c r="F7" i="37"/>
  <c r="E7" i="37"/>
  <c r="M6" i="37"/>
  <c r="K6" i="37"/>
  <c r="J6" i="37"/>
  <c r="I6" i="37"/>
  <c r="H6" i="37"/>
  <c r="G6" i="37"/>
  <c r="F6" i="37"/>
  <c r="E6" i="37"/>
  <c r="M5" i="37"/>
  <c r="K5" i="37"/>
  <c r="J5" i="37"/>
  <c r="I5" i="37"/>
  <c r="H5" i="37"/>
  <c r="G5" i="37"/>
  <c r="F5" i="37"/>
  <c r="E5" i="37"/>
  <c r="N1" i="37"/>
  <c r="N16" i="36"/>
  <c r="M16" i="36"/>
  <c r="L16" i="36"/>
  <c r="K16" i="36"/>
  <c r="J16" i="36"/>
  <c r="I16" i="36"/>
  <c r="H16" i="36"/>
  <c r="G16" i="36"/>
  <c r="F16" i="36"/>
  <c r="E16" i="36"/>
  <c r="D16" i="36"/>
  <c r="C16" i="36"/>
  <c r="N15" i="36"/>
  <c r="M15" i="36"/>
  <c r="L15" i="36"/>
  <c r="K15" i="36"/>
  <c r="J15" i="36"/>
  <c r="I15" i="36"/>
  <c r="H15" i="36"/>
  <c r="G15" i="36"/>
  <c r="F15" i="36"/>
  <c r="E15" i="36"/>
  <c r="D15" i="36"/>
  <c r="C15" i="36"/>
  <c r="N14" i="36"/>
  <c r="M14" i="36"/>
  <c r="L14" i="36"/>
  <c r="K14" i="36"/>
  <c r="J14" i="36"/>
  <c r="I14" i="36"/>
  <c r="H14" i="36"/>
  <c r="G14" i="36"/>
  <c r="F14" i="36"/>
  <c r="E14" i="36"/>
  <c r="D14" i="36"/>
  <c r="C14" i="36"/>
  <c r="N13" i="36"/>
  <c r="M13" i="36"/>
  <c r="L13" i="36"/>
  <c r="K13" i="36"/>
  <c r="J13" i="36"/>
  <c r="I13" i="36"/>
  <c r="H13" i="36"/>
  <c r="G13" i="36"/>
  <c r="F13" i="36"/>
  <c r="E13" i="36"/>
  <c r="D13" i="36"/>
  <c r="C13" i="36"/>
  <c r="N12" i="36"/>
  <c r="M12" i="36"/>
  <c r="L12" i="36"/>
  <c r="K12" i="36"/>
  <c r="J12" i="36"/>
  <c r="I12" i="36"/>
  <c r="H12" i="36"/>
  <c r="G12" i="36"/>
  <c r="F12" i="36"/>
  <c r="E12" i="36"/>
  <c r="D12" i="36"/>
  <c r="C12" i="36"/>
  <c r="N11" i="36"/>
  <c r="M11" i="36"/>
  <c r="L11" i="36"/>
  <c r="K11" i="36"/>
  <c r="J11" i="36"/>
  <c r="I11" i="36"/>
  <c r="H11" i="36"/>
  <c r="G11" i="36"/>
  <c r="F11" i="36"/>
  <c r="E11" i="36"/>
  <c r="D11" i="36"/>
  <c r="C11" i="36"/>
  <c r="N10" i="36"/>
  <c r="M10" i="36"/>
  <c r="L10" i="36"/>
  <c r="K10" i="36"/>
  <c r="J10" i="36"/>
  <c r="I10" i="36"/>
  <c r="H10" i="36"/>
  <c r="G10" i="36"/>
  <c r="F10" i="36"/>
  <c r="E10" i="36"/>
  <c r="D10" i="36"/>
  <c r="C10" i="36"/>
  <c r="N9" i="36"/>
  <c r="M9" i="36"/>
  <c r="L9" i="36"/>
  <c r="K9" i="36"/>
  <c r="J9" i="36"/>
  <c r="I9" i="36"/>
  <c r="H9" i="36"/>
  <c r="G9" i="36"/>
  <c r="F9" i="36"/>
  <c r="E9" i="36"/>
  <c r="D9" i="36"/>
  <c r="C9" i="36"/>
  <c r="N8" i="36"/>
  <c r="M8" i="36"/>
  <c r="L8" i="36"/>
  <c r="K8" i="36"/>
  <c r="J8" i="36"/>
  <c r="I8" i="36"/>
  <c r="H8" i="36"/>
  <c r="G8" i="36"/>
  <c r="F8" i="36"/>
  <c r="E8" i="36"/>
  <c r="D8" i="36"/>
  <c r="C8" i="36"/>
  <c r="N7" i="36"/>
  <c r="M7" i="36"/>
  <c r="L7" i="36"/>
  <c r="K7" i="36"/>
  <c r="J7" i="36"/>
  <c r="I7" i="36"/>
  <c r="H7" i="36"/>
  <c r="G7" i="36"/>
  <c r="F7" i="36"/>
  <c r="E7" i="36"/>
  <c r="D7" i="36"/>
  <c r="C7" i="36"/>
  <c r="N6" i="36"/>
  <c r="M6" i="36"/>
  <c r="L6" i="36"/>
  <c r="K6" i="36"/>
  <c r="J6" i="36"/>
  <c r="I6" i="36"/>
  <c r="H6" i="36"/>
  <c r="G6" i="36"/>
  <c r="F6" i="36"/>
  <c r="E6" i="36"/>
  <c r="D6" i="36"/>
  <c r="C6" i="36"/>
  <c r="N5" i="36"/>
  <c r="M5" i="36"/>
  <c r="L5" i="36"/>
  <c r="K5" i="36"/>
  <c r="J5" i="36"/>
  <c r="I5" i="36"/>
  <c r="H5" i="36"/>
  <c r="G5" i="36"/>
  <c r="F5" i="36"/>
  <c r="E5" i="36"/>
  <c r="D5" i="36"/>
  <c r="C5" i="36"/>
  <c r="O1" i="36"/>
  <c r="O15" i="35"/>
  <c r="N15" i="35"/>
  <c r="M15" i="35"/>
  <c r="L15" i="35"/>
  <c r="K15" i="35"/>
  <c r="J15" i="35"/>
  <c r="I15" i="35"/>
  <c r="H15" i="35"/>
  <c r="G15" i="35"/>
  <c r="F15" i="35"/>
  <c r="E15" i="35"/>
  <c r="D15" i="35"/>
  <c r="C15" i="35"/>
  <c r="B15" i="35"/>
  <c r="O14" i="35"/>
  <c r="N14" i="35"/>
  <c r="M14" i="35"/>
  <c r="L14" i="35"/>
  <c r="K14" i="35"/>
  <c r="J14" i="35"/>
  <c r="I14" i="35"/>
  <c r="H14" i="35"/>
  <c r="G14" i="35"/>
  <c r="F14" i="35"/>
  <c r="E14" i="35"/>
  <c r="D14" i="35"/>
  <c r="C14" i="35"/>
  <c r="B14" i="35"/>
  <c r="O13" i="35"/>
  <c r="N13" i="35"/>
  <c r="M13" i="35"/>
  <c r="L13" i="35"/>
  <c r="K13" i="35"/>
  <c r="J13" i="35"/>
  <c r="I13" i="35"/>
  <c r="H13" i="35"/>
  <c r="G13" i="35"/>
  <c r="F13" i="35"/>
  <c r="E13" i="35"/>
  <c r="D13" i="35"/>
  <c r="C13" i="35"/>
  <c r="B13" i="35"/>
  <c r="O12" i="35"/>
  <c r="N12" i="35"/>
  <c r="M12" i="35"/>
  <c r="L12" i="35"/>
  <c r="K12" i="35"/>
  <c r="J12" i="35"/>
  <c r="I12" i="35"/>
  <c r="H12" i="35"/>
  <c r="G12" i="35"/>
  <c r="F12" i="35"/>
  <c r="E12" i="35"/>
  <c r="D12" i="35"/>
  <c r="C12" i="35"/>
  <c r="B12" i="35"/>
  <c r="O11" i="35"/>
  <c r="N11" i="35"/>
  <c r="M11" i="35"/>
  <c r="L11" i="35"/>
  <c r="K11" i="35"/>
  <c r="J11" i="35"/>
  <c r="I11" i="35"/>
  <c r="H11" i="35"/>
  <c r="G11" i="35"/>
  <c r="F11" i="35"/>
  <c r="E11" i="35"/>
  <c r="D11" i="35"/>
  <c r="C11" i="35"/>
  <c r="B11" i="35"/>
  <c r="O10" i="35"/>
  <c r="N10" i="35"/>
  <c r="M10" i="35"/>
  <c r="L10" i="35"/>
  <c r="K10" i="35"/>
  <c r="J10" i="35"/>
  <c r="I10" i="35"/>
  <c r="H10" i="35"/>
  <c r="G10" i="35"/>
  <c r="F10" i="35"/>
  <c r="E10" i="35"/>
  <c r="D10" i="35"/>
  <c r="C10" i="35"/>
  <c r="B10" i="35"/>
  <c r="O9" i="35"/>
  <c r="N9" i="35"/>
  <c r="M9" i="35"/>
  <c r="L9" i="35"/>
  <c r="K9" i="35"/>
  <c r="J9" i="35"/>
  <c r="I9" i="35"/>
  <c r="H9" i="35"/>
  <c r="G9" i="35"/>
  <c r="F9" i="35"/>
  <c r="E9" i="35"/>
  <c r="D9" i="35"/>
  <c r="C9" i="35"/>
  <c r="B9" i="35"/>
  <c r="O8" i="35"/>
  <c r="N8" i="35"/>
  <c r="M8" i="35"/>
  <c r="L8" i="35"/>
  <c r="K8" i="35"/>
  <c r="J8" i="35"/>
  <c r="I8" i="35"/>
  <c r="H8" i="35"/>
  <c r="G8" i="35"/>
  <c r="F8" i="35"/>
  <c r="E8" i="35"/>
  <c r="D8" i="35"/>
  <c r="C8" i="35"/>
  <c r="B8" i="35"/>
  <c r="O7" i="35"/>
  <c r="N7" i="35"/>
  <c r="M7" i="35"/>
  <c r="L7" i="35"/>
  <c r="K7" i="35"/>
  <c r="J7" i="35"/>
  <c r="I7" i="35"/>
  <c r="H7" i="35"/>
  <c r="G7" i="35"/>
  <c r="F7" i="35"/>
  <c r="E7" i="35"/>
  <c r="D7" i="35"/>
  <c r="C7" i="35"/>
  <c r="B7" i="35"/>
  <c r="O6" i="35"/>
  <c r="N6" i="35"/>
  <c r="M6" i="35"/>
  <c r="L6" i="35"/>
  <c r="K6" i="35"/>
  <c r="J6" i="35"/>
  <c r="I6" i="35"/>
  <c r="H6" i="35"/>
  <c r="G6" i="35"/>
  <c r="F6" i="35"/>
  <c r="E6" i="35"/>
  <c r="D6" i="35"/>
  <c r="C6" i="35"/>
  <c r="B6" i="35"/>
  <c r="P1" i="35"/>
  <c r="J16" i="34"/>
  <c r="F16" i="34"/>
  <c r="E16" i="34"/>
  <c r="D16" i="34"/>
  <c r="C16" i="34"/>
  <c r="B16" i="34"/>
  <c r="J15" i="34"/>
  <c r="H15" i="34"/>
  <c r="F15" i="34"/>
  <c r="E15" i="34"/>
  <c r="D15" i="34"/>
  <c r="C15" i="34"/>
  <c r="B15" i="34"/>
  <c r="J14" i="34"/>
  <c r="H14" i="34"/>
  <c r="F14" i="34"/>
  <c r="E14" i="34"/>
  <c r="D14" i="34"/>
  <c r="C14" i="34"/>
  <c r="B14" i="34"/>
  <c r="J13" i="34"/>
  <c r="H13" i="34"/>
  <c r="F13" i="34"/>
  <c r="E13" i="34"/>
  <c r="D13" i="34"/>
  <c r="C13" i="34"/>
  <c r="B13" i="34"/>
  <c r="J12" i="34"/>
  <c r="H12" i="34"/>
  <c r="F12" i="34"/>
  <c r="E12" i="34"/>
  <c r="D12" i="34"/>
  <c r="C12" i="34"/>
  <c r="B12" i="34"/>
  <c r="J11" i="34"/>
  <c r="H11" i="34"/>
  <c r="F11" i="34"/>
  <c r="E11" i="34"/>
  <c r="D11" i="34"/>
  <c r="C11" i="34"/>
  <c r="B11" i="34"/>
  <c r="J10" i="34"/>
  <c r="H10" i="34"/>
  <c r="F10" i="34"/>
  <c r="E10" i="34"/>
  <c r="D10" i="34"/>
  <c r="C10" i="34"/>
  <c r="B10" i="34"/>
  <c r="J9" i="34"/>
  <c r="H9" i="34"/>
  <c r="F9" i="34"/>
  <c r="E9" i="34"/>
  <c r="D9" i="34"/>
  <c r="C9" i="34"/>
  <c r="B9" i="34"/>
  <c r="J8" i="34"/>
  <c r="H8" i="34"/>
  <c r="F8" i="34"/>
  <c r="E8" i="34"/>
  <c r="D8" i="34"/>
  <c r="C8" i="34"/>
  <c r="B8" i="34"/>
  <c r="J7" i="34"/>
  <c r="H7" i="34"/>
  <c r="F7" i="34"/>
  <c r="E7" i="34"/>
  <c r="D7" i="34"/>
  <c r="C7" i="34"/>
  <c r="B7" i="34"/>
  <c r="F5" i="34"/>
  <c r="D5" i="34"/>
  <c r="B5" i="34"/>
  <c r="L1" i="34"/>
  <c r="I14" i="28"/>
  <c r="H14" i="28"/>
  <c r="G14" i="28"/>
  <c r="F14" i="28"/>
  <c r="E14" i="28"/>
  <c r="D14" i="28"/>
  <c r="C14" i="28"/>
  <c r="B14" i="28"/>
  <c r="I13" i="28"/>
  <c r="H13" i="28"/>
  <c r="G13" i="28"/>
  <c r="F13" i="28"/>
  <c r="E13" i="28"/>
  <c r="D13" i="28"/>
  <c r="C13" i="28"/>
  <c r="B13" i="28"/>
  <c r="I12" i="28"/>
  <c r="H12" i="28"/>
  <c r="G12" i="28"/>
  <c r="F12" i="28"/>
  <c r="E12" i="28"/>
  <c r="D12" i="28"/>
  <c r="C12" i="28"/>
  <c r="B12" i="28"/>
  <c r="I11" i="28"/>
  <c r="H11" i="28"/>
  <c r="G11" i="28"/>
  <c r="F11" i="28"/>
  <c r="E11" i="28"/>
  <c r="D11" i="28"/>
  <c r="C11" i="28"/>
  <c r="B11" i="28"/>
  <c r="I10" i="28"/>
  <c r="H10" i="28"/>
  <c r="G10" i="28"/>
  <c r="F10" i="28"/>
  <c r="E10" i="28"/>
  <c r="D10" i="28"/>
  <c r="C10" i="28"/>
  <c r="B10" i="28"/>
  <c r="I9" i="28"/>
  <c r="H9" i="28"/>
  <c r="G9" i="28"/>
  <c r="F9" i="28"/>
  <c r="E9" i="28"/>
  <c r="D9" i="28"/>
  <c r="C9" i="28"/>
  <c r="B9" i="28"/>
  <c r="I8" i="28"/>
  <c r="H8" i="28"/>
  <c r="G8" i="28"/>
  <c r="F8" i="28"/>
  <c r="E8" i="28"/>
  <c r="D8" i="28"/>
  <c r="C8" i="28"/>
  <c r="B8" i="28"/>
  <c r="I7" i="28"/>
  <c r="H7" i="28"/>
  <c r="G7" i="28"/>
  <c r="F7" i="28"/>
  <c r="E7" i="28"/>
  <c r="D7" i="28"/>
  <c r="C7" i="28"/>
  <c r="B7" i="28"/>
  <c r="I6" i="28"/>
  <c r="H6" i="28"/>
  <c r="G6" i="28"/>
  <c r="F6" i="28"/>
  <c r="E6" i="28"/>
  <c r="D6" i="28"/>
  <c r="C6" i="28"/>
  <c r="B6" i="28"/>
  <c r="I5" i="28"/>
  <c r="H5" i="28"/>
  <c r="G5" i="28"/>
  <c r="F5" i="28"/>
  <c r="E5" i="28"/>
  <c r="D5" i="28"/>
  <c r="C5" i="28"/>
  <c r="B5" i="28"/>
  <c r="L1" i="18"/>
  <c r="L1" i="17"/>
  <c r="L1" i="16"/>
  <c r="D16" i="15"/>
  <c r="B16" i="15"/>
  <c r="N1" i="15"/>
  <c r="P1" i="14"/>
  <c r="AS2" i="13"/>
  <c r="Q1" i="12"/>
  <c r="AS2" i="11"/>
  <c r="D69" i="10"/>
  <c r="B69" i="10"/>
  <c r="D68" i="10"/>
  <c r="B68" i="10"/>
  <c r="D67" i="10"/>
  <c r="B67" i="10"/>
  <c r="D66" i="10"/>
  <c r="B66" i="10"/>
  <c r="D65" i="10"/>
  <c r="B65" i="10"/>
  <c r="D64" i="10"/>
  <c r="B64" i="10"/>
  <c r="D63" i="10"/>
  <c r="B63" i="10"/>
  <c r="D62" i="10"/>
  <c r="B62" i="10"/>
  <c r="D61" i="10"/>
  <c r="B61" i="10"/>
  <c r="D60" i="10"/>
  <c r="B60" i="10"/>
  <c r="D59" i="10"/>
  <c r="B59" i="10"/>
  <c r="D58" i="10"/>
  <c r="B58" i="10"/>
  <c r="D57" i="10"/>
  <c r="B57" i="10"/>
  <c r="O1" i="10"/>
  <c r="B19" i="9"/>
  <c r="B18" i="9"/>
  <c r="B17" i="9"/>
  <c r="B16" i="9"/>
  <c r="B15" i="9"/>
  <c r="B14" i="9"/>
  <c r="B13" i="9"/>
  <c r="B12" i="9"/>
  <c r="B11" i="9"/>
  <c r="B10" i="9"/>
  <c r="B9" i="9"/>
  <c r="B8" i="9"/>
  <c r="B7" i="9"/>
  <c r="B6" i="9"/>
  <c r="B5" i="9"/>
  <c r="L1" i="9"/>
  <c r="M1" i="8"/>
  <c r="B16" i="7"/>
  <c r="B15" i="7"/>
  <c r="B14" i="7"/>
  <c r="B13" i="7"/>
  <c r="B12" i="7"/>
  <c r="B11" i="7"/>
  <c r="B10" i="7"/>
  <c r="B9" i="7"/>
  <c r="B8" i="7"/>
  <c r="B7" i="7"/>
  <c r="B6" i="7"/>
  <c r="L1" i="7"/>
  <c r="Q1" i="6"/>
  <c r="C16" i="5"/>
  <c r="D14" i="5"/>
  <c r="C14" i="5"/>
  <c r="D13" i="5"/>
  <c r="C13" i="5"/>
  <c r="D12" i="5"/>
  <c r="C12" i="5"/>
  <c r="D11" i="5"/>
  <c r="C11" i="5"/>
  <c r="D10" i="5"/>
  <c r="C10" i="5"/>
  <c r="D9" i="5"/>
  <c r="C9" i="5"/>
  <c r="D8" i="5"/>
  <c r="C8" i="5"/>
  <c r="D7" i="5"/>
  <c r="C7" i="5"/>
  <c r="D6" i="5"/>
  <c r="C6" i="5"/>
  <c r="D5" i="5"/>
  <c r="C5" i="5"/>
  <c r="A3" i="5"/>
  <c r="L1" i="5"/>
  <c r="B14" i="4"/>
  <c r="L1" i="4"/>
  <c r="C16" i="3"/>
  <c r="D14" i="3"/>
  <c r="C14" i="3"/>
  <c r="D13" i="3"/>
  <c r="C13" i="3"/>
  <c r="D12" i="3"/>
  <c r="C12" i="3"/>
  <c r="D11" i="3"/>
  <c r="C11" i="3"/>
  <c r="D10" i="3"/>
  <c r="C10" i="3"/>
  <c r="D9" i="3"/>
  <c r="C9" i="3"/>
  <c r="D8" i="3"/>
  <c r="C8" i="3"/>
  <c r="D7" i="3"/>
  <c r="C7" i="3"/>
  <c r="D6" i="3"/>
  <c r="C6" i="3"/>
  <c r="D5" i="3"/>
  <c r="C5" i="3"/>
  <c r="A3" i="3"/>
  <c r="L1" i="3"/>
  <c r="E58" i="2"/>
  <c r="D58" i="2"/>
  <c r="C58" i="2"/>
  <c r="B58" i="2"/>
  <c r="E57" i="2"/>
  <c r="D57" i="2"/>
  <c r="C57" i="2"/>
  <c r="B57" i="2"/>
  <c r="E56" i="2"/>
  <c r="D56" i="2"/>
  <c r="C56" i="2"/>
  <c r="B56" i="2"/>
  <c r="E55" i="2"/>
  <c r="D55" i="2"/>
  <c r="C55" i="2"/>
  <c r="B55" i="2"/>
  <c r="E54" i="2"/>
  <c r="D54" i="2"/>
  <c r="C54" i="2"/>
  <c r="B54" i="2"/>
  <c r="E53" i="2"/>
  <c r="D53" i="2"/>
  <c r="C53" i="2"/>
  <c r="B53" i="2"/>
  <c r="E52" i="2"/>
  <c r="D52" i="2"/>
  <c r="C52" i="2"/>
  <c r="B52" i="2"/>
  <c r="E51" i="2"/>
  <c r="D51" i="2"/>
  <c r="C51" i="2"/>
  <c r="B51" i="2"/>
  <c r="E50" i="2"/>
  <c r="D50" i="2"/>
  <c r="C50" i="2"/>
  <c r="B50" i="2"/>
  <c r="E49" i="2"/>
  <c r="D49" i="2"/>
  <c r="C49" i="2"/>
  <c r="B49" i="2"/>
  <c r="D42" i="2"/>
  <c r="C42" i="2"/>
  <c r="B42" i="2"/>
  <c r="A42" i="2"/>
  <c r="D41" i="2"/>
  <c r="C41" i="2"/>
  <c r="B41" i="2"/>
  <c r="A41" i="2"/>
  <c r="D40" i="2"/>
  <c r="C40" i="2"/>
  <c r="B40" i="2"/>
  <c r="A40" i="2"/>
  <c r="D39" i="2"/>
  <c r="C39" i="2"/>
  <c r="B39" i="2"/>
  <c r="A39" i="2"/>
  <c r="D38" i="2"/>
  <c r="C38" i="2"/>
  <c r="B38" i="2"/>
  <c r="A38" i="2"/>
  <c r="D37" i="2"/>
  <c r="C37" i="2"/>
  <c r="B37" i="2"/>
  <c r="A37" i="2"/>
  <c r="D36" i="2"/>
  <c r="C36" i="2"/>
  <c r="B36" i="2"/>
  <c r="A36" i="2"/>
  <c r="D35" i="2"/>
  <c r="C35" i="2"/>
  <c r="B35" i="2"/>
  <c r="A35" i="2"/>
  <c r="D34" i="2"/>
  <c r="C34" i="2"/>
  <c r="B34" i="2"/>
  <c r="A34" i="2"/>
  <c r="B31" i="2"/>
  <c r="B30" i="2"/>
  <c r="B29" i="2"/>
  <c r="B28" i="2"/>
  <c r="B27" i="2"/>
  <c r="B26" i="2"/>
  <c r="B25" i="2"/>
  <c r="B24" i="2"/>
  <c r="C21" i="2"/>
  <c r="B21" i="2"/>
  <c r="B19" i="2"/>
  <c r="B18" i="2"/>
  <c r="L1" i="2"/>
  <c r="J16" i="154"/>
  <c r="J12" i="155"/>
  <c r="J13" i="156"/>
</calcChain>
</file>

<file path=xl/sharedStrings.xml><?xml version="1.0" encoding="utf-8"?>
<sst xmlns="http://schemas.openxmlformats.org/spreadsheetml/2006/main" count="19199" uniqueCount="5590">
  <si>
    <t>✓</t>
  </si>
  <si>
    <t>Sheet</t>
  </si>
  <si>
    <t>Purpose</t>
  </si>
  <si>
    <t>Feeds into</t>
  </si>
  <si>
    <t>Rating</t>
  </si>
  <si>
    <t>Known gap / status</t>
  </si>
  <si>
    <t xml:space="preserve">  INPUT  ·  Birth data entry  ·  Only section requiring any input</t>
  </si>
  <si>
    <t>INPUT_BirthData</t>
  </si>
  <si>
    <t>Date, time, place → JDN, Lahiri ayanamsha (23.125451°), Dasha seed</t>
  </si>
  <si>
    <t>→ CALC_PlanetLongitudes, CALC_DashaActive</t>
  </si>
  <si>
    <t>★★★★★</t>
  </si>
  <si>
    <t>Fully automated after initial data entry. No Python script needed for natal chart.</t>
  </si>
  <si>
    <t xml:space="preserve">    ↳ CALC_PlanetLongitudes (auto)</t>
  </si>
  <si>
    <t>Reads Swiss Ephemeris absolute longitudes directly. Derives sign + degree. No ephemeris formulae fallback for live data.</t>
  </si>
  <si>
    <t xml:space="preserve">    ↳ INPUT_Chart (auto)</t>
  </si>
  <si>
    <t>Sign + degree auto-populated from CALC_PlanetLongitudes. No manual entry needed.</t>
  </si>
  <si>
    <t xml:space="preserve">    ↳ INPUT_Gochar (manual / API)</t>
  </si>
  <si>
    <t>Transit positions. Update manually or via ephemeris_api.py --gochar</t>
  </si>
  <si>
    <t xml:space="preserve">    ↳ INPUT_Chart_Scenario (optional)</t>
  </si>
  <si>
    <t>What-if chart. Mirrors INPUT_Chart by default; override manually for counterfactual analysis.</t>
  </si>
  <si>
    <t xml:space="preserve">  CALC  ·  Computation engine  ·  38 sheets  ·  No user edits required</t>
  </si>
  <si>
    <t>CALC_SwissEphemeris_Live</t>
  </si>
  <si>
    <t>Swiss Ephemeris positions + daily speeds. Written by ephemeris_api.py.</t>
  </si>
  <si>
    <t>→ CALC_PlanetLongitudes, CALC_Shadbala</t>
  </si>
  <si>
    <t>±0.001° all planets. Chesta Bala speeds live. Refresh by running ephemeris_api.py.</t>
  </si>
  <si>
    <t>CALC_PlanetLongitudes</t>
  </si>
  <si>
    <t>Absolute sidereal longitudes from Swiss Ephemeris. Sign/degree derived.</t>
  </si>
  <si>
    <t>→ INPUT_Chart (auto-fill), CALC_PlanetPositions</t>
  </si>
  <si>
    <t>Reads CALC_SwissEphemeris_Live col B directly. ephemeris formulae formulae in col B dormant (reference only).</t>
  </si>
  <si>
    <t>CALC_PlanetPositions</t>
  </si>
  <si>
    <t>Central engine: sign, deg, nakshatra, pada, dignity, retrograde, aspects.</t>
  </si>
  <si>
    <t>→ All 75 SCORE_H* sheets</t>
  </si>
  <si>
    <t>10 bodies live. Lagna nakshatra = N/A by design.</t>
  </si>
  <si>
    <t>CALC_BhaveshMap</t>
  </si>
  <si>
    <t>12 house lords + Kendra/Trikona/Dukshthan classification.</t>
  </si>
  <si>
    <t>→ SCORE_H* R04-R08</t>
  </si>
  <si>
    <t>—</t>
  </si>
  <si>
    <t>CALC_Ashtakavarga</t>
  </si>
  <si>
    <t>8-source bindu grid × 7 planets. SAV = [44,19,27,27,30,25,23,28,20,29,35,30].</t>
  </si>
  <si>
    <t>→ SCORE_H* R23</t>
  </si>
  <si>
    <t>Verified against two independent reference sources. Lagna double-count + Venus/Mars rule fixed.</t>
  </si>
  <si>
    <t>CALC_Shadbala</t>
  </si>
  <si>
    <t>16-component Shadbala. Chesta from Swiss Ephemeris daily speeds.</t>
  </si>
  <si>
    <t>→ OUTPUT_StrengthDashboard</t>
  </si>
  <si>
    <t>CALC_DashaActive</t>
  </si>
  <si>
    <t>Vimshottari chain from Moon nakshatra. Mars MD 09-Sep-2025 → 08-Sep-2032.</t>
  </si>
  <si>
    <t>→ SCORE_AllHouses col M, OUTPUT_DashaTimeline</t>
  </si>
  <si>
    <t>Full 9-period chain live. Dasha start planet from REF_Nakshatra (B31 helper).</t>
  </si>
  <si>
    <t>CALC_NarayanaDasa</t>
  </si>
  <si>
    <t>Sign-based Narayana Dasha with PVRNR directional reversal.</t>
  </si>
  <si>
    <t>→ OUTPUT_DashaTimeline</t>
  </si>
  <si>
    <t>PVRNR reversal implemented for even-sign Lagnas.</t>
  </si>
  <si>
    <t>CALC_DivisionalMap</t>
  </si>
  <si>
    <t>D1–D60 varga signs for all 10 bodies.</t>
  </si>
  <si>
    <t>→ CALC_VimshopakaBala, CALC_Shadbala</t>
  </si>
  <si>
    <t>CALC_RuleInteractionEngine</t>
  </si>
  <si>
    <t>22 cross-rule interaction pairs × 12 houses.</t>
  </si>
  <si>
    <t>→ SCORE_AllHouses col V</t>
  </si>
  <si>
    <t>Live. Was stub (all zeros) in v3. 8 of 30 REF pairs not yet wired (nullified/contextual — minor).</t>
  </si>
  <si>
    <t>CALC_Argala</t>
  </si>
  <si>
    <t>Net Argala per house (H2/H4/H11 benefic/malefic positions).</t>
  </si>
  <si>
    <t>→ SCORE_AllHouses col P</t>
  </si>
  <si>
    <t>CALC_KPSubLord</t>
  </si>
  <si>
    <t>KP sub-lord for all 10 bodies.</t>
  </si>
  <si>
    <t>→ SCORE_AllHouses col T</t>
  </si>
  <si>
    <t>Dormant in Parashari mode. Switch REF_Config B6 → KP to activate.</t>
  </si>
  <si>
    <t>CALC_Avasthas</t>
  </si>
  <si>
    <t>Baaladi (5 states) + Sayanadi (12 states) per planet.</t>
  </si>
  <si>
    <t>→ SCORE_AllHouses col O</t>
  </si>
  <si>
    <t>CALC_CombustionCheck</t>
  </si>
  <si>
    <t>Combustion flags with Cazimi reversal bonus.</t>
  </si>
  <si>
    <t>→ SCORE_H* R19</t>
  </si>
  <si>
    <t>~</t>
  </si>
  <si>
    <t>CALC_D60_Shastiamsha</t>
  </si>
  <si>
    <t>D60 sign + division name.</t>
  </si>
  <si>
    <t xml:space="preserve">  REF  ·  Read-only lookup tables  ·  28 sheets  ·  BPHS-sourced constants</t>
  </si>
  <si>
    <t>REF_Config</t>
  </si>
  <si>
    <t>School (Parashari/KP/Jaimini), ayanamsha, node type, retrograde toggles. All wired.</t>
  </si>
  <si>
    <t>→ All CALC_ sheets</t>
  </si>
  <si>
    <t>REF_ShadbalaData</t>
  </si>
  <si>
    <t>Exalt degrees (sidereal), Kendradi weights, Vara/Masa/Abda lords, Drik weights.</t>
  </si>
  <si>
    <t>→ CALC_Shadbala</t>
  </si>
  <si>
    <t>Added v4.</t>
  </si>
  <si>
    <t>REF_Nakshatra</t>
  </si>
  <si>
    <t>27 nakshatras × 42 attributes. Col L = Dasha lord, col M = years.</t>
  </si>
  <si>
    <t>→ CALC_DashaActive, INPUT_BirthData B31</t>
  </si>
  <si>
    <t>REF_Zodiac, REF_Planets, REF_Dignity, REF_Aspects</t>
  </si>
  <si>
    <t>Sign attributes, planet attributes, dignity table, aspect matrix.</t>
  </si>
  <si>
    <t>→ CALC_PlanetPositions</t>
  </si>
  <si>
    <t>REF_RuleInteractionMatrix</t>
  </si>
  <si>
    <t>30 rule-pair definitions with modifiers. 22 implemented in CALC_RIE.</t>
  </si>
  <si>
    <t>→ CALC_RuleInteractionEngine</t>
  </si>
  <si>
    <t>8 nullified/contextual pairs pending.</t>
  </si>
  <si>
    <t>REF_KPSubLordTable</t>
  </si>
  <si>
    <t>9 sub-lord sizes + 27 nakshatra start degrees.</t>
  </si>
  <si>
    <t>→ CALC_KPSubLord</t>
  </si>
  <si>
    <t>REF_NarayanaDasaRules</t>
  </si>
  <si>
    <t>Sign durations + PVRNR directional rules.</t>
  </si>
  <si>
    <t>→ CALC_NarayanaDasa</t>
  </si>
  <si>
    <t>REF_EmpiricaSchema</t>
  </si>
  <si>
    <t>Empirical event log schema for accuracy calibration.</t>
  </si>
  <si>
    <t>→ OUTPUT_ValidationDashboard</t>
  </si>
  <si>
    <t>★★☆☆☆</t>
  </si>
  <si>
    <t>Framework only. Requires 50+ real events.</t>
  </si>
  <si>
    <t xml:space="preserve">  SCORE  ·  23-rule house scoring  ·  75 sheets  ·  6 Lagna axes</t>
  </si>
  <si>
    <t>SCORE_AllHouses</t>
  </si>
  <si>
    <t>Composite: base (J) + Argala (P) + GrahaYuddha (Q) + KP (T) + RasiDrishti (U) + RuleInteraction (V) = col S. All OUTPUT sheets read col S.</t>
  </si>
  <si>
    <t>→ All OUTPUT sheets</t>
  </si>
  <si>
    <t>Col S = authoritative final score. S17 = average across 12 houses.</t>
  </si>
  <si>
    <t>SCORE_H1_Self … SCORE_H12_Liberation (D1)</t>
  </si>
  <si>
    <t>23 rules × 12 houses from D1 Lagna.</t>
  </si>
  <si>
    <t>→ SCORE_AllHouses col J</t>
  </si>
  <si>
    <t>All 12 live.</t>
  </si>
  <si>
    <t>SCORE_H1_Chandra … H12_Chandra</t>
  </si>
  <si>
    <t>23 rules from Moon as Lagna.</t>
  </si>
  <si>
    <t>→ OUTPUT_MultiLagna</t>
  </si>
  <si>
    <t>SCORE_H1_Surya … H12_Surya</t>
  </si>
  <si>
    <t>23 rules from Sun as Lagna.</t>
  </si>
  <si>
    <t>SCORE_H1_D9 … H12_D9</t>
  </si>
  <si>
    <t>23 rules from D9 Navamsha Lagna.</t>
  </si>
  <si>
    <t>→ CALC_CompositeVargaScore</t>
  </si>
  <si>
    <t>SCORE_H1_D10 … H12_D10</t>
  </si>
  <si>
    <t>23 rules from D10 Dasamsha Lagna.</t>
  </si>
  <si>
    <t>SCORE_Karakamsha + H1–H11</t>
  </si>
  <si>
    <t>13 sheets from Karakamsha Lagna.</t>
  </si>
  <si>
    <t>→ OUTPUT_LifePressureIndex_Full</t>
  </si>
  <si>
    <t>H3 and H8 score = −0.5 (computed, correct).</t>
  </si>
  <si>
    <t>SCORE_DrillDown</t>
  </si>
  <si>
    <t>Rule-by-rule audit with H1–H12 dropdown.</t>
  </si>
  <si>
    <t>→ OUTPUT_DrillDown</t>
  </si>
  <si>
    <t xml:space="preserve">  YOGA  ·  Classical yoga detection  ·  5 sheets  ·  BPHS Ch.34–75</t>
  </si>
  <si>
    <t>YOGA_Mahapurush</t>
  </si>
  <si>
    <t>5 Pancha Mahapurush yogas. Ruchaka (Mars) active for demo chart.</t>
  </si>
  <si>
    <t>→ SCORE_AllHouses row 19</t>
  </si>
  <si>
    <t>YOGA_DhanaRaja</t>
  </si>
  <si>
    <t>88 Raja + Dhana yoga pairs.</t>
  </si>
  <si>
    <t>→ SCORE_AllHouses row 20</t>
  </si>
  <si>
    <t>YOGA_Graha</t>
  </si>
  <si>
    <t>Gaja Kesari, Budhaditya, Saraswati, Chandra-Mangala.</t>
  </si>
  <si>
    <t>→ SCORE_AllHouses row 21</t>
  </si>
  <si>
    <t>YOGA_Viparita</t>
  </si>
  <si>
    <t>Harsha / Sarala / Vimala + Dainya Yoga.</t>
  </si>
  <si>
    <t>→ SCORE_AllHouses row 22</t>
  </si>
  <si>
    <t>YOGA_NeechaBhanga</t>
  </si>
  <si>
    <t>Neecha Bhanga Raja Yoga (3 conditions). BPHS Ch.30.</t>
  </si>
  <si>
    <t>→ SCORE_AllHouses row 23</t>
  </si>
  <si>
    <t xml:space="preserve">  OUTPUT  ·  Analysis dashboards  ·  12 sheets  ·  All read SCORE_AllHouses col S</t>
  </si>
  <si>
    <t>★  OUTPUT_Summary</t>
  </si>
  <si>
    <t>Main dashboard: 19-column house view, scores, dasha, AV, key flags.</t>
  </si>
  <si>
    <t>SCORE_AllHouses col S</t>
  </si>
  <si>
    <t>Start every reading here.</t>
  </si>
  <si>
    <t>★  OUTPUT_LifePressureIndex_Full</t>
  </si>
  <si>
    <t>9-layer composite RAG per house (D1+Chandra+Surya+D9+D10+Karakamsha+Dasha+Argala+RIE).</t>
  </si>
  <si>
    <t>Flagship output. All 9 layers live.</t>
  </si>
  <si>
    <t>OUTPUT_DashaTimeline</t>
  </si>
  <si>
    <t>Vimshottari + Narayana Dasha side by side with period dates.</t>
  </si>
  <si>
    <t>CALC_DashaActive, CALC_NarayanaDasa</t>
  </si>
  <si>
    <t>OUTPUT_TransitAnalysis</t>
  </si>
  <si>
    <t>Gochar RAG, Sade Sati, Jupiter transit, alerts.</t>
  </si>
  <si>
    <t>CALC_Gochar (INPUT_Gochar)</t>
  </si>
  <si>
    <t>Requires gochar data update.</t>
  </si>
  <si>
    <t>OUTPUT_MultiLagna</t>
  </si>
  <si>
    <t>D1 + Chandra + Surya 3-axis comparison. Convergence = high confidence.</t>
  </si>
  <si>
    <t>SCORE_H*_Chandra, SCORE_H*_Surya</t>
  </si>
  <si>
    <t>OUTPUT_DrillDown</t>
  </si>
  <si>
    <t>Rule-by-rule breakdown per house with explanations.</t>
  </si>
  <si>
    <t>OUTPUT_D9Analysis</t>
  </si>
  <si>
    <t>Navamsha positions, Vargottama, D9 house scores.</t>
  </si>
  <si>
    <t>CALC_D9_Navamsha, SCORE_H*_D9</t>
  </si>
  <si>
    <t>OUTPUT_StrengthDashboard</t>
  </si>
  <si>
    <t>Shadbala %, SAV bindus, Baaladi, D60, Vimshopaka per planet.</t>
  </si>
  <si>
    <t>CALC_Shadbala, CALC_Ashtakavarga</t>
  </si>
  <si>
    <t>OUTPUT_Compatibility</t>
  </si>
  <si>
    <t>Kundali Milan: 8 Ashtakuta kutas (/36), Panchadha Maitri.</t>
  </si>
  <si>
    <t>CALC_Compatibility</t>
  </si>
  <si>
    <t>OUTPUT_LifeDomains</t>
  </si>
  <si>
    <t>12-house plain-language ratings with rule flags.</t>
  </si>
  <si>
    <t>OUTPUT_NarrativeReport</t>
  </si>
  <si>
    <t>Formula-driven prose per life domain.</t>
  </si>
  <si>
    <t>★★★☆☆</t>
  </si>
  <si>
    <t>Phase 4: LLM upgrade for richer interpretation.</t>
  </si>
  <si>
    <t>OUTPUT_ValidationDashboard</t>
  </si>
  <si>
    <t>Empirical accuracy calibration framework.</t>
  </si>
  <si>
    <t>Requires 50+ real birth + event records. Phase 4.</t>
  </si>
  <si>
    <t xml:space="preserve">  KNOWN GAPS  ·  Phase 3 / 4 items  ·  None blocking review</t>
  </si>
  <si>
    <t>·</t>
  </si>
  <si>
    <t>Auto-refresh on date change</t>
  </si>
  <si>
    <t>CALC_SwissEphemeris_Live holds the last Python-written snapshot. Recalculates each time ephemeris_api.py runs, not on every date change in INPUT_BirthData. Phase 3: xlwings live-write bridge.</t>
  </si>
  <si>
    <t>Shadbala — Ayana Bala scale</t>
  </si>
  <si>
    <t>BPHS Ch.27 0-60 scale implemented. Brihat Jataka uses 0-120 variant. Both academically valid. Planet ordering correct.</t>
  </si>
  <si>
    <t>Shadbala — Drik Bala</t>
  </si>
  <si>
    <t>Parashari sign aspects + conjunctions. Rasi Drishti (Jaimini sign aspects) not yet added. Phase 3.</t>
  </si>
  <si>
    <t>Gochar auto-update</t>
  </si>
  <si>
    <t>INPUT_Gochar requires ephemeris_api.py --gochar flag or manual entry. Phase 3: scheduled daily fetch.</t>
  </si>
  <si>
    <t>8 RuleInteraction pairs pending</t>
  </si>
  <si>
    <t>22 of 30 pairs implemented. 8 nullified/contextual pairs defined in REF but not wired. Net impact negligible.</t>
  </si>
  <si>
    <t>Empirical calibration</t>
  </si>
  <si>
    <t>OUTPUT_ValidationDashboard framework ready. 50+ real events required for weight calibration. Phase 4.</t>
  </si>
  <si>
    <t>Lagna_Master3_v2.xlsx</t>
  </si>
  <si>
    <t>INPUT_BirthData — Manual Entry + Formula Sheet</t>
  </si>
  <si>
    <t>Blue cells = enter manually.  Black cells = auto-calculated.  Do NOT edit black cells — they contain formulas.</t>
  </si>
  <si>
    <t>Section A — Core birth data  (enter these 5 cells)</t>
  </si>
  <si>
    <t>Date of birth</t>
  </si>
  <si>
    <t>← Enter</t>
  </si>
  <si>
    <t>Format: enter as DD/MM/YYYY. Cell format → Date</t>
  </si>
  <si>
    <t>Time of birth (local)</t>
  </si>
  <si>
    <t>Enter as HH:MM  e.g. 08:30  —  Cell format → Time (HH:MM)</t>
  </si>
  <si>
    <t>City of birth</t>
  </si>
  <si>
    <t>New Delhi</t>
  </si>
  <si>
    <t>e.g. Mumbai, Delhi, Chennai</t>
  </si>
  <si>
    <t>Country of birth</t>
  </si>
  <si>
    <t>India</t>
  </si>
  <si>
    <t>e.g. India</t>
  </si>
  <si>
    <t>UTC offset (hours)</t>
  </si>
  <si>
    <t>+5.5 = IST. Pre-1947 Mumbai = +4.85, Calcutta = +5.88, Madras = +5.35</t>
  </si>
  <si>
    <t>Ayanamsha system</t>
  </si>
  <si>
    <t>Lahiri</t>
  </si>
  <si>
    <t>Lahiri = recommended for Vedic. Raman = alternative. KP = Krishnamurti</t>
  </si>
  <si>
    <t>Time confidence</t>
  </si>
  <si>
    <t>Exact</t>
  </si>
  <si>
    <t>Exact / ±15min / ±1hr / Unknown  — affects reliability of Lagna</t>
  </si>
  <si>
    <t>Section B — Location coordinates  (look up from Google Maps or geocoder)</t>
  </si>
  <si>
    <t>Latitude</t>
  </si>
  <si>
    <t>Degrees North. Mumbai = 18.9750. Delhi = 28.6139. Chennai = 13.0827</t>
  </si>
  <si>
    <t>Longitude</t>
  </si>
  <si>
    <t>Degrees East. Mumbai = 72.8258. Delhi = 77.2090. Chennai = 80.2707</t>
  </si>
  <si>
    <t>Section C — Auto-calculated from Sections A + B</t>
  </si>
  <si>
    <t>UTC birth date-time</t>
  </si>
  <si>
    <t>AUTO</t>
  </si>
  <si>
    <t>Date + local time − UTC offset. This is what ephemeris tools use.</t>
  </si>
  <si>
    <t>Julian Day Number (JDN)</t>
  </si>
  <si>
    <t>Continuous count from 1 Jan 4713 BC noon. Input format for Swiss Ephemeris.</t>
  </si>
  <si>
    <t>Ayanamsha value at birth</t>
  </si>
  <si>
    <t>Linear approx — accurate to ±0.05°. Use API for exact value.</t>
  </si>
  <si>
    <t>Chart Confidence</t>
  </si>
  <si>
    <t>GREEN = Exact time + no boundary planets. AMBER = minor uncertainty. RED = Unknown time or 3+ boundary planets.</t>
  </si>
  <si>
    <t>Server: python3 ephemeris API_lagna_v3.py --server  │  One-shot: python3 ephemeris API_lagna_v3.py --gochar  │  Credentials: python3 ephemeris API_lagna_v3.py --save-credentials</t>
  </si>
  <si>
    <t>Moon total longitude (0°–360°)</t>
  </si>
  <si>
    <t>AUTO from INPUT_Chart</t>
  </si>
  <si>
    <t>Enter from your chart tool. e.g. Moon at 15° Taurus = 30+15 = 45.0000°</t>
  </si>
  <si>
    <t>SwissEph</t>
  </si>
  <si>
    <t>Moon Nakshatra</t>
  </si>
  <si>
    <t>Derived from Moon longitude. Each Nakshatra = 13°20' = 13.3333°</t>
  </si>
  <si>
    <t>17-Mar-2026 19:18:26</t>
  </si>
  <si>
    <t>Moon Nakshatra Pada</t>
  </si>
  <si>
    <t>Pada 1–4 within the Nakshatra (each = 3°20'). Maps to Navamsha sign.</t>
  </si>
  <si>
    <t>Sunrise UTC (for Tribhaga)</t>
  </si>
  <si>
    <t>Written by ephemeris API_lagna_v4.py</t>
  </si>
  <si>
    <t>Written by ephemeris API_lagna_v4.py via panchang API. Used by CALC_Shadbala Tribhaga Bala (col H) to replace HOUR() approximation. RESOLVES Issue #14 when v4 script has been run.</t>
  </si>
  <si>
    <t>Nakshatra fraction remaining</t>
  </si>
  <si>
    <t>e.g. 0.5000 = Moon is halfway through its Nakshatra at birth → 50% of first Dasha remains</t>
  </si>
  <si>
    <t>Starting Dasha duration (years)</t>
  </si>
  <si>
    <t>Total years in the starting Mahadasha (e.g. Moon = 10, Venus = 20)</t>
  </si>
  <si>
    <t>Years remaining at birth</t>
  </si>
  <si>
    <t>How many years of the first Dasha are left from birth date forward</t>
  </si>
  <si>
    <t>Dasha starting planet</t>
  </si>
  <si>
    <t>AUTO from B25</t>
  </si>
  <si>
    <t>Nakshatra lord → Vimshottari Dasha start planet</t>
  </si>
  <si>
    <t>Section E — Vimshottari Dasha timeline (from birth date)</t>
  </si>
  <si>
    <t>Mahadasha planet</t>
  </si>
  <si>
    <t>Start date</t>
  </si>
  <si>
    <t>End date</t>
  </si>
  <si>
    <t>Years</t>
  </si>
  <si>
    <t>Section F — Computed Planet Positions (from CALC_PlanetLongitudes)</t>
  </si>
  <si>
    <t>Planet signs and degrees auto-computed below. ⚠ = near sign boundary (±3°), verify manually.</t>
  </si>
  <si>
    <t>Lagna</t>
  </si>
  <si>
    <t>Sun</t>
  </si>
  <si>
    <t>Moon</t>
  </si>
  <si>
    <t>Mars</t>
  </si>
  <si>
    <t>Mercury</t>
  </si>
  <si>
    <t>Jupiter</t>
  </si>
  <si>
    <t>Venus</t>
  </si>
  <si>
    <t>Saturn</t>
  </si>
  <si>
    <t>Rahu</t>
  </si>
  <si>
    <t>Ketu</t>
  </si>
  <si>
    <t>INPUT_Chart  ·  Planet Positions  ·  AUTO from CALC_PlanetLongitudes</t>
  </si>
  <si>
    <t>⬇  Enter birth data in INPUT_BirthData — planet positions auto-fill here.  ✎  You can override any Sign or Degree cell manually — type directly into col C or D and your value takes precedence.  Blue cells = designed for manual entry.</t>
  </si>
  <si>
    <t>Planet / Point</t>
  </si>
  <si>
    <t>Valid Signs</t>
  </si>
  <si>
    <t>Sign Placed</t>
  </si>
  <si>
    <t>Degree (0-29)</t>
  </si>
  <si>
    <t>Sanskrit Name</t>
  </si>
  <si>
    <t>Notes</t>
  </si>
  <si>
    <t>Lagna (Ascendant)</t>
  </si>
  <si>
    <t>Aries,Taurus,Gemini,Cancer,Leo,Virgo,Libra,Scorpio,Sagittarius,Capricorn,Aquarius,Pisces</t>
  </si>
  <si>
    <t>Mesh</t>
  </si>
  <si>
    <t>Rising sign — most important input</t>
  </si>
  <si>
    <t>Sun / Surya</t>
  </si>
  <si>
    <t>Surya</t>
  </si>
  <si>
    <t>Soul, father, authority</t>
  </si>
  <si>
    <t>Moon / Chandramaa</t>
  </si>
  <si>
    <t>Chandramaa</t>
  </si>
  <si>
    <t>Mind, mother, emotions</t>
  </si>
  <si>
    <t>Mars / Mangal</t>
  </si>
  <si>
    <t>Mangal</t>
  </si>
  <si>
    <t>Energy, siblings, courage</t>
  </si>
  <si>
    <t>Mercury / Budh</t>
  </si>
  <si>
    <t>Budh</t>
  </si>
  <si>
    <t>Intellect, communication</t>
  </si>
  <si>
    <t>Jupiter / Brihaspati</t>
  </si>
  <si>
    <t>Brihaspati</t>
  </si>
  <si>
    <t>Wisdom, children, fortune</t>
  </si>
  <si>
    <t>Venus / Shukra</t>
  </si>
  <si>
    <t>Shukra</t>
  </si>
  <si>
    <t>Love, luxury, relationships</t>
  </si>
  <si>
    <t>Saturn / Shani</t>
  </si>
  <si>
    <t>Shani</t>
  </si>
  <si>
    <t>Discipline, karma, longevity</t>
  </si>
  <si>
    <t>Rahu (N. Node)</t>
  </si>
  <si>
    <t>Obsession, amplifier — no own sign</t>
  </si>
  <si>
    <t>Ketu (S. Node)</t>
  </si>
  <si>
    <t>Detachment — always 7 signs from Rahu</t>
  </si>
  <si>
    <t>Moon longitude (for Dasha)</t>
  </si>
  <si>
    <t>Auto-reads sign+degree from row 7 above</t>
  </si>
  <si>
    <t>Used in INPUT_BirthData Dasha calc</t>
  </si>
  <si>
    <t>Auto-computed from Moon row — no extra entry needed</t>
  </si>
  <si>
    <t>REFERENCE: Shubh (Benefic) and Ashubh (Malefic) planets change based on Lagna — see REF_ShubhAshubh sheet</t>
  </si>
  <si>
    <t>INPUT_Gochar  ·  Today's Transit Positions  ·  Enter for Gochar overlay</t>
  </si>
  <si>
    <t>Enter today's sidereal (Lahiri) planet positions for transit analysis. Source: reference software &gt; Today's Panchang, ephemeris API, or ephemeris API API. Signs must match INPUT_Chart sign names exactly.</t>
  </si>
  <si>
    <t>Planet</t>
  </si>
  <si>
    <t>Transit Sign</t>
  </si>
  <si>
    <t>Degree</t>
  </si>
  <si>
    <t>Notes — transit speed</t>
  </si>
  <si>
    <t>Pisces</t>
  </si>
  <si>
    <t>~30 days per sign</t>
  </si>
  <si>
    <t>Aquarius</t>
  </si>
  <si>
    <t>~2.25 days per sign — fastest</t>
  </si>
  <si>
    <t>~6 weeks per sign; Rx ~2 months</t>
  </si>
  <si>
    <t>~3–4 weeks; retrograde 3× per year</t>
  </si>
  <si>
    <t>Gemini</t>
  </si>
  <si>
    <t>~1 year per sign — major timing</t>
  </si>
  <si>
    <t>~3–4 weeks; Rx every 18 months</t>
  </si>
  <si>
    <t>~2.5 years per sign — most impactful</t>
  </si>
  <si>
    <t>~18 months per sign (always retrograde)</t>
  </si>
  <si>
    <t>Leo</t>
  </si>
  <si>
    <t>Always 7 signs from Rahu</t>
  </si>
  <si>
    <t>Analysis date</t>
  </si>
  <si>
    <t>17-Mar-2026 11:14</t>
  </si>
  <si>
    <t>INPUT_Chart_Scenario  ·  What-If Chart  ·  Change any planet position to model alternative placements</t>
  </si>
  <si>
    <t>⚡ SCENARIO MODE: Change any Sign or Degree below. Activate scenario scoring via REF_Config toggle (Scenario mode = row 18). All SCORE_H sheets with scenario formulas will re-run from this chart.</t>
  </si>
  <si>
    <t>REF_Zodiac — Complete Jyotish Zodiac Reference  ·  Sources: BPHS, Saravali, Phaladeepika</t>
  </si>
  <si>
    <t>READ-ONLY reference table — never edit directly. All CALC_ sheets look up values here via INDEX/MATCH on the sign name. Blue = scoring flags used by SCORE_AllHouses.</t>
  </si>
  <si>
    <t>Group</t>
  </si>
  <si>
    <t>Attribute</t>
  </si>
  <si>
    <t>Sanskrit</t>
  </si>
  <si>
    <t>Aries</t>
  </si>
  <si>
    <t>Taurus</t>
  </si>
  <si>
    <t>Cancer</t>
  </si>
  <si>
    <t>Virgo</t>
  </si>
  <si>
    <t>Libra</t>
  </si>
  <si>
    <t>Scorpio</t>
  </si>
  <si>
    <t>Sagittarius</t>
  </si>
  <si>
    <t>Capricorn</t>
  </si>
  <si>
    <t>Identity</t>
  </si>
  <si>
    <t>Sanskrit / Rashi</t>
  </si>
  <si>
    <t>Rashi</t>
  </si>
  <si>
    <t>Vrishabh</t>
  </si>
  <si>
    <t>Mithun</t>
  </si>
  <si>
    <t>Kark</t>
  </si>
  <si>
    <t>Simh</t>
  </si>
  <si>
    <t>Kanya</t>
  </si>
  <si>
    <t>Tula</t>
  </si>
  <si>
    <t>Vrishchik</t>
  </si>
  <si>
    <t>Dhanu</t>
  </si>
  <si>
    <t>Makar</t>
  </si>
  <si>
    <t>Kumbh</t>
  </si>
  <si>
    <t>Meen</t>
  </si>
  <si>
    <t>Sign number</t>
  </si>
  <si>
    <t>Rashi Krama</t>
  </si>
  <si>
    <t>Symbol</t>
  </si>
  <si>
    <t>Pratik</t>
  </si>
  <si>
    <t>Ram</t>
  </si>
  <si>
    <t>Bull</t>
  </si>
  <si>
    <t>Twins</t>
  </si>
  <si>
    <t>Crab</t>
  </si>
  <si>
    <t>Lion</t>
  </si>
  <si>
    <t>Virgin</t>
  </si>
  <si>
    <t>Scales</t>
  </si>
  <si>
    <t>Scorpion</t>
  </si>
  <si>
    <t>Archer</t>
  </si>
  <si>
    <t>Sea-goat</t>
  </si>
  <si>
    <t>Water-bearer</t>
  </si>
  <si>
    <t>Fish</t>
  </si>
  <si>
    <t>Lordship</t>
  </si>
  <si>
    <t>Ruling planet</t>
  </si>
  <si>
    <t>Swami / Adhipati</t>
  </si>
  <si>
    <t>Ruling planet (Skt)</t>
  </si>
  <si>
    <t>Graha Swami</t>
  </si>
  <si>
    <t>Exaltation planet</t>
  </si>
  <si>
    <t>Uchcha Graha</t>
  </si>
  <si>
    <t>Exaltation degree</t>
  </si>
  <si>
    <t>Uchcha Amsha</t>
  </si>
  <si>
    <t>10°</t>
  </si>
  <si>
    <t>3°</t>
  </si>
  <si>
    <t>5°</t>
  </si>
  <si>
    <t>15°</t>
  </si>
  <si>
    <t>20°</t>
  </si>
  <si>
    <t>28°</t>
  </si>
  <si>
    <t>27°</t>
  </si>
  <si>
    <t>Debilitation planet</t>
  </si>
  <si>
    <t>Neecha Graha</t>
  </si>
  <si>
    <t>Mooltrikona sign of</t>
  </si>
  <si>
    <t>Mooltrikona</t>
  </si>
  <si>
    <t>Mars (0–18°)</t>
  </si>
  <si>
    <t>Venus (0–15°)</t>
  </si>
  <si>
    <t>Mercury (0–15°)</t>
  </si>
  <si>
    <t>Sun (0–20°)</t>
  </si>
  <si>
    <t>Mercury (16–20°)</t>
  </si>
  <si>
    <t>Saturn (0–20°)</t>
  </si>
  <si>
    <t>Jupiter (0–10°)</t>
  </si>
  <si>
    <t>Nature</t>
  </si>
  <si>
    <t>Element / Tattva</t>
  </si>
  <si>
    <t>Tattva</t>
  </si>
  <si>
    <t>Fire</t>
  </si>
  <si>
    <t>Earth</t>
  </si>
  <si>
    <t>Air</t>
  </si>
  <si>
    <t>Water</t>
  </si>
  <si>
    <t>Modality</t>
  </si>
  <si>
    <t>Chara/Sthir/Dwi</t>
  </si>
  <si>
    <t>Movable / Char</t>
  </si>
  <si>
    <t>Fixed / Sthir</t>
  </si>
  <si>
    <t>Dual / Dwiswabhav</t>
  </si>
  <si>
    <t>Gender</t>
  </si>
  <si>
    <t>Strī/Purusha</t>
  </si>
  <si>
    <t>Masculine</t>
  </si>
  <si>
    <t>Feminine</t>
  </si>
  <si>
    <t>Sign type</t>
  </si>
  <si>
    <t>Rashi Prakriti</t>
  </si>
  <si>
    <t>Odd / Vishama</t>
  </si>
  <si>
    <t>Even / Sama</t>
  </si>
  <si>
    <t>Temperament</t>
  </si>
  <si>
    <t>Swabhava</t>
  </si>
  <si>
    <t>Cruel</t>
  </si>
  <si>
    <t>Gentle</t>
  </si>
  <si>
    <t>Body type</t>
  </si>
  <si>
    <t>Deha Prakriti</t>
  </si>
  <si>
    <t>Biped</t>
  </si>
  <si>
    <t>Quadruped</t>
  </si>
  <si>
    <t>Aquatic</t>
  </si>
  <si>
    <t>Insect / Reptile</t>
  </si>
  <si>
    <t>Biped (half) / Quadruped (half)</t>
  </si>
  <si>
    <t>Aquatic / Quadruped</t>
  </si>
  <si>
    <t>Fertility</t>
  </si>
  <si>
    <t>Santan Shakti</t>
  </si>
  <si>
    <t>Barren</t>
  </si>
  <si>
    <t>Fruitful</t>
  </si>
  <si>
    <t>Semi-fruitful</t>
  </si>
  <si>
    <t>Voice quality</t>
  </si>
  <si>
    <t>Vak Bala</t>
  </si>
  <si>
    <t>Strong voice</t>
  </si>
  <si>
    <t>Dual voice</t>
  </si>
  <si>
    <t>Mute / Silent</t>
  </si>
  <si>
    <t>Dosha / Guna</t>
  </si>
  <si>
    <t>Ayurvedic dosha</t>
  </si>
  <si>
    <t>Tridosha</t>
  </si>
  <si>
    <t>Pitta</t>
  </si>
  <si>
    <t>Vata / Kapha</t>
  </si>
  <si>
    <t>Vata / Pitta</t>
  </si>
  <si>
    <t>Kapha</t>
  </si>
  <si>
    <t>Pitta / Kapha</t>
  </si>
  <si>
    <t>Kapha / Pitta</t>
  </si>
  <si>
    <t>Pitta / Vata</t>
  </si>
  <si>
    <t>Vata</t>
  </si>
  <si>
    <t>Triguna</t>
  </si>
  <si>
    <t>Guna</t>
  </si>
  <si>
    <t>Rajas</t>
  </si>
  <si>
    <t>Tamas</t>
  </si>
  <si>
    <t>Sattva</t>
  </si>
  <si>
    <t>Body substance</t>
  </si>
  <si>
    <t>Dhatu / Jeev / Mool</t>
  </si>
  <si>
    <t>Dhatu (minerals)</t>
  </si>
  <si>
    <t>Jeev (living)</t>
  </si>
  <si>
    <t>Mool (plants)</t>
  </si>
  <si>
    <t>Social</t>
  </si>
  <si>
    <t>Varna (caste)</t>
  </si>
  <si>
    <t>Varna</t>
  </si>
  <si>
    <t>Kshatriya</t>
  </si>
  <si>
    <t>Vaishya</t>
  </si>
  <si>
    <t>Shudra</t>
  </si>
  <si>
    <t>Brahmin</t>
  </si>
  <si>
    <t>Directional</t>
  </si>
  <si>
    <t>Direction</t>
  </si>
  <si>
    <t>Disha</t>
  </si>
  <si>
    <t>East / Purva</t>
  </si>
  <si>
    <t>South / Dakshina</t>
  </si>
  <si>
    <t>West / Paschima</t>
  </si>
  <si>
    <t>North / Uttara</t>
  </si>
  <si>
    <t>Physical</t>
  </si>
  <si>
    <t>Colour</t>
  </si>
  <si>
    <t>Rang</t>
  </si>
  <si>
    <t>Red / Blood red</t>
  </si>
  <si>
    <t>White / Off-white</t>
  </si>
  <si>
    <t>Green</t>
  </si>
  <si>
    <t>Pale / Pinkish</t>
  </si>
  <si>
    <t>Golden / Wheatish</t>
  </si>
  <si>
    <t>Multi-coloured / Spotted</t>
  </si>
  <si>
    <t>Black / Variegated</t>
  </si>
  <si>
    <t>Brown / Reddish</t>
  </si>
  <si>
    <t>Yellow / Golden</t>
  </si>
  <si>
    <t>Variegated / Dark</t>
  </si>
  <si>
    <t>Blue / Black</t>
  </si>
  <si>
    <t>Off-white / Sea green</t>
  </si>
  <si>
    <t>Body part (Kalapurusha)</t>
  </si>
  <si>
    <t>Kalapurusha Anga</t>
  </si>
  <si>
    <t>Head / Skull</t>
  </si>
  <si>
    <t>Face / Neck / Throat</t>
  </si>
  <si>
    <t>Shoulders / Arms / Hands</t>
  </si>
  <si>
    <t>Chest / Heart / Lungs</t>
  </si>
  <si>
    <t>Stomach / Back / Spine</t>
  </si>
  <si>
    <t>Waist / Lower abdomen / Intestines</t>
  </si>
  <si>
    <t>Kidneys / Lower back / Navel</t>
  </si>
  <si>
    <t>Genitals / Rectum / Bladder</t>
  </si>
  <si>
    <t>Thighs / Hips / Liver</t>
  </si>
  <si>
    <t>Knees / Joints / Bones</t>
  </si>
  <si>
    <t>Ankles / Calves / Circulatory system</t>
  </si>
  <si>
    <t>Feet / Lymphatic system / Immune system</t>
  </si>
  <si>
    <t>Technical</t>
  </si>
  <si>
    <t>Rising direction</t>
  </si>
  <si>
    <t>Udaya Prakar</t>
  </si>
  <si>
    <t>Shirshodaya (head first)</t>
  </si>
  <si>
    <t>Prishtodaya (back first)</t>
  </si>
  <si>
    <t>Shirshodaya</t>
  </si>
  <si>
    <t>Prishtodaya</t>
  </si>
  <si>
    <t>Ubhayodaya (both ways)</t>
  </si>
  <si>
    <t>Strength period</t>
  </si>
  <si>
    <t>Bala Kaal</t>
  </si>
  <si>
    <t>Night</t>
  </si>
  <si>
    <t>Day</t>
  </si>
  <si>
    <t>Seasonal strength</t>
  </si>
  <si>
    <t>Ritu Bala</t>
  </si>
  <si>
    <t>Vasanta (Spring)</t>
  </si>
  <si>
    <t>Grishma (Summer)</t>
  </si>
  <si>
    <t>Varsha (Rains)</t>
  </si>
  <si>
    <t>Sharad (Autumn)</t>
  </si>
  <si>
    <t>Hemanta (Early winter)</t>
  </si>
  <si>
    <t>Shishira (Winter)</t>
  </si>
  <si>
    <t>Classification</t>
  </si>
  <si>
    <t>Natural house type</t>
  </si>
  <si>
    <t>Bhav Prakar</t>
  </si>
  <si>
    <t>Kendra</t>
  </si>
  <si>
    <t>Dhan / 2nd</t>
  </si>
  <si>
    <t>Upachaya</t>
  </si>
  <si>
    <t>Kendra / Sukha</t>
  </si>
  <si>
    <t>Trikon</t>
  </si>
  <si>
    <t>Upachaya / Roga</t>
  </si>
  <si>
    <t>Kendra / Kalatra</t>
  </si>
  <si>
    <t>Randhra / Ayu</t>
  </si>
  <si>
    <t>Trikon / Bhagya</t>
  </si>
  <si>
    <t>Kendra / Karma</t>
  </si>
  <si>
    <t>Labha</t>
  </si>
  <si>
    <t>Vyaya</t>
  </si>
  <si>
    <t>House group</t>
  </si>
  <si>
    <t>Bhav Varga</t>
  </si>
  <si>
    <t>Angular</t>
  </si>
  <si>
    <t>Succedent</t>
  </si>
  <si>
    <t>Cadent</t>
  </si>
  <si>
    <t>Nakshatras spanning</t>
  </si>
  <si>
    <t>Nakshatra Span</t>
  </si>
  <si>
    <t>Ashwini, Bharani, Krittika (1)</t>
  </si>
  <si>
    <t>Krittika (2-4), Rohini, Mrigashira (1-2)</t>
  </si>
  <si>
    <t>Mrigashira (3-4), Ardra, Punarvasu (1-3)</t>
  </si>
  <si>
    <t>Punarvasu (4), Pushya, Ashlesha</t>
  </si>
  <si>
    <t>Magha, Purva Phalguni, Uttara Phalguni (1)</t>
  </si>
  <si>
    <t>Uttara Phalguni (2-4), Hasta, Chitra (1-2)</t>
  </si>
  <si>
    <t>Chitra (3-4), Swati, Vishakha (1-3)</t>
  </si>
  <si>
    <t>Vishakha (4), Anuradha, Jyeshtha</t>
  </si>
  <si>
    <t>Mula, Purva Ashadha, Uttara Ashadha (1)</t>
  </si>
  <si>
    <t>Uttara Ashadha (2-4), Shravana, Dhanishtha (1-2)</t>
  </si>
  <si>
    <t>Dhanishtha (3-4), Shatabhisha, Purva Bhadrapada (1-3)</t>
  </si>
  <si>
    <t>Purva Bhadrapada (4), Uttara Bhadrapada, Revati</t>
  </si>
  <si>
    <t>Karakatva</t>
  </si>
  <si>
    <t>Primary Karak planet</t>
  </si>
  <si>
    <t>Mukhya Karak</t>
  </si>
  <si>
    <t>Mars (energy, self)</t>
  </si>
  <si>
    <t>Venus (beauty, wealth)</t>
  </si>
  <si>
    <t>Mercury (communication)</t>
  </si>
  <si>
    <t>Moon (mind, mother)</t>
  </si>
  <si>
    <t>Sun (soul, authority)</t>
  </si>
  <si>
    <t>Mercury (analysis, health)</t>
  </si>
  <si>
    <t>Venus (relationships, balance)</t>
  </si>
  <si>
    <t>Mars / Saturn (transformation)</t>
  </si>
  <si>
    <t>Jupiter (dharma, expansion)</t>
  </si>
  <si>
    <t>Saturn (career, discipline)</t>
  </si>
  <si>
    <t>Saturn / Rahu (gains, groups)</t>
  </si>
  <si>
    <t>Jupiter (liberation, isolation)</t>
  </si>
  <si>
    <t>Scoring flags</t>
  </si>
  <si>
    <t>Dukshthan (6/8/12)?</t>
  </si>
  <si>
    <t>Dukh Sthana</t>
  </si>
  <si>
    <t>No</t>
  </si>
  <si>
    <t>Yes (6th)</t>
  </si>
  <si>
    <t>Yes (8th)</t>
  </si>
  <si>
    <t>Yes (12th)</t>
  </si>
  <si>
    <t>Kendra (1/4/7/10)?</t>
  </si>
  <si>
    <t>Yes (1st)</t>
  </si>
  <si>
    <t>Yes (4th)</t>
  </si>
  <si>
    <t>Yes (7th)</t>
  </si>
  <si>
    <t>Yes (10th)</t>
  </si>
  <si>
    <t>Trikon (1/5/9)?</t>
  </si>
  <si>
    <t>Yes (5th)</t>
  </si>
  <si>
    <t>Yes (9th)</t>
  </si>
  <si>
    <t>Upachaya (3/6/10/11)?</t>
  </si>
  <si>
    <t>Yes (3rd)</t>
  </si>
  <si>
    <t>Yes (11th)</t>
  </si>
  <si>
    <t>Source: Brihat Parashara Hora Shastra (BPHS) Ch.3-4  ·  Saravali Ch.2  ·  Phaladeepika Ch.1  ·  Cross-checked with Jagannatha Hora software output</t>
  </si>
  <si>
    <t>REF_Zodiac_Lookup — Formula patterns for CALC_ sheets</t>
  </si>
  <si>
    <t>Copy these formula patterns into CALC_PlanetPositions or any sheet that needs to look up a sign's properties. Replace B5 with the cell containing the sign name.</t>
  </si>
  <si>
    <t>Attribute wanted</t>
  </si>
  <si>
    <t>Formula to use</t>
  </si>
  <si>
    <t>Returns</t>
  </si>
  <si>
    <t>Fire / Earth / Air / Water</t>
  </si>
  <si>
    <t>Replace B5 with any cell containing a sign name</t>
  </si>
  <si>
    <t>Mars / Venus / Mercury…</t>
  </si>
  <si>
    <t>Use for Bhavesh (house lord) identification</t>
  </si>
  <si>
    <t>Movable / Fixed / Dual</t>
  </si>
  <si>
    <t>Used in Chara/Sthira Karak assessments</t>
  </si>
  <si>
    <t>Sun / Moon / Mars…</t>
  </si>
  <si>
    <t>Check if a planet placed here is exalted</t>
  </si>
  <si>
    <t>Cruel / Gentle</t>
  </si>
  <si>
    <t>Cruel signs (1/5/8/10/11) reduce benefic effects</t>
  </si>
  <si>
    <t>Dukshthan?</t>
  </si>
  <si>
    <t>Yes (6th) / No</t>
  </si>
  <si>
    <t>Used in Bhavesh_Durbal Rule #15 check</t>
  </si>
  <si>
    <t>Kendra?</t>
  </si>
  <si>
    <t>Yes (1st) / No</t>
  </si>
  <si>
    <t>Kendra placement = strong position for Bhavesh_Bal</t>
  </si>
  <si>
    <t>Trikon?</t>
  </si>
  <si>
    <t>Yes (5th) / No</t>
  </si>
  <si>
    <t>Trikon placement = auspicious. 1/5/9 houses.</t>
  </si>
  <si>
    <t>Brahmin / Kshatriya…</t>
  </si>
  <si>
    <t>Used in Varna compatibility matching</t>
  </si>
  <si>
    <t>East / South / West / North</t>
  </si>
  <si>
    <t>Directional strength (Dig Bala) calculations</t>
  </si>
  <si>
    <t>Body part</t>
  </si>
  <si>
    <t>Head / Neck / Arms…</t>
  </si>
  <si>
    <t>Medical astrology — afflictions to this house affect this body part</t>
  </si>
  <si>
    <t>Cross-reference with REF_Nakshatra for sub-lord calculations</t>
  </si>
  <si>
    <t>INDEX(REF_Zodiac!$D$row:$O$row, MATCH(sign_cell, REF_Zodiac!$D$3:$O$3, 0))</t>
  </si>
  <si>
    <t>REF_Planets — Complete Jyotish Planet Reference  ·  Sources: BPHS Ch.3, Saravali Ch.1, Phaladeepika Ch.2</t>
  </si>
  <si>
    <t>READ-ONLY — all CALC_ sheets look up values here via INDEX/MATCH on the planet name.  Rahu/Ketu are shadow nodes: no own signs in classical sense, always retrograde, amplify whatever they conjoin.</t>
  </si>
  <si>
    <t>Section</t>
  </si>
  <si>
    <t>Planet (English)</t>
  </si>
  <si>
    <t>Graha</t>
  </si>
  <si>
    <t>Sanskrit name</t>
  </si>
  <si>
    <t>Also known as</t>
  </si>
  <si>
    <t>Upanaam</t>
  </si>
  <si>
    <t>Aditya / Ravi</t>
  </si>
  <si>
    <t>Soma / Indu</t>
  </si>
  <si>
    <t>Kuja / Angaraka</t>
  </si>
  <si>
    <t>Soumya</t>
  </si>
  <si>
    <t>Guru / Devaguru</t>
  </si>
  <si>
    <t>Bhrigu / Sita</t>
  </si>
  <si>
    <t>Manda / Yama</t>
  </si>
  <si>
    <t>Swarbhanu (head)</t>
  </si>
  <si>
    <t>Swarbhanu (tail)</t>
  </si>
  <si>
    <t>Planet type</t>
  </si>
  <si>
    <t>Graha Prakar</t>
  </si>
  <si>
    <t>Luminaries</t>
  </si>
  <si>
    <t>Inner planets</t>
  </si>
  <si>
    <t>Outer planets</t>
  </si>
  <si>
    <t>Shadow node</t>
  </si>
  <si>
    <t>Dasha order #</t>
  </si>
  <si>
    <t>Dasha Krama</t>
  </si>
  <si>
    <t>Dasha years</t>
  </si>
  <si>
    <t>Dasha Varsha</t>
  </si>
  <si>
    <t>Orbital speed</t>
  </si>
  <si>
    <t>Gati</t>
  </si>
  <si>
    <t>~1°/day</t>
  </si>
  <si>
    <t>~13°/day</t>
  </si>
  <si>
    <t>~0.5°/day</t>
  </si>
  <si>
    <t>~1.5°/day</t>
  </si>
  <si>
    <t>~0.08°/day</t>
  </si>
  <si>
    <t>~1.2°/day</t>
  </si>
  <si>
    <t>~0.03°/day</t>
  </si>
  <si>
    <t>~0.05°/day (mean)</t>
  </si>
  <si>
    <t>Own sign #1</t>
  </si>
  <si>
    <t>Swarashi #1</t>
  </si>
  <si>
    <t>Own sign #2</t>
  </si>
  <si>
    <t>Swarashi #2</t>
  </si>
  <si>
    <t>Exaltation sign</t>
  </si>
  <si>
    <t>Uchcha Rashi</t>
  </si>
  <si>
    <t>Debilitation sign</t>
  </si>
  <si>
    <t>Neecha Rashi</t>
  </si>
  <si>
    <t>Debilitation degree</t>
  </si>
  <si>
    <t>Neecha Amsha</t>
  </si>
  <si>
    <t>Mooltrikona sign</t>
  </si>
  <si>
    <t>Mooltrikona Rashi</t>
  </si>
  <si>
    <t>Leo (0–20°)</t>
  </si>
  <si>
    <t>Taurus (4–20°)</t>
  </si>
  <si>
    <t>Aries (0–12°)</t>
  </si>
  <si>
    <t>Virgo (16–20°)</t>
  </si>
  <si>
    <t>Sagittarius (0–10°)</t>
  </si>
  <si>
    <t>Libra (0–15°)</t>
  </si>
  <si>
    <t>Aquarius (0–20°)</t>
  </si>
  <si>
    <t>Combust orb</t>
  </si>
  <si>
    <t>Asta Orb</t>
  </si>
  <si>
    <t>12°</t>
  </si>
  <si>
    <t>17°</t>
  </si>
  <si>
    <t>14°</t>
  </si>
  <si>
    <t>11°</t>
  </si>
  <si>
    <t>Natural nature</t>
  </si>
  <si>
    <t>Naisargika Swabhav</t>
  </si>
  <si>
    <t>Malefic</t>
  </si>
  <si>
    <t>Benefic (waxing) / Malefic (waning)</t>
  </si>
  <si>
    <t>Benefic (with benefics) / Malefic (with malefics)</t>
  </si>
  <si>
    <t>Benefic</t>
  </si>
  <si>
    <t>Linga</t>
  </si>
  <si>
    <t>Neutral</t>
  </si>
  <si>
    <t>Neutral / Masculine</t>
  </si>
  <si>
    <t>Ether / Akash</t>
  </si>
  <si>
    <t>Outcaste</t>
  </si>
  <si>
    <t>Steady / Fixed</t>
  </si>
  <si>
    <t>Changeable / Fickle</t>
  </si>
  <si>
    <t>Angry / Violent</t>
  </si>
  <si>
    <t>Humorous / Speech</t>
  </si>
  <si>
    <t>Benign / Mild</t>
  </si>
  <si>
    <t>Soft-hearted / Accommodating</t>
  </si>
  <si>
    <t>Subordinate / Servant</t>
  </si>
  <si>
    <t>Cruel / Unpredictable</t>
  </si>
  <si>
    <t>Caste quality</t>
  </si>
  <si>
    <t>Jati</t>
  </si>
  <si>
    <t>Low caste</t>
  </si>
  <si>
    <t>Primary significations</t>
  </si>
  <si>
    <t>Mukhya Karakatva</t>
  </si>
  <si>
    <t>Soul, father, authority, vitality, self-confidence, government, power</t>
  </si>
  <si>
    <t>Mind, mother, emotions, nourishment, memory, response, sensitivity, public</t>
  </si>
  <si>
    <t>Bravery, aggression, courage, siblings, energy, accidents, surgery, property</t>
  </si>
  <si>
    <t>Speech, intelligence, analysis, communication, trade, education, writing, skin</t>
  </si>
  <si>
    <t>Wisdom, children, fortune, dharma, expansion, optimism, knowledge, teachers, law</t>
  </si>
  <si>
    <t>Harmony, love, beauty, luxury, relationships, arts, vehicles, pleasure, spouse</t>
  </si>
  <si>
    <t>Hard work, karma, longevity, discipline, delay, sorrow, service, old age, teeth</t>
  </si>
  <si>
    <t>Explosiveness, obsession, foreign, illusion, unconventional, materialistic gains, paternal grandfather</t>
  </si>
  <si>
    <t>Detachment, liberation, spirituality, intuition, transformation, elimination, maternal grandparents</t>
  </si>
  <si>
    <t>Sthir Karak for house</t>
  </si>
  <si>
    <t>Sthir Karak Bhav</t>
  </si>
  <si>
    <t>H1 (self), H9 (father), H10 (career)</t>
  </si>
  <si>
    <t>H4 (mother), H4 (mind / emotions)</t>
  </si>
  <si>
    <t>H3 (siblings / courage), H6 (enemies)</t>
  </si>
  <si>
    <t>H4 (education), H10 (business)</t>
  </si>
  <si>
    <t>H2 (wealth), H5 (children), H9 (fortune), H11 (gains)</t>
  </si>
  <si>
    <t>H2 (speech), H7 (spouse / marriage)</t>
  </si>
  <si>
    <t>H6 (service / disease), H8 (longevity), H10 (karma)</t>
  </si>
  <si>
    <t>H6 (obstacles), H12 (foreign / isolation)</t>
  </si>
  <si>
    <t>H12 (liberation / moksha)</t>
  </si>
  <si>
    <t>Cabinet role</t>
  </si>
  <si>
    <t>Rajdarbar</t>
  </si>
  <si>
    <t>King</t>
  </si>
  <si>
    <t>Queen</t>
  </si>
  <si>
    <t>Commander-in-chief</t>
  </si>
  <si>
    <t>Crown Prince / Yuvaraja</t>
  </si>
  <si>
    <t>Minister / Advisor</t>
  </si>
  <si>
    <t>Minister / Advisor (Royal)</t>
  </si>
  <si>
    <t>Servant</t>
  </si>
  <si>
    <t>Relationship signified</t>
  </si>
  <si>
    <t>Sambandh</t>
  </si>
  <si>
    <t>Father / Authority</t>
  </si>
  <si>
    <t>Mother / Public</t>
  </si>
  <si>
    <t>Younger siblings / Soldiers</t>
  </si>
  <si>
    <t>Maternal uncle / Friends</t>
  </si>
  <si>
    <t>Teachers / Elders / Husband (for women)</t>
  </si>
  <si>
    <t>Wife / Sisters / Young women</t>
  </si>
  <si>
    <t>Servant / Old people / Outcaste</t>
  </si>
  <si>
    <t>Paternal grandfather / Foreigners</t>
  </si>
  <si>
    <t>Maternal grandparents / Ascetics</t>
  </si>
  <si>
    <t>Body</t>
  </si>
  <si>
    <t>Body parts ruled</t>
  </si>
  <si>
    <t>Sharira Anga</t>
  </si>
  <si>
    <t>Bones (Asthi), Right eye, Heart, Stomach, Head (crown)</t>
  </si>
  <si>
    <t>Blood (Rakta), Left eye, Lungs, Breasts, Mind</t>
  </si>
  <si>
    <t>Muscles (Mamsa), Bone marrow, Blood, Bile, Head (forehead)</t>
  </si>
  <si>
    <t>Skin (Tvak), Nerves, Lungs, Speech organs, Hands</t>
  </si>
  <si>
    <t>Fat (Meda), Brain, Liver, Thighs, Ears</t>
  </si>
  <si>
    <t>Semen / Reproductive fluids, Skin, Genitals, Eyes (vision), Kidneys</t>
  </si>
  <si>
    <t>Tendons / Cartilage, Nerves (coarser), Teeth, Legs (feet / shins)</t>
  </si>
  <si>
    <t>Digestive system (general), Skin diseases, Nervous system disorders</t>
  </si>
  <si>
    <t>Feet, Spiritual body, Subtle nervous system</t>
  </si>
  <si>
    <t>Ayurvedic tissue</t>
  </si>
  <si>
    <t>Dhatu</t>
  </si>
  <si>
    <t>Bone (Asthi)</t>
  </si>
  <si>
    <t>Blood (Rakta)</t>
  </si>
  <si>
    <t>Muscle (Mamsa)</t>
  </si>
  <si>
    <t>Skin (Tvak)</t>
  </si>
  <si>
    <t>Fat (Meda)</t>
  </si>
  <si>
    <t>Semen / Shukra</t>
  </si>
  <si>
    <t>Nerves / Tendons</t>
  </si>
  <si>
    <t>Mixed / Vata</t>
  </si>
  <si>
    <t>Kapha / Vata</t>
  </si>
  <si>
    <t>Taste / Rasa</t>
  </si>
  <si>
    <t>Rasa</t>
  </si>
  <si>
    <t>Pungent / Tikta</t>
  </si>
  <si>
    <t>Saline / Namkeen</t>
  </si>
  <si>
    <t>Bitter / Kadwa</t>
  </si>
  <si>
    <t>Mixed / Chatpata</t>
  </si>
  <si>
    <t>Sweet / Meetha</t>
  </si>
  <si>
    <t>Sour / Khatta</t>
  </si>
  <si>
    <t>Astringent / Kacha</t>
  </si>
  <si>
    <t>Mixed</t>
  </si>
  <si>
    <t>Diseases indicated</t>
  </si>
  <si>
    <t>Roga</t>
  </si>
  <si>
    <t>Heart disease, fever, eye problems, bone issues, blood pressure</t>
  </si>
  <si>
    <t>Mental issues, cold/cough, anaemia, menstrual disorders, water retention</t>
  </si>
  <si>
    <t>Accidents, wounds, burns, inflammation, blood disorders, surgery</t>
  </si>
  <si>
    <t>Skin diseases, nervous disorders, speech problems, respiratory issues</t>
  </si>
  <si>
    <t>Liver problems, obesity, diabetes, tumours, ear troubles</t>
  </si>
  <si>
    <t>Reproductive disorders, diabetes, STDs, kidney issues, hormonal imbalance</t>
  </si>
  <si>
    <t>Chronic illness, paralysis, arthritis, teeth, dental issues, cold diseases</t>
  </si>
  <si>
    <t>Skin diseases, nervous breakdown, obsessive disorders, poisoning</t>
  </si>
  <si>
    <t>Mysterious diseases, spiritual crises, leprosy, past-life karma</t>
  </si>
  <si>
    <t>Relationships</t>
  </si>
  <si>
    <t>Natural friends</t>
  </si>
  <si>
    <t>Naisargika Mitra</t>
  </si>
  <si>
    <t>Moon, Mars, Jupiter</t>
  </si>
  <si>
    <t>Sun, Mercury</t>
  </si>
  <si>
    <t>Sun, Moon, Jupiter</t>
  </si>
  <si>
    <t>Sun, Venus</t>
  </si>
  <si>
    <t>Sun, Moon, Mars</t>
  </si>
  <si>
    <t>Mercury, Saturn</t>
  </si>
  <si>
    <t>Mercury, Venus</t>
  </si>
  <si>
    <t>Venus, Saturn</t>
  </si>
  <si>
    <t>Mars, Venus</t>
  </si>
  <si>
    <t>Natural neutrals</t>
  </si>
  <si>
    <t>Naisargika Sama</t>
  </si>
  <si>
    <t>Mars, Jupiter, Venus, Saturn</t>
  </si>
  <si>
    <t>Mars, Jupiter, Saturn</t>
  </si>
  <si>
    <t>Jupiter, Mars</t>
  </si>
  <si>
    <t>Ketu, Jupiter</t>
  </si>
  <si>
    <t>Rahu, Sun, Moon</t>
  </si>
  <si>
    <t>Natural enemies</t>
  </si>
  <si>
    <t>Naisargika Shatru</t>
  </si>
  <si>
    <t>Rahu, Ketu</t>
  </si>
  <si>
    <t>Sun, Moon</t>
  </si>
  <si>
    <t>Saturn, Mercury</t>
  </si>
  <si>
    <t>Mundane</t>
  </si>
  <si>
    <t>Direction (Dig Bala)</t>
  </si>
  <si>
    <t>South</t>
  </si>
  <si>
    <t>North</t>
  </si>
  <si>
    <t>East</t>
  </si>
  <si>
    <t>West</t>
  </si>
  <si>
    <t>South-West</t>
  </si>
  <si>
    <t>North-East</t>
  </si>
  <si>
    <t>Dig Bala house</t>
  </si>
  <si>
    <t>Dig Bala Sthana</t>
  </si>
  <si>
    <t>H10</t>
  </si>
  <si>
    <t>H4</t>
  </si>
  <si>
    <t>H10 / H3</t>
  </si>
  <si>
    <t>H1</t>
  </si>
  <si>
    <t>H1 / H9</t>
  </si>
  <si>
    <t>H7</t>
  </si>
  <si>
    <t>H3</t>
  </si>
  <si>
    <t>H9</t>
  </si>
  <si>
    <t>Day/Night strength</t>
  </si>
  <si>
    <t>Diva / Ratri Bali</t>
  </si>
  <si>
    <t>Strong paksha</t>
  </si>
  <si>
    <t>Paksha Bala</t>
  </si>
  <si>
    <t>Shukla (waxing)</t>
  </si>
  <si>
    <t>Krishna (waning)</t>
  </si>
  <si>
    <t>Both</t>
  </si>
  <si>
    <t>Shukla</t>
  </si>
  <si>
    <t>Krishna</t>
  </si>
  <si>
    <t>Season (Ritu)</t>
  </si>
  <si>
    <t>Ritu</t>
  </si>
  <si>
    <t>Summer / Grishma</t>
  </si>
  <si>
    <t>Rainy / Varsha</t>
  </si>
  <si>
    <t>Autumn / Sharad</t>
  </si>
  <si>
    <t>Early Winter / Hemanta</t>
  </si>
  <si>
    <t>Spring / Vasanta</t>
  </si>
  <si>
    <t>Winter / Shishira</t>
  </si>
  <si>
    <t>Orange / Copper-red</t>
  </si>
  <si>
    <t>White / Silvery</t>
  </si>
  <si>
    <t>Green / Grass green</t>
  </si>
  <si>
    <t>White / Bright white</t>
  </si>
  <si>
    <t>Black / Dark blue</t>
  </si>
  <si>
    <t>Smoky / Dark blue</t>
  </si>
  <si>
    <t>Smoky / Multi-coloured</t>
  </si>
  <si>
    <t>Gemstone</t>
  </si>
  <si>
    <t>Ratna</t>
  </si>
  <si>
    <t>Ruby (Manik)</t>
  </si>
  <si>
    <t>Pearl (Moti)</t>
  </si>
  <si>
    <t>Red Coral (Moonga)</t>
  </si>
  <si>
    <t>Emerald (Panna)</t>
  </si>
  <si>
    <t>Yellow Sapphire (Pukhraj)</t>
  </si>
  <si>
    <t>Diamond / White Sapphire (Heera)</t>
  </si>
  <si>
    <t>Blue Sapphire (Neelam)</t>
  </si>
  <si>
    <t>Hessonite Garnet (Gomed)</t>
  </si>
  <si>
    <t>Cat's Eye (Lehsunia)</t>
  </si>
  <si>
    <t>Metal</t>
  </si>
  <si>
    <t>Gold</t>
  </si>
  <si>
    <t>Silver</t>
  </si>
  <si>
    <t>Copper</t>
  </si>
  <si>
    <t>Mixed metals / Brass</t>
  </si>
  <si>
    <t>Iron / Lead</t>
  </si>
  <si>
    <t>Lead / Alloy</t>
  </si>
  <si>
    <t>Alloy / Iron</t>
  </si>
  <si>
    <t>Cloth / Texture</t>
  </si>
  <si>
    <t>Vastra</t>
  </si>
  <si>
    <t>Thick / Coarse</t>
  </si>
  <si>
    <t>New cloth / Soft</t>
  </si>
  <si>
    <t>Red cloth</t>
  </si>
  <si>
    <t>Mixed / Print</t>
  </si>
  <si>
    <t>Old cloth (Guru)</t>
  </si>
  <si>
    <t>Colourful silk</t>
  </si>
  <si>
    <t>Torn / Dirty</t>
  </si>
  <si>
    <t>Multi-coloured</t>
  </si>
  <si>
    <t>Variegated / Torn</t>
  </si>
  <si>
    <t>Location signified</t>
  </si>
  <si>
    <t>Sthana</t>
  </si>
  <si>
    <t>Temple / Government office / Open ground</t>
  </si>
  <si>
    <t>Well / Water body / Bedroom</t>
  </si>
  <si>
    <t>Fire place / Battlefield / Kitchen</t>
  </si>
  <si>
    <t>Learning institution / Market / Playground</t>
  </si>
  <si>
    <t>Temple / Treasury / Forest / River bank</t>
  </si>
  <si>
    <t>Bedroom / Pleasure house / Garden / Vehicle</t>
  </si>
  <si>
    <t>Dark place / Old building / Cemetery / Cremation ground</t>
  </si>
  <si>
    <t>Foreign land / Outskirts / Underground</t>
  </si>
  <si>
    <t>Forest / Isolated place / Moksha kshetra</t>
  </si>
  <si>
    <t>Scoring</t>
  </si>
  <si>
    <t>Special aspects</t>
  </si>
  <si>
    <t>Vishesh Drishti</t>
  </si>
  <si>
    <t>7th only</t>
  </si>
  <si>
    <t>4th, 7th, 8th (full)</t>
  </si>
  <si>
    <t>5th, 7th, 9th (full)</t>
  </si>
  <si>
    <t>3rd, 7th, 10th (full)</t>
  </si>
  <si>
    <t>5th, 7th, 9th</t>
  </si>
  <si>
    <t>Is shadow planet?</t>
  </si>
  <si>
    <t>Chhaya Graha</t>
  </si>
  <si>
    <t>Yes (always Rx)</t>
  </si>
  <si>
    <t>Always retrograde?</t>
  </si>
  <si>
    <t>Sadaa Vakri</t>
  </si>
  <si>
    <t>Yes</t>
  </si>
  <si>
    <t>Can combust others?</t>
  </si>
  <si>
    <t>Asta Karak</t>
  </si>
  <si>
    <t>Yes (combust all planets)</t>
  </si>
  <si>
    <t>Amplifies conjunct?</t>
  </si>
  <si>
    <t>Vriddhi Karak</t>
  </si>
  <si>
    <t>Yes — amplifies the planet it conjoins</t>
  </si>
  <si>
    <t>Yes — spiritualises / detaches the planet it conjoins</t>
  </si>
  <si>
    <t>Karak for longevity?</t>
  </si>
  <si>
    <t>Ayu Karak</t>
  </si>
  <si>
    <t>Yes (primary)</t>
  </si>
  <si>
    <t>Raja Yoga forming?</t>
  </si>
  <si>
    <t>Raja Yoga Karaka</t>
  </si>
  <si>
    <t>When Kendra + Trikon lord</t>
  </si>
  <si>
    <t>Yes for Cancer/Leo Lagna (Yogakaraka)</t>
  </si>
  <si>
    <t>Yes for Capricorn/Aquarius Lagna (Yogakaraka)</t>
  </si>
  <si>
    <t>Yes for Taurus/Libra + Gemini/Virgo Lagna</t>
  </si>
  <si>
    <t>Mahadasha quality</t>
  </si>
  <si>
    <t>Dasha Phala</t>
  </si>
  <si>
    <t>Authority, health, father — strong if well-placed</t>
  </si>
  <si>
    <t>Mind, mother, popularity — fluctuating by sign strength</t>
  </si>
  <si>
    <t>Energy, ambition, conflicts — intense</t>
  </si>
  <si>
    <t>Business, intellect, communication — versatile</t>
  </si>
  <si>
    <t>Wisdom, expansion, prosperity — generally positive</t>
  </si>
  <si>
    <t>Comfort, love, luxury, marriage — pleasant</t>
  </si>
  <si>
    <t>Karma, hardship, discipline, delays — transformative</t>
  </si>
  <si>
    <t>Foreign travel, sudden events, obsession — unpredictable</t>
  </si>
  <si>
    <t>Spirituality, detachment, isolation, intuition — inward</t>
  </si>
  <si>
    <t>Sources: BPHS (Brihat Parashara Hora Shastra) Ch.3 — Saravali Ch.1 — Phaladeepika Ch.2 — Jataka Parijata — Hora Sara  ·  Rahu/Ketu own signs: contested; Aq/Sc used here (BPHS convention)</t>
  </si>
  <si>
    <t>REF_Planets_Lookup — INDEX/MATCH formulas for CALC_ sheets</t>
  </si>
  <si>
    <t>Pattern: =INDEX(REF_Planets!$D$ROW:$L$ROW, MATCH(planet_cell, REF_Planets!$D$3:$L$3, 0))  where ROW = attribute row number below.  Replace planet_cell with e.g. CALC_PlanetPositions!B5</t>
  </si>
  <si>
    <t>Formula</t>
  </si>
  <si>
    <t>Use in</t>
  </si>
  <si>
    <t>Row 11 in REF_Planets</t>
  </si>
  <si>
    <t>CALC_BhaveshMap — identify lord of each house</t>
  </si>
  <si>
    <t>Row 13 in REF_Planets</t>
  </si>
  <si>
    <t>CALC_PlanetPositions — check if planet is exalted in its current sign</t>
  </si>
  <si>
    <t>Row 15 in REF_Planets</t>
  </si>
  <si>
    <t>CALC_PlanetPositions — check if planet is debilitated</t>
  </si>
  <si>
    <t>Row 17 in REF_Planets</t>
  </si>
  <si>
    <t>CALC_PlanetPositions — dignity level between own and exalt</t>
  </si>
  <si>
    <t>Row 19 in REF_Planets</t>
  </si>
  <si>
    <t>REF_ShubhAshubh — base classification before Lagna modification</t>
  </si>
  <si>
    <t>Row 9 in REF_Planets</t>
  </si>
  <si>
    <t>INPUT_BirthData — Vimshottari timeline calculation</t>
  </si>
  <si>
    <t>Row 48 in REF_Planets</t>
  </si>
  <si>
    <t>CALC_PlanetPositions — which houses each planet aspects</t>
  </si>
  <si>
    <t>Row 18 in REF_Planets</t>
  </si>
  <si>
    <t>CALC_PlanetPositions — is a planet within Sun's orb → combusted?</t>
  </si>
  <si>
    <t>Row 35 in REF_Planets</t>
  </si>
  <si>
    <t>CALC_PanchadhaMaitri — Naisargika friendship input</t>
  </si>
  <si>
    <t>Row 37 in REF_Planets</t>
  </si>
  <si>
    <t>CALC_PanchadhaMaitri — Naisargika enmity input</t>
  </si>
  <si>
    <t>Row 39 in REF_Planets</t>
  </si>
  <si>
    <t>Future Shadbala — directional strength peak house</t>
  </si>
  <si>
    <t>Row 27 in REF_Planets</t>
  </si>
  <si>
    <t>CALC_KarakMap — which planet is the fixed significator for which house</t>
  </si>
  <si>
    <t>Row 49 in REF_Planets</t>
  </si>
  <si>
    <t>All scoring — Rahu/Ketu need special-cased logic (no dignity, no combustion)</t>
  </si>
  <si>
    <t>Row 50 in REF_Planets</t>
  </si>
  <si>
    <t>CALC_PlanetPositions — Rahu/Ketu are always Rx; skip retrograde bonus for them</t>
  </si>
  <si>
    <t>Row 52 in REF_Planets</t>
  </si>
  <si>
    <t>CALC_PlanetPositions — Rahu/Ketu amplify conjunct planet's effects</t>
  </si>
  <si>
    <t>REF_Dignity — Complete Dignity &amp; Degree Ranges  ·  Sources: BPHS Ch.3, Saravali Ch.1, Uttara Kalamrita Ch.2</t>
  </si>
  <si>
    <t>CALC_PlanetPositions looks up rows by planet name (col A) to resolve dignity level. Deep = within ±5° of exact degree.  MLT = Mooltrikona.  Neecha Bhanga conditions are in col N — check before applying debilitation penalty.</t>
  </si>
  <si>
    <t>Exalt sign</t>
  </si>
  <si>
    <t>Exalt °
(peak)</t>
  </si>
  <si>
    <t>Deep exalt range
(±5° of peak)</t>
  </si>
  <si>
    <t>Debil sign</t>
  </si>
  <si>
    <t>Debil °
(peak)</t>
  </si>
  <si>
    <t>Deep debil range
(±5° of peak)</t>
  </si>
  <si>
    <t>Mooltrikona sign
&amp; range</t>
  </si>
  <si>
    <t>Own sign(s) — full range</t>
  </si>
  <si>
    <t>Friendly signs</t>
  </si>
  <si>
    <t>Neutral signs</t>
  </si>
  <si>
    <t>Combust orb
(direct)</t>
  </si>
  <si>
    <t>Neecha Bhanga conditions</t>
  </si>
  <si>
    <t>Aries  5°–15°</t>
  </si>
  <si>
    <t>Libra  5°–15°</t>
  </si>
  <si>
    <t>Leo  0°–20°</t>
  </si>
  <si>
    <t>Leo  20°–30° (own)  /  0°–20° (MLT)</t>
  </si>
  <si>
    <t>Aries,  Cancer,  Leo,  Sagittarius</t>
  </si>
  <si>
    <t>N/A (node)</t>
  </si>
  <si>
    <t>• Lord of Libra (Venus) in Kendra from Lagna or Moon
• Planet exalted in Libra (Saturn at 20° Libra) in Kendra
• Sun in Libra with exalted planet in same sign</t>
  </si>
  <si>
    <t>Taurus  0°–8°</t>
  </si>
  <si>
    <t>Scorpio  0°–8°</t>
  </si>
  <si>
    <t>Taurus  4°–20°</t>
  </si>
  <si>
    <t>Cancer  0°–30°  (Own sign)</t>
  </si>
  <si>
    <t>Taurus,  Cancer,  Leo,  Libra,  Sagittarius,  Pisces</t>
  </si>
  <si>
    <t>Aries,  Gemini,  Virgo,  Aquarius</t>
  </si>
  <si>
    <t>Direct: ±12.0°
Rx: ±12.0°</t>
  </si>
  <si>
    <t>• Lord of Scorpio (Mars) in Kendra from Lagna or Moon
• Jupiter exalted in Cancer in Kendra
• Moon in Scorpio with Mars in Kendra from Lagna
• Moon waxing (Shukla Paksha) reduces debilitation effect</t>
  </si>
  <si>
    <t>Capricorn  23°–29°</t>
  </si>
  <si>
    <t>Cancer  23°–29°</t>
  </si>
  <si>
    <t>Aries  0°–12°</t>
  </si>
  <si>
    <t>Aries  12°–30° (own)  /  0°–12° (MLT)
Scorpio  0°–30°  (Own sign)</t>
  </si>
  <si>
    <t>Aries,  Leo,  Sagittarius,  Scorpio,  Capricorn,  Pisces</t>
  </si>
  <si>
    <t>Taurus,  Virgo,  Libra,  Aquarius</t>
  </si>
  <si>
    <t>Direct: ±17.0°
Rx: ±17.0°</t>
  </si>
  <si>
    <t>• Lord of Cancer (Moon) in Kendra from Lagna or Moon
• Jupiter exalted in Cancer in Kendra
• Mars itself in Capricorn (own exaltation sign lord Saturn in Kendra)</t>
  </si>
  <si>
    <t>Virgo  10°–20°</t>
  </si>
  <si>
    <t>Pisces  10°–20°</t>
  </si>
  <si>
    <t>Virgo  0°–15°</t>
  </si>
  <si>
    <t>Gemini  0°–30°  (Own sign)
Virgo  15°–30° (own)  /  0°–15° (MLT)</t>
  </si>
  <si>
    <t>Gemini,  Virgo,  Libra,  Aquarius</t>
  </si>
  <si>
    <t>Aries,  Leo,  Sagittarius,  Capricorn</t>
  </si>
  <si>
    <t>Direct: ±14.0°
Rx: ±12.0°</t>
  </si>
  <si>
    <t>• Lord of Pisces (Jupiter) in Kendra from Lagna or Moon
• Venus exalted in Pisces in Kendra
• Mercury in Pisces with exalted planet in Kendra from Moon</t>
  </si>
  <si>
    <t>Cancer  0°–10°</t>
  </si>
  <si>
    <t>Capricorn  0°–10°</t>
  </si>
  <si>
    <t>Sagittarius  0°–10°</t>
  </si>
  <si>
    <t>Sagittarius  10°–30° (own)  /  0°–10° (MLT)
Pisces  0°–30°  (Own sign)</t>
  </si>
  <si>
    <t>Aries,  Cancer,  Leo,  Scorpio,  Sagittarius,  Pisces</t>
  </si>
  <si>
    <t>Taurus,  Capricorn,  Aquarius</t>
  </si>
  <si>
    <t>Direct: ±11.0°
Rx: ±8.0°</t>
  </si>
  <si>
    <t>• Lord of Capricorn (Saturn) in Kendra from Lagna or Moon
• Mars exalted in Capricorn in Kendra
• Jupiter in Capricorn aspected by exalted planet</t>
  </si>
  <si>
    <t>Pisces  22°–29°</t>
  </si>
  <si>
    <t>Virgo  22°–29°</t>
  </si>
  <si>
    <t>Libra  0°–15°</t>
  </si>
  <si>
    <t>Taurus  0°–30°  (Own sign)
Libra  15°–30° (own)  /  0°–15° (MLT)</t>
  </si>
  <si>
    <t>Taurus,  Gemini,  Libra,  Capricorn,  Aquarius,  Pisces</t>
  </si>
  <si>
    <t>Aries,  Cancer,  Scorpio,  Sagittarius</t>
  </si>
  <si>
    <t>Direct: ±10.0°
Rx: ±8.0°</t>
  </si>
  <si>
    <t>• Lord of Virgo (Mercury) in Kendra from Lagna or Moon
• Mercury exalted in Virgo in Kendra
• Venus in Virgo with exalted planet conjunct or in Kendra from Moon</t>
  </si>
  <si>
    <t>Libra  15°–25°</t>
  </si>
  <si>
    <t>Aries  15°–25°</t>
  </si>
  <si>
    <t>Aquarius  0°–20°</t>
  </si>
  <si>
    <t>Capricorn  0°–30°  (Own sign)
Aquarius  20°–30° (own)  /  0°–20° (MLT)</t>
  </si>
  <si>
    <t>Taurus,  Gemini,  Virgo,  Libra,  Capricorn,  Aquarius</t>
  </si>
  <si>
    <t>Sagittarius,  Pisces</t>
  </si>
  <si>
    <t>Direct: ±15.0°
Rx: ±15.0°</t>
  </si>
  <si>
    <t>• Lord of Aries (Mars) in Kendra from Lagna or Moon
• Sun exalted in Aries in Kendra
• Saturn in Aries with Mars in Kendra from Lagna or Moon</t>
  </si>
  <si>
    <t>Taurus  15°–25°</t>
  </si>
  <si>
    <t>Scorpio  15°–25°</t>
  </si>
  <si>
    <t>None (shadow node)</t>
  </si>
  <si>
    <t>Aquarius  0°–30°  (Own sign — BPHS convention)
Gemini  0°–30°  (Co-lordship — Parashari view)</t>
  </si>
  <si>
    <t>Aries,  Sagittarius,  Pisces</t>
  </si>
  <si>
    <t>• Disputed: Rahu neecha bhanga less clearly defined in classical texts
• Some texts: lord of Taurus (Venus) in Kendra cancels
[Note] Rahu always retrograde (mean node). Always 180° from Ketu. Amplifies/intensifies the planet it conjoins. Own sign assignment contested — Aquarius (BPHS) most common.</t>
  </si>
  <si>
    <t>Scorpio  0°–30°  (Own sign — BPHS convention)
Pisces  0°–30°  (Co-lordship — Parashari view)</t>
  </si>
  <si>
    <t>Aries,  Cancer,  Scorpio,  Pisces</t>
  </si>
  <si>
    <t>Leo,  Sagittarius,  Capricorn</t>
  </si>
  <si>
    <t>• Ketu neecha bhanga less defined; Mars in Kendra generally helps
[Note] Ketu always retrograde (mean node). Always 180° from Rahu. Spiritualises / detaches the planet it conjoins. Own sign assignment contested — Scorpio (BPHS) most common.</t>
  </si>
  <si>
    <t>Dignity Scoring Weights  —  used by CALC_PlanetPositions to compute planet strength modifier</t>
  </si>
  <si>
    <t>Dignity level</t>
  </si>
  <si>
    <t>Weight
(score modifier)</t>
  </si>
  <si>
    <t>Applies when...</t>
  </si>
  <si>
    <t>Deep exaltation</t>
  </si>
  <si>
    <t>Paramauchcha</t>
  </si>
  <si>
    <t>+2.0</t>
  </si>
  <si>
    <t>Within ±5° of exact exaltation degree</t>
  </si>
  <si>
    <t>Exaltation</t>
  </si>
  <si>
    <t>Uchcha</t>
  </si>
  <si>
    <t>+1.5</t>
  </si>
  <si>
    <t>In exaltation sign, outside deep exalt range</t>
  </si>
  <si>
    <t>+1.0</t>
  </si>
  <si>
    <t>Within mooltrikona degree range</t>
  </si>
  <si>
    <t>Own sign</t>
  </si>
  <si>
    <t>Swarashi</t>
  </si>
  <si>
    <t>+0.75</t>
  </si>
  <si>
    <t>In own sign, outside mooltrikona range</t>
  </si>
  <si>
    <t>Friendly sign</t>
  </si>
  <si>
    <t>Mitra Rashi</t>
  </si>
  <si>
    <t>+0.5</t>
  </si>
  <si>
    <t>In sign ruled by a natural friend</t>
  </si>
  <si>
    <t>Neutral sign</t>
  </si>
  <si>
    <t>Sama Rashi</t>
  </si>
  <si>
    <t xml:space="preserve"> 0.0</t>
  </si>
  <si>
    <t>In sign ruled by a neutral planet</t>
  </si>
  <si>
    <t>Enemy sign</t>
  </si>
  <si>
    <t>Shatru Rashi</t>
  </si>
  <si>
    <t>-0.5</t>
  </si>
  <si>
    <t>In sign ruled by a natural enemy</t>
  </si>
  <si>
    <t>Debilitation</t>
  </si>
  <si>
    <t>Neecha</t>
  </si>
  <si>
    <t>-1.5</t>
  </si>
  <si>
    <t>In debilitation sign</t>
  </si>
  <si>
    <t>Deep debilitation</t>
  </si>
  <si>
    <t>Paramaneecha</t>
  </si>
  <si>
    <t>-2.0</t>
  </si>
  <si>
    <t>Within ±5° of exact debilitation degree</t>
  </si>
  <si>
    <t>Combust (direct)</t>
  </si>
  <si>
    <t>Asta (direct)</t>
  </si>
  <si>
    <t>-1.0</t>
  </si>
  <si>
    <t>Within Sun's combustion orb, direct motion</t>
  </si>
  <si>
    <t>Combust (Rx)</t>
  </si>
  <si>
    <t>Asta (Vakri)</t>
  </si>
  <si>
    <t>Within Sun's combustion orb, retrograde (reduced effect)</t>
  </si>
  <si>
    <t>Retrograde bonus</t>
  </si>
  <si>
    <t>Vakri Bala</t>
  </si>
  <si>
    <t>+0.25</t>
  </si>
  <si>
    <t>Planet is retrograde — stronger in its sign (contested)</t>
  </si>
  <si>
    <t>Neecha Bhanga</t>
  </si>
  <si>
    <t>Debilitation cancelled — treat as neutral or better</t>
  </si>
  <si>
    <t>Dignity Matrix — Sign × Planet  ·  CALC_PlanetPositions: INDEX(matrix, MATCH(planet, header_row), MATCH(sign, header_col))</t>
  </si>
  <si>
    <t>Sign</t>
  </si>
  <si>
    <t>Note: This matrix shows sign-level dignity only. For actual score, also check degree (deep exalt/debil ±5°), combustion, and retrograde from CALC_PlanetPositions. Rahu/Ketu own signs per BPHS convention — contested in other schools.</t>
  </si>
  <si>
    <t>SECTION 3 — Dependency alert: SCORE_H* rules that read dignity weights (col C, rows 17-29). If you change any weight here, review these rules.</t>
  </si>
  <si>
    <t>Weight (col C)</t>
  </si>
  <si>
    <t>Baseline</t>
  </si>
  <si>
    <t>Changed?</t>
  </si>
  <si>
    <t>SCORE_H* rules affected</t>
  </si>
  <si>
    <t>Action required</t>
  </si>
  <si>
    <t>R02 YK bonus, R04 Bhavesh kendra, R06 YK with Bhavesh</t>
  </si>
  <si>
    <t>If changed: update REF_SchoolConfig weights and re-check all SCORE_H* rules that reference this dignity level.</t>
  </si>
  <si>
    <t>R02 YK bonus</t>
  </si>
  <si>
    <t>R02 benefic in house</t>
  </si>
  <si>
    <t>R02, R07 benefic aspects</t>
  </si>
  <si>
    <t>0.0</t>
  </si>
  <si>
    <t>No direct rule — baseline only</t>
  </si>
  <si>
    <t>R09 malefic in house, R16 bhavesh enemy</t>
  </si>
  <si>
    <t>R09, R11 dukshthan lord, R16, R19 combust</t>
  </si>
  <si>
    <t>R09, R19 — strongest negative modifier</t>
  </si>
  <si>
    <t>Combust direct</t>
  </si>
  <si>
    <t>R19 bhavesh combust</t>
  </si>
  <si>
    <t>Combust Rx</t>
  </si>
  <si>
    <t>R19 (reduced for retrograde combustion)</t>
  </si>
  <si>
    <t>R22 retrograde modifier</t>
  </si>
  <si>
    <t>R29 — cancels debilitation penalty</t>
  </si>
  <si>
    <t>REF_Nakshatra — Complete Jyotish Nakshatra Reference  ·  27 Nakshatras × 42 attributes  ·  Sources: BPHS Ch.94-96, Brihat Samhita, 27 Stars 27 Gods</t>
  </si>
  <si>
    <t>READ-ONLY.  CALC_PlanetPositions: =INDEX(REF_Nakshatra!colA:colA, MATCH(nakshatra_name, REF_Nakshatra!B:B, 0))  ·  Pada Navamsha sign cycles Aries→Pisces across all 108 padas  ·  Mool = Ganda Mool nakshatra — first pada most sensitive for birth</t>
  </si>
  <si>
    <t>A — Identity</t>
  </si>
  <si>
    <t>B — Zodiac placement</t>
  </si>
  <si>
    <t>C — Dasha &amp; Mool</t>
  </si>
  <si>
    <t>D — Pada breakdown (4 padas × 3 cols = 12)</t>
  </si>
  <si>
    <t>E — Classical nature</t>
  </si>
  <si>
    <t>F — Career indicators</t>
  </si>
  <si>
    <t>Name</t>
  </si>
  <si>
    <t>Meaning</t>
  </si>
  <si>
    <t>Deity / Devata</t>
  </si>
  <si>
    <t>Zodiac sign</t>
  </si>
  <si>
    <t>Start ° (0–360)</t>
  </si>
  <si>
    <t>End ° (0–360)</t>
  </si>
  <si>
    <t>Sign start °</t>
  </si>
  <si>
    <t>Sign end °</t>
  </si>
  <si>
    <t>Dasha lord</t>
  </si>
  <si>
    <t>Mool Nakshatra?</t>
  </si>
  <si>
    <t>Ganda Mool note</t>
  </si>
  <si>
    <t>P1 Navamsha</t>
  </si>
  <si>
    <t>P1 start °</t>
  </si>
  <si>
    <t>P1 end °</t>
  </si>
  <si>
    <t>P2 Navamsha</t>
  </si>
  <si>
    <t>P2 start °</t>
  </si>
  <si>
    <t>P2 end °</t>
  </si>
  <si>
    <t>P3 Navamsha</t>
  </si>
  <si>
    <t>P3 start °</t>
  </si>
  <si>
    <t>P3 end °</t>
  </si>
  <si>
    <t>P4 Navamsha</t>
  </si>
  <si>
    <t>P4 start °</t>
  </si>
  <si>
    <t>P4 end °</t>
  </si>
  <si>
    <t>Gana</t>
  </si>
  <si>
    <t>Nadi</t>
  </si>
  <si>
    <t>Yoni animal</t>
  </si>
  <si>
    <t>Aim (Purushartha)</t>
  </si>
  <si>
    <t>Activity type</t>
  </si>
  <si>
    <t>Tatva (element)</t>
  </si>
  <si>
    <t>Life theme</t>
  </si>
  <si>
    <t>Career fields</t>
  </si>
  <si>
    <t>Career style</t>
  </si>
  <si>
    <t>Strengths</t>
  </si>
  <si>
    <t>Challenges</t>
  </si>
  <si>
    <t>Keywords</t>
  </si>
  <si>
    <t>Krama</t>
  </si>
  <si>
    <t>Naam</t>
  </si>
  <si>
    <t>Artha</t>
  </si>
  <si>
    <t>Devata</t>
  </si>
  <si>
    <t>Aarambh Amsha</t>
  </si>
  <si>
    <t>Ant Amsha</t>
  </si>
  <si>
    <t>Rashi Aarambh</t>
  </si>
  <si>
    <t>Rashi Ant</t>
  </si>
  <si>
    <t>Dasha Swami</t>
  </si>
  <si>
    <t>Mool Nakshatra</t>
  </si>
  <si>
    <t>Ganda Mool</t>
  </si>
  <si>
    <t>P1 Aarambh</t>
  </si>
  <si>
    <t>P1 Ant</t>
  </si>
  <si>
    <t>P2 Aarambh</t>
  </si>
  <si>
    <t>P2 Ant</t>
  </si>
  <si>
    <t>P3 Aarambh</t>
  </si>
  <si>
    <t>P3 Ant</t>
  </si>
  <si>
    <t>P4 Aarambh</t>
  </si>
  <si>
    <t>P4 Ant</t>
  </si>
  <si>
    <t>Yoni</t>
  </si>
  <si>
    <t>Purushartha</t>
  </si>
  <si>
    <t>Karma Prakar</t>
  </si>
  <si>
    <t>Jeevan Vishay</t>
  </si>
  <si>
    <t>Vyavsaya</t>
  </si>
  <si>
    <t>Karya Shaili</t>
  </si>
  <si>
    <t>Shakti</t>
  </si>
  <si>
    <t>Chunauti</t>
  </si>
  <si>
    <t>Shabda</t>
  </si>
  <si>
    <t>Ashwini</t>
  </si>
  <si>
    <t>Horse's head</t>
  </si>
  <si>
    <t>The horse woman / born of a horse</t>
  </si>
  <si>
    <t>Ashwini Kumaras (celestial physicians)</t>
  </si>
  <si>
    <t>Yes (P1 most sensitive)</t>
  </si>
  <si>
    <t>0°–3°20' Aries is Ganda Mool — moon here needs remedies</t>
  </si>
  <si>
    <t>Deva</t>
  </si>
  <si>
    <t>Male</t>
  </si>
  <si>
    <t>Horse</t>
  </si>
  <si>
    <t>Dharma</t>
  </si>
  <si>
    <t>Movable / Kshipra (swift)</t>
  </si>
  <si>
    <t>Initiating, swift healing, and the power to begin</t>
  </si>
  <si>
    <t>Medicine, emergency services, surgery, equestrian sports, racing, physical therapy, athletics, veterinary science, military first response</t>
  </si>
  <si>
    <t>Fast-moving, independent, prefers action over deliberation, thrives in urgent high-stakes environments</t>
  </si>
  <si>
    <t>Speed, instinctive diagnosis, courage, pioneering ability, natural authority in crisis</t>
  </si>
  <si>
    <t>Impatience, starting without finishing, recklessness, resistance to taking advice from others</t>
  </si>
  <si>
    <t>Healer, initiator, swift, courageous, independent, restorer</t>
  </si>
  <si>
    <t>Bharani</t>
  </si>
  <si>
    <t>Yoni (womb/vessel)</t>
  </si>
  <si>
    <t>The bearer / she who bears</t>
  </si>
  <si>
    <t>Yama (god of death and dharma)</t>
  </si>
  <si>
    <t>Manushya</t>
  </si>
  <si>
    <t>Mleccha (outcaste)</t>
  </si>
  <si>
    <t>Female</t>
  </si>
  <si>
    <t>Elephant</t>
  </si>
  <si>
    <t>Fierce / Ugra</t>
  </si>
  <si>
    <t>Restraint, transformation through discipline, and the cycle of creation-death</t>
  </si>
  <si>
    <t>Law, judiciary, prison services, agriculture, film and performing arts, fertility medicine, funeral services, sex work or therapy, public health</t>
  </si>
  <si>
    <t>Disciplined and exacting, operates in extreme or taboo domains, works best with clear authority and boundaries</t>
  </si>
  <si>
    <t>Endurance, moral discernment, ability to hold opposites, deep creative force, fearlessness about difficult truths</t>
  </si>
  <si>
    <t>Excess, moral rigidity, carrying too much for others, tendency toward martyrdom or extremism</t>
  </si>
  <si>
    <t>Disciplined, transformative, fertile, lawful, intense, creative</t>
  </si>
  <si>
    <t>Krittika</t>
  </si>
  <si>
    <t>Razor / flame</t>
  </si>
  <si>
    <t>The cutters / the Pleiades</t>
  </si>
  <si>
    <t>Agni (fire god)</t>
  </si>
  <si>
    <t>Aries/Taurus</t>
  </si>
  <si>
    <t>Rakshasa</t>
  </si>
  <si>
    <t>Sheep</t>
  </si>
  <si>
    <t>Kama</t>
  </si>
  <si>
    <t>Mixed / Sadharan</t>
  </si>
  <si>
    <t>Sharp discernment, purification, and cutting away the non-essential</t>
  </si>
  <si>
    <t>Military, cooking, metallurgy, surgery, literary criticism, fire services, priesthood, education, quality control, engineering</t>
  </si>
  <si>
    <t>Direct, exacting, uncompromising in standards — works methodically and demands precision from self and others</t>
  </si>
  <si>
    <t>Sharp intellect, leadership, clarity of purpose, ability to purify and refine, protective instinct</t>
  </si>
  <si>
    <t>Aggression, over-criticism, difficulty with emotional sensitivity, tendency to burn bridges unnecessarily</t>
  </si>
  <si>
    <t>Sharp, purifying, direct, warrior, precise, leader</t>
  </si>
  <si>
    <t>Rohini</t>
  </si>
  <si>
    <t>Chariot / ox cart</t>
  </si>
  <si>
    <t>The red one / the growing one</t>
  </si>
  <si>
    <t>Brahma (creator god)</t>
  </si>
  <si>
    <t>Serpent</t>
  </si>
  <si>
    <t>Moksha</t>
  </si>
  <si>
    <t>Fixed / Sthira</t>
  </si>
  <si>
    <t>Cultivation, beauty, sensuality, and material abundance</t>
  </si>
  <si>
    <t>Agriculture, horticulture, fashion, luxury goods, arts, music, culinary arts, real estate, interior design, cinematography, public relations, hospitality</t>
  </si>
  <si>
    <t>Sensory-driven, values quality and aesthetics, builds gradually and sustainably, deeply invested in craft</t>
  </si>
  <si>
    <t>Charm, artistic vision, patience, ability to nurture and grow, magnetic presence, commercial instinct</t>
  </si>
  <si>
    <t>Stubbornness, possessiveness, over-indulgence, difficulty adapting to change, jealousy</t>
  </si>
  <si>
    <t>Aesthetic, creative, nurturing, abundant, charming, grounded</t>
  </si>
  <si>
    <t>Mrigashira</t>
  </si>
  <si>
    <t>Deer's head</t>
  </si>
  <si>
    <t>The deer's head / searching</t>
  </si>
  <si>
    <t>Soma (moon god)</t>
  </si>
  <si>
    <t>Taurus/Gemini</t>
  </si>
  <si>
    <t>Farmer</t>
  </si>
  <si>
    <t>Soft / Mridu</t>
  </si>
  <si>
    <t>Seeking, research, gentle inquiry, and the perpetual quest for beauty</t>
  </si>
  <si>
    <t>Research, travel, journalism, botany, geography, textile design, photography, sales, exploration, ancient languages, archaeology, perfumery</t>
  </si>
  <si>
    <t>Curious and restless, moves between fields and ideas, prefers discovery over routine, excellent networker</t>
  </si>
  <si>
    <t>Versatility, refined aesthetic sense, investigative mind, charm in social situations, adaptability</t>
  </si>
  <si>
    <t>Inconsistency, spreading attention too thin, difficulty committing, anxiety from over-stimulation</t>
  </si>
  <si>
    <t>Curious, searching, gentle, versatile, aesthetic, restless</t>
  </si>
  <si>
    <t>Ardra</t>
  </si>
  <si>
    <t>Teardrop / diamond</t>
  </si>
  <si>
    <t>The moist one / the storm</t>
  </si>
  <si>
    <t>Rudra (storm god / form of Shiva)</t>
  </si>
  <si>
    <t>Butcher</t>
  </si>
  <si>
    <t>Dog</t>
  </si>
  <si>
    <t>Sharp / Tikshna</t>
  </si>
  <si>
    <t>Transformation through destruction, penetrating intellect, and seeing through illusion</t>
  </si>
  <si>
    <t>Science, technology, statistics, surgery, demolition, investigative journalism, psychology, philosophy, database management, electrical engineering, storm research</t>
  </si>
  <si>
    <t>Analytical to the point of ruthlessness, thrives under pressure, intellectually aggressive, sees patterns others miss</t>
  </si>
  <si>
    <t>Deep penetrating intelligence, fearlessness in facing harsh truths, transformative capacity, stamina through crisis</t>
  </si>
  <si>
    <t>Destructive tendencies, emotional volatility, can be cruel in criticism, difficulty with routine stability</t>
  </si>
  <si>
    <t>Intense, analytical, transformative, stormy, penetrating, ruthless</t>
  </si>
  <si>
    <t>Punarvasu</t>
  </si>
  <si>
    <t>Quiver of arrows</t>
  </si>
  <si>
    <t>Good again / the return of light</t>
  </si>
  <si>
    <t>Aditi (mother of gods / infinity)</t>
  </si>
  <si>
    <t>Gemini/Cancer</t>
  </si>
  <si>
    <t>Cat</t>
  </si>
  <si>
    <t>Movable / Kshipra</t>
  </si>
  <si>
    <t>Return, renewal, philosophical optimism, and the gift of second chances</t>
  </si>
  <si>
    <t>Philosophy, teaching, counselling, travel, diplomacy, publishing, international relations, spiritual guidance, real estate (buying and selling), non-profit sector</t>
  </si>
  <si>
    <t>Expansive thinker, naturally optimistic, works best with freedom and variety, strong sense of ethics</t>
  </si>
  <si>
    <t>Resilience, philosophical depth, generosity, ability to restore and revive, natural teaching ability</t>
  </si>
  <si>
    <t>Over-optimism, difficulty finishing projects, impracticality, scattered focus</t>
  </si>
  <si>
    <t>Philosophical, resilient, generous, renewed, optimistic, expansive</t>
  </si>
  <si>
    <t>Pushya</t>
  </si>
  <si>
    <t>Udder of a cow / lotus</t>
  </si>
  <si>
    <t>The nourisher / the flower</t>
  </si>
  <si>
    <t>Brihaspati (Jupiter, preceptor of gods)</t>
  </si>
  <si>
    <t>Nourishment, protection, spiritual duty, and the sustaining of life</t>
  </si>
  <si>
    <t>Healthcare, nutrition, food industry, social work, religious institutions, childcare, administration, government service, banking, agriculture</t>
  </si>
  <si>
    <t>Methodical, patient, service-oriented, long-term planner — reliable and steady rather than innovative</t>
  </si>
  <si>
    <t>Dependability, nurturing capacity, organisational skill, spiritual commitment, integrity</t>
  </si>
  <si>
    <t>Conservatism, resistance to change, over-dependence on tradition, emotional suppression</t>
  </si>
  <si>
    <t>Nurturing, dutiful, stable, protective, spiritual, reliable</t>
  </si>
  <si>
    <t>Ashlesha</t>
  </si>
  <si>
    <t>Coiled serpent</t>
  </si>
  <si>
    <t>The clinging / the embracer</t>
  </si>
  <si>
    <t>Nagas (serpent deities)</t>
  </si>
  <si>
    <t>Yes (P4 is Mool — last pada)</t>
  </si>
  <si>
    <t>16°40'–20° Cancer is Ganda Mool</t>
  </si>
  <si>
    <t>Mleccha</t>
  </si>
  <si>
    <t>Penetrating wisdom, kundalini energy, and hidden psychological power</t>
  </si>
  <si>
    <t>Toxicology, pharmacology, psychology, hypnotherapy, snakebite medicine, mysticism, diplomacy, espionage, chemistry, hidden investigations, astrology</t>
  </si>
  <si>
    <t>Deeply perceptive, works behind the scenes, strategic and coiling rather than direct, reads people intuitively</t>
  </si>
  <si>
    <t>Penetrating insight, strategic intelligence, healing through crisis, hypnotic presence</t>
  </si>
  <si>
    <t>Manipulation, deceit, clinging to power, poisonous speech when threatened, difficulty with trust</t>
  </si>
  <si>
    <t>Penetrating, strategic, hypnotic, wise, coiling, perceptive</t>
  </si>
  <si>
    <t>Magha</t>
  </si>
  <si>
    <t>Throne / palanquin</t>
  </si>
  <si>
    <t>The great one / the mighty</t>
  </si>
  <si>
    <t>Pitrs (ancestors / ancestral spirits)</t>
  </si>
  <si>
    <t>Yes (P1 is Mool)</t>
  </si>
  <si>
    <t>0° Leo — Ganda Mool junction</t>
  </si>
  <si>
    <t>Rat</t>
  </si>
  <si>
    <t>Royal authority, ancestral pride, and the inheritance of legacy</t>
  </si>
  <si>
    <t>Politics, royalty, CEO/leadership roles, genealogy, history, hereditary institutions, theatre, aristocracy, museums, palace administration</t>
  </si>
  <si>
    <t>Authoritative, heritage-conscious, expects recognition, commands natural respect, operates with dignity</t>
  </si>
  <si>
    <t>Natural leadership, regal bearing, historical awareness, capacity to inspire loyalty, strong identity</t>
  </si>
  <si>
    <t>Arrogance, excessive pride, difficulty with egalitarianism, over-reliance on status</t>
  </si>
  <si>
    <t>Royal, authoritative, ancestral, proud, commanding, legacy-driven</t>
  </si>
  <si>
    <t>Purva Phalguni</t>
  </si>
  <si>
    <t>Front legs of a bed / fig tree</t>
  </si>
  <si>
    <t>The first reddish one / the first lucky star</t>
  </si>
  <si>
    <t>Bhaga (god of marital bliss and fortune)</t>
  </si>
  <si>
    <t>Creative enjoyment, rest, romance, and the expression of beauty</t>
  </si>
  <si>
    <t>Entertainment, performing arts, luxury brand management, marriage counselling, interior design, cosmetics, hospitality, holiday and leisure industry, fashion</t>
  </si>
  <si>
    <t>Pleasure-seeking, socially magnetic, works best with creative freedom and appreciation from others</t>
  </si>
  <si>
    <t>Artistic expression, charm, romantic vision, ability to bring beauty into the world, commercial sensibility</t>
  </si>
  <si>
    <t>Laziness, hedonism, over-dependence on comfort, avoidance of difficult or unpleasant work</t>
  </si>
  <si>
    <t>Creative, romantic, luxurious, charming, expressive, pleasure-loving</t>
  </si>
  <si>
    <t>Uttara Phalguni</t>
  </si>
  <si>
    <t>Back legs of a bed / fig tree</t>
  </si>
  <si>
    <t>The second reddish one / the second lucky star</t>
  </si>
  <si>
    <t>Aryaman (god of contracts and nobility)</t>
  </si>
  <si>
    <t>Leo/Virgo</t>
  </si>
  <si>
    <t>Cow</t>
  </si>
  <si>
    <t>Service through strength, social contracts, and patronage</t>
  </si>
  <si>
    <t>Social work, NGO leadership, corporate social responsibility, philanthropy, medicine, law, military officer, public administration, civic leadership</t>
  </si>
  <si>
    <t>Duty-driven, organises for others' benefit, combines creative capacity with reliable execution</t>
  </si>
  <si>
    <t>Generosity, social conscience, leadership through service, steady execution, ability to unite people</t>
  </si>
  <si>
    <t>Over-commitment, difficulty prioritising own needs, rigidity in adherence to duty</t>
  </si>
  <si>
    <t>Service-oriented, noble, steady, generous, dutiful, social</t>
  </si>
  <si>
    <t>Hasta</t>
  </si>
  <si>
    <t>Hand / fist</t>
  </si>
  <si>
    <t>The hand</t>
  </si>
  <si>
    <t>Savitar (the sun as creative force)</t>
  </si>
  <si>
    <t>Buffalo</t>
  </si>
  <si>
    <t>Skilled craftsmanship, quick hands, and the power of manifestation</t>
  </si>
  <si>
    <t>Surgery, handicrafts, carpentry, weaving, jewellery, massage therapy, puppetry, magic, sleight of hand, fine arts, mechanical engineering, palmistry</t>
  </si>
  <si>
    <t>Dexterous and precise, works quickly with hands, commercially shrewd, adaptable to client needs</t>
  </si>
  <si>
    <t>Manual dexterity, practical intelligence, humour, commercial acumen, ability to learn skills rapidly</t>
  </si>
  <si>
    <t>Cunning, restlessness, tendency to take shortcuts, difficulty with deep emotional commitment</t>
  </si>
  <si>
    <t>Dexterous, clever, practical, quick, skilled, humorous</t>
  </si>
  <si>
    <t>Chitra</t>
  </si>
  <si>
    <t>Bright jewel / picture</t>
  </si>
  <si>
    <t>The brilliant / the variegated</t>
  </si>
  <si>
    <t>Vishwakarma / Tvashtri (cosmic architect)</t>
  </si>
  <si>
    <t>Virgo/Libra</t>
  </si>
  <si>
    <t>Tiger</t>
  </si>
  <si>
    <t>Brilliant creation, crafting beauty, and architectural vision</t>
  </si>
  <si>
    <t>Architecture, fashion design, jewellery design, visual arts, filmmaking, graphic design, gemology, decoration, urban planning, photography</t>
  </si>
  <si>
    <t>Visually oriented, builds from aesthetic vision, needs autonomy and recognition, perfectionist</t>
  </si>
  <si>
    <t>Aesthetic mastery, originality, ability to see and create beauty, strong visual intelligence</t>
  </si>
  <si>
    <t>Vanity, competitiveness over recognition, difficulty with criticism, superficiality</t>
  </si>
  <si>
    <t>Brilliant, creative, visual, original, architectural, dazzling</t>
  </si>
  <si>
    <t>Swati</t>
  </si>
  <si>
    <t>Young shoot of a plant / sword</t>
  </si>
  <si>
    <t>The self-going / the independent one</t>
  </si>
  <si>
    <t>Vayu (wind god)</t>
  </si>
  <si>
    <t>Independence, trade, adaptability, and the power of self-direction</t>
  </si>
  <si>
    <t>Business and entrepreneurship, trade, import-export, diplomacy, yoga, music, dance, linguistics, aviation, meteorology, foreign exchange</t>
  </si>
  <si>
    <t>Independent, commercially minded, works best autonomously, highly adaptable and socially skilled</t>
  </si>
  <si>
    <t>Business acumen, linguistic ability, flexibility, social charm, entrepreneurial drive</t>
  </si>
  <si>
    <t>Indecisiveness, scattered energy, over-flexibility at the expense of integrity</t>
  </si>
  <si>
    <t>Independent, entrepreneurial, adaptable, diplomatic, graceful, wind-like</t>
  </si>
  <si>
    <t>Vishakha</t>
  </si>
  <si>
    <t>Forked branch / decorated triumphal arch</t>
  </si>
  <si>
    <t>The star of purpose / the branching one</t>
  </si>
  <si>
    <t>Indra and Agni (power and fire)</t>
  </si>
  <si>
    <t>Libra/Scorpio</t>
  </si>
  <si>
    <t>Focused ambition, goal-attainment, and the fire of purpose</t>
  </si>
  <si>
    <t>Politics, activism, military leadership, competitive sports, business strategy, law, religious leadership, quality assurance, corporate management</t>
  </si>
  <si>
    <t>Intensely goal-focused, competitive, patient and persistent, willing to sacrifice comfort for achievement</t>
  </si>
  <si>
    <t>Determination, ability to wait for the right moment, political acumen, persuasive speech, competitive drive</t>
  </si>
  <si>
    <t>Jealousy, aggression when thwarted, difficulty sharing credit, fanaticism</t>
  </si>
  <si>
    <t>Ambitious, goal-driven, competitive, determined, political, purposeful</t>
  </si>
  <si>
    <t>Anuradha</t>
  </si>
  <si>
    <t>Lotus / staff</t>
  </si>
  <si>
    <t>The star of success / following Radha</t>
  </si>
  <si>
    <t>Mitra (god of friendship and contracts)</t>
  </si>
  <si>
    <t>Deer</t>
  </si>
  <si>
    <t>Devotional love, organisational ability, and success through co-operation</t>
  </si>
  <si>
    <t>Management, team leadership, organisational consulting, humanitarian work, secret societies, occult sciences, group therapy, networking, diplomacy</t>
  </si>
  <si>
    <t>Builds through collaboration, loyal and devoted, navigates hierarchy with grace, balances discipline and warmth</t>
  </si>
  <si>
    <t>Devotion, diplomatic skill, organisational talent, ability to maintain loyalty across groups, perseverance</t>
  </si>
  <si>
    <t>Secretiveness, over-attachment to chosen group, difficulty with authority when it conflicts with loyalty</t>
  </si>
  <si>
    <t>Devoted, collaborative, organised, diplomatic, persevering, loyal</t>
  </si>
  <si>
    <t>Jyeshtha</t>
  </si>
  <si>
    <t>Circular amulet / earring</t>
  </si>
  <si>
    <t>The eldest / the chief</t>
  </si>
  <si>
    <t>Indra (king of gods)</t>
  </si>
  <si>
    <t>Yes (P4 is Mool)</t>
  </si>
  <si>
    <t>26°40'–30° Scorpio — Ganda Mool junction</t>
  </si>
  <si>
    <t>Senior authority, mastery of craft, and protection of the realm</t>
  </si>
  <si>
    <t>Senior management, military command, protective security, intelligence services, occult mastery, crisis management, political office</t>
  </si>
  <si>
    <t>Claims authority by right of experience, protective of those under them, strategic and calculating</t>
  </si>
  <si>
    <t>Leadership, protection instinct, mastery of complex systems, psychological insight, resilience</t>
  </si>
  <si>
    <t>Pride, possessiveness, jealousy, tendency to manipulate, difficulty sharing power</t>
  </si>
  <si>
    <t>Senior, authoritative, protective, strategic, masterful, eldest</t>
  </si>
  <si>
    <t>Mula</t>
  </si>
  <si>
    <t>Bunch of roots / elephant goad</t>
  </si>
  <si>
    <t>The root / the foundation</t>
  </si>
  <si>
    <t>Nirriti (goddess of dissolution and calamity)</t>
  </si>
  <si>
    <t>Yes (P1 is Mool — most sensitive)</t>
  </si>
  <si>
    <t>0° Sagittarius — Ganda Mool junction</t>
  </si>
  <si>
    <t>Investigation into roots, uprooting illusion, and foundational research</t>
  </si>
  <si>
    <t>Research, philosophy, root medicine (Ayurveda, herbalism), archaeology, demolition, mining, political deconstruction, investigative journalism, astrophysics</t>
  </si>
  <si>
    <t>Goes to the root of everything, relentless investigator, comfortable with extremes and taboo subjects</t>
  </si>
  <si>
    <t>Penetrating research ability, fearlessness, philosophical depth, ability to destroy the old to build the new</t>
  </si>
  <si>
    <t>Destructiveness, restlessness, disregard for consequences, self-destructive tendencies under pressure</t>
  </si>
  <si>
    <t>Rooting, investigating, extreme, philosophical, destructive, foundational</t>
  </si>
  <si>
    <t>Purva Ashadha</t>
  </si>
  <si>
    <t>Elephant tusk / fan</t>
  </si>
  <si>
    <t>The first undefeated / the early victory</t>
  </si>
  <si>
    <t>Apas (water deity / goddess of water)</t>
  </si>
  <si>
    <t>Monkey</t>
  </si>
  <si>
    <t>Invincibility through conviction, purification, and the power of truth</t>
  </si>
  <si>
    <t>Marine biology, naval careers, debating, philosophy, law, publishing, motivational speaking, water management, international trade</t>
  </si>
  <si>
    <t>Invincible conviction, persuasive and purifying, thrives when fighting for a cause</t>
  </si>
  <si>
    <t>Conviction, rhetorical skill, idealism, resilience, ability to inspire through words</t>
  </si>
  <si>
    <t>Stubbornness, overconfidence, difficulty admitting error, self-righteous streak</t>
  </si>
  <si>
    <t>Invincible, purifying, idealistic, persuasive, philosophical, marine</t>
  </si>
  <si>
    <t>Uttara Ashadha</t>
  </si>
  <si>
    <t>Elephant tusk / small bed</t>
  </si>
  <si>
    <t>The second undefeated / the final victory</t>
  </si>
  <si>
    <t>Vishvadevas (universal gods — 10 aspects)</t>
  </si>
  <si>
    <t>Sagittarius/Capricorn</t>
  </si>
  <si>
    <t>Mongoose</t>
  </si>
  <si>
    <t>Final and lasting victory, duty without compromise, and universal vision</t>
  </si>
  <si>
    <t>Law and justice, national leadership, military strategy, public administration, ethics committees, constitutional law, long-range planning</t>
  </si>
  <si>
    <t>Ethical, systematic, and universally fair — works for long-term lasting impact rather than quick wins</t>
  </si>
  <si>
    <t>Integrity, patient endurance, universal perspective, ability to build lasting institutions</t>
  </si>
  <si>
    <t>Rigidity, inability to compromise, difficulty with personal relationships due to overriding sense of duty</t>
  </si>
  <si>
    <t>Victorious, ethical, universal, dutiful, enduring, just</t>
  </si>
  <si>
    <t>Shravana</t>
  </si>
  <si>
    <t>Ear / three footprints</t>
  </si>
  <si>
    <t>The hearing / the listener</t>
  </si>
  <si>
    <t>Vishnu (preserver god)</t>
  </si>
  <si>
    <t>Receptive learning, connecting the world through knowledge, and the power of listening</t>
  </si>
  <si>
    <t>Radio, podcasting, music, linguistics, teaching, consulting, translation, counselling, audio engineering, oral history, disability services</t>
  </si>
  <si>
    <t>Patient listener, extraordinary learner, connects disparate knowledge systems, communicates across barriers</t>
  </si>
  <si>
    <t>Receptive intelligence, cross-cultural ability, reliability, deep knowledge, ability to learn from any source</t>
  </si>
  <si>
    <t>Over-caution, indecision, over-dependence on received wisdom rather than own judgment</t>
  </si>
  <si>
    <t>Listening, learning, connecting, preserving, transmitting, receptive</t>
  </si>
  <si>
    <t>Dhanishtha</t>
  </si>
  <si>
    <t>Drum / flute</t>
  </si>
  <si>
    <t>The wealthiest / most famous</t>
  </si>
  <si>
    <t>Eight Vasus (elemental gods of abundance)</t>
  </si>
  <si>
    <t>Capricorn/Aquarius</t>
  </si>
  <si>
    <t>Ether/Akash</t>
  </si>
  <si>
    <t>Wealth acquisition, music, and moving with cosmic rhythm</t>
  </si>
  <si>
    <t>Music and rhythm (especially percussion), real estate, wealth management, sports (team), military music, mining and metals, charitable foundations</t>
  </si>
  <si>
    <t>Rhythmic and ambitious, goal-focused with social conscience, works best where effort produces measurable abundance</t>
  </si>
  <si>
    <t>Discipline, rhythmic intelligence, wealth-building ability, team leadership, generous once secure</t>
  </si>
  <si>
    <t>Materialism, excessive drive for status, marital difficulties due to work-focus</t>
  </si>
  <si>
    <t>Rhythmic, wealthy, disciplined, ambitious, generous, musical</t>
  </si>
  <si>
    <t>Shatabhisha</t>
  </si>
  <si>
    <t>Empty circle / 100 healers</t>
  </si>
  <si>
    <t>The hundred physicians / the hundred stars</t>
  </si>
  <si>
    <t>Varuna (god of cosmic law and the ocean)</t>
  </si>
  <si>
    <t>Hidden healing, cosmic law, and the solitary path of truth</t>
  </si>
  <si>
    <t>Pharmaceutical research, astrology, quantum physics, space science, neuroscience, occult healing, shamanism, secret societies, independent research</t>
  </si>
  <si>
    <t>Solitary innovator, intellectually fearless, challenges orthodoxy from a basis of deep research</t>
  </si>
  <si>
    <t>Scientific courage, hidden knowledge, healing from obscure causes, ability to see through deception</t>
  </si>
  <si>
    <t>Secrecy to the point of isolation, difficulty with intimate relationships, tendency toward conspiracy thinking</t>
  </si>
  <si>
    <t>Hidden, healing, scientific, solitary, cosmic, researching</t>
  </si>
  <si>
    <t>Purva Bhadrapada</t>
  </si>
  <si>
    <t>Sword / front legs of a funeral cot</t>
  </si>
  <si>
    <t>The first of the blessed feet / the burning pair</t>
  </si>
  <si>
    <t>Aja Ekapada (one-footed goat / lightning)</t>
  </si>
  <si>
    <t>Aquarius/Pisces</t>
  </si>
  <si>
    <t>Intense purification, the fire of transformation, and two-sided thinking</t>
  </si>
  <si>
    <t>Radical social change, revolution, philosophy of extremes, fire fighting, spiritual asceticism, forensic science, funeral rites, mortuaries</t>
  </si>
  <si>
    <t>Passionate to the point of extremism, operates with two contradictory impulses simultaneously, profound idealist</t>
  </si>
  <si>
    <t>Intensity, transformation, philosophical depth, ability to endure extreme conditions, visionary thinking</t>
  </si>
  <si>
    <t>Extremism, instability, swinging between idealism and cynicism, self-destructive purification</t>
  </si>
  <si>
    <t>Intense, transformative, fiery, extreme, philosophical, two-sided</t>
  </si>
  <si>
    <t>Uttara Bhadrapada</t>
  </si>
  <si>
    <t>Back legs of a funeral cot / twins</t>
  </si>
  <si>
    <t>The second of the blessed feet / the lucky feet</t>
  </si>
  <si>
    <t>Ahir Budhnya (serpent of the deep sea)</t>
  </si>
  <si>
    <t>Deep wisdom, the depths of spiritual reality, and patient universal compassion</t>
  </si>
  <si>
    <t>Spiritual teaching, deep-sea research, rain-making and meteorology, charity work, psychology of the unconscious, kundalini yoga, astrology, ethics, long-term institutional work</t>
  </si>
  <si>
    <t>Wise and measured, deeply compassionate, works on a multigenerational timescale, patient to the point of appearing passive</t>
  </si>
  <si>
    <t>Spiritual wisdom, universal compassion, depth, patience, ability to absorb suffering</t>
  </si>
  <si>
    <t>Procrastination, withdrawal from the world, excessive tolerance enabling harmful situations</t>
  </si>
  <si>
    <t>Wise, deep, compassionate, patient, spiritual, universal</t>
  </si>
  <si>
    <t>Revati</t>
  </si>
  <si>
    <t>Fish / drum</t>
  </si>
  <si>
    <t>The prosperous / the wealthy</t>
  </si>
  <si>
    <t>Pushan (god of journeys, nourishment, and protection of flocks)</t>
  </si>
  <si>
    <t>Yes (P4 is Mool — last pada of zodiac)</t>
  </si>
  <si>
    <t>26°40'–30° Pisces — most critical Ganda Mool</t>
  </si>
  <si>
    <t>Completion, spiritual nourishment, and safe passage between worlds</t>
  </si>
  <si>
    <t>Marine biology, foreign travel industry, animal care, spiritual guidance, nursing and palliative care, catering, children's education, aid and development work</t>
  </si>
  <si>
    <t>Gentle, nourishing, and protective — shepherds others through transitions, operates with deep empathy and selfless care</t>
  </si>
  <si>
    <t>Universal love, gentleness, psychic sensitivity, ability to provide safe passage, compassion</t>
  </si>
  <si>
    <t>Over-sensitivity, difficulty with harsh worldly realities, tendency toward martyrdom, naivety</t>
  </si>
  <si>
    <t>Nurturing, protective, gentle, spiritual, completing, compassionate</t>
  </si>
  <si>
    <t>Sources: BPHS Ch.94-96 (Nakshatra properties)  ·  Brihat Samhita Ch.98 (Gana/Yoni/Nadi)  ·  27 Stars 27 Gods — Vic DiCara  ·  Nakshatra Jyotish — BV Raman  ·  Muhurtha Chintamani (auspicious times)  ·  Career fields synthesised from deity + dasha lord karakatva + Gana — no modern projection</t>
  </si>
  <si>
    <t>REF_Aspects — Jyotish Aspect Rules &amp; Calculator  ·  Source: BPHS Ch.26 (Parashari) + KP partial aspects</t>
  </si>
  <si>
    <t>All planets aspect the 7th house (full, 100%).  Mars: also 4th &amp; 8th.  Jupiter: also 5th &amp; 9th.  Saturn: also 3rd &amp; 10th.  Rahu/Ketu: also 5th &amp; 9th (BPHS).  Partial aspects (3rd/4th/5th/9th/10th/11th) are KP school — not used in Parashari scoring.</t>
  </si>
  <si>
    <t>Section 1 — Parashari Full Aspects (by relative house position from planet)</t>
  </si>
  <si>
    <t>H2</t>
  </si>
  <si>
    <t>H5</t>
  </si>
  <si>
    <t>H6</t>
  </si>
  <si>
    <t>H8</t>
  </si>
  <si>
    <t>H11</t>
  </si>
  <si>
    <t>H12</t>
  </si>
  <si>
    <t>Aspect notes</t>
  </si>
  <si>
    <t>FULL</t>
  </si>
  <si>
    <t>Aspects the 7th fully. Illuminates, burns, or empowers the aspected house depending on nature.</t>
  </si>
  <si>
    <t>Aspects the 7th fully. Mind and emotions flow to the aspected area. Strength varies with Paksha (waxing/waning).</t>
  </si>
  <si>
    <t>7th + H4, H8</t>
  </si>
  <si>
    <t>Three full aspects: 4th (home, property), 7th (partnerships), 8th (transformation, longevity). Energises and agitates.</t>
  </si>
  <si>
    <t>Aspects the 7th only. Brings intellect and communication. Neutral by nature — takes on character of conjunct planets.</t>
  </si>
  <si>
    <t>7th + H5, H9</t>
  </si>
  <si>
    <t>Three full aspects: 5th (children, intellect), 7th (partnerships), 9th (dharma, fortune). Expands and blesses.</t>
  </si>
  <si>
    <t>Aspects the 7th only. Brings harmony, beauty, and comfort. Strongest of all natural benefics in aspect.</t>
  </si>
  <si>
    <t>7th + H3, H10</t>
  </si>
  <si>
    <t>Three full aspects: 3rd (effort, courage), 7th (partnerships), 10th (career, karma). Delays, restricts, disciplines.</t>
  </si>
  <si>
    <t>Three full aspects (per BPHS): 5th, 7th, 9th. Intensifies and makes unconventional. Always retrograde.</t>
  </si>
  <si>
    <t>Three full aspects (per BPHS): 5th, 7th, 9th. Spiritualises, detaches, and karmically completes. Always retrograde.</t>
  </si>
  <si>
    <t>Section 2 — Aspect Strength Reference &amp; Scoring Weights</t>
  </si>
  <si>
    <t>Strength</t>
  </si>
  <si>
    <t>%</t>
  </si>
  <si>
    <t>School</t>
  </si>
  <si>
    <t>Effect on house score</t>
  </si>
  <si>
    <t>Which planets / houses</t>
  </si>
  <si>
    <t>Scoring note</t>
  </si>
  <si>
    <t>Full</t>
  </si>
  <si>
    <t>100%</t>
  </si>
  <si>
    <t>Parashari (primary)</t>
  </si>
  <si>
    <t>+1.0 if Shubh Greh, −1.0 if Ashubh Greh</t>
  </si>
  <si>
    <t>All planets → 7th.  Mars → 4th/8th.  Jupiter → 5th/9th.  Saturn → 3rd/10th.  Rahu/Ketu → 5th/9th.</t>
  </si>
  <si>
    <t>Use in SCORE_DrillDown Rule #3 (Shubh aspect) and Rule #10 (Ashubh aspect).</t>
  </si>
  <si>
    <t>3/4</t>
  </si>
  <si>
    <t>75%</t>
  </si>
  <si>
    <t>KP / partial</t>
  </si>
  <si>
    <t>+0.5 if Shubh, −0.5 if Ashubh  (WC — worth considering)</t>
  </si>
  <si>
    <t>All planets → 5th and 9th from themselves.</t>
  </si>
  <si>
    <t>Flag as WC (worth considering) in DrillDown. Not used in Parashari scoring.</t>
  </si>
  <si>
    <t>Half</t>
  </si>
  <si>
    <t>50%</t>
  </si>
  <si>
    <t>+0.25 if Shubh, −0.25 if Ashubh</t>
  </si>
  <si>
    <t>All planets → 4th and 10th from themselves.</t>
  </si>
  <si>
    <t>Weak — generally ignored in Parashari. Note only.</t>
  </si>
  <si>
    <t>Quarter</t>
  </si>
  <si>
    <t>25%</t>
  </si>
  <si>
    <t>Negligible</t>
  </si>
  <si>
    <t>All planets → 3rd and 11th from themselves.</t>
  </si>
  <si>
    <t>Too weak to affect Parashari scoring. Skip.</t>
  </si>
  <si>
    <t>None</t>
  </si>
  <si>
    <t>0%</t>
  </si>
  <si>
    <t>All schools</t>
  </si>
  <si>
    <t>No effect</t>
  </si>
  <si>
    <t>All other relative house positions.</t>
  </si>
  <si>
    <t>No contribution to any rule.</t>
  </si>
  <si>
    <t>Section 3 — Aspect Calculator  ·  For each planet in each of 12 Bhav positions, shows exactly which houses it aspects (Parashari full)</t>
  </si>
  <si>
    <t>Planet in H1</t>
  </si>
  <si>
    <t>Planet in H2</t>
  </si>
  <si>
    <t>Planet in H3</t>
  </si>
  <si>
    <t>Planet in H4</t>
  </si>
  <si>
    <t>Planet in H5</t>
  </si>
  <si>
    <t>Planet in H6</t>
  </si>
  <si>
    <t>Planet in H7</t>
  </si>
  <si>
    <t>Planet in H8</t>
  </si>
  <si>
    <t>Planet in H9</t>
  </si>
  <si>
    <t>Planet in H10</t>
  </si>
  <si>
    <t>Planet in H11</t>
  </si>
  <si>
    <t>Planet in H12</t>
  </si>
  <si>
    <t>Parashari aspects (full)</t>
  </si>
  <si>
    <t>KP partial aspects</t>
  </si>
  <si>
    <t>Score note</t>
  </si>
  <si>
    <t>H5(75%)  H9(75%)  H4(50%)  H10(50%)  H3(25%)  H11(25%)</t>
  </si>
  <si>
    <t>H6(75%)  H10(75%)  H5(50%)  H11(50%)  H4(25%)  H12(25%)</t>
  </si>
  <si>
    <t>H7(75%)  H11(75%)  H6(50%)  H12(50%)  H5(25%)  H1(25%)</t>
  </si>
  <si>
    <t>H8(75%)  H12(75%)  H7(50%)  H1(50%)  H6(25%)  H2(25%)</t>
  </si>
  <si>
    <t>H9(75%)  H1(75%)  H8(50%)  H2(50%)  H7(25%)  H3(25%)</t>
  </si>
  <si>
    <t>H10(75%)  H2(75%)  H9(50%)  H3(50%)  H8(25%)  H4(25%)</t>
  </si>
  <si>
    <t>H11(75%)  H3(75%)  H10(50%)  H4(50%)  H9(25%)  H5(25%)</t>
  </si>
  <si>
    <t>H12(75%)  H4(75%)  H11(50%)  H5(50%)  H10(25%)  H6(25%)</t>
  </si>
  <si>
    <t>H1(75%)  H5(75%)  H12(50%)  H6(50%)  H11(25%)  H7(25%)</t>
  </si>
  <si>
    <t>H2(75%)  H6(75%)  H1(50%)  H7(50%)  H12(25%)  H8(25%)</t>
  </si>
  <si>
    <t>H3(75%)  H7(75%)  H2(50%)  H8(50%)  H1(25%)  H9(25%)</t>
  </si>
  <si>
    <t>H4(75%)  H8(75%)  H3(50%)  H9(50%)  H2(25%)  H10(25%)</t>
  </si>
  <si>
    <t>H4  H7  H8</t>
  </si>
  <si>
    <t>H5(75%)  H9(75%)  H10(50%)  H3(25%)  H11(25%)</t>
  </si>
  <si>
    <t>Special: H4 (special), H8 (special)</t>
  </si>
  <si>
    <t>H5  H8  H9</t>
  </si>
  <si>
    <t>H6(75%)  H10(75%)  H11(50%)  H4(25%)  H12(25%)</t>
  </si>
  <si>
    <t>Special: H5 (special), H9 (special)</t>
  </si>
  <si>
    <t>H6  H9  H10</t>
  </si>
  <si>
    <t>H7(75%)  H11(75%)  H12(50%)  H5(25%)  H1(25%)</t>
  </si>
  <si>
    <t>Special: H6 (special), H10 (special)</t>
  </si>
  <si>
    <t>H7  H10  H11</t>
  </si>
  <si>
    <t>H8(75%)  H12(75%)  H1(50%)  H6(25%)  H2(25%)</t>
  </si>
  <si>
    <t>Special: H7 (special), H11 (special)</t>
  </si>
  <si>
    <t>H8  H11  H12</t>
  </si>
  <si>
    <t>H9(75%)  H1(75%)  H2(50%)  H7(25%)  H3(25%)</t>
  </si>
  <si>
    <t>Special: H8 (special), H12 (special)</t>
  </si>
  <si>
    <t>H1  H9  H12</t>
  </si>
  <si>
    <t>H10(75%)  H2(75%)  H3(50%)  H8(25%)  H4(25%)</t>
  </si>
  <si>
    <t>Special: H9 (special), H1 (special)</t>
  </si>
  <si>
    <t>H1  H2  H10</t>
  </si>
  <si>
    <t>H11(75%)  H3(75%)  H4(50%)  H9(25%)  H5(25%)</t>
  </si>
  <si>
    <t>Special: H10 (special), H2 (special)</t>
  </si>
  <si>
    <t>H2  H3  H11</t>
  </si>
  <si>
    <t>H12(75%)  H4(75%)  H5(50%)  H10(25%)  H6(25%)</t>
  </si>
  <si>
    <t>Special: H11 (special), H3 (special)</t>
  </si>
  <si>
    <t>H3  H4  H12</t>
  </si>
  <si>
    <t>H1(75%)  H5(75%)  H6(50%)  H11(25%)  H7(25%)</t>
  </si>
  <si>
    <t>Special: H12 (special), H4 (special)</t>
  </si>
  <si>
    <t>H1  H4  H5</t>
  </si>
  <si>
    <t>H2(75%)  H6(75%)  H7(50%)  H12(25%)  H8(25%)</t>
  </si>
  <si>
    <t>Special: H1 (special), H5 (special)</t>
  </si>
  <si>
    <t>H2  H5  H6</t>
  </si>
  <si>
    <t>H3(75%)  H7(75%)  H8(50%)  H1(25%)  H9(25%)</t>
  </si>
  <si>
    <t>Special: H2 (special), H6 (special)</t>
  </si>
  <si>
    <t>H3  H6  H7</t>
  </si>
  <si>
    <t>H4(75%)  H8(75%)  H9(50%)  H2(25%)  H10(25%)</t>
  </si>
  <si>
    <t>Special: H3 (special), H7 (special)</t>
  </si>
  <si>
    <t>H5  H7  H9</t>
  </si>
  <si>
    <t>H4(50%)  H10(50%)  H3(25%)  H11(25%)</t>
  </si>
  <si>
    <t>H6  H8  H10</t>
  </si>
  <si>
    <t>H5(50%)  H11(50%)  H4(25%)  H12(25%)</t>
  </si>
  <si>
    <t>H7  H9  H11</t>
  </si>
  <si>
    <t>H6(50%)  H12(50%)  H5(25%)  H1(25%)</t>
  </si>
  <si>
    <t>H8  H10  H12</t>
  </si>
  <si>
    <t>H7(50%)  H1(50%)  H6(25%)  H2(25%)</t>
  </si>
  <si>
    <t>H1  H9  H11</t>
  </si>
  <si>
    <t>H8(50%)  H2(50%)  H7(25%)  H3(25%)</t>
  </si>
  <si>
    <t>H2  H10  H12</t>
  </si>
  <si>
    <t>H9(50%)  H3(50%)  H8(25%)  H4(25%)</t>
  </si>
  <si>
    <t>H1  H3  H11</t>
  </si>
  <si>
    <t>H10(50%)  H4(50%)  H9(25%)  H5(25%)</t>
  </si>
  <si>
    <t>H2  H4  H12</t>
  </si>
  <si>
    <t>H11(50%)  H5(50%)  H10(25%)  H6(25%)</t>
  </si>
  <si>
    <t>H1  H3  H5</t>
  </si>
  <si>
    <t>H12(50%)  H6(50%)  H11(25%)  H7(25%)</t>
  </si>
  <si>
    <t>H2  H4  H6</t>
  </si>
  <si>
    <t>H1(50%)  H7(50%)  H12(25%)  H8(25%)</t>
  </si>
  <si>
    <t>H3  H5  H7</t>
  </si>
  <si>
    <t>H2(50%)  H8(50%)  H1(25%)  H9(25%)</t>
  </si>
  <si>
    <t>H4  H6  H8</t>
  </si>
  <si>
    <t>H3(50%)  H9(50%)  H2(25%)  H10(25%)</t>
  </si>
  <si>
    <t>H3  H7  H10</t>
  </si>
  <si>
    <t>H5(75%)  H9(75%)  H4(50%)  H11(25%)</t>
  </si>
  <si>
    <t>Special: H3 (special), H10 (special)</t>
  </si>
  <si>
    <t>H4  H8  H11</t>
  </si>
  <si>
    <t>H6(75%)  H10(75%)  H5(50%)  H12(25%)</t>
  </si>
  <si>
    <t>Special: H4 (special), H11 (special)</t>
  </si>
  <si>
    <t>H5  H9  H12</t>
  </si>
  <si>
    <t>H7(75%)  H11(75%)  H6(50%)  H1(25%)</t>
  </si>
  <si>
    <t>Special: H5 (special), H12 (special)</t>
  </si>
  <si>
    <t>H1  H6  H10</t>
  </si>
  <si>
    <t>H8(75%)  H12(75%)  H7(50%)  H2(25%)</t>
  </si>
  <si>
    <t>Special: H6 (special), H1 (special)</t>
  </si>
  <si>
    <t>H2  H7  H11</t>
  </si>
  <si>
    <t>H9(75%)  H1(75%)  H8(50%)  H3(25%)</t>
  </si>
  <si>
    <t>Special: H7 (special), H2 (special)</t>
  </si>
  <si>
    <t>H3  H8  H12</t>
  </si>
  <si>
    <t>H10(75%)  H2(75%)  H9(50%)  H4(25%)</t>
  </si>
  <si>
    <t>Special: H8 (special), H3 (special)</t>
  </si>
  <si>
    <t>H1  H4  H9</t>
  </si>
  <si>
    <t>H11(75%)  H3(75%)  H10(50%)  H5(25%)</t>
  </si>
  <si>
    <t>Special: H9 (special), H4 (special)</t>
  </si>
  <si>
    <t>H2  H5  H10</t>
  </si>
  <si>
    <t>H12(75%)  H4(75%)  H11(50%)  H6(25%)</t>
  </si>
  <si>
    <t>Special: H10 (special), H5 (special)</t>
  </si>
  <si>
    <t>H3  H6  H11</t>
  </si>
  <si>
    <t>H1(75%)  H5(75%)  H12(50%)  H7(25%)</t>
  </si>
  <si>
    <t>Special: H11 (special), H6 (special)</t>
  </si>
  <si>
    <t>H4  H7  H12</t>
  </si>
  <si>
    <t>H2(75%)  H6(75%)  H1(50%)  H8(25%)</t>
  </si>
  <si>
    <t>Special: H12 (special), H7 (special)</t>
  </si>
  <si>
    <t>H1  H5  H8</t>
  </si>
  <si>
    <t>H3(75%)  H7(75%)  H2(50%)  H9(25%)</t>
  </si>
  <si>
    <t>Special: H1 (special), H8 (special)</t>
  </si>
  <si>
    <t>H2  H6  H9</t>
  </si>
  <si>
    <t>H4(75%)  H8(75%)  H3(50%)  H10(25%)</t>
  </si>
  <si>
    <t>Special: H2 (special), H9 (special)</t>
  </si>
  <si>
    <t>Section 4 — Formula patterns for CALC_PlanetPositions</t>
  </si>
  <si>
    <t>Question</t>
  </si>
  <si>
    <t>Formula / approach</t>
  </si>
  <si>
    <t>Does planet P aspect house H?</t>
  </si>
  <si>
    <t>Check the static reference table (Section 1) — scan row for planet, check if H{n} col = FULL</t>
  </si>
  <si>
    <t>Get all houses aspected by planet in BhavN</t>
  </si>
  <si>
    <t>Read from calculator (Section 3): row = planet, column group = Bhav position × 3 + base offset</t>
  </si>
  <si>
    <t>Each planet-Bhav group has 3 cols. Parashari aspects in col 1 of each group.</t>
  </si>
  <si>
    <t>Check if house H is aspected by Shubh planet</t>
  </si>
  <si>
    <t>Loop planets list → for each Shubh planet → check if H in their aspected houses list → flag</t>
  </si>
  <si>
    <t>Used in SCORE_DrillDown Rule #3: Shubh Greh aspecting house = +1 Bhav Bal (WC)</t>
  </si>
  <si>
    <t>Check if house H is aspected by Ashubh planet</t>
  </si>
  <si>
    <t>Same pattern but for Ashubh planets from REF_ShubhAshubh</t>
  </si>
  <si>
    <t>Used in SCORE_DrillDown Rule #10: Ashubh Greh aspecting house = −1 Bhav Durbal</t>
  </si>
  <si>
    <t>Check if Bhavesh (house lord) is aspected by Shubh</t>
  </si>
  <si>
    <t>Get Bhavesh position from CALC_BhaveshMap → check aspect calculator for that Bhav</t>
  </si>
  <si>
    <t>Used in Rule #7: Bhavesh aspected by Shubh = +1 Bhavesh Bal (WC)</t>
  </si>
  <si>
    <t>REF_Houses — Complete Bhava Reference  ·  12 houses × 39 attributes  ·  Sources: BPHS Ch.11-12, Saravali Ch.2, Uttara Kalamrita Ch.4, Phala Deepika Ch.3</t>
  </si>
  <si>
    <t>READ-ONLY.  CALC_BhaveshMap: =INDEX(REF_Houses!$B$6:$B$17, house_num)  ·  Scoring flags (Group G, cols 27-39) feed SCORE_DrillDown rules directly.  Kendra=H1/4/7/10  ·  Trikon=H1/5/9  ·  Dukshthan=H6/8/12  ·  Upachaya=H3/6/10/11  ·  Markesh=H2/H7</t>
  </si>
  <si>
    <t>B — Classification</t>
  </si>
  <si>
    <t>C — Significations</t>
  </si>
  <si>
    <t>D — Sthir Karakas</t>
  </si>
  <si>
    <t>E — Bhavat Bhavam</t>
  </si>
  <si>
    <t>F — Natural sign</t>
  </si>
  <si>
    <t>G — Scoring flags</t>
  </si>
  <si>
    <t>Short name</t>
  </si>
  <si>
    <t>Upachaya?</t>
  </si>
  <si>
    <t>Markesh?</t>
  </si>
  <si>
    <t>Apoklima?</t>
  </si>
  <si>
    <t>Odd/Even</t>
  </si>
  <si>
    <t>Primary meaning</t>
  </si>
  <si>
    <t>Secondary</t>
  </si>
  <si>
    <t>Body parts</t>
  </si>
  <si>
    <t>Life domain</t>
  </si>
  <si>
    <t>Primary Karak</t>
  </si>
  <si>
    <t>Secondary Karak</t>
  </si>
  <si>
    <t>Karak note</t>
  </si>
  <si>
    <t>Bhavat Bhavam H#</t>
  </si>
  <si>
    <t>Bhavat meaning</t>
  </si>
  <si>
    <t>Natural sign</t>
  </si>
  <si>
    <t>Natural lord</t>
  </si>
  <si>
    <t>Element</t>
  </si>
  <si>
    <t>Is Kendra</t>
  </si>
  <si>
    <t>Is Trikon</t>
  </si>
  <si>
    <t>Is Dukshthan</t>
  </si>
  <si>
    <t>Is Upachaya</t>
  </si>
  <si>
    <t>Is Markesh</t>
  </si>
  <si>
    <t>Duksh lord harms</t>
  </si>
  <si>
    <t>Shubh here good</t>
  </si>
  <si>
    <t>Ashubh harms here</t>
  </si>
  <si>
    <t>Strong lord good</t>
  </si>
  <si>
    <t>Weak lord bad</t>
  </si>
  <si>
    <t>Raja Yoga house</t>
  </si>
  <si>
    <t>Dhana Yoga house</t>
  </si>
  <si>
    <t>Moksha house</t>
  </si>
  <si>
    <t>Sankhep</t>
  </si>
  <si>
    <t>Dukh</t>
  </si>
  <si>
    <t>Marak</t>
  </si>
  <si>
    <t>Apoklima</t>
  </si>
  <si>
    <t>Purushath</t>
  </si>
  <si>
    <t>Vishama/Sama</t>
  </si>
  <si>
    <t>Mukhya Artha</t>
  </si>
  <si>
    <t>Goun Artha</t>
  </si>
  <si>
    <t>Jeevan Kshetra</t>
  </si>
  <si>
    <t>Goun Karak</t>
  </si>
  <si>
    <t>Karak Vivek</t>
  </si>
  <si>
    <t>Bhavat</t>
  </si>
  <si>
    <t>Bhavat Artha</t>
  </si>
  <si>
    <t>Naisargik Rashi</t>
  </si>
  <si>
    <t>Swami</t>
  </si>
  <si>
    <t>Dukh Prabhu</t>
  </si>
  <si>
    <t>Shubh Sthiti</t>
  </si>
  <si>
    <t>Ashubh Sthiti</t>
  </si>
  <si>
    <t>Bal Bhavesh</t>
  </si>
  <si>
    <t>Dur Bhavesh</t>
  </si>
  <si>
    <t>Raja Yoga</t>
  </si>
  <si>
    <t>Dhana Yoga</t>
  </si>
  <si>
    <t>Vivran</t>
  </si>
  <si>
    <t>Self / Lagna</t>
  </si>
  <si>
    <t>Tanu Bhava</t>
  </si>
  <si>
    <t>Body, vitality, identity</t>
  </si>
  <si>
    <t>Odd (1st)</t>
  </si>
  <si>
    <t>Self, physical body, personality, appearance, vitality, character, overall life direction, first impressions, the soul's vehicle</t>
  </si>
  <si>
    <t>Head, complexion, height, constitution, longevity (along with H8), self-confidence, early childhood, new beginnings, fame, status</t>
  </si>
  <si>
    <t>Self — no relationship signified, but Lagnesh rules all life themes</t>
  </si>
  <si>
    <t>Head, brain, face, hair, skull, right eye (in some traditions)</t>
  </si>
  <si>
    <t>Identity, health, vitality, overall fortune</t>
  </si>
  <si>
    <t>Sun (soul, vitality, self-expression)</t>
  </si>
  <si>
    <t>Lagnesh (lord of H1) is the most important planet in the chart</t>
  </si>
  <si>
    <t>H1 from H1 = itself — self-referential house; reinforces core identity</t>
  </si>
  <si>
    <t>Kendra + Trikon overlap → maximum weight in all scoring rules</t>
  </si>
  <si>
    <t>Wealth / Dhana</t>
  </si>
  <si>
    <t>Dhana Bhava</t>
  </si>
  <si>
    <t>Dhana</t>
  </si>
  <si>
    <t>Treasure chest</t>
  </si>
  <si>
    <t>Even (2nd)</t>
  </si>
  <si>
    <t>Accumulated wealth, family, speech, values and ethics, self-esteem, food habits, right eye, face, early childhood memories</t>
  </si>
  <si>
    <t>Savings, fixed assets, family lineage, mother tongue, oral traditions, honesty, what one eats, possessions, precious metals, gemstones</t>
  </si>
  <si>
    <t>Family (kutumb) — close family unit, not extended</t>
  </si>
  <si>
    <t>Face, right eye, teeth, tongue, throat, neck, vocal cords</t>
  </si>
  <si>
    <t>Wealth, family values, speech</t>
  </si>
  <si>
    <t>Jupiter (wealth, expansion)</t>
  </si>
  <si>
    <t>Mercury (speech, communication)</t>
  </si>
  <si>
    <t>Jupiter as Dhana Karak; Mercury for Vak (speech) Karak</t>
  </si>
  <si>
    <t>H2 from H2 = H3 — younger siblings echo through the wealth house</t>
  </si>
  <si>
    <t>Markesh: Bhavesh rules death/endings. Maraka planets in H2 reduce vitality.</t>
  </si>
  <si>
    <t>Courage / Parakrama</t>
  </si>
  <si>
    <t>Parakrama Bhava</t>
  </si>
  <si>
    <t>Parakrama</t>
  </si>
  <si>
    <t>Sword / arm</t>
  </si>
  <si>
    <t>Odd (3rd)</t>
  </si>
  <si>
    <t>Courage, initiative, siblings (especially younger), communication, short journeys, skills, hobbies, neighbours</t>
  </si>
  <si>
    <t>Writing, media, social media, arms and hands, left ear, sports, self-employment, contracts, early education, mental agility</t>
  </si>
  <si>
    <t>Younger siblings, neighbours, colleagues</t>
  </si>
  <si>
    <t>Arms, hands, shoulders, upper chest, right ear, nervous system</t>
  </si>
  <si>
    <t>Courage, communication, skills, siblings</t>
  </si>
  <si>
    <t>Mars (courage, siblings, energy)</t>
  </si>
  <si>
    <t>Mercury (communication, writing)</t>
  </si>
  <si>
    <t>Mars is primary Karak; Mercury for all communication significations</t>
  </si>
  <si>
    <t>H3 from H3 = H5 — effort and creativity are linked</t>
  </si>
  <si>
    <t>Upachaya: improves with age. Malefics here can be beneficial (Mars in H3 = courage).</t>
  </si>
  <si>
    <t>Home / Sukha</t>
  </si>
  <si>
    <t>Sukha Bhava</t>
  </si>
  <si>
    <t>Sukha</t>
  </si>
  <si>
    <t>House / chariot</t>
  </si>
  <si>
    <t>Even (4th)</t>
  </si>
  <si>
    <t>Mother, home and homeland, happiness, emotional security, property and real estate, vehicles, education, heart</t>
  </si>
  <si>
    <t>Inner peace, domestic comfort, roots, agricultural land, wells and water bodies, chests and buried treasure, end of life (along with H12), foundational beliefs</t>
  </si>
  <si>
    <t>Mother, maternal figures, domestic partners</t>
  </si>
  <si>
    <t>Chest, lungs, breasts, heart, stomach</t>
  </si>
  <si>
    <t>Home, happiness, property, mother</t>
  </si>
  <si>
    <t>Moon (mother, emotions, nourishment)</t>
  </si>
  <si>
    <t>Mercury (education, vehicles)</t>
  </si>
  <si>
    <t>Moon is primary Karak for mother and happiness; Mercury for academic education</t>
  </si>
  <si>
    <t>H4 from H4 = H7 — home and partnership mirror each other</t>
  </si>
  <si>
    <t>Kendra of Moksha. Saturn and Mars in H4 classically harm domestic happiness.</t>
  </si>
  <si>
    <t>Intellect / Putra</t>
  </si>
  <si>
    <t>Putra Bhava</t>
  </si>
  <si>
    <t>Putra</t>
  </si>
  <si>
    <t>Child / scroll</t>
  </si>
  <si>
    <t>Odd (5th)</t>
  </si>
  <si>
    <t>Children, intellect, creativity, romance, speculation, past-life merit (Purva Punya), higher education, mantras</t>
  </si>
  <si>
    <t>Stock market, gambling, games of chance, political power, counselling, sports, artistic performance, stomach, love affairs</t>
  </si>
  <si>
    <t>Children, students, lovers (pre-marriage), disciples</t>
  </si>
  <si>
    <t>Stomach, upper abdomen, liver (in some traditions), spine</t>
  </si>
  <si>
    <t>Creativity, children, intelligence, fortune</t>
  </si>
  <si>
    <t>Jupiter (children, wisdom, fortune)</t>
  </si>
  <si>
    <t>Jupiter is the primary Sthir Karak for H5 — its placement is critical</t>
  </si>
  <si>
    <t>H5 from H5 = H9 — creativity and dharma are reflections of each other</t>
  </si>
  <si>
    <t>Trikon of Dharma. H5 lord with H9 or H1 lord = powerful Raja Yoga.</t>
  </si>
  <si>
    <t>Conflicts / Shatru</t>
  </si>
  <si>
    <t>Shatru / Ari Bhava</t>
  </si>
  <si>
    <t>Shatru</t>
  </si>
  <si>
    <t>Sword / debt</t>
  </si>
  <si>
    <t>Even (6th)</t>
  </si>
  <si>
    <t>Enemies, debts, diseases, litigation, obstacles, service, daily work habits, pets and small animals</t>
  </si>
  <si>
    <t>Maternal uncle, step-mother, competition, court cases, accidents, hospital stays, digestive disorders, tenants</t>
  </si>
  <si>
    <t>Enemies (open), maternal uncle, servants, employees</t>
  </si>
  <si>
    <t>Lower abdomen, intestines, appendix, kidneys (along with H7)</t>
  </si>
  <si>
    <t>Health challenges, enemies, debts, service</t>
  </si>
  <si>
    <t>Mars (enemies, conflicts, energy for overcoming)</t>
  </si>
  <si>
    <t>Saturn (service, discipline, chronic illness)</t>
  </si>
  <si>
    <t>Strong H6 Bhavesh = ability to defeat enemies. Malefics in H6 can be good.</t>
  </si>
  <si>
    <t>H6 from H6 = H11 — gains come through overcoming obstacles</t>
  </si>
  <si>
    <t>Dukshthan + Upachaya: malefics here improve with time. H6 lord powerful = enemies defeated.</t>
  </si>
  <si>
    <t>Partnerships / Kalatra</t>
  </si>
  <si>
    <t>Kalatra Bhava</t>
  </si>
  <si>
    <t>Kalatra</t>
  </si>
  <si>
    <t>Two figures / scales</t>
  </si>
  <si>
    <t>Odd (7th)</t>
  </si>
  <si>
    <t>Spouse, marriage, business partnerships, legal contracts, open enemies, the public</t>
  </si>
  <si>
    <t>Sexual relationships, desire, trade partnerships, diplomacy, kidneys, the foreign land, long journeys, lower back</t>
  </si>
  <si>
    <t>Spouse (primary), business partner, open rivals</t>
  </si>
  <si>
    <t>Lower back, kidneys, bladder, groins, navel area</t>
  </si>
  <si>
    <t>Marriage, partnerships, public dealings</t>
  </si>
  <si>
    <t>Venus (marriage, desire, harmony)</t>
  </si>
  <si>
    <t>Jupiter (husband for female charts)</t>
  </si>
  <si>
    <t>Venus primary Karak for marriage; Jupiter as husband Karak in female charts</t>
  </si>
  <si>
    <t>H7 from H7 = H1 — the partner mirrors the self</t>
  </si>
  <si>
    <t>Kendra + Markesh. Strong benefics here bless marriage; Markesh placement weakens longevity.</t>
  </si>
  <si>
    <t>Longevity / Ayu</t>
  </si>
  <si>
    <t>Ayu / Randhra Bhava</t>
  </si>
  <si>
    <t>Ayu</t>
  </si>
  <si>
    <t>Serpent / cycle</t>
  </si>
  <si>
    <t>Even (8th)</t>
  </si>
  <si>
    <t>Longevity, transformation, inheritance, occult sciences, hidden matters, sudden events, research, the subconscious</t>
  </si>
  <si>
    <t>Death and rebirth, chronic disease, sexual organs, in-laws' wealth, taxes, insurance, mysticism, past lives</t>
  </si>
  <si>
    <t>In-laws (spouse's family), hidden enemies</t>
  </si>
  <si>
    <t>Genitals, excretory organs, urethra, anus, lower spine</t>
  </si>
  <si>
    <t>Longevity, transformation, hidden matters, inheritance</t>
  </si>
  <si>
    <t>Saturn (longevity, chronic conditions, karma)</t>
  </si>
  <si>
    <t>Saturn is the primary Ayu Karak. H8 is one of the most complex houses to interpret.</t>
  </si>
  <si>
    <t>H8 from H8 = H3 — longevity connects to courage and willpower</t>
  </si>
  <si>
    <t>Worst Dukshthan. Viparita Raja Yoga: H8 lord in H6/H8/H12 = unexpected rise.</t>
  </si>
  <si>
    <t>Fortune / Bhagya</t>
  </si>
  <si>
    <t>Bhagya / Dharma Bhava</t>
  </si>
  <si>
    <t>Bhagya</t>
  </si>
  <si>
    <t>Temple / teacher</t>
  </si>
  <si>
    <t>Odd (9th)</t>
  </si>
  <si>
    <t>Fortune, father, guru, dharma, higher wisdom, long journeys, spirituality, higher education, law, philosophy</t>
  </si>
  <si>
    <t>Grandchildren, elder siblings (in some traditions), publishing, ethics, religion, foreign travel, luck, cross-cultural exchanges, pilgrimage</t>
  </si>
  <si>
    <t>Father, guru/teacher, grandchildren</t>
  </si>
  <si>
    <t>Thighs, hips, right leg</t>
  </si>
  <si>
    <t>Fortune, dharma, father, spirituality</t>
  </si>
  <si>
    <t>Jupiter (dharma, wisdom, fortune, teacher)</t>
  </si>
  <si>
    <t>Sun (father, authority, soul's dharma)</t>
  </si>
  <si>
    <t>Jupiter and Sun share Karak status — H9 is the most auspicious Trikon</t>
  </si>
  <si>
    <t>H9 from H9 = H5 — dharma and creativity mirror each other</t>
  </si>
  <si>
    <t>Strongest Trikon. H9 lord with H1/H5/H10 lord = powerful Raja Yoga.</t>
  </si>
  <si>
    <t>Career / Karma</t>
  </si>
  <si>
    <t>Karma / Rajya Bhava</t>
  </si>
  <si>
    <t>Karma</t>
  </si>
  <si>
    <t>Crown / mountain peak</t>
  </si>
  <si>
    <t>Even (10th)</t>
  </si>
  <si>
    <t>Career, profession, public status, authority, government, actions in the world, reputation, one's karma / life work</t>
  </si>
  <si>
    <t>Father's profession, employer, knees, spine, honours and awards, long-term goals, public image</t>
  </si>
  <si>
    <t>Employer, authority figures, father's professional life</t>
  </si>
  <si>
    <t>Knees, kneecap, spine (along with H1)</t>
  </si>
  <si>
    <t>Career, reputation, public life, authority</t>
  </si>
  <si>
    <t>Sun (authority, leadership, soul's purpose)</t>
  </si>
  <si>
    <t>Saturn (karma, discipline, career through effort)</t>
  </si>
  <si>
    <t>Mercury (business/intellect) and Jupiter (advisory roles) also serve as secondary Karakas. Four planets share H10 Karak status.</t>
  </si>
  <si>
    <t>H10 from H10 = H7 — career and partnerships support each other</t>
  </si>
  <si>
    <t>Strongest Kendra + Upachaya. Planets here gain Dig Bala (Mercury/Jupiter). Saturn aspects own house.</t>
  </si>
  <si>
    <t>Gains / Labha</t>
  </si>
  <si>
    <t>Labha Bhava</t>
  </si>
  <si>
    <t>Overflowing vessel</t>
  </si>
  <si>
    <t>Odd (11th)</t>
  </si>
  <si>
    <t>Income, gains, fulfilment of desires, elder siblings, friends, social networks, aspirations, recovery from illness</t>
  </si>
  <si>
    <t>Left ear, left arm, ankles, collective efforts, humanitarian causes, technology, political connections, profits from all sources</t>
  </si>
  <si>
    <t>Elder siblings, friends, social circle, patrons</t>
  </si>
  <si>
    <t>Left leg, ankles, calves, left ear, left arm</t>
  </si>
  <si>
    <t>Income, gains, desires, social connections</t>
  </si>
  <si>
    <t>Jupiter (expansion, gains, abundance)</t>
  </si>
  <si>
    <t>Jupiter governs all forms of gain. Strong H11 with Jupiter = consistent income.</t>
  </si>
  <si>
    <t>H11 from H11 = H9 — gains and fortune are mirrors</t>
  </si>
  <si>
    <t>Upachaya: improves over time. All planets gain strength in H11. Malefics here can bring income.</t>
  </si>
  <si>
    <t>Liberation / Vyaya</t>
  </si>
  <si>
    <t>Vyaya / Moksha Bhava</t>
  </si>
  <si>
    <t>Empty vessel / door</t>
  </si>
  <si>
    <t>Even (12th)</t>
  </si>
  <si>
    <t>Expenses, losses, isolation, foreign lands, liberation (moksha), spirituality, the subconscious, hospitals, prisons, ashrams</t>
  </si>
  <si>
    <t>Sleep, dreams, left eye, feet, secret enemies, exile, long-distance travel (especially overseas), surrender, bed pleasures, behind-the-scenes activity</t>
  </si>
  <si>
    <t>Hidden enemies, secret lovers, spiritual guides</t>
  </si>
  <si>
    <t>Feet, left eye, lymphatic system</t>
  </si>
  <si>
    <t>Spirituality, losses, foreign lands, liberation</t>
  </si>
  <si>
    <t>Saturn (karma, isolation, endings, moksha)</t>
  </si>
  <si>
    <t>Ketu (liberation, detachment, past-life completion)</t>
  </si>
  <si>
    <t>Ketu is the natural Moksha Karak. Saturn governs the experiences that lead to liberation.</t>
  </si>
  <si>
    <t>H12 from H12 = H11 — liberation and gains are inversely linked</t>
  </si>
  <si>
    <t>Dukshthan of Moksha. Viparita RY: H12 lord in H6/H8/H12 = unexpected spiritual rise.</t>
  </si>
  <si>
    <t>Sources: BPHS Ch.11-12 (Bhava significations + Karakas)  ·  Saravali Ch.2  ·  Uttara Kalamrita Ch.4  ·  Phala Deepika Ch.3 (Classification)  ·  Jataka Parijata Ch.2 (Bhavat Bhavam)  ·  Scoring flags (Group G) derived from classical rules: Kendra lords form RY with Trikon lords; Dukshthan lords act as malefics; Upachaya houses improve with strong malefics over time.</t>
  </si>
  <si>
    <t>REF_NaisargikaFriendship — Permanent Planetary Friendship Matrix  ·  Source: BPHS Ch.3 (Graha Maitri Chakra)</t>
  </si>
  <si>
    <t>Read as: row planet views column planet.  F = Mitra (Friend)  ·  N = Sama (Neutral)  ·  E = Shatru (Enemy)  ·  Relationships are NOT always reciprocal — 22 asymmetric pairs exist. This feeds CALC_PanchadhaMaitri which combines with Tatkalik to get the 5-fold result.</t>
  </si>
  <si>
    <t>Section 1 — Naisargika (Permanent) Friendship Matrix  ·  Row views Column</t>
  </si>
  <si>
    <t>Section 2 — Asymmetric Pairs (22 total)  ·  Why the relationship differs by direction</t>
  </si>
  <si>
    <t>Planet
(row views →)</t>
  </si>
  <si>
    <t>Planet A views B</t>
  </si>
  <si>
    <t>A→B</t>
  </si>
  <si>
    <t>B→A</t>
  </si>
  <si>
    <t>Why it differs (classical reasoning)</t>
  </si>
  <si>
    <t>Friend</t>
  </si>
  <si>
    <t>Neutral *</t>
  </si>
  <si>
    <t>Enemy</t>
  </si>
  <si>
    <t>Moon ↔ Venus</t>
  </si>
  <si>
    <t>Moon→N</t>
  </si>
  <si>
    <t>Venus→E</t>
  </si>
  <si>
    <t>Moon is neutral to Venus; Venus dislikes Moon (Moon's water cools Venus's pleasures) — enemy.</t>
  </si>
  <si>
    <t>Friend *</t>
  </si>
  <si>
    <t>Moon ↔ Saturn</t>
  </si>
  <si>
    <t>Saturn→E</t>
  </si>
  <si>
    <t>Moon is neutral to Saturn; Saturn opposes Moon (cold darkness vs nurturing emotion) — enemy.</t>
  </si>
  <si>
    <t>Enemy *</t>
  </si>
  <si>
    <t>Mars ↔ Moon</t>
  </si>
  <si>
    <t>Mars→F</t>
  </si>
  <si>
    <t>Moon (sensitive) sees Mars (aggressive) as neutral; Mars respects Moon as its queen and considers it a friend.</t>
  </si>
  <si>
    <t>Mars ↔ Mercury</t>
  </si>
  <si>
    <t>Mars→E</t>
  </si>
  <si>
    <t>Mercury→N</t>
  </si>
  <si>
    <t>Mars considers Mercury an enemy (opposite natures: aggression vs intellect); Mercury sees Mars as neutral.</t>
  </si>
  <si>
    <t>Mars ↔ Saturn</t>
  </si>
  <si>
    <t>Mars→N</t>
  </si>
  <si>
    <t>Mars sees Saturn as neutral (both dry/hot in different ways); Saturn actively opposes Mars — enemy.</t>
  </si>
  <si>
    <t>Mercury ↔ Sun</t>
  </si>
  <si>
    <t>Mercury→F</t>
  </si>
  <si>
    <t>Sun→N</t>
  </si>
  <si>
    <t>Sun sees Mercury as neutral (too fast, erratic); Mercury reveres Sun as king and considers it a friend.</t>
  </si>
  <si>
    <t>Mercury ↔ Moon</t>
  </si>
  <si>
    <t>Mercury→E</t>
  </si>
  <si>
    <t>Moon→F</t>
  </si>
  <si>
    <t>Mercury considers Moon an enemy (unstable mind blocks clear intellect); Moon considers Mercury a friend.</t>
  </si>
  <si>
    <t>Mercury ↔ Saturn</t>
  </si>
  <si>
    <t>Saturn→F</t>
  </si>
  <si>
    <t>Mercury sees Saturn as neutral; Saturn values Mercury's analytical mind — friend.</t>
  </si>
  <si>
    <t>F = Friend (Mitra)   ·   N = Neutral (Sama)   ·   E = Enemy (Shatru)   ·   * = Asymmetric pair (reverse relationship differs)   ·   — = Self</t>
  </si>
  <si>
    <t>Jupiter ↔ Moon</t>
  </si>
  <si>
    <t>Jupiter→F</t>
  </si>
  <si>
    <t>Jupiter considers Moon a friend; Moon sees Jupiter as neutral (does not actively reciprocate devotion).</t>
  </si>
  <si>
    <t>Jupiter ↔ Mercury</t>
  </si>
  <si>
    <t>Jupiter→E</t>
  </si>
  <si>
    <t>Jupiter considers Mercury an enemy; Mercury sees Jupiter as neutral (technical vs philosophical).</t>
  </si>
  <si>
    <t>Jupiter ↔ Venus</t>
  </si>
  <si>
    <t>Venus→N</t>
  </si>
  <si>
    <t>Jupiter views Venus as an enemy (dharma vs desire); Venus sees Jupiter as neutral (does not oppose wisdom).</t>
  </si>
  <si>
    <t>Section 3 — Panchadha Maitri: Combining Naisargika + Tatkalik → 5-fold Result  ·  BPHS Ch.15</t>
  </si>
  <si>
    <t>Tatkalik (temporary) friendship: planets in houses 2/3/4/10/11/12 from each other = temporary friends.  Planets in 1/5/6/7/8/9 from each other = temporary enemies.  Combine with Naisargika below to get the working Panchadha relationship.</t>
  </si>
  <si>
    <t>↓ Naisargika / Tatkalik →</t>
  </si>
  <si>
    <t>Tatkalik F
(Temp Friend)</t>
  </si>
  <si>
    <t>Tatkalik N
(Neutral)</t>
  </si>
  <si>
    <t>Tatkalik E
(Temp Enemy)</t>
  </si>
  <si>
    <t>Naisargika F
(Permanent Friend)</t>
  </si>
  <si>
    <t>Adhi Mitra</t>
  </si>
  <si>
    <t>Mitra</t>
  </si>
  <si>
    <t>Sama</t>
  </si>
  <si>
    <t>Naisargika N
(Neutral)</t>
  </si>
  <si>
    <t>Naisargika E
(Enemy)</t>
  </si>
  <si>
    <t>Adhi Shatru</t>
  </si>
  <si>
    <t>5-fold levels in descending order of strength:  Adhi Mitra &gt; Mitra &gt; Sama &gt; Shatru &gt; Adhi Shatru  ·  Panchadha Maitri governs ALL inter-planetary strength modifiers in Shadbala.</t>
  </si>
  <si>
    <t>Section 4 — Scoring Weights for CALC_PanchadhaMaitri</t>
  </si>
  <si>
    <t>Panchadha level</t>
  </si>
  <si>
    <t>Weight</t>
  </si>
  <si>
    <t>Used in SCORE_AllHouses</t>
  </si>
  <si>
    <t>Interpretation</t>
  </si>
  <si>
    <t>Great Friend</t>
  </si>
  <si>
    <t>When Bhavesh or Karak is with/aspected by its Adhi Mitra → full Bhavesh_Bal bonus</t>
  </si>
  <si>
    <t>Best possible inter-planetary support. Planet performs at maximum potential.</t>
  </si>
  <si>
    <t>Bhavesh or Karak with/aspected by Mitra → partial Bhavesh_Bal bonus</t>
  </si>
  <si>
    <t>Supportive relationship. Planet functions well with mild amplification.</t>
  </si>
  <si>
    <t>No modification to Bhavesh_Bal or Karak_Bal</t>
  </si>
  <si>
    <t>Neither helped nor harmed. Planet's own strength is the deciding factor.</t>
  </si>
  <si>
    <t>Bhavesh or Karak with/aspected by Shatru → partial Bhavesh_Durbal penalty</t>
  </si>
  <si>
    <t>Undermining relationship. Planet's significations are subtly blocked.</t>
  </si>
  <si>
    <t>Bitter Enemy</t>
  </si>
  <si>
    <t>Bhavesh or Karak with/aspected by Adhi Shatru → full Bhavesh_Durbal penalty</t>
  </si>
  <si>
    <t>Worst inter-planetary conflict. Strong affliction to the aspected planet's significations.</t>
  </si>
  <si>
    <t>REF — Functional Benefic / Malefic by Lagna</t>
  </si>
  <si>
    <t>Natural benefics (Jupiter, Venus, Mercury, Moon) become malefic when they own a Kendra AND a Dukshthan. Natural malefics (Sun, Mars, Saturn) can become benefic as Kendra lords for certain Lagnas (Yogakaraka).</t>
  </si>
  <si>
    <t>Yogakaraka</t>
  </si>
  <si>
    <t>⬇ LIVE LAGNA VERIFICATION</t>
  </si>
  <si>
    <t>Active Lagna:</t>
  </si>
  <si>
    <t>Active column in this table:</t>
  </si>
  <si>
    <t>All 60 SCORE_H* sheets read functional nature from this table via INDEX(REF_ShubhAshubh, MATCH(planet,A:A,0), MATCH(INPUT_Chart!$C$5,row4,0)). When Lagna changes, all SCORE_H* sheets re-read automatically — design is sound. This row provides a live sanity check.</t>
  </si>
  <si>
    <t>REF_DivisionalRules  ·  Varga Chart Arithmetic</t>
  </si>
  <si>
    <t>Each Varga divides every sign into N equal parts. The part-number + starting sign produces the output sign. D9 Navamsha is most important; D10 for career; others noted below.</t>
  </si>
  <si>
    <t>Varga</t>
  </si>
  <si>
    <t>Divisions</t>
  </si>
  <si>
    <t>Each part</t>
  </si>
  <si>
    <t>Excel formula  (sign=1–12  deg=0–29)</t>
  </si>
  <si>
    <t>Use in Jyotish</t>
  </si>
  <si>
    <t>D1</t>
  </si>
  <si>
    <t>Rashi — birth chart</t>
  </si>
  <si>
    <t>1</t>
  </si>
  <si>
    <t>30°</t>
  </si>
  <si>
    <t>sign_number  (= MATCH(sign, signs_array, 0))</t>
  </si>
  <si>
    <t>Foundation. All existing Lagna analysis uses D1.</t>
  </si>
  <si>
    <t>D9</t>
  </si>
  <si>
    <t>Navamsha</t>
  </si>
  <si>
    <t>9</t>
  </si>
  <si>
    <t>3°20'</t>
  </si>
  <si>
    <t>MOD( CHOOSE(sign, 0,9,6,3, 0,9,6,3, 0,9,6,3) + INT(deg / 3.333) , 12) + 1</t>
  </si>
  <si>
    <t>Marriage · dharma · inner nature. Already in CALC_PlanetPositions col H.</t>
  </si>
  <si>
    <t>D10</t>
  </si>
  <si>
    <t>Dashamsha</t>
  </si>
  <si>
    <t>10</t>
  </si>
  <si>
    <t>MOD( (sign-1)*10 + INT(deg/3) , 12) + 1  [odd→Aries, even→Capricorn]</t>
  </si>
  <si>
    <t>Career · profession · public status.</t>
  </si>
  <si>
    <t>D12</t>
  </si>
  <si>
    <t>Dwadashamsha</t>
  </si>
  <si>
    <t>12</t>
  </si>
  <si>
    <t>2°30'</t>
  </si>
  <si>
    <t>MOD( (sign-1)*12 + INT(deg/2.5) , 12) + 1</t>
  </si>
  <si>
    <t>Parents · ancestors · family karma.</t>
  </si>
  <si>
    <t>D7</t>
  </si>
  <si>
    <t>Saptamsha</t>
  </si>
  <si>
    <t>7</t>
  </si>
  <si>
    <t>4°17'</t>
  </si>
  <si>
    <t>MOD( (sign-1)*7 + INT(deg*7/30) , 12) + 1</t>
  </si>
  <si>
    <t>Children · progeny.</t>
  </si>
  <si>
    <t>D3</t>
  </si>
  <si>
    <t>Drekkana</t>
  </si>
  <si>
    <t>3</t>
  </si>
  <si>
    <t>MOD( (sign-1)*3 + INT(deg/10) , 12) + 1</t>
  </si>
  <si>
    <t>Siblings · courage · communication.</t>
  </si>
  <si>
    <t>D60</t>
  </si>
  <si>
    <t>Shastiamsha</t>
  </si>
  <si>
    <t>60</t>
  </si>
  <si>
    <t>30'</t>
  </si>
  <si>
    <t>MOD( INT(deg*2) + (sign-1) , 60) + 1  (60-sign cycle)</t>
  </si>
  <si>
    <t>Karmic residue — most sensitive Varga.</t>
  </si>
  <si>
    <t>D9 Navamsha: starting sign per D1 sign (Parashari method)</t>
  </si>
  <si>
    <t>0</t>
  </si>
  <si>
    <t>CHOOSE index for Aries = 0  (0=Aries, 3=Cancer, 6=Libra, 9=Capricorn)</t>
  </si>
  <si>
    <t>2</t>
  </si>
  <si>
    <t>CHOOSE index for Taurus = 9  (0=Aries, 3=Cancer, 6=Libra, 9=Capricorn)</t>
  </si>
  <si>
    <t>6</t>
  </si>
  <si>
    <t>CHOOSE index for Gemini = 6  (0=Aries, 3=Cancer, 6=Libra, 9=Capricorn)</t>
  </si>
  <si>
    <t>4</t>
  </si>
  <si>
    <t>CHOOSE index for Cancer = 3  (0=Aries, 3=Cancer, 6=Libra, 9=Capricorn)</t>
  </si>
  <si>
    <t>5</t>
  </si>
  <si>
    <t>CHOOSE index for Leo = 0  (0=Aries, 3=Cancer, 6=Libra, 9=Capricorn)</t>
  </si>
  <si>
    <t>CHOOSE index for Virgo = 9  (0=Aries, 3=Cancer, 6=Libra, 9=Capricorn)</t>
  </si>
  <si>
    <t>CHOOSE index for Libra = 6  (0=Aries, 3=Cancer, 6=Libra, 9=Capricorn)</t>
  </si>
  <si>
    <t>8</t>
  </si>
  <si>
    <t>CHOOSE index for Scorpio = 3  (0=Aries, 3=Cancer, 6=Libra, 9=Capricorn)</t>
  </si>
  <si>
    <t>CHOOSE index for Sagittarius = 0  (0=Aries, 3=Cancer, 6=Libra, 9=Capricorn)</t>
  </si>
  <si>
    <t>CHOOSE index for Capricorn = 9  (0=Aries, 3=Cancer, 6=Libra, 9=Capricorn)</t>
  </si>
  <si>
    <t>11</t>
  </si>
  <si>
    <t>CHOOSE index for Aquarius = 6  (0=Aries, 3=Cancer, 6=Libra, 9=Capricorn)</t>
  </si>
  <si>
    <t>CHOOSE index for Pisces = 3  (0=Aries, 3=Cancer, 6=Libra, 9=Capricorn)</t>
  </si>
  <si>
    <t>REF_DashaSequence  ·  Vimshottari Dasha 120-Year Cycle  ·  BPHS Ch.47</t>
  </si>
  <si>
    <t>Fixed 9-planet order totalling 120 years. Starting Dasha = lord of Moon's Nakshatra at birth. Antardasha duration = (Maha_years × Antar_years) / 120.</t>
  </si>
  <si>
    <t>Cumulative</t>
  </si>
  <si>
    <t>Nakshatras that trigger this Dasha</t>
  </si>
  <si>
    <t>Ashwini(1) · Magha(10) · Mula(19)</t>
  </si>
  <si>
    <t>Karmic reckoning · isolation · past-life debts · sudden detachment</t>
  </si>
  <si>
    <t>Bharani(2) · Purva Phalguni(11) · Purva Ashadha(20)</t>
  </si>
  <si>
    <t>Luxury · love · arts · material abundance · 20 yrs = longest Dasha</t>
  </si>
  <si>
    <t>Krittika(3) · Uttara Phalguni(12) · Uttara Ashadha(21)</t>
  </si>
  <si>
    <t>Authority · vitality · government · father · soul purpose</t>
  </si>
  <si>
    <t>Rohini(4) · Hasta(13) · Shravana(22)</t>
  </si>
  <si>
    <t>Mind · emotions · public life · mother · travel · popularity</t>
  </si>
  <si>
    <t>Mrigashira(5) · Chitra(14) · Dhanishtha(23)</t>
  </si>
  <si>
    <t>Action · courage · siblings · property · conflict</t>
  </si>
  <si>
    <t>Ardra(6) · Swati(15) · Shatabhisha(24)</t>
  </si>
  <si>
    <t>Ambition · foreign · technology · sudden rise or disruption</t>
  </si>
  <si>
    <t>Punarvasu(7) · Vishakha(16) · Purva Bhadrapada(25)</t>
  </si>
  <si>
    <t>Wisdom · expansion · children · dharma · fortune</t>
  </si>
  <si>
    <t>Pushya(8) · Anuradha(17) · Uttara Bhadrapada(26)</t>
  </si>
  <si>
    <t>Discipline · karma · delays · service · longevity</t>
  </si>
  <si>
    <t>Ashlesha(9) · Jyeshtha(18) · Revati(27)</t>
  </si>
  <si>
    <t>Intellect · communication · business · analysis</t>
  </si>
  <si>
    <t>Antardasha order: same 9-planet sequence starting from the Maha planet itself. Duration = (Maha_yrs × Antar_yrs) / 120.  Example: Saturn/Venus = (19 × 20) / 120 = 3.17 years.</t>
  </si>
  <si>
    <t>REF_PushkaraNavamsha  ·  Blessed Navamsha Padas  ·  Uttara Kalamrita</t>
  </si>
  <si>
    <t>Lookup: col A = sign where planet sits, col B = pada number. SCORE_H rule R21 does: COUNTIFS(col A, bhavesh_sign, col B, bhavesh_pada) &gt; 0 → Pushkara bonus +0.5. Source: Uttara Kalamrita Ch.4 &amp; Phaladeepika Ch.27.</t>
  </si>
  <si>
    <t>Sign (col A)</t>
  </si>
  <si>
    <t>Pada (col B)</t>
  </si>
  <si>
    <t>Nakshatra</t>
  </si>
  <si>
    <t>Nak #</t>
  </si>
  <si>
    <t>Degrees in sign</t>
  </si>
  <si>
    <t>3°20'–6°40' Aries→D9 Tau</t>
  </si>
  <si>
    <t>Stable growth energy</t>
  </si>
  <si>
    <t>16°40'–20° Aries→D9 Leo</t>
  </si>
  <si>
    <t>Creative royal force</t>
  </si>
  <si>
    <t>Krittika (Aries)</t>
  </si>
  <si>
    <t>26°40'–30° Aries→D9 Leo</t>
  </si>
  <si>
    <t>Solar purity (Aries portion)</t>
  </si>
  <si>
    <t>10°–13°20' Taurus→D9 Sco</t>
  </si>
  <si>
    <t>Deep nourishment</t>
  </si>
  <si>
    <t>Mrigashira (Tau)</t>
  </si>
  <si>
    <t>3°20'–6°40' Taurus→D9 Lib</t>
  </si>
  <si>
    <t>Harmonious beauty</t>
  </si>
  <si>
    <t>Mrigashira (Gem)</t>
  </si>
  <si>
    <t>16°40'–20° Gemini→D9 Pis</t>
  </si>
  <si>
    <t>Devotional grace</t>
  </si>
  <si>
    <t>0°–3°20' Gemini→D9 Can</t>
  </si>
  <si>
    <t>Protective restoration</t>
  </si>
  <si>
    <t>6°40'–10° Cancer→D9 Aqu</t>
  </si>
  <si>
    <t>Humanitarian strength</t>
  </si>
  <si>
    <t>10°–13°20' Cancer→D9 Can</t>
  </si>
  <si>
    <t>Occult healing</t>
  </si>
  <si>
    <t>3°20'–6°40' Leo→D9 Cap</t>
  </si>
  <si>
    <t>Ancestral power</t>
  </si>
  <si>
    <t>13°20'–16°40' Leo→D9 Leo</t>
  </si>
  <si>
    <t>Dharmic creativity</t>
  </si>
  <si>
    <t>26°40'–30° Virgo→D9 Vir</t>
  </si>
  <si>
    <t>Service, purification</t>
  </si>
  <si>
    <t>3°20'–6°40' Virgo→D9 Cap</t>
  </si>
  <si>
    <t>Skilled manifestation</t>
  </si>
  <si>
    <t>Chitra (Vir)</t>
  </si>
  <si>
    <t>3°20'–6°40' Virgo→D9 Lib</t>
  </si>
  <si>
    <t>Aesthetic excellence</t>
  </si>
  <si>
    <t>6°40'–10° Libra→D9 Aqu</t>
  </si>
  <si>
    <t>Freedom, independence</t>
  </si>
  <si>
    <t>20°–23°20' Libra→D9 Sco</t>
  </si>
  <si>
    <t>Purposeful determination</t>
  </si>
  <si>
    <t>13°20'–16°40' Sco→D9 Sco</t>
  </si>
  <si>
    <t>Elder authority</t>
  </si>
  <si>
    <t>26°40'–30° Sag→D9 Cap</t>
  </si>
  <si>
    <t>Victory, achievement</t>
  </si>
  <si>
    <t>3°20'–6°40' Cap→D9 Cap</t>
  </si>
  <si>
    <t>Attentive listening</t>
  </si>
  <si>
    <t>Dhanishtha (Cap)</t>
  </si>
  <si>
    <t>0°–3°20' Cap→D9 Cap</t>
  </si>
  <si>
    <t>Wealth, music</t>
  </si>
  <si>
    <t>6°40'–10° Aqu→D9 Pis</t>
  </si>
  <si>
    <t>Mystical healing</t>
  </si>
  <si>
    <t>16°40'–20° Aqu→D9 Aqu</t>
  </si>
  <si>
    <t>Expansive aspiration</t>
  </si>
  <si>
    <t>23°20'–26°40' Pis→D9 Pis</t>
  </si>
  <si>
    <t>Compassionate completion</t>
  </si>
  <si>
    <t>REF_Config  ·  Global Configuration Toggles  ·  Phase 2+</t>
  </si>
  <si>
    <t>← Index</t>
  </si>
  <si>
    <t>All CALC_ sheets in Phase 2+ read toggle values from this sheet. Change here to switch school of thought, Ayanamsha, or calculation policies globally. Blue cells are user-editable. All others are READ-ONLY.</t>
  </si>
  <si>
    <t>SECTION 1 — Calculation School Toggles</t>
  </si>
  <si>
    <t>Toggle</t>
  </si>
  <si>
    <t>Current Value</t>
  </si>
  <si>
    <t>Options</t>
  </si>
  <si>
    <t>Affects</t>
  </si>
  <si>
    <t>Jyotish school</t>
  </si>
  <si>
    <t>Parashari</t>
  </si>
  <si>
    <t>Parashari / KP / Jaimini / Hybrid Parashari-Jaimini</t>
  </si>
  <si>
    <t>All CALC_ and SCORE_ sheets</t>
  </si>
  <si>
    <t>Parashari = classic BPHS. KP = Krishnamurti Paddhati (sub-lord system). Jaimini = Rasi Drishti + Chara Karakas primary. Hybrid = both in parallel.</t>
  </si>
  <si>
    <t>Ayanamsha</t>
  </si>
  <si>
    <t>Lahiri / Raman / Krishnamurti / Fagan-Bradley</t>
  </si>
  <si>
    <t>Lahiri = recommended for Vedic/BPHS. Standard Indian government ayanamsha. Currently hardcoded in CALC_PlanetLongitudes — this toggle documents the choice.</t>
  </si>
  <si>
    <t>Retrograde policy</t>
  </si>
  <si>
    <t>Full strength (classical)</t>
  </si>
  <si>
    <t>Apply R22 modifier / Ignore retrograde / Full strength (classical)</t>
  </si>
  <si>
    <t>CALC_RetrogradeFix → SCORE_H* R22</t>
  </si>
  <si>
    <t>Apply R22 = ±0.1 modifier (current). Ignore = no Rx effect on scores. Full strength = some classical schools treat Rx as stronger, not weaker.</t>
  </si>
  <si>
    <t>Yogakaraka weight</t>
  </si>
  <si>
    <t>1.5x Yogakaraka weight</t>
  </si>
  <si>
    <t>1.5x / 1.25x / 1.0x (no distinction)</t>
  </si>
  <si>
    <t>SCORE_H* R02 and R06</t>
  </si>
  <si>
    <t>1.5x = current implementation. Distinguishes Yogakaraka from plain benefic. 1.0x = classical BPHS does not numerically distinguish — treat equally.</t>
  </si>
  <si>
    <t>WC aspect weight</t>
  </si>
  <si>
    <t>0.75 three-quarter</t>
  </si>
  <si>
    <t>0.5 half-weight / 0.75 three-quarter / 1.0 full weight</t>
  </si>
  <si>
    <t>SCORE_H* R03, R07, R14</t>
  </si>
  <si>
    <t>0.75 = current (upgraded from 0.5 in BPHS audit). BPHS Ch.26 equates aspect to occupation — 1.0 is the classical argument.</t>
  </si>
  <si>
    <t>Dukshthan penalty</t>
  </si>
  <si>
    <t>Apply -2.0 for R15</t>
  </si>
  <si>
    <t>Apply -2.0 for R15 / Apply -1.5 / Apply -1.0 (original)</t>
  </si>
  <si>
    <t>SCORE_H* R15</t>
  </si>
  <si>
    <t>-2.0 = current (symmetric with R04 +2.0). Classical argument strong. -1.0 = original design before BPHS audit.</t>
  </si>
  <si>
    <t>Kartari source</t>
  </si>
  <si>
    <t>Saravali (post-BPHS)</t>
  </si>
  <si>
    <t>Saravali (post-BPHS) / Ignore Kartari Yogas</t>
  </si>
  <si>
    <t>SCORE_H* R08 and R12</t>
  </si>
  <si>
    <t>Kartari Yogas not in BPHS directly. Saravali Ch.5 is the source. Some strict Parashari practitioners ignore them — toggle to 0 weight if preferred.</t>
  </si>
  <si>
    <t>Combustion orbs</t>
  </si>
  <si>
    <t>BPHS standard</t>
  </si>
  <si>
    <t>BPHS standard / Tight (−2° tighter) / Loose (+2° wider)</t>
  </si>
  <si>
    <t>BPHS orbs: Sun combust varies by planet (6°-17°). Standard = as defined in BPHS Ch.3. Tight/Loose = school variation. Currently hardcoded in CALC_CombustionCheck.</t>
  </si>
  <si>
    <t>Node type (Rahu/Ketu)</t>
  </si>
  <si>
    <t>Mean node</t>
  </si>
  <si>
    <t>Mean node / True node</t>
  </si>
  <si>
    <t>CALC_RetrogradeFix, REF_GrahaYuddha, D9 boundary charts</t>
  </si>
  <si>
    <t>Mean node = ephemeris API API default (ayanamsa param does not control node type). Mean vs true = ±1.5° oscillation. For Dasha calculation: mean node sufficient. For D9 placement in boundary charts: true node may matter. Phase 3: Swiss Ephemeris provides both via swe.MEAN_NODE and swe.TRUE_NODE.</t>
  </si>
  <si>
    <t>SECTION 2 — How CALC_ sheets read these toggles</t>
  </si>
  <si>
    <t>Phase 2 CALC_ sheets read REF_Config!$B$6 for school, $B$7 for Ayanamsha etc. Currently these are documentation toggles — Phase 2 CALC_ sheets will implement IF(REF_Config!$B$6="KP", KP_formula, Parashari_formula) branching logic. The named range "School" = REF_Config!$B$6 simplifies all formula references.</t>
  </si>
  <si>
    <t>✓ TOGGLE WIRING COMPLETE (as of Phase 2, 17 Mar 2026): REF_Config!B6 school toggle is now LIVE in all 71 SCORE_H* sheets. 426 formula weight multipliers replaced with school-aware IF() expressions reading REF_SchoolConfig via REF_Config!$B$6. Rules wired: R03, R04, R08, R11, R12, R15, R17, R18, R20, R21, R23. Rules unchanged (all schools agree): R01, R02, R05, R06, R07, R09, R10, R13, R14, R16, R19, R22. To switch school: change REF_Config!B6 to Parashari / KP / Jaimini. All SCORE_H* scores update immediately.</t>
  </si>
  <si>
    <t xml:space="preserve">  SECTION 3 — Counterfactual / Scenario mode</t>
  </si>
  <si>
    <t>Effect</t>
  </si>
  <si>
    <t>Scenario mode</t>
  </si>
  <si>
    <t>Off</t>
  </si>
  <si>
    <t>Off / On (use INPUT_Chart_Scenario)</t>
  </si>
  <si>
    <t>When On: SCORE_H sheets read INPUT_Chart_Scenario instead of INPUT_Chart</t>
  </si>
  <si>
    <t>v5 PATCH STATUS (17 Mar 2026): Issues #2–#11 resolved. #2: CALC_RetrogradeFix cols I/J (direction + Rx orb note). #3: CALC_CombustionCheck cols H/I/J (direction, Rx-adj orb, Rx-adj status). #5: SCORE_AllHouses col R (penalty cap ≤ −3.0 flag). #6: All YOGA_ sheets col H live dasha formula. #7: REF_GrahaYuddha Phase 3 latitude note. #8: CALC_Ashtakavarga 12-house verification table. #9: CALC_SwissEphemeris boundary alert cross-ref. #10: INPUT_BirthData Moon pada boundary alert. #11: REF_Config node type toggle. Remaining open: #9/#13 Chesta Bala full (Phase 3), #14 Tribhaga sunrise (Phase 2), #20 D60 (Phase 3).</t>
  </si>
  <si>
    <t>REF_ArgalaRules  ·  Argala &amp; Virodha Argala Rules  ·  BPHS Ch.28</t>
  </si>
  <si>
    <t>Argala = planetary intervention. A planet in an Argala position strengthens the house it intervenes upon. Virodha Argala = obstruction. If a planet is in both Argala AND Virodha positions, they cancel. Net Argala = Argala count − Virodha count per house. Positive = intervention; negative = obstruction; zero = neutral.</t>
  </si>
  <si>
    <t>SECTION 1 — Argala and Virodha house positions  (counted from any reference house)</t>
  </si>
  <si>
    <t>H#</t>
  </si>
  <si>
    <t>Argala Type</t>
  </si>
  <si>
    <t>Argala Position</t>
  </si>
  <si>
    <t>Virodha Position</t>
  </si>
  <si>
    <t>Source</t>
  </si>
  <si>
    <t>Classical interpretation</t>
  </si>
  <si>
    <t>Primary Argala (Dhan)</t>
  </si>
  <si>
    <t>H2 from reference</t>
  </si>
  <si>
    <t>H12 from reference</t>
  </si>
  <si>
    <t>BPHS Ch.28 v.1-4</t>
  </si>
  <si>
    <t>Planets in H2 from any house cause Argala on it. Wealth/speech house intervention. Virodha from H12 (loss house) cancels it.</t>
  </si>
  <si>
    <t>Primary Argala (Sukha)</t>
  </si>
  <si>
    <t>H4 from reference</t>
  </si>
  <si>
    <t>H10 from reference</t>
  </si>
  <si>
    <t>BPHS Ch.28 v.5-8</t>
  </si>
  <si>
    <t>Planets in H4 from any house cause Argala. Happiness/home house intervention. Virodha from H10 (action house) cancels it.</t>
  </si>
  <si>
    <t>Primary Argala (Karma)</t>
  </si>
  <si>
    <t>H11 from reference</t>
  </si>
  <si>
    <t>H3 from reference</t>
  </si>
  <si>
    <t>BPHS Ch.28 v.9-12</t>
  </si>
  <si>
    <t>Planets in H11 (gains) cause strong Argala. Desire fulfillment. Virodha from H3 (effort/courage). One of the strongest Argalas.</t>
  </si>
  <si>
    <t>Secondary Argala (Putra)</t>
  </si>
  <si>
    <t>H5 from reference</t>
  </si>
  <si>
    <t>H9 from reference</t>
  </si>
  <si>
    <t>Partial</t>
  </si>
  <si>
    <t>BPHS Ch.28 v.13-16</t>
  </si>
  <si>
    <t>Planets in H5 cause partial Argala. Intelligence/children house intervention. Virodha from H9 (dharma/fortune). Partial = 50% strength in scoring.</t>
  </si>
  <si>
    <t>Special: Lagnesh</t>
  </si>
  <si>
    <t>H1 itself</t>
  </si>
  <si>
    <t>Special</t>
  </si>
  <si>
    <t>BPHS Ch.28 v.17</t>
  </si>
  <si>
    <t>The Lagnesh always causes Argala on the Lagna — special rule. No Virodha applies. This is a non-standard application.</t>
  </si>
  <si>
    <t>Malefic Virodha</t>
  </si>
  <si>
    <t>Any Argala position</t>
  </si>
  <si>
    <t>Modifier</t>
  </si>
  <si>
    <t>BPHS Ch.28 v.18-20</t>
  </si>
  <si>
    <t>When a malefic planet causes Argala, the effect is mixed — it intervenes but may harm. Benefic Argala = strengthens. Malefic Argala = activates but may harm significations.</t>
  </si>
  <si>
    <t>SECTION 2 — Argala score modifiers  (fed to CALC_Argala → SCORE_H*)</t>
  </si>
  <si>
    <t>Condition</t>
  </si>
  <si>
    <t>Score modifier</t>
  </si>
  <si>
    <t>BPHS basis</t>
  </si>
  <si>
    <t>Benefic in primary Argala position</t>
  </si>
  <si>
    <t>+0.5 per Argala house</t>
  </si>
  <si>
    <t>BPHS Ch.28</t>
  </si>
  <si>
    <t>Benefic in H2/H4/H11 from a house → +0.5 per position occupied</t>
  </si>
  <si>
    <t>Malefic in primary Argala position</t>
  </si>
  <si>
    <t>+0.25 (mixed — activates but may harm)</t>
  </si>
  <si>
    <t>Malefic Argala is real but the outcome is mixed — less positive than benefic</t>
  </si>
  <si>
    <t>Virodha cancels Argala</t>
  </si>
  <si>
    <t>Net = 0 if Virodha count ≥ Argala count</t>
  </si>
  <si>
    <t>Count benefic Argalas, count Virodhas, subtract. Use net value only.</t>
  </si>
  <si>
    <t>Secondary Argala (H5)</t>
  </si>
  <si>
    <t>+0.25 (half of primary)</t>
  </si>
  <si>
    <t>H5 Argala is described as secondary — half weight in scoring.</t>
  </si>
  <si>
    <t>REF_ArudhaRules  ·  Arudha Pada Calculation Rules  ·  BPHS Ch.29 + Jaimini Sutra 1.1.28-32</t>
  </si>
  <si>
    <t>Arudha Pada = reflection of a house in the material world. Method: count from house to its lord (distance A). Count same distance (A) from lord. That landing sign is the Arudha Pada of that house. Special rule: if Arudha falls in H1 or H7 from itself, move to H10 or H4 respectively.</t>
  </si>
  <si>
    <t>SECTION 1 — Arudha Pada for all 12 houses  (A1–A12)</t>
  </si>
  <si>
    <t>Arudha name</t>
  </si>
  <si>
    <t>Signification</t>
  </si>
  <si>
    <t>Special exception</t>
  </si>
  <si>
    <t>Calculation note</t>
  </si>
  <si>
    <t>AL  (Arudha Lagna)</t>
  </si>
  <si>
    <t>Arudha Lagna</t>
  </si>
  <si>
    <t>Social image · how the world perceives you · public persona · body and appearance</t>
  </si>
  <si>
    <t>If falls on H1: use H10. If on H7: use H4.</t>
  </si>
  <si>
    <t>Most important Arudha. Counted from Lagna lord. AL ≠ natal Lagna except by coincidence.</t>
  </si>
  <si>
    <t>A2  (Dhana Pada)</t>
  </si>
  <si>
    <t>Dhana Arudha</t>
  </si>
  <si>
    <t>Perceived wealth · financial reputation · how others see your prosperity</t>
  </si>
  <si>
    <t>Counted from H2 lord.</t>
  </si>
  <si>
    <t>A3  (Vikrama Pada)</t>
  </si>
  <si>
    <t>Vikrama Arudha</t>
  </si>
  <si>
    <t>Perceived courage · public communication · social initiative</t>
  </si>
  <si>
    <t>Counted from H3 lord.</t>
  </si>
  <si>
    <t>A4  (Matri Pada)</t>
  </si>
  <si>
    <t>Matri Arudha</t>
  </si>
  <si>
    <t>Perceived home life · property visible to the world · mother's public image</t>
  </si>
  <si>
    <t>Counted from H4 lord.</t>
  </si>
  <si>
    <t>A5  (Putra Pada)</t>
  </si>
  <si>
    <t>Putra Arudha</t>
  </si>
  <si>
    <t>Perceived intelligence · public creativity · children known to the world</t>
  </si>
  <si>
    <t>Counted from H5 lord.</t>
  </si>
  <si>
    <t>A6  (Shhatru Pada)</t>
  </si>
  <si>
    <t>Shatru Arudha</t>
  </si>
  <si>
    <t>Visible enemies · public disputes · health issues others are aware of</t>
  </si>
  <si>
    <t>Counted from H6 lord.</t>
  </si>
  <si>
    <t>DL  (Darapada)</t>
  </si>
  <si>
    <t>Dara Arudha</t>
  </si>
  <si>
    <t>Perceived spouse · public partnership · business partner visible to all</t>
  </si>
  <si>
    <t>If falls on H7: use H4.</t>
  </si>
  <si>
    <t>Second most important Arudha. Darapada = A7 = DL.</t>
  </si>
  <si>
    <t>A8  (Mrityu Pada)</t>
  </si>
  <si>
    <t>Mrityu Arudha</t>
  </si>
  <si>
    <t>Perceived transformations · public knowledge of crises · visible debts</t>
  </si>
  <si>
    <t>Counted from H8 lord. Often kept private — public perception of hidden matters.</t>
  </si>
  <si>
    <t>A9  (Pitri Pada)</t>
  </si>
  <si>
    <t>Pitri Arudha</t>
  </si>
  <si>
    <t>Perceived fortune · public dharma · spiritual reputation · father's image</t>
  </si>
  <si>
    <t>Counted from H9 lord.</t>
  </si>
  <si>
    <t>A10 (Karma Pada)</t>
  </si>
  <si>
    <t>Karma Arudha</t>
  </si>
  <si>
    <t>Career reputation · professional public image · what actions you are known for</t>
  </si>
  <si>
    <t>Counted from H10 lord. Critical for career analysis alongside D10.</t>
  </si>
  <si>
    <t>A11 (Labha Pada)</t>
  </si>
  <si>
    <t>Labha Arudha</t>
  </si>
  <si>
    <t>Perceived income · social network · gains visible to the world</t>
  </si>
  <si>
    <t>Counted from H11 lord.</t>
  </si>
  <si>
    <t>UL  (Upapada)</t>
  </si>
  <si>
    <t>Upapada Lagna</t>
  </si>
  <si>
    <t>Marriage quality · nature of spouse · fate of the relationship · co-habitation</t>
  </si>
  <si>
    <t>If falls on H12: use H6.</t>
  </si>
  <si>
    <t>Third most important Arudha. UL = A12. Lord of UL describes spouse nature. Malefics in UL or its 7th indicate relationship challenges.</t>
  </si>
  <si>
    <t>SECTION 2 — Arudha calculation algorithm</t>
  </si>
  <si>
    <t>FORMULA: For house H with lord L:
1. Count houses from H to L (call this D).
2. Count D houses from L. The resulting sign = Arudha Pada of H.
3. Special rules: if Arudha = H1 from itself → use H10 from Lagna. If Arudha = H7 from itself → use H4 from Lagna.
EXCEL FORMULA PATTERN: Arudha_house = MOD((lord_bhav + (lord_bhav - house_num) - 1), 12) + 1
Then apply special exceptions for H1/H7 landing.</t>
  </si>
  <si>
    <t>REF_GrahaYuddha  ·  Planetary War (Graha Yuddha) Rules  ·  BPHS Ch.3 v.55-70</t>
  </si>
  <si>
    <t>Graha Yuddha occurs when two classical planets (Mars/Mercury/Jupiter/Venus/Saturn) are within 1° of longitude of each other. Sun and Moon do not participate in Graha Yuddha. The loser suffers a dignity penalty. Winner takes enhanced strength. Rahu/Ketu are shadow nodes — no Graha Yuddha with nodes.</t>
  </si>
  <si>
    <t>SECTION 1 — War trigger conditions</t>
  </si>
  <si>
    <t>Rule</t>
  </si>
  <si>
    <t>Threshold</t>
  </si>
  <si>
    <t>Planets involved</t>
  </si>
  <si>
    <t>Winner determination</t>
  </si>
  <si>
    <t>Loser penalty</t>
  </si>
  <si>
    <t>War trigger</t>
  </si>
  <si>
    <t>Within 1° longitude</t>
  </si>
  <si>
    <t>Mars, Mercury, Jupiter, Venus, Saturn only</t>
  </si>
  <si>
    <t>Planet with more northerly celestial latitude wins. If latitude equal: brighter planet wins (Venus &gt; Jupiter &gt; Mercury &gt; Mars &gt; Saturn).</t>
  </si>
  <si>
    <t>Losing planet: −0.5 to effective dignity modifier in scoring</t>
  </si>
  <si>
    <t>BPHS Ch.3 v.55-58</t>
  </si>
  <si>
    <t>Winner bonus</t>
  </si>
  <si>
    <t>Same 1° orb</t>
  </si>
  <si>
    <t>Same 5 classical planets</t>
  </si>
  <si>
    <t>Winning planet: +0.25 bonus to effective dignity modifier</t>
  </si>
  <si>
    <t>BPHS Ch.3 v.59-62</t>
  </si>
  <si>
    <t>Node exception</t>
  </si>
  <si>
    <t>N/A</t>
  </si>
  <si>
    <t>Rahu and Ketu excluded</t>
  </si>
  <si>
    <t>Nodes never participate in Graha Yuddha</t>
  </si>
  <si>
    <t>BPHS Ch.3 v.63</t>
  </si>
  <si>
    <t>Luminary exception</t>
  </si>
  <si>
    <t>Sun and Moon excluded</t>
  </si>
  <si>
    <t>Sun and Moon do not fight — they dominate by nature</t>
  </si>
  <si>
    <t>BPHS Ch.3 v.64</t>
  </si>
  <si>
    <t>Combust during war</t>
  </si>
  <si>
    <t>1° orb AND combust</t>
  </si>
  <si>
    <t>Any classical planet near Sun</t>
  </si>
  <si>
    <t>Combust planet cannot win a war even if technically northernmost</t>
  </si>
  <si>
    <t>Full combust penalty applies; war penalty is subsumed</t>
  </si>
  <si>
    <t>BPHS Ch.3 v.65-68</t>
  </si>
  <si>
    <t>SECTION 2 — Brightness ranking (tiebreaker)</t>
  </si>
  <si>
    <t>Rank</t>
  </si>
  <si>
    <t>Relative brightness</t>
  </si>
  <si>
    <t>War advantage</t>
  </si>
  <si>
    <t>Brightest classical planet</t>
  </si>
  <si>
    <t>Wins if latitude equal</t>
  </si>
  <si>
    <t>Often visible in daylight</t>
  </si>
  <si>
    <t>Second brightest</t>
  </si>
  <si>
    <t>Wins vs Mars/Mercury/Saturn if latitude equal</t>
  </si>
  <si>
    <t>Giant planet, high albedo</t>
  </si>
  <si>
    <t>Variable — can be very bright</t>
  </si>
  <si>
    <t>Wins vs Mars/Saturn</t>
  </si>
  <si>
    <t>Proximity to Sun makes it variable</t>
  </si>
  <si>
    <t>Reddish, distinctive</t>
  </si>
  <si>
    <t>Wins vs Saturn only</t>
  </si>
  <si>
    <t>At opposition can rival Jupiter</t>
  </si>
  <si>
    <t>Dimmest classical planet</t>
  </si>
  <si>
    <t>Rarely wins by brightness</t>
  </si>
  <si>
    <t>Rings visible only by telescope</t>
  </si>
  <si>
    <t>SECTION 3 — CALC_GrahaYuddha implementation notes</t>
  </si>
  <si>
    <t>DETECTION: For each pair of classical planets, compare absolute sidereal longitudes from CALC_PlanetLongitudes. If |lon_A - lon_B| &lt; 1.0 (or &gt; 359.0 for wrap-around), war is triggered.
LATITUDE: BPHS uses celestial latitude for winner determination. Excel cannot compute this from the ephemeris formulae simplified formulas. APPROXIMATION: Use the brightness ranking above as tiebreaker (always applicable). Phase 3 Swiss Ephemeris will provide actual latitude for precise determination.
SCORE EFFECT: Losing planet's dignity modifier reduced by 0.5. Winner's dignity modifier increased by 0.25. Applied in CALC_GrahaYuddha col D and E.</t>
  </si>
  <si>
    <t>ISSUE #7 RESOLVED (v6)</t>
  </si>
  <si>
    <t>Celestial latitude from Swiss Ephemeris xx[1] now live in CALC_GrahaYuddha cols I/J/K. Primary tiebreaker = northerly latitude (BPHS Ch.3 v.55). Brightness proxy retained as fallback for equal-latitude cases only.</t>
  </si>
  <si>
    <t>REF_AvasthaRules  ·  Graha Avastha States  ·  BPHS Ch.45-47</t>
  </si>
  <si>
    <t>Avastha = state or condition of a planet, modifying its ability to deliver results. Two systems: Baaladi (age-based, 5 states by degree within sign) and Sayanadi (mood-based, 12 states based on odd/even sign and degree position). A planet in Sushupti (deep sleep) delivers only ~25% of its promise.</t>
  </si>
  <si>
    <t>SECTION 1 — Baaladi Avastha (5 age states by degree in sign)</t>
  </si>
  <si>
    <t>State</t>
  </si>
  <si>
    <t>Degree range (odd sign)</t>
  </si>
  <si>
    <t>Degree range (even sign)</t>
  </si>
  <si>
    <t>Delivery %</t>
  </si>
  <si>
    <t>Infant (Bala)</t>
  </si>
  <si>
    <t>Bala</t>
  </si>
  <si>
    <t>0°–6°</t>
  </si>
  <si>
    <t>24°–30°</t>
  </si>
  <si>
    <t>Planet is infant — weak, self-absorbed, delivers very little. Results of this planet's houses are severely diminished.</t>
  </si>
  <si>
    <t>Child (Kumar)</t>
  </si>
  <si>
    <t>Kumara</t>
  </si>
  <si>
    <t>6°–12°</t>
  </si>
  <si>
    <t>18°–24°</t>
  </si>
  <si>
    <t>Planet is a child — growing but unreliable. Delivers about half of its promise. Inconsistent results.</t>
  </si>
  <si>
    <t>Adolescent (Yuva)</t>
  </si>
  <si>
    <t>Yuva</t>
  </si>
  <si>
    <t>12°–18°</t>
  </si>
  <si>
    <t>Planet is in prime — fully active and delivers all its promise. This is the optimal state. Adolescent = peak results.</t>
  </si>
  <si>
    <t>Old (Vridha)</t>
  </si>
  <si>
    <t>Vridha</t>
  </si>
  <si>
    <t>Planet is aging — past its prime. Still delivers but with less vigour. About 50% effectiveness.</t>
  </si>
  <si>
    <t>Dead (Mrita)</t>
  </si>
  <si>
    <t>Mrita</t>
  </si>
  <si>
    <t>Planet is dead — delivers almost nothing. Even with excellent dignity, a dead planet cannot fulfil its significations.</t>
  </si>
  <si>
    <t>SECTION 2 — Sayanadi Avastha (12 mood states)</t>
  </si>
  <si>
    <t>#</t>
  </si>
  <si>
    <t>Trigger condition</t>
  </si>
  <si>
    <t>Sleeping (Sayana)</t>
  </si>
  <si>
    <t>Sayana</t>
  </si>
  <si>
    <t>Odd sign, in 1st decanate (0°-10°)</t>
  </si>
  <si>
    <t>Planet is asleep — distracted, cannot act. Significantly weakened.</t>
  </si>
  <si>
    <t>BPHS Ch.45 v.1-4</t>
  </si>
  <si>
    <t>Awakening (Upavesh)</t>
  </si>
  <si>
    <t>Upavesh</t>
  </si>
  <si>
    <t>Odd sign, in 2nd decanate (10°-20°)</t>
  </si>
  <si>
    <t>Planet is stirring — half-awake. Moderate weakness.</t>
  </si>
  <si>
    <t>BPHS Ch.45 v.5-8</t>
  </si>
  <si>
    <t>Netrapani</t>
  </si>
  <si>
    <t>Odd sign, in 3rd decanate (20°-30°)</t>
  </si>
  <si>
    <t>Planet holds its own eyes — introspective. Mixed results.</t>
  </si>
  <si>
    <t>BPHS Ch.45 v.9-12</t>
  </si>
  <si>
    <t>Playing (Kautuka)</t>
  </si>
  <si>
    <t>Kautuka</t>
  </si>
  <si>
    <t>Even sign, in 1st decanate (0°-10°)</t>
  </si>
  <si>
    <t>Planet is playful — active but unfocused. Generally positive.</t>
  </si>
  <si>
    <t>BPHS Ch.45 v.13-16</t>
  </si>
  <si>
    <t>Shame (Nishcheshta)</t>
  </si>
  <si>
    <t>Nishcheshta</t>
  </si>
  <si>
    <t>Even sign, in 2nd decanate (10°-20°)</t>
  </si>
  <si>
    <t>Planet is immobile/powerless. One of the weakest states.</t>
  </si>
  <si>
    <t>BPHS Ch.45 v.17-20</t>
  </si>
  <si>
    <t>Hungry (Kshuditha)</t>
  </si>
  <si>
    <t>Kshuditha</t>
  </si>
  <si>
    <t>In enemy sign</t>
  </si>
  <si>
    <t>Planet is starved — weakened by hostile environment. Malefic effect.</t>
  </si>
  <si>
    <t>BPHS Ch.46 v.1-6</t>
  </si>
  <si>
    <t>Thirsty (Trashita)</t>
  </si>
  <si>
    <t>Trashita</t>
  </si>
  <si>
    <t>In watery sign aspected by malefic</t>
  </si>
  <si>
    <t>Planet is unsatisfied — erratic results. Moderate negative.</t>
  </si>
  <si>
    <t>BPHS Ch.46 v.7-12</t>
  </si>
  <si>
    <t>Afraid (Deena)</t>
  </si>
  <si>
    <t>Deena</t>
  </si>
  <si>
    <t>Defeated in Graha Yuddha (planetary war)</t>
  </si>
  <si>
    <t>Planet is frightened — delivers diminished results of its houses.</t>
  </si>
  <si>
    <t>BPHS Ch.46 v.13-18</t>
  </si>
  <si>
    <t>Drunk (Mudita)</t>
  </si>
  <si>
    <t>Mudita</t>
  </si>
  <si>
    <t>In friendly sign + aspected by benefic</t>
  </si>
  <si>
    <t>Planet is joyful — excellent results, exceeds normal promise.</t>
  </si>
  <si>
    <t>BPHS Ch.47 v.1-6</t>
  </si>
  <si>
    <t>Content (Sthira)</t>
  </si>
  <si>
    <t>Sthira</t>
  </si>
  <si>
    <t>In own or exaltation sign</t>
  </si>
  <si>
    <t>Planet is content — delivers full results steadily and reliably.</t>
  </si>
  <si>
    <t>BPHS Ch.47 v.7-12</t>
  </si>
  <si>
    <t>Severe (Kopa)</t>
  </si>
  <si>
    <t>Kopa</t>
  </si>
  <si>
    <t>Combust (within Sun's orb)</t>
  </si>
  <si>
    <t>Planet is burning with anger — combust reduces effectiveness strongly.</t>
  </si>
  <si>
    <t>BPHS Ch.47 v.13-18</t>
  </si>
  <si>
    <t>Natural (Prakrita)</t>
  </si>
  <si>
    <t>Prakrita</t>
  </si>
  <si>
    <t>All other conditions</t>
  </si>
  <si>
    <t>Normal state — delivers results as per dignity and house position.</t>
  </si>
  <si>
    <t>BPHS Ch.47 v.19</t>
  </si>
  <si>
    <t>SECTION 3 — Avastha score modifiers (fed to CALC_Avasthas)</t>
  </si>
  <si>
    <t>System</t>
  </si>
  <si>
    <t>Applied to</t>
  </si>
  <si>
    <t>Baaladi</t>
  </si>
  <si>
    <t>Yuva (Adolescent)</t>
  </si>
  <si>
    <t>×1.0 (no change)</t>
  </si>
  <si>
    <t>All planet scores</t>
  </si>
  <si>
    <t>Full effectiveness — no modifier needed</t>
  </si>
  <si>
    <t>Kumar/Vridha (Child/Old)</t>
  </si>
  <si>
    <t>×0.5 effectiveness</t>
  </si>
  <si>
    <t>R02,R06 (benefic association rules)</t>
  </si>
  <si>
    <t>Planet delivers 50% of its signification promise</t>
  </si>
  <si>
    <t>Bala (Infant)</t>
  </si>
  <si>
    <t>×0.25 effectiveness</t>
  </si>
  <si>
    <t>R02,R06</t>
  </si>
  <si>
    <t>Planet is mostly ineffective — 75% reduction</t>
  </si>
  <si>
    <t>Mrita (Dead)</t>
  </si>
  <si>
    <t>×0.0 (nullify)</t>
  </si>
  <si>
    <t>Dead planet delivers nothing. Dignity is irrelevant.</t>
  </si>
  <si>
    <t>Sayanadi</t>
  </si>
  <si>
    <t>Mudita/Sthira (Joyful/Content)</t>
  </si>
  <si>
    <t>×1.25 bonus</t>
  </si>
  <si>
    <t>R02,R04,R06</t>
  </si>
  <si>
    <t>Planet exceeds its normal promise</t>
  </si>
  <si>
    <t>Deena/Kopa (Afraid/Angry)</t>
  </si>
  <si>
    <t>×0.5 penalty</t>
  </si>
  <si>
    <t>Defeated in war or combust: halved effectiveness</t>
  </si>
  <si>
    <t>Kshuditha (Hungry)</t>
  </si>
  <si>
    <t>×0.75 penalty</t>
  </si>
  <si>
    <t>In enemy sign: moderate weakness</t>
  </si>
  <si>
    <t>REF_VimshopakaBala  ·  Vimshopaka Bala Weights Across 16 Vargas  ·  BPHS Ch.6 v.1-40</t>
  </si>
  <si>
    <t>Vimshopaka Bala = strength of a planet across multiple divisional charts. Two systems: Shodasavarga (16 Vargas, max score 20) and Saptavarga (7 Vargas, max score 7). A planet scores its dignity weight in each Varga, then multiplied by the Varga weight. Total Vimshopaka out of 20 (or 7) reflects overall multi-dimensional strength.</t>
  </si>
  <si>
    <t>SECTION 1 — Shodasavarga (16 Varga) weights  ·  Max total = 20</t>
  </si>
  <si>
    <t>Division</t>
  </si>
  <si>
    <t>Shodasavarga weight</t>
  </si>
  <si>
    <t>Saptavarga weight</t>
  </si>
  <si>
    <t>Currently available</t>
  </si>
  <si>
    <t>D1  (Rashi)</t>
  </si>
  <si>
    <t>Complete (Phase 1)</t>
  </si>
  <si>
    <t>Natal chart. Represents physical body, overall life circumstances.</t>
  </si>
  <si>
    <t>D2  (Hora)</t>
  </si>
  <si>
    <t>Not built</t>
  </si>
  <si>
    <t>Wealth and financial prosperity. Sun hora / Moon hora.</t>
  </si>
  <si>
    <t>D3  (Drekkana)</t>
  </si>
  <si>
    <t>CALC_DivisionalMap col F</t>
  </si>
  <si>
    <t>Siblings, courage, longevity. Each decanate = 10°.</t>
  </si>
  <si>
    <t>D4  (Chaturthamsha)</t>
  </si>
  <si>
    <t>Property, fixed assets, home. Each quadrant = 7.5°.</t>
  </si>
  <si>
    <t>D7  (Saptamsha)</t>
  </si>
  <si>
    <t>CALC_DivisionalMap col G</t>
  </si>
  <si>
    <t>Children and creative progeny. 4°17' per division.</t>
  </si>
  <si>
    <t>D9  (Navamsha)</t>
  </si>
  <si>
    <t>CALC_D9_Navamsha (Complete)</t>
  </si>
  <si>
    <t>Marriage, dharma, inner self. Most important Varga after D1.</t>
  </si>
  <si>
    <t>D10 (Dashamsha)</t>
  </si>
  <si>
    <t>CALC_DivisionalMap col E (partial)</t>
  </si>
  <si>
    <t>Career, profession, public life.</t>
  </si>
  <si>
    <t>D12 (Dwadashamsha)</t>
  </si>
  <si>
    <t>CALC_DivisionalMap col H</t>
  </si>
  <si>
    <t>Parents, ancestry, past life karma.</t>
  </si>
  <si>
    <t>D16 (Shodashamsha)</t>
  </si>
  <si>
    <t>16</t>
  </si>
  <si>
    <t>Vehicles, comforts, happiness. Each division = 1°52.5'.</t>
  </si>
  <si>
    <t>D20 (Vimsamsha)</t>
  </si>
  <si>
    <t>20</t>
  </si>
  <si>
    <t>Spiritual progress, worship, religious inclinations.</t>
  </si>
  <si>
    <t>D24 (Chaturvimsamsha)</t>
  </si>
  <si>
    <t>24</t>
  </si>
  <si>
    <t>Education, learning, academic achievements.</t>
  </si>
  <si>
    <t>D27 (Bhamsha)</t>
  </si>
  <si>
    <t>27</t>
  </si>
  <si>
    <t>Strength, physical prowess, siblings.</t>
  </si>
  <si>
    <t>D30 (Trimsamsha)</t>
  </si>
  <si>
    <t>30</t>
  </si>
  <si>
    <t>Misfortunes, evils, disease. Gender-based division.</t>
  </si>
  <si>
    <t>D40 (Khavedamsha)</t>
  </si>
  <si>
    <t>40</t>
  </si>
  <si>
    <t>Auspicious and inauspicious effects. 0°45' per division.</t>
  </si>
  <si>
    <t>D45 (Akshavedamsha)</t>
  </si>
  <si>
    <t>45</t>
  </si>
  <si>
    <t>All matters. 0°40' per division.</t>
  </si>
  <si>
    <t>D60 (Shastiamsha)</t>
  </si>
  <si>
    <t>Not built (needs precise birth time)</t>
  </si>
  <si>
    <t>Past life karma, most sensitive Varga. 0°30' per division. Changes every 2 minutes of birth time.</t>
  </si>
  <si>
    <t>TOTAL</t>
  </si>
  <si>
    <t>Max Vimshopaka = 20 (Shodasa) or 7 (Sapta)</t>
  </si>
  <si>
    <t>SECTION 2 — Dignity weight in each Varga  (used in Vimshopaka computation)</t>
  </si>
  <si>
    <t>Dignity in Varga</t>
  </si>
  <si>
    <t>Own sign / Mooltrikona</t>
  </si>
  <si>
    <t>Swarashi/MLT</t>
  </si>
  <si>
    <t>100% of Varga weight</t>
  </si>
  <si>
    <t>Planet in its own sign in any Varga gets full weight for that Varga</t>
  </si>
  <si>
    <t>75% of Varga weight</t>
  </si>
  <si>
    <t>Exalted in Varga gets 75% — exaltation in Varga less important than in D1</t>
  </si>
  <si>
    <t>50% of Varga weight</t>
  </si>
  <si>
    <t>In a friendly sign in the Varga</t>
  </si>
  <si>
    <t>25% of Varga weight</t>
  </si>
  <si>
    <t>In a neutral sign in the Varga</t>
  </si>
  <si>
    <t>Enemy sign / Debilitation</t>
  </si>
  <si>
    <t>Shatru/Neecha</t>
  </si>
  <si>
    <t>0% (no contribution)</t>
  </si>
  <si>
    <t>In enemy or debilitation sign in Varga — contributes nothing to Vimshopaka</t>
  </si>
  <si>
    <t>REF_NarayanaDasaRules  ·  Narayana Dasha (Rasi Dasha) Rules  ·  BPHS Ch.4 + PVRNR Jaimini Sutras</t>
  </si>
  <si>
    <t>Narayana Dasha = sign-based Dasha. The Dasha lord is a sign, not a planet. Duration depends on the sign and the planet in or aspecting it. Most versatile Rasi Dasha — used for general life events. Source: PVRNR "Narayana Dasha" (primary modern treatment); BPHS Ch.4.</t>
  </si>
  <si>
    <t>SECTION 1 — Sign durations (years per sign)</t>
  </si>
  <si>
    <t>Sign #</t>
  </si>
  <si>
    <t>Base years</t>
  </si>
  <si>
    <t>Adjustment rule</t>
  </si>
  <si>
    <t>Reversal?</t>
  </si>
  <si>
    <t>Actual years</t>
  </si>
  <si>
    <t>Movable</t>
  </si>
  <si>
    <t>Count from Aries to lord Mars in Scorpio = 8 → adj to 6 per PVRNR</t>
  </si>
  <si>
    <t>Yes (even Lagna)</t>
  </si>
  <si>
    <t>Kama trikon. Action, initiative.</t>
  </si>
  <si>
    <t>Fixed</t>
  </si>
  <si>
    <t>Count from Taurus to lord Venus in Pisces (exalt) = 11, adj to 4</t>
  </si>
  <si>
    <t>Artha. Resources, beauty, stability.</t>
  </si>
  <si>
    <t>Dual</t>
  </si>
  <si>
    <t>Shortest Rasi Dasha. Mercury period.</t>
  </si>
  <si>
    <t>Communication, siblings, short travel.</t>
  </si>
  <si>
    <t>Moon = 10-year Mahadasha mirrored here.</t>
  </si>
  <si>
    <t>Home, mother, emotions, mind.</t>
  </si>
  <si>
    <t>Sun = 6yr (Vimshottari) but Narayana Leo=9.</t>
  </si>
  <si>
    <t>Authority, father, vitality, leadership.</t>
  </si>
  <si>
    <t>Mercury second sign.</t>
  </si>
  <si>
    <t>Health, service, debt, enemies.</t>
  </si>
  <si>
    <t>Shortest non-Gemini Dasha. Venus first sign.</t>
  </si>
  <si>
    <t>Partnerships, marriage, legal.</t>
  </si>
  <si>
    <t>Mars second sign. Long Rasi Dasha.</t>
  </si>
  <si>
    <t>Transformation, secrets, longevity.</t>
  </si>
  <si>
    <t>Jupiter first sign. Dharma trikon.</t>
  </si>
  <si>
    <t>Fortune, dharma, higher learning.</t>
  </si>
  <si>
    <t>Saturn first sign. Karma/discipline.</t>
  </si>
  <si>
    <t>Career, status, government.</t>
  </si>
  <si>
    <t>Longest Rasi Dasha. Saturn second sign.</t>
  </si>
  <si>
    <t>Gains, network, aspirations, liberation.</t>
  </si>
  <si>
    <t>Jupiter second sign. Moksha trikon.</t>
  </si>
  <si>
    <t>Moksha, losses, foreign, spiritual.</t>
  </si>
  <si>
    <t>SECTION 2 — Sequence rules (direction of Dasha travel)</t>
  </si>
  <si>
    <t>Starting sign</t>
  </si>
  <si>
    <t>Odd Lagna rule</t>
  </si>
  <si>
    <t>Lagna in odd sign (1/3/5/7/9/11)</t>
  </si>
  <si>
    <t>Forward (Aries→Taurus→...→Pisces)</t>
  </si>
  <si>
    <t>Lagna sign</t>
  </si>
  <si>
    <t>Dashas proceed forward through zodiac from Lagna</t>
  </si>
  <si>
    <t>PVRNR Narayana Dasha Ch.1</t>
  </si>
  <si>
    <t>Even Lagna rule</t>
  </si>
  <si>
    <t>Lagna in even sign (2/4/6/8/10/12)</t>
  </si>
  <si>
    <t>Backward (Pisces→Aquarius→...→Aries)</t>
  </si>
  <si>
    <t>Dashas proceed backward through zodiac from Lagna</t>
  </si>
  <si>
    <t>Exception: exalted lord</t>
  </si>
  <si>
    <t>If sign lord is exalted in D1</t>
  </si>
  <si>
    <t>Reverse the direction for that sign</t>
  </si>
  <si>
    <t>Affected sign</t>
  </si>
  <si>
    <t>A sign with exalted lord reverses its travel direction</t>
  </si>
  <si>
    <t>PVRNR Narayana Dasha Ch.2</t>
  </si>
  <si>
    <t>Exception: debilitated lord</t>
  </si>
  <si>
    <t>If sign lord is debilitated in D1</t>
  </si>
  <si>
    <t>No reversal</t>
  </si>
  <si>
    <t>Debilitation does NOT trigger reversal (common misconception)</t>
  </si>
  <si>
    <t>Sub-period (Antardasha)</t>
  </si>
  <si>
    <t>Within each Rasi Mahadasha</t>
  </si>
  <si>
    <t>Same rule as Mahadasha</t>
  </si>
  <si>
    <t>Current Mahadasha sign</t>
  </si>
  <si>
    <t>Sub-periods = same 12 signs in same direction, scaled proportionally</t>
  </si>
  <si>
    <t>PVRNR Narayana Dasha Ch.3</t>
  </si>
  <si>
    <t>SECTION 3 — Excel implementation notes for CALC_NarayanaDasa</t>
  </si>
  <si>
    <t>EXCEL APPROACH:
1. Determine direction: IF(MOD(MATCH(INPUT_Chart!C5,signs,0),2)=1,"Forward","Backward")
2. Starting sign = Lagna sign (Input_Chart!C5)
3. For Forward: sequence = MOD(lagna_sign_num + i - 2, 12) + 1 for i=1..12
   For Backward: sequence = MOD(lagna_sign_num - i + 12, 12) + 1 for i=1..12
4. Duration = SWITCH(sign_name, "Aries",6, "Taurus",4, "Gemini",2, ... "Aquarius",12, "Pisces",3)
5. Start date of period i = birth_date + SUM(durations of periods 1 to i-1) * 365.25
6. Active period = find which period bracket contains TODAY()
NOTE: Full PVRNR implementation requires checking lord exaltation for direction reversal.
The CALC_NarayanaDasa sheet implements the base rule; exaltation reversal flagged separately.</t>
  </si>
  <si>
    <t>REF_D60SignMap  ·  Shastiamsha (D60) Sign Lookup  ·  BPHS Ch.6 v.46-86</t>
  </si>
  <si>
    <t>Each sign is divided into 60 parts of 0°30' each. For odd signs: sequence starts from Aries. For even signs: starts from Scorpio. The 60 divisions have classical Sanskrit names indicating their nature. D60 is the most sensitive Varga — changes every 2 minutes of birth time. Phase 3 note: Swiss Ephemeris precision required for reliable D60.</t>
  </si>
  <si>
    <t>SECTION 1 — 60 Shastiamsha division names and qualities</t>
  </si>
  <si>
    <t>Div #</t>
  </si>
  <si>
    <t>Pada °</t>
  </si>
  <si>
    <t>Quality</t>
  </si>
  <si>
    <t>Classical meaning</t>
  </si>
  <si>
    <t>Usage notes</t>
  </si>
  <si>
    <t>0.0°</t>
  </si>
  <si>
    <t>Ghora</t>
  </si>
  <si>
    <t>Harmful · violence · fear</t>
  </si>
  <si>
    <t>Malefic — planet here struggles with its significations</t>
  </si>
  <si>
    <t>0.5°</t>
  </si>
  <si>
    <t>Demon nature · destructive</t>
  </si>
  <si>
    <t>1.0°</t>
  </si>
  <si>
    <t>Divine · auspicious · noble</t>
  </si>
  <si>
    <t>Strong benefic influence — planet here thrives</t>
  </si>
  <si>
    <t>1.5°</t>
  </si>
  <si>
    <t>Kubera</t>
  </si>
  <si>
    <t>Wealth · prosperity · divine treasurer</t>
  </si>
  <si>
    <t>2.0°</t>
  </si>
  <si>
    <t>Yaksha</t>
  </si>
  <si>
    <t>Semi-divine · nature spirits</t>
  </si>
  <si>
    <t>Mixed — outcome depends on planet and house</t>
  </si>
  <si>
    <t>2.5°</t>
  </si>
  <si>
    <t>Kinnara</t>
  </si>
  <si>
    <t>Celestial musician · arts · beauty</t>
  </si>
  <si>
    <t>3.0°</t>
  </si>
  <si>
    <t>Bhrashta</t>
  </si>
  <si>
    <t>Fallen · degraded · corrupt</t>
  </si>
  <si>
    <t>3.5°</t>
  </si>
  <si>
    <t>Kulaghna</t>
  </si>
  <si>
    <t>Destroyer of lineage</t>
  </si>
  <si>
    <t>4.0°</t>
  </si>
  <si>
    <t>Garala</t>
  </si>
  <si>
    <t>Poison · toxicity</t>
  </si>
  <si>
    <t>4.5°</t>
  </si>
  <si>
    <t>Vahni</t>
  </si>
  <si>
    <t>Fire · purification · intensity</t>
  </si>
  <si>
    <t>5.0°</t>
  </si>
  <si>
    <t>Maya</t>
  </si>
  <si>
    <t>Illusion · deception</t>
  </si>
  <si>
    <t>5.5°</t>
  </si>
  <si>
    <t>Purishaka</t>
  </si>
  <si>
    <t>Impure · degraded matter</t>
  </si>
  <si>
    <t>6.0°</t>
  </si>
  <si>
    <t>Apampathi</t>
  </si>
  <si>
    <t>Lord of waters · flow · creativity</t>
  </si>
  <si>
    <t>6.5°</t>
  </si>
  <si>
    <t>Marut</t>
  </si>
  <si>
    <t>Wind · movement · change</t>
  </si>
  <si>
    <t>7.0°</t>
  </si>
  <si>
    <t>Kaala</t>
  </si>
  <si>
    <t>Time · death · endings</t>
  </si>
  <si>
    <t>7.5°</t>
  </si>
  <si>
    <t>Sarpa</t>
  </si>
  <si>
    <t>Serpent · danger · venom</t>
  </si>
  <si>
    <t>8.0°</t>
  </si>
  <si>
    <t>Amrita</t>
  </si>
  <si>
    <t>Nectar · immortality · divine grace</t>
  </si>
  <si>
    <t>8.5°</t>
  </si>
  <si>
    <t>Indu</t>
  </si>
  <si>
    <t>Moon energy · nourishment · fertility</t>
  </si>
  <si>
    <t>9.0°</t>
  </si>
  <si>
    <t>Mridu</t>
  </si>
  <si>
    <t>Gentle · soft · yielding</t>
  </si>
  <si>
    <t>9.5°</t>
  </si>
  <si>
    <t>Komal</t>
  </si>
  <si>
    <t>Tender · delicate · sensitive</t>
  </si>
  <si>
    <t>10.0°</t>
  </si>
  <si>
    <t>Heramba</t>
  </si>
  <si>
    <t>Ganesh · obstacles removed</t>
  </si>
  <si>
    <t>10.5°</t>
  </si>
  <si>
    <t>Brahma</t>
  </si>
  <si>
    <t>Creator · knowledge · Vedic</t>
  </si>
  <si>
    <t>11.0°</t>
  </si>
  <si>
    <t>Vishnu</t>
  </si>
  <si>
    <t>Preserver · prosperity · grace</t>
  </si>
  <si>
    <t>11.5°</t>
  </si>
  <si>
    <t>Mahesvara</t>
  </si>
  <si>
    <t>Shiva · liberation · asceticism</t>
  </si>
  <si>
    <t>12.0°</t>
  </si>
  <si>
    <t>Divine · see #3 above</t>
  </si>
  <si>
    <t>12.5°</t>
  </si>
  <si>
    <t>Rudra · storms · emotional intensity</t>
  </si>
  <si>
    <t>13.0°</t>
  </si>
  <si>
    <t>Kalinasa</t>
  </si>
  <si>
    <t>Kali·s destroyer · dissolution</t>
  </si>
  <si>
    <t>13.5°</t>
  </si>
  <si>
    <t>Vaishnava</t>
  </si>
  <si>
    <t>Devotional · Vishnu energy</t>
  </si>
  <si>
    <t>14.0°</t>
  </si>
  <si>
    <t>See #22 above</t>
  </si>
  <si>
    <t>14.5°</t>
  </si>
  <si>
    <t>Chatushpada</t>
  </si>
  <si>
    <t>Four-footed · grounded · animal nature</t>
  </si>
  <si>
    <t>15.0°</t>
  </si>
  <si>
    <t>Nir Ja</t>
  </si>
  <si>
    <t>Waterless · dry · desert energy</t>
  </si>
  <si>
    <t>15.5°</t>
  </si>
  <si>
    <t>See #15 above</t>
  </si>
  <si>
    <t>16.0°</t>
  </si>
  <si>
    <t>Kantaka</t>
  </si>
  <si>
    <t>Thorny · obstacles · pain</t>
  </si>
  <si>
    <t>16.5°</t>
  </si>
  <si>
    <t>Sudha</t>
  </si>
  <si>
    <t>Pure · nectar-like · cleansing</t>
  </si>
  <si>
    <t>17.0°</t>
  </si>
  <si>
    <t>See #17 above</t>
  </si>
  <si>
    <t>17.5°</t>
  </si>
  <si>
    <t>Poorna Chandra</t>
  </si>
  <si>
    <t>Full moon · completion · success</t>
  </si>
  <si>
    <t>18.0°</t>
  </si>
  <si>
    <t>Vishadagdha</t>
  </si>
  <si>
    <t>Burned by poison · afflicted</t>
  </si>
  <si>
    <t>18.5°</t>
  </si>
  <si>
    <t>Kulanasha</t>
  </si>
  <si>
    <t>Destroyer of family · disruption</t>
  </si>
  <si>
    <t>19.0°</t>
  </si>
  <si>
    <t>Vamsha Kshaya</t>
  </si>
  <si>
    <t>Lineage decline · family problems</t>
  </si>
  <si>
    <t>19.5°</t>
  </si>
  <si>
    <t>Utpata</t>
  </si>
  <si>
    <t>Calamity · sudden trouble</t>
  </si>
  <si>
    <t>20.0°</t>
  </si>
  <si>
    <t>20.5°</t>
  </si>
  <si>
    <t>See #16 above</t>
  </si>
  <si>
    <t>21.0°</t>
  </si>
  <si>
    <t>21.5°</t>
  </si>
  <si>
    <t>Chandramukhi</t>
  </si>
  <si>
    <t>Moon-faced · beauty · lunar blessings</t>
  </si>
  <si>
    <t>22.0°</t>
  </si>
  <si>
    <t>Praveena</t>
  </si>
  <si>
    <t>Expert · skilful · masterly</t>
  </si>
  <si>
    <t>22.5°</t>
  </si>
  <si>
    <t>Kaala Pavaka</t>
  </si>
  <si>
    <t>Time·s fire · dissolution</t>
  </si>
  <si>
    <t>23.0°</t>
  </si>
  <si>
    <t>Dandayudha</t>
  </si>
  <si>
    <t>Armed · disciplined · law</t>
  </si>
  <si>
    <t>23.5°</t>
  </si>
  <si>
    <t>Nirmala</t>
  </si>
  <si>
    <t>Pure · spotless · clean karma</t>
  </si>
  <si>
    <t>24.0°</t>
  </si>
  <si>
    <t>Saumya</t>
  </si>
  <si>
    <t>Gentle · mild · benefic</t>
  </si>
  <si>
    <t>24.5°</t>
  </si>
  <si>
    <t>Krodhana</t>
  </si>
  <si>
    <t>Angry · fierce · violent</t>
  </si>
  <si>
    <t>25.0°</t>
  </si>
  <si>
    <t>Adishakti</t>
  </si>
  <si>
    <t>Primordial power · Shakti energy</t>
  </si>
  <si>
    <t>25.5°</t>
  </si>
  <si>
    <t>See #27 above</t>
  </si>
  <si>
    <t>26.0°</t>
  </si>
  <si>
    <t>26.5°</t>
  </si>
  <si>
    <t>See #19 above</t>
  </si>
  <si>
    <t>27.0°</t>
  </si>
  <si>
    <t>See #49 above</t>
  </si>
  <si>
    <t>27.5°</t>
  </si>
  <si>
    <t>See #50 above</t>
  </si>
  <si>
    <t>28.0°</t>
  </si>
  <si>
    <t>See #51 above</t>
  </si>
  <si>
    <t>28.5°</t>
  </si>
  <si>
    <t>29.0°</t>
  </si>
  <si>
    <t>29.5°</t>
  </si>
  <si>
    <t>See #18 above</t>
  </si>
  <si>
    <t>SECTION 2 — D60 computation formula</t>
  </si>
  <si>
    <t>FORMULA: For a planet at absolute sidereal longitude L (0-360°):
1. Degree within sign = MOD(L, 30)
2. D60 position = INT(degree_within_sign / 0.5) + 1  → value 1-60
3. For ODD signs (Aries,Gemini,Leo,Virgo,Sagittarius,Aquarius,Aries): D60 sign # = D60_position
   For EVEN signs: D60 sign # = 61 - D60_position (reverses the sequence)
4. D60 sign name = INDEX(signs_array, D60_sign_num)
5. D60 Shastiamsha name = INDEX(d60_names, D60_position)
PRECISION REQUIREMENT: 0°30' per division. Birth time accurate to ±1 min gives ±1 division uncertainty.
Phase 3 requires Swiss Ephemeris longitude for reliable D60.</t>
  </si>
  <si>
    <t>REF_KPSubLordTable  ·  KP Sub-Lord Nakshatra Divisions  ·  Krishnamurti Paddhati · Star Lord + Sub Lord system</t>
  </si>
  <si>
    <t>Each Nakshatra (13°20') is divided into 9 sub-periods proportional to Vimshottari Dasha years. Total 27 × 9 = 243 sub-divisions covering 360°. KP system: house cusp sub-lord determines whether the house promises are fulfilled. Sub-lord in a house that is a significator of the event = event promised.</t>
  </si>
  <si>
    <t>SECTION 1 — Sub-lord size in degrees (universal, same for every Nakshatra)</t>
  </si>
  <si>
    <t>Sub-lord planet</t>
  </si>
  <si>
    <t>Years in 120</t>
  </si>
  <si>
    <t>Sub-period °</t>
  </si>
  <si>
    <t>Sub-period '</t>
  </si>
  <si>
    <t>From longitude (within Nak)</t>
  </si>
  <si>
    <t>To longitude (within Nak)</t>
  </si>
  <si>
    <t>0.7778°</t>
  </si>
  <si>
    <t>46.67'</t>
  </si>
  <si>
    <t>0.0000°</t>
  </si>
  <si>
    <t>2.2222°</t>
  </si>
  <si>
    <t>133.33'</t>
  </si>
  <si>
    <t>3.0000°</t>
  </si>
  <si>
    <t>0.6667°</t>
  </si>
  <si>
    <t>40.00'</t>
  </si>
  <si>
    <t>3.6667°</t>
  </si>
  <si>
    <t>1.1111°</t>
  </si>
  <si>
    <t>66.67'</t>
  </si>
  <si>
    <t>4.7778°</t>
  </si>
  <si>
    <t>5.5556°</t>
  </si>
  <si>
    <t>2.0000°</t>
  </si>
  <si>
    <t>120.00'</t>
  </si>
  <si>
    <t>7.5556°</t>
  </si>
  <si>
    <t>1.7778°</t>
  </si>
  <si>
    <t>106.67'</t>
  </si>
  <si>
    <t>9.3333°</t>
  </si>
  <si>
    <t>2.1111°</t>
  </si>
  <si>
    <t>126.67'</t>
  </si>
  <si>
    <t>11.4444°</t>
  </si>
  <si>
    <t>1.8889°</t>
  </si>
  <si>
    <t>113.33'</t>
  </si>
  <si>
    <t>13.3333°</t>
  </si>
  <si>
    <t>SECTION 2 — How KP house analysis works</t>
  </si>
  <si>
    <t>KP METHOD FOR HOUSE ANALYSIS:
1. Find the cusp of the house (longitude of house cusp)
2. Identify the star lord (Nakshatra lord) of that longitude
3. Identify the sub-lord (sub-division lord) of that longitude
4. The sub-lord is the KEY INDICATOR — if sub-lord is significator of the relevant houses, event promised
5. Significators = planets in the house, lords of the house, or planets aspecting the house
EXAMPLE: Is marriage promised by H7?
Find H7 cusp longitude → find its sub-lord → check if sub-lord significates H2 (family), H7 (partner), or H11 (fulfillment)
If yes → marriage is promised. If sub-lord also significates H6/H8/H12 → complications.
EXCEL IMPLEMENTATION: CALC_KPSubLord (Phase 4) will use this table to identify sub-lords for each house cusp.
Requires house cusps from a full equal house or Placidus system — not available in current D1 chart.</t>
  </si>
  <si>
    <t>SECTION 3 — Nakshatra start longitudes with star lord and first sub-lord</t>
  </si>
  <si>
    <t>Star lord</t>
  </si>
  <si>
    <t>Start °</t>
  </si>
  <si>
    <t>End °</t>
  </si>
  <si>
    <t>First sub-lord</t>
  </si>
  <si>
    <t>Sub-lord start °</t>
  </si>
  <si>
    <t>0.000°</t>
  </si>
  <si>
    <t>13.333°</t>
  </si>
  <si>
    <t>Sub-lord sequence follows Vimshottari order from star lord</t>
  </si>
  <si>
    <t>26.667°</t>
  </si>
  <si>
    <t>40.000°</t>
  </si>
  <si>
    <t>53.333°</t>
  </si>
  <si>
    <t>66.667°</t>
  </si>
  <si>
    <t>80.000°</t>
  </si>
  <si>
    <t>93.333°</t>
  </si>
  <si>
    <t>106.667°</t>
  </si>
  <si>
    <t>120.000°</t>
  </si>
  <si>
    <t>133.333°</t>
  </si>
  <si>
    <t>146.667°</t>
  </si>
  <si>
    <t>160.000°</t>
  </si>
  <si>
    <t>173.333°</t>
  </si>
  <si>
    <t>186.667°</t>
  </si>
  <si>
    <t>200.000°</t>
  </si>
  <si>
    <t>213.333°</t>
  </si>
  <si>
    <t>226.667°</t>
  </si>
  <si>
    <t>240.000°</t>
  </si>
  <si>
    <t>253.333°</t>
  </si>
  <si>
    <t>266.667°</t>
  </si>
  <si>
    <t>280.000°</t>
  </si>
  <si>
    <t>293.333°</t>
  </si>
  <si>
    <t>306.667°</t>
  </si>
  <si>
    <t>320.000°</t>
  </si>
  <si>
    <t>333.333°</t>
  </si>
  <si>
    <t>346.667°</t>
  </si>
  <si>
    <t>360.000°</t>
  </si>
  <si>
    <t>CALC_KPSubLord  ·  KP Sub-Lord for each planet  ·  Active when REF_Config!B6 = "KP"  ·  Built 17-Mar-2026</t>
  </si>
  <si>
    <t>KP method: each Nakshatra (13°20') is divided into 9 sub-periods in Vimshottari order from the Nakshatra star lord. Sub-lord = the planet ruling the sub-period at the planet's exact longitude. Source: REF_KPSubLordTable. Formula is Excel-native — no macros needed. Sub-lord determines KP house cuspal analysis: sub-lord's house lordship governs promise delivery.</t>
  </si>
  <si>
    <t>Abs° (0-360)</t>
  </si>
  <si>
    <t>Nak star lord</t>
  </si>
  <si>
    <t>Position in Nak (°)</t>
  </si>
  <si>
    <t>Sub-lord</t>
  </si>
  <si>
    <t>Sub-lord house#</t>
  </si>
  <si>
    <t>KP promise?</t>
  </si>
  <si>
    <t>School gate</t>
  </si>
  <si>
    <t>HOW TO USE KP SUB-LORD ANALYSIS</t>
  </si>
  <si>
    <t>1. Set REF_Config!B6 = "KP" — all col F sub-lords activate.
2. For each planet, col F = sub-lord, col G = house# the sub-lord occupies.
3. KP rule: a planet delivers the promise of its sub-lord's house lordship.
   Sub-lord in H1/H5/H9/H11 = benefic promise (col H = ✓).
   Sub-lord in H6/H8/H12 = obstructed promise.
4. Lagna sub-lord governs the entire chart's life theme.
5. This sheet feeds SCORE_AllHouses col T (KP modifier) when KP school is active.
6. Source: REF_KPSubLordTable rows 6-14 (sub-lord sizes) + rows 26-52 (Nak start lons).</t>
  </si>
  <si>
    <t>REF_APIFieldMap  ·  API Response → Workbook Cell Mapping  ·  ephemeris API Astrology API v2</t>
  </si>
  <si>
    <t>Maps ephemeris API API JSON field names to INPUT_Chart and INPUT_BirthData cells. Used by ephemeris API_lagna.py to auto-populate the workbook. Also documents reference software API mappings as an alternative source.</t>
  </si>
  <si>
    <t>SECTION 1 — ephemeris API API v2 planet_position endpoint</t>
  </si>
  <si>
    <t>API JSON field</t>
  </si>
  <si>
    <t>JSON path</t>
  </si>
  <si>
    <t>Target sheet</t>
  </si>
  <si>
    <t>Target cell</t>
  </si>
  <si>
    <t>ascendant</t>
  </si>
  <si>
    <t>planets.ascendant.rasi.name + degree</t>
  </si>
  <si>
    <t>INPUT_Chart</t>
  </si>
  <si>
    <t>C5:D5</t>
  </si>
  <si>
    <t>Sign name + decimal degree</t>
  </si>
  <si>
    <t>sun</t>
  </si>
  <si>
    <t>planets.sun.rasi.name + degrees</t>
  </si>
  <si>
    <t>C6:D6</t>
  </si>
  <si>
    <t>moon</t>
  </si>
  <si>
    <t>planets.moon.rasi.name + degrees</t>
  </si>
  <si>
    <t>C7:D7</t>
  </si>
  <si>
    <t>Also get total longitude for INPUT_BirthData!B24</t>
  </si>
  <si>
    <t>mars</t>
  </si>
  <si>
    <t>planets.mars.rasi.name + degrees</t>
  </si>
  <si>
    <t>C8:D8</t>
  </si>
  <si>
    <t>mercury</t>
  </si>
  <si>
    <t>planets.mercury.rasi.name + degrees</t>
  </si>
  <si>
    <t>C9:D9</t>
  </si>
  <si>
    <t>jupiter</t>
  </si>
  <si>
    <t>planets.jupiter.rasi.name + degrees</t>
  </si>
  <si>
    <t>C10:D10</t>
  </si>
  <si>
    <t>venus</t>
  </si>
  <si>
    <t>planets.venus.rasi.name + degrees</t>
  </si>
  <si>
    <t>C11:D11</t>
  </si>
  <si>
    <t>saturn</t>
  </si>
  <si>
    <t>planets.saturn.rasi.name + degrees</t>
  </si>
  <si>
    <t>C12:D12</t>
  </si>
  <si>
    <t>rahu</t>
  </si>
  <si>
    <t>planets.rahu.rasi.name + degrees</t>
  </si>
  <si>
    <t>C13:D13</t>
  </si>
  <si>
    <t>True node or mean node — specify mean in API params</t>
  </si>
  <si>
    <t>ketu</t>
  </si>
  <si>
    <t>planets.ketu.rasi.name + degrees</t>
  </si>
  <si>
    <t>C14:D14</t>
  </si>
  <si>
    <t>Ketu = Rahu + 180°. API usually gives separately.</t>
  </si>
  <si>
    <t>ayanamsha_value</t>
  </si>
  <si>
    <t>ayanamsha.value</t>
  </si>
  <si>
    <t>B20</t>
  </si>
  <si>
    <t>Cross-check against calculated value</t>
  </si>
  <si>
    <t>Moon total lon</t>
  </si>
  <si>
    <t>planets.moon.longitude (0-360°)</t>
  </si>
  <si>
    <t>B24</t>
  </si>
  <si>
    <t>Required for Nakshatra + Dasha calc</t>
  </si>
  <si>
    <t>SECTION 2 — API authentication and endpoint details</t>
  </si>
  <si>
    <t>ephemeris API API v2 DETAILS:
Base URL: https://api.ephemeris API.com/v2/astrology/
Planet positions endpoint: /planet-position
Auth: OAuth2 client credentials. Client ID + Secret → access_token (expires in 3600s)
Required params: datetime (ISO8601 UTC), coordinates (lat,lon), ayanamsha (lahiri)
Sign name format: Returns full English name ("Aries", "Taurus"...) — matches workbook format exactly.
Degree format: Returns decimal degrees (e.g. 14.73) — matches INPUT_Chart col D format exactly.
CREDENTIALS (in ephemeris API_lagna.py):
Client ID: ced21c60-f776-44b2-845a-1e9e8bf43102
Client Secret: kceqIRYRD9ao4gEBS7nmCUoRy6LG0nScRVkSCiS8
PYTHON SCRIPT STATUS: Built. Reads INPUT_BirthData birth date/time/location → calls API → writes INPUT_Chart.
REMAINING WORK: Add Moon total longitude write to INPUT_BirthData!B24. Add error handling for rate limits.</t>
  </si>
  <si>
    <t>REF_RuleInteractionMatrix  ·  Rule Interaction Pairs  ·  Phase 4 — BPHS + Saravali + Classical commentary</t>
  </si>
  <si>
    <t>When two specific rules fire simultaneously, their combined effect is NOT simply additive. This table defines interaction outcomes. Applied by CALC_RuleInteractionEngine. Flag types: Amplified (+bonus), Mixed Promise (reduces to floor), Nullified (cancel), Contextual (outcome depends on Dasha context).</t>
  </si>
  <si>
    <t>SECTION 1 — Rule interaction pairs (30 documented)</t>
  </si>
  <si>
    <t>Rule A</t>
  </si>
  <si>
    <t>Rule B</t>
  </si>
  <si>
    <t>Rule A fires when</t>
  </si>
  <si>
    <t>Rule B fires when</t>
  </si>
  <si>
    <t>Interaction type</t>
  </si>
  <si>
    <t>R04</t>
  </si>
  <si>
    <t>R02</t>
  </si>
  <si>
    <t>Bhavesh in Kendra/Trikon</t>
  </si>
  <si>
    <t>Benefic in same house as Bhavesh</t>
  </si>
  <si>
    <t>Amplified</t>
  </si>
  <si>
    <t>+0.5 bonus</t>
  </si>
  <si>
    <t>Lord placed well AND received by benefic — doubly promising. BPHS Ch.26: benefic company of house lord enhances house results.</t>
  </si>
  <si>
    <t>R21</t>
  </si>
  <si>
    <t>Bhavesh in Pushkara Navamsha</t>
  </si>
  <si>
    <t>Kendra/Trikon placement + inner spiritual strength (D9). Exceptional promise. BPHS Ch.27 commentary.</t>
  </si>
  <si>
    <t>R20</t>
  </si>
  <si>
    <t>Bhavesh in Dig Bala house</t>
  </si>
  <si>
    <t>Lord in best placement (Kendra) AND directionally strengthened. The house thrives.</t>
  </si>
  <si>
    <t>R06</t>
  </si>
  <si>
    <t>Bhavesh with benefic</t>
  </si>
  <si>
    <t>Benefic in house</t>
  </si>
  <si>
    <t>+0.25 bonus</t>
  </si>
  <si>
    <t>Benefic conjoins lord AND occupies the house — double benefic layer. Very positive.</t>
  </si>
  <si>
    <t>R08</t>
  </si>
  <si>
    <t>Bhavesh in Shubh Kartari</t>
  </si>
  <si>
    <t>Benefic inside + benefics surrounding the lord. Protected on all sides.</t>
  </si>
  <si>
    <t>R13</t>
  </si>
  <si>
    <t>Bhavesh conjoins malefic</t>
  </si>
  <si>
    <t>Mixed Promise</t>
  </si>
  <si>
    <t>Net floored to +0.5</t>
  </si>
  <si>
    <t>Lord is well-placed but conjoins a malefic. Promise exists but delivery is contested. BPHS: malefic association weakens lord.</t>
  </si>
  <si>
    <t>R15</t>
  </si>
  <si>
    <t>Bhavesh in Dukshthan</t>
  </si>
  <si>
    <t>Nullified</t>
  </si>
  <si>
    <t>Already guarded in R04</t>
  </si>
  <si>
    <t>Handled by R04 Dukshthan guard — lord cannot simultaneously be in Kendra AND Dukshthan. Logic conflict = 0.</t>
  </si>
  <si>
    <t>R19</t>
  </si>
  <si>
    <t>Bhavesh combust</t>
  </si>
  <si>
    <t>Net floored to +0.25</t>
  </si>
  <si>
    <t>Lord well-placed but burned by Sun. Potential present but cannot manifest fully. Key transit/Dasha dependent.</t>
  </si>
  <si>
    <t>R09</t>
  </si>
  <si>
    <t>Malefic in house</t>
  </si>
  <si>
    <t>Sum floored to 0</t>
  </si>
  <si>
    <t>Both benefic and malefic occupy the house. House is contested — mixed results, timing dependent.</t>
  </si>
  <si>
    <t>R14</t>
  </si>
  <si>
    <t>Bhavesh aspected by malefic</t>
  </si>
  <si>
    <t>Net floored to 0</t>
  </si>
  <si>
    <t>Lord receives both benefic company and malefic aspect. Alternating support and obstacle.</t>
  </si>
  <si>
    <t>R16</t>
  </si>
  <si>
    <t>Bhavesh with Dukshthan lord</t>
  </si>
  <si>
    <t>Lord in good house but associating with 6/8/12 lord. Positive placement undermined by bad company.</t>
  </si>
  <si>
    <t>R11</t>
  </si>
  <si>
    <t>Dukshthan lord in house</t>
  </si>
  <si>
    <t>Net floored to -0.25</t>
  </si>
  <si>
    <t>Benefic conjoins lord but house itself afflicted by 6/8/12 lord. Uncomfortable house conditions.</t>
  </si>
  <si>
    <t>R03</t>
  </si>
  <si>
    <t>R10</t>
  </si>
  <si>
    <t>Benefic aspects house</t>
  </si>
  <si>
    <t>Malefic aspects house</t>
  </si>
  <si>
    <t>Sum × 0.5</t>
  </si>
  <si>
    <t>House aspected by both benefic and malefic. Mixed external influences. Results vary by Dasha.</t>
  </si>
  <si>
    <t>Kartari bonus nullified</t>
  </si>
  <si>
    <t>Malefic inside the house destroys the protective Shubh Kartari effect. BPHS: internal malefic &gt; external benefic protection.</t>
  </si>
  <si>
    <t>R04 already guards for this</t>
  </si>
  <si>
    <t>Already handled by R04 guard. No double penalty needed.</t>
  </si>
  <si>
    <t>Bhavesh conjoins benefic</t>
  </si>
  <si>
    <t>Contextual</t>
  </si>
  <si>
    <t>Check Dasha context</t>
  </si>
  <si>
    <t>Dukshthan lord in house but lord conjoins benefic. House is challenged but lord is supported. Check active Dasha lord.</t>
  </si>
  <si>
    <t>R22</t>
  </si>
  <si>
    <t>Bhavesh retrograde</t>
  </si>
  <si>
    <t>R22 modifier applies</t>
  </si>
  <si>
    <t>Retrograde lord in Kendra: internalized strength. Promise delivered in unconventional ways or after delay.</t>
  </si>
  <si>
    <t>R17</t>
  </si>
  <si>
    <t>Sthir Karak in Kendra/Trikon</t>
  </si>
  <si>
    <t>Both Karak AND Bhavesh in strong positions — rare double support for the house significations.</t>
  </si>
  <si>
    <t>See Mixed Promise R04+R19</t>
  </si>
  <si>
    <t>Same as R04+R19. Handled there.</t>
  </si>
  <si>
    <t>-1.0 (penalty reduced)</t>
  </si>
  <si>
    <t>Dukshthan placement partially mitigated by strong D9 position. -2.0 reduced to -1.0.</t>
  </si>
  <si>
    <t>-1.5 (partially mitigated)</t>
  </si>
  <si>
    <t>Strong directional energy + Dukshthan. Lord tries to deliver but placement constrains.</t>
  </si>
  <si>
    <t>R05</t>
  </si>
  <si>
    <t>Bhavesh with Kendra/Trikon lord</t>
  </si>
  <si>
    <t>Lord in strong house AND associating with another strong lord — mutual strengthening. Raja Yoga tendency.</t>
  </si>
  <si>
    <t>R12</t>
  </si>
  <si>
    <t>Bhav in Paap Kartari</t>
  </si>
  <si>
    <t>Amplified (negative)</t>
  </si>
  <si>
    <t>-0.5 penalty added</t>
  </si>
  <si>
    <t>Malefic inside AND house hemmed by malefics. Severely afflicted house. Both penalties apply.</t>
  </si>
  <si>
    <t>-1.0 penalty added</t>
  </si>
  <si>
    <t>Both house AND lord severely afflicted. Sum penalties apply. House is doubly challenged.</t>
  </si>
  <si>
    <t>Benefic in house (YK)</t>
  </si>
  <si>
    <t>Bhavesh with benefic (YK)</t>
  </si>
  <si>
    <t>+0.5 bonus on YK only</t>
  </si>
  <si>
    <t>When BOTH benefics are Yogakarakas (e.g. Mars for Cancer Lagna), the house receives the full Yogakaraka double benefit.</t>
  </si>
  <si>
    <t>Bhavesh in Kendra</t>
  </si>
  <si>
    <t>Lord well-placed AND conjoining benefic — supported both by position and company.</t>
  </si>
  <si>
    <t>-0.5 extra</t>
  </si>
  <si>
    <t>House simultaneously occupied by natural malefic AND functional malefic (Dukshthan lord). Extra penalty.</t>
  </si>
  <si>
    <t>-1.0 extra</t>
  </si>
  <si>
    <t>Lord both in Dukshthan AND conjoining malefic. Worst lord condition. Extra -1.0.</t>
  </si>
  <si>
    <t>R07</t>
  </si>
  <si>
    <t>Benefic aspects house (WC)</t>
  </si>
  <si>
    <t>Bhavesh aspected by benefic (WC)</t>
  </si>
  <si>
    <t>Both the house AND its lord receive benefic aspect. Double external support.</t>
  </si>
  <si>
    <t>Malefic aspects house (WC)</t>
  </si>
  <si>
    <t>Bhavesh aspected by malefic (WC)</t>
  </si>
  <si>
    <t>Both house AND lord under malefic aspect. External pressure on the entire house structure.</t>
  </si>
  <si>
    <t>REF_EmpiricaSchema  ·  Empirical Event Log Schema  ·  Phase 4 — Novel methodology</t>
  </si>
  <si>
    <t>Event log schema. 3 demonstration events seeded (India 1947 chart). Add your own events in rows 28+ to build calibration dataset. Min 10 for preliminary patterns; min 50 for statistical significance.</t>
  </si>
  <si>
    <t>SECTION 1 — Column definitions</t>
  </si>
  <si>
    <t>Col #</t>
  </si>
  <si>
    <t>Field name</t>
  </si>
  <si>
    <t>Data type</t>
  </si>
  <si>
    <t>Example</t>
  </si>
  <si>
    <t>Required?</t>
  </si>
  <si>
    <t>CALC reference</t>
  </si>
  <si>
    <t>event_id</t>
  </si>
  <si>
    <t>Text ID</t>
  </si>
  <si>
    <t>EVT_001</t>
  </si>
  <si>
    <t>CALC_StatisticalValidation</t>
  </si>
  <si>
    <t>Unique event identifier</t>
  </si>
  <si>
    <t>chart_id</t>
  </si>
  <si>
    <t>CHART_001</t>
  </si>
  <si>
    <t>Which natal chart this event belongs to</t>
  </si>
  <si>
    <t>event_date</t>
  </si>
  <si>
    <t>Date</t>
  </si>
  <si>
    <t>15/08/1947</t>
  </si>
  <si>
    <t>Date the event occurred (DD/MM/YYYY)</t>
  </si>
  <si>
    <t>event_type</t>
  </si>
  <si>
    <t>Category</t>
  </si>
  <si>
    <t>Career · Marriage · Health · Finance · Travel · Loss · Gain</t>
  </si>
  <si>
    <t>8 categories: Career, Marriage, Divorce, Health_Crisis, Finance_Gain, Finance_Loss, Travel_Foreign, Relationship</t>
  </si>
  <si>
    <t>event_description</t>
  </si>
  <si>
    <t>Text</t>
  </si>
  <si>
    <t>Promoted to senior manager</t>
  </si>
  <si>
    <t>Brief description of what happened</t>
  </si>
  <si>
    <t>house_primary</t>
  </si>
  <si>
    <t>Number 1-12</t>
  </si>
  <si>
    <t>Primary house this event relates to</t>
  </si>
  <si>
    <t>house_secondary</t>
  </si>
  <si>
    <t>Number 1-12 or blank</t>
  </si>
  <si>
    <t>Secondary house if multi-house event</t>
  </si>
  <si>
    <t>d1_score_at_event</t>
  </si>
  <si>
    <t>Number</t>
  </si>
  <si>
    <t>3.5</t>
  </si>
  <si>
    <t>Auto</t>
  </si>
  <si>
    <t>SCORE_H*_Self row 40</t>
  </si>
  <si>
    <t>D1 final score for the primary house at event time</t>
  </si>
  <si>
    <t>active_mahadasha</t>
  </si>
  <si>
    <t>Planet name</t>
  </si>
  <si>
    <t>Active Mahadasha lord at event time</t>
  </si>
  <si>
    <t>active_antardasha</t>
  </si>
  <si>
    <t>CALC_AntarDasha</t>
  </si>
  <si>
    <t>Active Antardasha lord at event time</t>
  </si>
  <si>
    <t>manifested</t>
  </si>
  <si>
    <t>0 or 1</t>
  </si>
  <si>
    <t>1 = event matches house promise, 0 = did not manifest</t>
  </si>
  <si>
    <t>confidence</t>
  </si>
  <si>
    <t>1-3</t>
  </si>
  <si>
    <t>1=low confidence, 2=moderate, 3=high confidence in assessment</t>
  </si>
  <si>
    <t>notes</t>
  </si>
  <si>
    <t>Free text</t>
  </si>
  <si>
    <t>Chart time exact to hour</t>
  </si>
  <si>
    <t>Any qualifying notes</t>
  </si>
  <si>
    <t>r04_fired</t>
  </si>
  <si>
    <t>SCORE_H* R04</t>
  </si>
  <si>
    <t>Which rules were active at time of event — auto-populated from SCORE sheets</t>
  </si>
  <si>
    <t>r15_fired</t>
  </si>
  <si>
    <t>r02_fired</t>
  </si>
  <si>
    <t>SCORE_H* R02</t>
  </si>
  <si>
    <t>r09_fired</t>
  </si>
  <si>
    <t>SCORE_H* R09</t>
  </si>
  <si>
    <t>yoga_score</t>
  </si>
  <si>
    <t>3.0</t>
  </si>
  <si>
    <t>SCORE_AllHouses row 24</t>
  </si>
  <si>
    <t>Yoga total at time of event</t>
  </si>
  <si>
    <t>SECTION 2 — Event log (enter real events here)</t>
  </si>
  <si>
    <t>Event ID</t>
  </si>
  <si>
    <t>Event date</t>
  </si>
  <si>
    <t>Type</t>
  </si>
  <si>
    <t>House</t>
  </si>
  <si>
    <t>Description</t>
  </si>
  <si>
    <t>D1 score</t>
  </si>
  <si>
    <t>Manifested?</t>
  </si>
  <si>
    <t>Mahadasha</t>
  </si>
  <si>
    <t>Career</t>
  </si>
  <si>
    <t>1971 war victory — India defeats Pakistan, Bangladesh created. H10 (career/karma/status) and H3 (courage/military effort) strongly activated. Mars (H10 lord, Yogakaraka for Cancer Lagna) rules both H5 and H10.</t>
  </si>
  <si>
    <t>Saturn Mahadasha (2000-2019 would be later; in 1971 it was Rahu MD). D1 H10: Mars YK in H12 (mixed). D1 H3: Venus in H12. Despite challenging placements, Yogakaraka Mars activated H10 powerfully. Validates R17 (Sthir Karak in H10) and YK emphasis.</t>
  </si>
  <si>
    <t>EVT_002</t>
  </si>
  <si>
    <t>Finance</t>
  </si>
  <si>
    <t>1991 economic liberalisation — opened economy, lifted import restrictions. H11 (gains/network/aspirations) and H10 (career policy) activated. Mercury rules H12 (foreign exchange crisis preceded this) and H3.</t>
  </si>
  <si>
    <t>Jupiter Mahadasha (1984-2000). Jupiter in H4 (Kendra) for Cancer Lagna. Jupiter rules H6 and H9 — H9 lord in H4 (Kendra) is positive for fortune. Validates R04 (Bhavesh in Kendra) contributing to H4 strength. Mixed D1 score but event manifested as major positive.</t>
  </si>
  <si>
    <t>EVT_003</t>
  </si>
  <si>
    <t>Conflicts</t>
  </si>
  <si>
    <t>Parliament attack (13 Dec 2001) — H6 (conflicts/enemies) and H8 (crisis/transformation). Major external threat activating H6 Dukshthan house themes. Saturn Mahadasha active; Saturn in H1 (Cancer) = enemy sign.</t>
  </si>
  <si>
    <t>Saturn Mahadasha (2000-2019). Saturn in Cancer (H1, enemy sign for Saturn). H6 lord = Jupiter in H4, but H6 themes still dominate. Validates R09 (malefic in H1 = Saturn in own Lagna = afflicting H1) and Dukshthan activation during Dasha of H1 occupant.</t>
  </si>
  <si>
    <t>EVT_004</t>
  </si>
  <si>
    <t>DEMONSTRATION DATA: 3 seed events for India Independence chart (15 Aug 1947). These show how REF_EmpiricaSchema captures real events and links them to D1 house scores. The OUTPUT_ValidationDashboard will count these and show accuracy metrics. Enter more events (your own chart events) to build a meaningful dataset. Minimum 10 events for preliminary patterns; minimum 50 for statistical significance.</t>
  </si>
  <si>
    <t>EVT_006</t>
  </si>
  <si>
    <t>EVT_007</t>
  </si>
  <si>
    <t>EVT_008</t>
  </si>
  <si>
    <t>EVT_009</t>
  </si>
  <si>
    <t>EVT_010</t>
  </si>
  <si>
    <t>EVT_011</t>
  </si>
  <si>
    <t>EVT_012</t>
  </si>
  <si>
    <t>EVT_013</t>
  </si>
  <si>
    <t>EVT_014</t>
  </si>
  <si>
    <t>EVT_015</t>
  </si>
  <si>
    <t>EVT_016</t>
  </si>
  <si>
    <t>EVT_017</t>
  </si>
  <si>
    <t>EVT_018</t>
  </si>
  <si>
    <t>EVT_019</t>
  </si>
  <si>
    <t>EVT_020</t>
  </si>
  <si>
    <t>Enter real life events above. Minimum 10 entries to see preliminary patterns. Minimum 50 entries for statistically meaningful rule accuracy rates. This data feeds CALC_StatisticalValidation when populated.</t>
  </si>
  <si>
    <t>REF_StudentGlossary  ·  Sanskrit Terms — Plain Language Reference  ·  Phase 4 — Student Mode</t>
  </si>
  <si>
    <t>Every Sanskrit term used in this workbook with: plain English meaning, BPHS chapter, where it appears in the engine, and common misconceptions. Referenced by UX_StudentMode to show context-sensitive explanations.</t>
  </si>
  <si>
    <t>Sanskrit term</t>
  </si>
  <si>
    <t>English name</t>
  </si>
  <si>
    <t>BPHS chapter</t>
  </si>
  <si>
    <t>Used in sheet(s)</t>
  </si>
  <si>
    <t>Plain English meaning + common misconception</t>
  </si>
  <si>
    <t>Ascendant</t>
  </si>
  <si>
    <t>BPHS Ch.1</t>
  </si>
  <si>
    <t>INPUT_Chart, CALC_BhaveshMap</t>
  </si>
  <si>
    <t>The zodiac sign rising on the eastern horizon at the moment of birth. MISCONCEPTION: Lagna ≠ "Sun sign" as used in Western astrology. The Lagna is the foundation of the entire Vedic chart.</t>
  </si>
  <si>
    <t>Bhava</t>
  </si>
  <si>
    <t>House (1-12)</t>
  </si>
  <si>
    <t>BPHS Ch.11-22</t>
  </si>
  <si>
    <t>CALC_BhaveshMap, all SCORE sheets</t>
  </si>
  <si>
    <t>12 sectors of the chart counted from the Lagna. H1=self, H7=partnerships, H10=career. MISCONCEPTION: Houses do not rotate — they are fixed from the Lagna.</t>
  </si>
  <si>
    <t>Bhavesh</t>
  </si>
  <si>
    <t>House lord</t>
  </si>
  <si>
    <t>BPHS Ch.26</t>
  </si>
  <si>
    <t>The ruling planet of a house. For Cancer Lagna, H4 (Libra) is ruled by Venus — Venus is H4's Bhavesh. MISCONCEPTION: The Bhavesh is not always the same planet. It changes with every Lagna.</t>
  </si>
  <si>
    <t>Lagnesh</t>
  </si>
  <si>
    <t>Ascendant lord</t>
  </si>
  <si>
    <t>CALC_LagneshStrength</t>
  </si>
  <si>
    <t>The ruler of the first house (Lagna sign). Most important planet in the chart. A well-placed Lagnesh elevates the entire horoscope.</t>
  </si>
  <si>
    <t>Angular house (1,4,7,10)</t>
  </si>
  <si>
    <t>BPHS Ch.11</t>
  </si>
  <si>
    <t>CALC_BhaveshMap col I, all SCORE R04</t>
  </si>
  <si>
    <t>Houses 1, 4, 7, 10. The pillars of the chart. Planets here are powerful. MISCONCEPTION: Not all Kendra placements are positive — malefics in Kendra can cause Kendradhipati dosha.</t>
  </si>
  <si>
    <t>Triangular house (1,5,9)</t>
  </si>
  <si>
    <t>CALC_BhaveshMap col J, all SCORE R04</t>
  </si>
  <si>
    <t>Houses 1, 5, 9. Called Dharma trikon. The luckiest houses. Lords of Trikon are pure benefics for any Lagna.</t>
  </si>
  <si>
    <t>Dukshthan</t>
  </si>
  <si>
    <t>Dusty/malefic house (6,8,12)</t>
  </si>
  <si>
    <t>CALC_BhaveshMap col K, R15</t>
  </si>
  <si>
    <t>Houses 6 (enemies/disease), 8 (death/transformation), 12 (loss/isolation). Lords of these houses can afflict any house they occupy. MISCONCEPTION: H6 is not purely bad — it is essential for Viparita Yoga.</t>
  </si>
  <si>
    <t>BPHS Ch.3</t>
  </si>
  <si>
    <t>REF_Dignity, CALC_PlanetPositions</t>
  </si>
  <si>
    <t>A planet in its highest-dignity sign. Sun exalted in Aries, Moon in Taurus, etc. MISCONCEPTION: Exaltation does not guarantee good results — an exalted malefic can still cause harm.</t>
  </si>
  <si>
    <t>A planet in its lowest-dignity sign. Opposite of exaltation. Significantly weakens the planet's ability to deliver results. Partially cancelled by Neecha Bhanga Raja Yoga (YOGA_NeechaBhanga).</t>
  </si>
  <si>
    <t>Own sign (prime range)</t>
  </si>
  <si>
    <t>REF_Dignity</t>
  </si>
  <si>
    <t>A secondary "home" sign where a planet is exceptionally strong. Stronger than plain own sign for that degree range. Example: Mars 0°-12° in Aries = Mooltrikona.</t>
  </si>
  <si>
    <t>Double house lord (Kendra+Trikon)</t>
  </si>
  <si>
    <t>BPHS Ch.34</t>
  </si>
  <si>
    <t>CALC_YogakarakaMap, R02/R06</t>
  </si>
  <si>
    <t>A planet that simultaneously rules a Kendra (1/4/7/10) and a Trikon (1/5/9) house. The most auspicious functional benefic for that Lagna. Only 6 of 12 Lagnas have a Yogakaraka.</t>
  </si>
  <si>
    <t>Vimshottari Dasha</t>
  </si>
  <si>
    <t>120-year planetary period cycle</t>
  </si>
  <si>
    <t>BPHS Ch.46</t>
  </si>
  <si>
    <t>The primary timing system. 9 planets rule sequential periods (Ketu=7yr, Venus=20yr... Moon=10yr). The active Dasha lord colours all life events during its period. MISCONCEPTION: The Dasha lord does not determine events alone — it activates the natal promise.</t>
  </si>
  <si>
    <t>Antardasha</t>
  </si>
  <si>
    <t>Sub-period within Mahadasha</t>
  </si>
  <si>
    <t>Each Mahadasha is divided into 9 sub-periods (Antardashas). The intersection of Maha+Antara is the precise timing key.</t>
  </si>
  <si>
    <t>Narayana Dasha</t>
  </si>
  <si>
    <t>Sign-based Rasi period system</t>
  </si>
  <si>
    <t>PVRNR research</t>
  </si>
  <si>
    <t>A period system where zodiac signs (not planets) are the period lords. Activates the significations of each sign in sequence. Most versatile Rasi Dasha for general events.</t>
  </si>
  <si>
    <t>Lunar mansion (27 divisions)</t>
  </si>
  <si>
    <t>REF_Nakshatra, CALC_DashaActive</t>
  </si>
  <si>
    <t>The zodiac divided into 27 equal segments of 13°20' each. The Moon's nakshatra at birth determines the starting Dasha. MISCONCEPTION: Nakshatra ≠ Rashi (sign). A sign contains 2.25 Nakshatras.</t>
  </si>
  <si>
    <t>Ashtakavarga</t>
  </si>
  <si>
    <t>8-source bindu score</t>
  </si>
  <si>
    <t>BPHS Ch.66-76</t>
  </si>
  <si>
    <t>CALC_Ashtakavarga, R23</t>
  </si>
  <si>
    <t>A system measuring planetary strength by counting how many of 8 sources (7 planets + Lagna) contribute a benefic point to each house. Max 56 points per house. SAV ≥28 = strong house.</t>
  </si>
  <si>
    <t>Shadbala</t>
  </si>
  <si>
    <t>6-component planetary strength</t>
  </si>
  <si>
    <t>BPHS Ch.27</t>
  </si>
  <si>
    <t>Comprehensive strength score for each planet from 6 components: position, dignity, direction, time, motion, and aspect strength. Minimum thresholds defined in BPHS. MISCONCEPTION: A weak Shadbala does not always mean bad results — it means the planet cannot fully deliver its promise.</t>
  </si>
  <si>
    <t>Dig Bala</t>
  </si>
  <si>
    <t>Directional strength</t>
  </si>
  <si>
    <t>CALC_DigBala, R20</t>
  </si>
  <si>
    <t>Each planet has a direction in which it is strongest. Sun and Mars in H10, Moon and Venus in H4, Jupiter and Mercury in H1, Saturn in H7. MISCONCEPTION: Dig Bala ≠ natal promise. It measures delivery capacity, not the nature of results.</t>
  </si>
  <si>
    <t>Combustion / Asta</t>
  </si>
  <si>
    <t>Proximity to Sun</t>
  </si>
  <si>
    <t>CALC_CombustionCheck, R19</t>
  </si>
  <si>
    <t>A planet within certain degrees of the Sun is "burned" (combust). Its significations are suppressed. EXCEPTION: Cazimi (within 17 minutes of exact Sun conjunction) reverses this — planet becomes exceptionally powerful.</t>
  </si>
  <si>
    <t>Retrograde / Vakri</t>
  </si>
  <si>
    <t>Apparent backward motion</t>
  </si>
  <si>
    <t>CALC_RetrogradeFix, R22</t>
  </si>
  <si>
    <t>When a planet appears to move backward from Earth's perspective. Different schools disagree: some say Rx strengthens, others say it delays and frustrates. This engine applies a modest modifier (±0.1) rather than a strong judgment.</t>
  </si>
  <si>
    <t>Vargottama</t>
  </si>
  <si>
    <t>Same sign in D1 and D9</t>
  </si>
  <si>
    <t>BPHS Ch.6</t>
  </si>
  <si>
    <t>CALC_D9_Navamsha, CALC_DivisionalMap</t>
  </si>
  <si>
    <t>When a planet occupies the same sign in both the natal chart (D1) and the Navamsha (D9). Doubly strengthened — the natal promise and the inner/dharmic promise align.</t>
  </si>
  <si>
    <t>Arudha Pada</t>
  </si>
  <si>
    <t>Reflected house</t>
  </si>
  <si>
    <t>BPHS Ch.29, Jaimini</t>
  </si>
  <si>
    <t>CALC_ArudhaPada</t>
  </si>
  <si>
    <t>The material reflection of a house in the world. Counted by going the same number of signs from the house lord as the lord is from the house. AL (Arudha Lagna) = how the world perceives you. Very different from your Lagna (inner self).</t>
  </si>
  <si>
    <t>Karakamsha</t>
  </si>
  <si>
    <t>Soul's seat in D9</t>
  </si>
  <si>
    <t>BPHS Ch.32-33</t>
  </si>
  <si>
    <t>CALC_Karakamsha</t>
  </si>
  <si>
    <t>The Navamsha sign occupied by the Atmakaraka (highest-degree planet). The Karakamsha Lagna reveals the soul's deepest purpose and karmic agenda.</t>
  </si>
  <si>
    <t>Atmakaraka</t>
  </si>
  <si>
    <t>Soul planet</t>
  </si>
  <si>
    <t>Jaimini Sutra 1.1.29</t>
  </si>
  <si>
    <t>CALC_CharaKarak</t>
  </si>
  <si>
    <t>The planet at the highest degree in the natal chart among the 7 classical planets. The "king" of the horoscope. Its condition colours all major life themes. MISCONCEPTION: The Atmakaraka is not the most powerful planet — it is the most important soul indicator.</t>
  </si>
  <si>
    <t>Argala</t>
  </si>
  <si>
    <t>Planetary intervention</t>
  </si>
  <si>
    <t>A planet in houses 2, 4, 11 from any reference house causes Argala (intervention) on that house. Benefic Argala strengthens the house. Malefic Argala activates but may harm. Virodha (houses 3, 10, 12) obstructs/cancels the Argala.</t>
  </si>
  <si>
    <t>Graha Yuddha</t>
  </si>
  <si>
    <t>Planetary war</t>
  </si>
  <si>
    <t>CALC_GrahaYuddha</t>
  </si>
  <si>
    <t>When two classical planets (Mars, Mercury, Jupiter, Venus, Saturn) are within 1° of each other, they enter planetary war. The brighter planet wins; the loser suffers a dignity penalty. Sun, Moon, Rahu, Ketu do not participate.</t>
  </si>
  <si>
    <t>Avastha</t>
  </si>
  <si>
    <t>Planetary state/condition</t>
  </si>
  <si>
    <t>BPHS Ch.45-47</t>
  </si>
  <si>
    <t>The "mood" or "age" of a planet modifying its ability to deliver results. Baaladi = age state (infant=25% delivery, adolescent=100%, dead=0%). Sayanadi = mood state (combust=Kopa, exalted=Sthira, enemy sign=Kshuditha).</t>
  </si>
  <si>
    <t>Rasi Drishti</t>
  </si>
  <si>
    <t>Sign-based aspect</t>
  </si>
  <si>
    <t>Jaimini Sutra 1.3</t>
  </si>
  <si>
    <t>CALC_RasiDrishti</t>
  </si>
  <si>
    <t>Jaimini's aspect system where signs (not planets) cast aspects. Movable signs aspect Fixed signs (except adjacent). Fixed signs aspect Movable (except adjacent). Dual signs aspect each other. MISCONCEPTION: Rasi Drishti is not the same as Parashari graha aspect — completely different system.</t>
  </si>
  <si>
    <t>Temperament group</t>
  </si>
  <si>
    <t>BPHS + Muhurta</t>
  </si>
  <si>
    <t>CALC_Compatibility, REF_Nakshatra</t>
  </si>
  <si>
    <t>3 groups: Deva (divine, harmonious), Manushya (human, balanced), Rakshasa (fierce, intense). Critical for Kundali Milan — Deva-Rakshasa mismatch = challenging compatibility.</t>
  </si>
  <si>
    <t>Nadi Kuta</t>
  </si>
  <si>
    <t>Constitution matching</t>
  </si>
  <si>
    <t>Muhurta tradition</t>
  </si>
  <si>
    <t>3 Nadi types (Vata, Pitta, Kapha) based on Nakshatra. Partners MUST have different Nadis. Same Nadi = Nadi Dosha = most serious compatibility concern. Gets 0 of 8 points.</t>
  </si>
  <si>
    <t>Viparita Raja Yoga</t>
  </si>
  <si>
    <t>Dukshthan lords exchange</t>
  </si>
  <si>
    <t>BPHS Ch.42</t>
  </si>
  <si>
    <t>When lords of 6th, 8th, and 12th houses are placed in each other's houses, adversity converts to opportunity. Counterintuitive: weakness of Dukshthan lords in Dukshthan houses creates hidden strength.</t>
  </si>
  <si>
    <t>REF_SchoolConfig  ·  School-of-Thought Weight Tables  ·  Phase 4</t>
  </si>
  <si>
    <t>Weight tables for each Jyotish school. Read by REF_Config toggle (B6) and eventually CALC_SchoolAdjustedScore. Schools: Parashari (BPHS classical), KP (Krishnamurti Paddhati), Jaimini (Sutra-based). These are the authoritative weights — edit here, wire toggle in REF_Config!B6.</t>
  </si>
  <si>
    <t xml:space="preserve">  SECTION 1 — How to switch schools</t>
  </si>
  <si>
    <t>To switch school: go to REF_Config!B6 and change "Jyotish school" to Parashari / KP / Jaimini / Hybrid. CALC_SchoolAdjustedScore reads this sheet and applies the corresponding weight column. Column D = Parashari (default), Column E = KP, Column F = Jaimini.</t>
  </si>
  <si>
    <t xml:space="preserve">  SECTION 2 — Rule weights by school (Virupas / multipliers)</t>
  </si>
  <si>
    <t>Rule name</t>
  </si>
  <si>
    <t>Parashari
(default)</t>
  </si>
  <si>
    <t>KP</t>
  </si>
  <si>
    <t>Jaimini</t>
  </si>
  <si>
    <t>School notes</t>
  </si>
  <si>
    <t>R01</t>
  </si>
  <si>
    <t>Shubh sign in house</t>
  </si>
  <si>
    <t>Bhav Bal</t>
  </si>
  <si>
    <t>All schools agree — sign quality neutral/benefic</t>
  </si>
  <si>
    <t>Benefic/YK in house</t>
  </si>
  <si>
    <t>All schools agree</t>
  </si>
  <si>
    <t>KP: aspect less critical vs sub-lord</t>
  </si>
  <si>
    <t>Bhavesh Bal</t>
  </si>
  <si>
    <t>KP: sub-lord more important than house lord; Jaimini: Rasi Drishti replaces</t>
  </si>
  <si>
    <t>Bhavesh with K/T lord</t>
  </si>
  <si>
    <t>YK with Bhavesh</t>
  </si>
  <si>
    <t>Benefic aspects Bhavesh</t>
  </si>
  <si>
    <t>Shubha Kartari yoga</t>
  </si>
  <si>
    <t>Yoga</t>
  </si>
  <si>
    <t>Jaimini: Kartari less emphasised</t>
  </si>
  <si>
    <t>Affliction</t>
  </si>
  <si>
    <t>Jaimini: slightly reduced</t>
  </si>
  <si>
    <t>Papa Kartari yoga</t>
  </si>
  <si>
    <t>Bhavesh with malefic</t>
  </si>
  <si>
    <t>Malefic aspects Bhavesh</t>
  </si>
  <si>
    <t>KP: slightly reduced</t>
  </si>
  <si>
    <t>Bhavesh in enemy dig.</t>
  </si>
  <si>
    <t>Sthir Karak strength</t>
  </si>
  <si>
    <t>Karak</t>
  </si>
  <si>
    <t>Jaimini: Karakas more prominent</t>
  </si>
  <si>
    <t>R18</t>
  </si>
  <si>
    <t>Sthir Karak afflicted</t>
  </si>
  <si>
    <t>Bhavesh combust/Cazimi</t>
  </si>
  <si>
    <t>Dig Bala modifier</t>
  </si>
  <si>
    <t>KP: Dig Bala more prominent</t>
  </si>
  <si>
    <t>Pushkara Navamsha</t>
  </si>
  <si>
    <t>Jaimini: Navamsha treatment differs</t>
  </si>
  <si>
    <t>Retrograde modifier</t>
  </si>
  <si>
    <t>All schools: classical Rx = stronger; +0.25</t>
  </si>
  <si>
    <t>R23</t>
  </si>
  <si>
    <t>Ashtakavarga SAV</t>
  </si>
  <si>
    <t>KP: SAV less central to KP methodology</t>
  </si>
  <si>
    <t xml:space="preserve">  SECTION 3 — Yogakaraka weight multiplier</t>
  </si>
  <si>
    <t>YK multiplier for R02 and R06</t>
  </si>
  <si>
    <t>1.5×</t>
  </si>
  <si>
    <t>Standard BPHS Yogakaraka definition — planet ruling both Kendra and Trikon</t>
  </si>
  <si>
    <t>KP accepts Yogakaraka concept; sub-lord analysis primary</t>
  </si>
  <si>
    <t>1.25×</t>
  </si>
  <si>
    <t>Jaimini uses Chara Karakas differently; less emphasis on Yogakaraka</t>
  </si>
  <si>
    <t>CALC_PlanetLongitudes  ·  Astronomical Position Calculator  ·  Meeus Simplified Formulas</t>
  </si>
  <si>
    <t>Computes sidereal (Lahiri) longitude for all 9 planets and Lagna. Col D reads from CALC_SwissEphemeris_Live (Swiss Ephemeris, ±0.001°). Col E/F derive sign name and within-sign degree from col D. All 75+ downstream SCORE sheets read col D via CALC_PlanetPositions.</t>
  </si>
  <si>
    <t>Tropical °</t>
  </si>
  <si>
    <t>Ayanamsha °</t>
  </si>
  <si>
    <t>Sidereal ° (API if available, else Meeus)</t>
  </si>
  <si>
    <t>Degree in sign</t>
  </si>
  <si>
    <t>Est. accuracy</t>
  </si>
  <si>
    <t>⚠ Near boundary?</t>
  </si>
  <si>
    <t>API longitude (0-360°)</t>
  </si>
  <si>
    <t>── Intermediate values (rows 4-5) ──</t>
  </si>
  <si>
    <t>D (days from J2000.0)</t>
  </si>
  <si>
    <t>Lahiri Ayanamsha</t>
  </si>
  <si>
    <t>Obliquity ε</t>
  </si>
  <si>
    <t>── Planet positions (rows 7-16) — all formulas reference D=$B$5 and Ayanamsha=$D$5 ──</t>
  </si>
  <si>
    <t>±0.5°</t>
  </si>
  <si>
    <t>Ascendant from GMST + longitude + latitude. Requires accurate birth TIME. Error &lt;0.5° with exact time; each 4 minutes = 1° error.</t>
  </si>
  <si>
    <t>±0.01°</t>
  </si>
  <si>
    <t>Meeus Ch.25. Accuracy ±0.01°. Equation of centre (2 terms). Very reliable.</t>
  </si>
  <si>
    <t>±0.3°</t>
  </si>
  <si>
    <t>Meeus Ch.47 (abridged, 12 terms). Accuracy ±0.3°. Moon moves ~13°/day — time accuracy critical.</t>
  </si>
  <si>
    <t>±1.0°</t>
  </si>
  <si>
    <t>Meeus Ch.33 (5 terms + Jupiter perturbation). Accuracy ±1°.</t>
  </si>
  <si>
    <t>±2.0°</t>
  </si>
  <si>
    <t>Meeus Ch.33 (6 terms + Venus perturbation). Accuracy ±2°. Verify if ⚠ near boundary.</t>
  </si>
  <si>
    <t>Meeus Ch.33 (4 terms + Saturn perturbation). Accuracy ±0.5°.</t>
  </si>
  <si>
    <t>Meeus Ch.33 (4 terms + Mercury perturbation). Accuracy ±2°. Verify if ⚠ near boundary.</t>
  </si>
  <si>
    <t>Meeus Ch.33 (5 terms + Jupiter perturbation). Accuracy ±0.5°.</t>
  </si>
  <si>
    <t>Mean node + 4 correction terms. True node ±0.5°. Always retrograde (counter-clockwise).</t>
  </si>
  <si>
    <t>Always exactly opposite Rahu (South Node = Rahu + 180°).</t>
  </si>
  <si>
    <t>PRECISION: When API is used (INPUT_BirthData!E24="API"), col D reads from INPUT_Chart (Prokerala ±0.001°). When manual entry, col D falls back to Meeus (±0.5–2°). All downstream sheets (CALC_D60, CALC_GrahaYuddha, CALC_Shadbala) benefit automatically.</t>
  </si>
  <si>
    <t>CALC_PlanetPositions  ·  Nakshatra · Pada · Navamsha (D9) · Dignity · Functional Nature · Aspects</t>
  </si>
  <si>
    <t>Reads: INPUT_Chart (signs+degrees)  ·  REF_Nakshatra (Nak, Pada, Navamsha, Dasha, Mool)  ·  REF_Dignity (dignity)  ·  REF_ShubhAshubh (functional nature).  All formulas auto-update.</t>
  </si>
  <si>
    <t>A. Input</t>
  </si>
  <si>
    <t>B. Nakshatra</t>
  </si>
  <si>
    <t>C. Navamsha (D9)</t>
  </si>
  <si>
    <t>D. Dasha &amp; Mool</t>
  </si>
  <si>
    <t>E. Dignity</t>
  </si>
  <si>
    <t>F. Functional</t>
  </si>
  <si>
    <t>G. Aspects &amp; flags</t>
  </si>
  <si>
    <t>Sign (D1)</t>
  </si>
  <si>
    <t>Absolute °</t>
  </si>
  <si>
    <t>Pada</t>
  </si>
  <si>
    <t>Navamsha (D9)</t>
  </si>
  <si>
    <t>Mool?</t>
  </si>
  <si>
    <t>Dignity</t>
  </si>
  <si>
    <t>Deep?</t>
  </si>
  <si>
    <t>Nature (Lagna)</t>
  </si>
  <si>
    <t>Aspects cast</t>
  </si>
  <si>
    <t>Flags</t>
  </si>
  <si>
    <t>Amsha</t>
  </si>
  <si>
    <t>Sampurna</t>
  </si>
  <si>
    <t>Mool</t>
  </si>
  <si>
    <t>Param</t>
  </si>
  <si>
    <t>Swabhav</t>
  </si>
  <si>
    <t>Drishti</t>
  </si>
  <si>
    <t>Visesha</t>
  </si>
  <si>
    <t>Navamsha (D9) formula — two approaches  ·  both give identical results  ·  use H column (Approach 1) which traces back to REF_Nakshatra</t>
  </si>
  <si>
    <t>Approach 1 — REF_Nakshatra CHOOSE lookup (col H):
=CHOOSE(pada,  INDEX(col_P, MATCH(nak#, col_A, 0)),
              INDEX(col_S, ...), INDEX(col_V, ...), INDEX(col_Y, ...))
col P=P1 navamsha, S=P2, V=P3, Y=P4  ·  readable, traceable</t>
  </si>
  <si>
    <t>Approach 2 — Arithmetic (verification):
=INDEX({"Aries","Taurus"..."Pisces"},
 MOD((nak#-1)*4 + (pada-1), 12) + 1)
Pure formula · no REF_Nakshatra needed · identical output</t>
  </si>
  <si>
    <t>CALC_BhaveshMap  ·  House lord (Bhavesh) for each of 12 houses given the Lagna  ·  Auto-updates when INPUT_Chart Lagna changes</t>
  </si>
  <si>
    <t>Core formula: H{N} lord = INDEX(REF_Zodiac lords row, MOD(MATCH(Lagna, signs, 0) - 1 + (N-1), 12) + 1)  ·  Position flags derive from Bhavesh current sign vs Lagna sign.  ·  Col N (SCORE_ summary) gives SCORE_H1–H12 a single ready-to-read status line.</t>
  </si>
  <si>
    <t>A. Identity</t>
  </si>
  <si>
    <t>B. Bhavesh name</t>
  </si>
  <si>
    <t>C. Position (live)</t>
  </si>
  <si>
    <t>D. Scoring flags</t>
  </si>
  <si>
    <t>E. Strength</t>
  </si>
  <si>
    <t>F. SCORE_ helper</t>
  </si>
  <si>
    <t>H#
Bhav</t>
  </si>
  <si>
    <t>House name
Naam</t>
  </si>
  <si>
    <t>House sign
Rashi</t>
  </si>
  <si>
    <t>Bhavesh
Bhavesh</t>
  </si>
  <si>
    <t>Sanskrit
Sanskrit</t>
  </si>
  <si>
    <t>Lagnesh?
Lagnesh</t>
  </si>
  <si>
    <t>Bhavesh sign
Sthiti Rashi</t>
  </si>
  <si>
    <t>Bhavesh Bhav
Sthiti Bhav</t>
  </si>
  <si>
    <t>In Kendra?
Kendra</t>
  </si>
  <si>
    <t>In Trikon?
Trikon</t>
  </si>
  <si>
    <t>In Dukshthan?
Dukshthan</t>
  </si>
  <si>
    <t>Dignity
Avastha</t>
  </si>
  <si>
    <t>Nature (Lagna)
Swabhav</t>
  </si>
  <si>
    <t>SCORE_ summary
Phala</t>
  </si>
  <si>
    <t>Lagnesh (lord of H1) = Bhavesh of the row where H# = 1 (row 5 above).  The Lagnesh governs the entire chart — its strength or weakness modifies ALL house scores.  CALC_LagneshStrength reads directly from row 5 of this sheet.</t>
  </si>
  <si>
    <t>Col C formula anatomy:  =INDEX(REF_Zodiac!$D$3:$O$3, MOD(MATCH(Lagna,$D$3:$O$3,0)-1+(N-1),12)+1)  ·  Col D: =INDEX(REF_Zodiac!$D$7:$O$7, MATCH(C{row},$D$3:$O$3,0))  ·  Col H: =MOD(MATCH(G{row}, signs, 0) - MATCH(Lagna, signs, 0), 12) + 1</t>
  </si>
  <si>
    <t>SCORE_H1–H12 quick-reference formulas</t>
  </si>
  <si>
    <t>What to get</t>
  </si>
  <si>
    <t>Where used</t>
  </si>
  <si>
    <t>Get Bhavesh name for house N</t>
  </si>
  <si>
    <t>Returns planet name e.g. 'Mars' for H1 of Aries Lagna</t>
  </si>
  <si>
    <t>Get Bhavesh current Bhav</t>
  </si>
  <si>
    <t>Returns 1–12. Compare to {1,4,7,10} for Kendra, {1,5,9} for Trikon, {6,8,12} for Dukshthan</t>
  </si>
  <si>
    <t>Is Bhavesh in Kendra?</t>
  </si>
  <si>
    <t>Returns "Yes" or "·" — use in Rule R04 Bhavesh Bal check</t>
  </si>
  <si>
    <t>Is Bhavesh in Dukshthan?</t>
  </si>
  <si>
    <t>Returns "Yes" or "·" — use in Rule R15 Bhavesh Durbal check</t>
  </si>
  <si>
    <t>Get Bhavesh dignity</t>
  </si>
  <si>
    <t>Returns e.g. 'Exaltation', 'Friendly sign'. Feed into R04 strength modifier</t>
  </si>
  <si>
    <t>Get Bhavesh functional nature</t>
  </si>
  <si>
    <t>Returns "Benefic", "Malefic", "Yogakaraka", "Neutral". Use for R06/R13 tests</t>
  </si>
  <si>
    <t>Sources: BPHS Ch.11 (Bhava lordship)  ·  Lordship derived from REF_Zodiac row 7 (classical 7-planet system, no Rahu/Ketu own signs).  Rahu/Ketu are always guests in a sign, never its lord.  Dual lords: Mars→Aries+Scorpio, Venus→Taurus+Libra, Mercury→Gemini+Virgo, Jupiter→Sagittarius+Pisces, Saturn→Capricorn+Aquarius.</t>
  </si>
  <si>
    <t>CALC_KarakMap  ·  Sthir (Fixed) Karak per house  ·  BPHS Ch.10 + Saravali Ch.2  ·  Source: REF_Planets row 27 (Sthir Karak for house)</t>
  </si>
  <si>
    <t>Sthir Karak = fixed significator planet for each house — same for every chart.  Rules R17/R18: Karak in Kendra/Trikon = +0.5, Karak in Dukshthan = −0.5.  Reads Karak position live from CALC_PlanetPositions.</t>
  </si>
  <si>
    <t>B. Karak planets</t>
  </si>
  <si>
    <t>C. Position</t>
  </si>
  <si>
    <t>F. Note</t>
  </si>
  <si>
    <t>G. Score</t>
  </si>
  <si>
    <t>Karak 1</t>
  </si>
  <si>
    <t>Karak 2</t>
  </si>
  <si>
    <t>K1 sign</t>
  </si>
  <si>
    <t>K1 Bhav</t>
  </si>
  <si>
    <t>K1 Kendra?</t>
  </si>
  <si>
    <t>K1 Trikon?</t>
  </si>
  <si>
    <t>K1 Dukshthan?</t>
  </si>
  <si>
    <t>K1 dignity</t>
  </si>
  <si>
    <t>K1 nature</t>
  </si>
  <si>
    <t>R17 modifier</t>
  </si>
  <si>
    <t>Soul, vitality, self</t>
  </si>
  <si>
    <t>Wealth + speech</t>
  </si>
  <si>
    <t>Courage + communication</t>
  </si>
  <si>
    <t>Mother, mind + education</t>
  </si>
  <si>
    <t>Children, intellect, merit</t>
  </si>
  <si>
    <t>Enemies + service/illness</t>
  </si>
  <si>
    <t>Spouse (Jupiter = husband in female charts)</t>
  </si>
  <si>
    <t>Longevity, transformation</t>
  </si>
  <si>
    <t>Dharma, fortune + father</t>
  </si>
  <si>
    <t>Career + karma (also Mercury, Jupiter)</t>
  </si>
  <si>
    <t>Gains, elder siblings</t>
  </si>
  <si>
    <t>Isolation, moksha, liberation</t>
  </si>
  <si>
    <t>Sthir Karak source: BPHS Ch.10 (Karaka Bhava Adhyaya) + Saravali Ch.2  ·  R17 = Karak in Kendra/Trikon → +0.5 modifier to house score  ·  R18 = Karak in Dukshthan → −0.5 modifier  ·  Rahu/Ketu Karak (H6/H12) have no CALC_PlanetPositions dignity — shows '—'</t>
  </si>
  <si>
    <t>CALC_LagneshStrength  ·  Lagnesh (Ascendant lord) strength modifier  ·  Applied to all 12 house scores</t>
  </si>
  <si>
    <t>The Lagnesh governs the entire chart. Strong Lagnesh → +0.5 added to every house score. Weak Lagnesh → −0.5. Moderate → 0. Feeds SCORE_AllHouses via the Lagnesh modifier column.</t>
  </si>
  <si>
    <t>Bhav</t>
  </si>
  <si>
    <t>Strength score</t>
  </si>
  <si>
    <t>Applied to all houses</t>
  </si>
  <si>
    <t>Lagnesh strength scoring logic</t>
  </si>
  <si>
    <t>Kendra/Trikon + Exaltation</t>
  </si>
  <si>
    <t>Strongest: Lagnesh well-placed AND dignified</t>
  </si>
  <si>
    <t>Kendra/Trikon only</t>
  </si>
  <si>
    <t>+0.50</t>
  </si>
  <si>
    <t>Strong placement — angular or triangular house</t>
  </si>
  <si>
    <t>Kendra/Trikon + Debilitation</t>
  </si>
  <si>
    <t>Placed well but dignity undermines strength</t>
  </si>
  <si>
    <t>Neutral (no flags)</t>
  </si>
  <si>
    <t>0.00</t>
  </si>
  <si>
    <t>Average placement, average dignity</t>
  </si>
  <si>
    <t>Neutral + Exaltation</t>
  </si>
  <si>
    <t>Exalted but not in Kendra/Trikon</t>
  </si>
  <si>
    <t>Neutral + Debilitation</t>
  </si>
  <si>
    <t>-0.25</t>
  </si>
  <si>
    <t>Debilitated and not in strong house</t>
  </si>
  <si>
    <t>Dukshthan + Exaltation</t>
  </si>
  <si>
    <t>Dukshthan placement mitigated by dignity</t>
  </si>
  <si>
    <t>Dukshthan only</t>
  </si>
  <si>
    <t>-0.50</t>
  </si>
  <si>
    <t>Weak: Lagnesh in 6th, 8th, or 12th</t>
  </si>
  <si>
    <t>Dukshthan + Debilitation</t>
  </si>
  <si>
    <t>-0.75</t>
  </si>
  <si>
    <t>Worst: Lagnesh debilitated in Dukshthan</t>
  </si>
  <si>
    <t>SCORE_AllHouses applies this modifier: =SCORE_base + CALC_LagneshStrength!$I$4  e.g. H5 base score = +3.0, Lagnesh modifier = +0.5 → final score = +3.5  ·  The modifier is the same for all 12 houses — it reflects the chart-holder's overall vitality and life-support rather than any specific house theme.</t>
  </si>
  <si>
    <t>CALC_TatkalikFriendship — Temporal Planetary Friendship  ·  BPHS Ch.15 (Graha Maitri)</t>
  </si>
  <si>
    <t>Rule: a planet in houses 2/3/4/10/11/12 from another = Tatkalik Mitra (temporary friend).  Houses 1/5/6/7/8/9 = Tatkalik Shatru (temporary enemy).  Tatkalik is chart-specific and symmetric — both planets arrive at the same result for each pair.</t>
  </si>
  <si>
    <t>Section 1 — House position reference  ·  houses 2/3/4/10/11/12 = Friend  ·  1/5/6/7/8/9 = Enemy</t>
  </si>
  <si>
    <t>House from P1 →</t>
  </si>
  <si>
    <t>H1
Enemy</t>
  </si>
  <si>
    <t>H2
Friend</t>
  </si>
  <si>
    <t>H3
Friend</t>
  </si>
  <si>
    <t>H4
Friend</t>
  </si>
  <si>
    <t>H5
Enemy</t>
  </si>
  <si>
    <t>H6
Enemy</t>
  </si>
  <si>
    <t>H7
Enemy</t>
  </si>
  <si>
    <t>H8
Enemy</t>
  </si>
  <si>
    <t>H9
Enemy</t>
  </si>
  <si>
    <t>H10
Friend</t>
  </si>
  <si>
    <t>H11
Friend</t>
  </si>
  <si>
    <t>H12
Friend</t>
  </si>
  <si>
    <t>Symmetry: house pairs (2↔12, 3↔11, 4↔10) are all Friend·Friend; (1↔1, 5↔9, 6↔8, 7↔7) are all Enemy·Enemy. Every pair lands in the same category from both directions → Tatkalik is always symmetric.</t>
  </si>
  <si>
    <t>Section 2 — Live Tatkalik matrix  ·  auto-updates when INPUT_Chart changes  ·  read as: row planet views column planet</t>
  </si>
  <si>
    <t>P1 views ↓ / P2 →</t>
  </si>
  <si>
    <t>Current sign</t>
  </si>
  <si>
    <t>Values auto-compute from INPUT_Chart.  Blank signs (—) appear until INPUT_Chart is populated.  When both planets occupy the same sign, they are in H1 from each other → Enemy.</t>
  </si>
  <si>
    <t>Section 3 — House positions (numeric)  ·  house of column planet from row planet</t>
  </si>
  <si>
    <t>P1 sign →</t>
  </si>
  <si>
    <t>Section 4 — Panchadha Maitri (combined)  ·  Naisargika × Tatkalik → 5-fold result  ·  Adhi Mitra / Mitra / Sama / Shatru / Adhi Shatru</t>
  </si>
  <si>
    <t>P1 views ↓</t>
  </si>
  <si>
    <t>Naisargika →</t>
  </si>
  <si>
    <t>Section 5 — Formula bank for CALC_PanchadhaMaitri</t>
  </si>
  <si>
    <t>Formula pattern</t>
  </si>
  <si>
    <t>Tatkalik: how P1 views P2</t>
  </si>
  <si>
    <t>Replace p1_sign and p2_sign with cell refs to sign names. Returns 'Friend' or 'Enemy'.</t>
  </si>
  <si>
    <t>Naisargika: P1 views P2 (clean)</t>
  </si>
  <si>
    <t>Adjust row (5-11) and col (C-I) for the planet pair. Strips the ' *' asymmetry marker.</t>
  </si>
  <si>
    <t>Panchadha result from N + T cells</t>
  </si>
  <si>
    <t>nai = Naisargika cell (Friend/Neutral/Enemy). tat = Tatkalik cell (Friend/Enemy).</t>
  </si>
  <si>
    <t>Panchadha score weight</t>
  </si>
  <si>
    <t>Returns numeric modifier for SCORE_AllHouses. Use SWITCH (Excel 2019+) or nested IFs.</t>
  </si>
  <si>
    <t>Sources: BPHS Ch.15 (Graha Maitri / Panchadha Maitri)  ·  Saravali Ch.3 (Graha Maitradivara)  ·  Jataka Parijata Ch.2  ·  Rule confirmed symmetric: house pairs (2↔12, 3↔11, 4↔10, 5↔9, 6↔8, 7↔7, 1↔1) all land in the same Friend/Enemy category from both directions.</t>
  </si>
  <si>
    <t>CALC_PanchadhaMaitri  ·  5-fold Planetary Relationship  (Naisargika + Tatkalik → Adhi Mitra / Mitra / Sama / Shatru / Adhi Shatru)</t>
  </si>
  <si>
    <t>Reads from: REF_NaisargikaFriendship (permanent) + CALC_TatkalikFriendship (chart-based).  Auto-updates when INPUT_Chart changes.  SCORE_ sheets query: =INDEX(weight_matrix, MATCH(p1, $A$5:$A$11,0), MATCH(p2, $B$4:$H$4,0))</t>
  </si>
  <si>
    <t>Section 1 — Panchadha Maitri labels  ·  row planet views column planet  ·  recomputed directly from Naisargika + Tatkalik</t>
  </si>
  <si>
    <t>Sign (live)</t>
  </si>
  <si>
    <t>Section 2 — Numeric weights  ·  +1 Adhi Mitra  ·  +0.5 Mitra  ·  0 Sama  ·  −0.5 Shatru  ·  −1 Adhi Shatru</t>
  </si>
  <si>
    <t>Section 3 — Per-planet Panchadha summary  (updates with chart — use for quick manual cross-check)</t>
  </si>
  <si>
    <t>Adhi Mitra (AM)</t>
  </si>
  <si>
    <t>Mitra (M)</t>
  </si>
  <si>
    <t>Sama (S)</t>
  </si>
  <si>
    <t>Shatru (Sh)</t>
  </si>
  <si>
    <t>Adhi Shatru (AS)</t>
  </si>
  <si>
    <t>Summary</t>
  </si>
  <si>
    <t>Section 4 — Scoring integration  ·  how SCORE_DrillDown rules R06 and R13 use this sheet</t>
  </si>
  <si>
    <t>What to check</t>
  </si>
  <si>
    <t>Bhavesh conjoins Panchadha friend</t>
  </si>
  <si>
    <t>+1.0 (full) if Adhi Mitra; +0.5 (WC) if Mitra</t>
  </si>
  <si>
    <t>R07 WC</t>
  </si>
  <si>
    <t>Bhavesh aspected by Panchadha friend</t>
  </si>
  <si>
    <t>Same as R06 but for aspecting planet rather than conjunct</t>
  </si>
  <si>
    <t>+1.0 WC (half-weight in final score)</t>
  </si>
  <si>
    <t>Bhavesh Durbal</t>
  </si>
  <si>
    <t>Bhavesh conjoins Panchadha enemy</t>
  </si>
  <si>
    <t>−1.0 (full) if Adhi Shatru; −0.5 (WC) if Shatru</t>
  </si>
  <si>
    <t>R14 WC</t>
  </si>
  <si>
    <t>Bhavesh aspected by Panchadha enemy</t>
  </si>
  <si>
    <t>Same as R13 but for aspecting planet</t>
  </si>
  <si>
    <t>−1.0 WC (half-weight in final score)</t>
  </si>
  <si>
    <t>Quick lookup for SCORE_ sheets: =INDEX(CALC_PanchadhaMaitri!$C$15:$I$21, MATCH(bhavesh_name,$A$15:$A$21,0), MATCH(other_planet_name,$C$14:$I$14,0))  → returns numeric weight −1 to +1.  Use label matrix (rows 5-11) for human-readable output.</t>
  </si>
  <si>
    <t>CALC_CombustionCheck  ·  Asta Detection  ·  BPHS Ch.3</t>
  </si>
  <si>
    <t>Col F = 'COMBUST ⚠' or '' — read by SCORE_H R19 rule. Orbs: Moon=12°, Mars=17°, Mercury=14°, Jupiter=11°, Venus=10°, Saturn=15°. Cazimi (within 1°) overrides combustion — treated as very strong.</t>
  </si>
  <si>
    <t>Sun abs°</t>
  </si>
  <si>
    <t>Planet abs°</t>
  </si>
  <si>
    <t>Distance°</t>
  </si>
  <si>
    <t>Orb limit</t>
  </si>
  <si>
    <t>Status (col F)</t>
  </si>
  <si>
    <t>Cazimi?</t>
  </si>
  <si>
    <t>Eff. orb (Rx adj)</t>
  </si>
  <si>
    <t>Status (Rx-adjusted)</t>
  </si>
  <si>
    <t>N/A (Moon)</t>
  </si>
  <si>
    <t>ISSUE #3 RESOLVED (v5): Col H reads CALC_RetrogradeFix!I for approaching/separating direction. Col I = effective orb: if planet is Rx, standard BPHS orb reduced by 2° per Saravali Ch.3. Col J = Rx-adjusted combustion status. Col F (original) preserves the standard BPHS orb result for comparison.</t>
  </si>
  <si>
    <t>CALC_DigBala  ·  Directional Strength  ·  BPHS Ch.27</t>
  </si>
  <si>
    <t>Col F = 'Yes'/'No' — read by SCORE_H R20 rule. Planet in Dig Bala house = peak directional strength = +0.5 bonus. Sun+Jupiter: H1. Moon+Venus: H4. Mars: H10. Mercury: H1. Saturn: H7. Score (0–1): 1.0=peak house, 0=opposite, linear interpolation.</t>
  </si>
  <si>
    <t>Current Bhav</t>
  </si>
  <si>
    <t>Opposite Bhav</t>
  </si>
  <si>
    <t>Dist from peak</t>
  </si>
  <si>
    <t>In Dig Bala? (col F)</t>
  </si>
  <si>
    <t>Score 0–1</t>
  </si>
  <si>
    <t>H10 = Karma. Soul/authority shines in career house.</t>
  </si>
  <si>
    <t>H4 = Sukha. Mind content in home/mother house.</t>
  </si>
  <si>
    <t>H10+H3 = Energy in action/career houses.</t>
  </si>
  <si>
    <t>H1 = Lagna. Intellect strongest in self house.</t>
  </si>
  <si>
    <t>H1+H9 = Wisdom in self and dharma houses.</t>
  </si>
  <si>
    <t>H4 = Sukha. Beauty/love in comfort house.</t>
  </si>
  <si>
    <t>H7 = Kalatra. Discipline in partnership house.</t>
  </si>
  <si>
    <t>CALC_RetrogradeFix  ·  Retrograde (Vakri) Detection  ·  Daily Motion Method</t>
  </si>
  <si>
    <t>CALC_RetrogradeFix  ·  Retrograde (Vakri) Detection  ·  pyswisseph Speed Method  ·  Updated 17-Mar-2026 19:18  ·  Speed &lt; 0 deg/day → Retrograde. Source: pyswisseph Moshier (±0.001°). Col I = direction. Col J = Rx orb note (Saravali Ch.3: Rx orb −2°). R22 modifier: Jupiter/Saturn/Mercury Rx per BPHS.</t>
  </si>
  <si>
    <t>Lon at birth</t>
  </si>
  <si>
    <t>Daily speed</t>
  </si>
  <si>
    <t>Lon at D+1</t>
  </si>
  <si>
    <t>Retrograde?</t>
  </si>
  <si>
    <t>Rx flag (col F)</t>
  </si>
  <si>
    <t>R22 modifier</t>
  </si>
  <si>
    <t>Rx orb note</t>
  </si>
  <si>
    <t>Never</t>
  </si>
  <si>
    <t>Never retrograde — Sun never Rx</t>
  </si>
  <si>
    <t>Never retrograde — Moon never Rx</t>
  </si>
  <si>
    <t>Rx = frustrated action (−0.5 R22)</t>
  </si>
  <si>
    <t>Direct (+)</t>
  </si>
  <si>
    <t>Direct: std BPHS orb applies</t>
  </si>
  <si>
    <t>Rx = communication disrupted (−0.5 R22)</t>
  </si>
  <si>
    <t>Rx = wisdom inward (+0.25 R22)</t>
  </si>
  <si>
    <t>Rx = relationship review (−0.5 R22)</t>
  </si>
  <si>
    <t>Rx = karma intensified (+0.25 R22)</t>
  </si>
  <si>
    <t>Always Rx</t>
  </si>
  <si>
    <t>Rx ✓</t>
  </si>
  <si>
    <t>Always Rx (shadow node) — R22 modifier = 0</t>
  </si>
  <si>
    <t>Retrograde (−)</t>
  </si>
  <si>
    <t>No combustion orb</t>
  </si>
  <si>
    <t>PYSWISSEPH LIVE (v5, 17-Mar-2026): Speed-based retrograde detection replaces historical D+1 manual data. CORRECTION: Jupiter and Saturn were previously incorrectly marked Rx for 15 Aug 1947. pyswisseph confirms both were DIRECT on that date (Jupiter stationed direct ~18 Jul 1947; Saturn direct throughout Aug 1947). All R22 modifiers corrected. Col I direction, col J orb note now live.</t>
  </si>
  <si>
    <t>CALC_CharaKarak  ·  Jaimini Chara Karakas  ·  Degree rank of 7 planets</t>
  </si>
  <si>
    <t>Chara Karak = variable significator. Rank the 7 classical planets (Sun–Saturn) by their degree within sign — highest degree first. AK (Atmakaraka) = highest = soul's karmic lesson. Source: Jaimini Sutram 1.1.5–7.</t>
  </si>
  <si>
    <t>Chara Karak</t>
  </si>
  <si>
    <t>Abbr.</t>
  </si>
  <si>
    <t>Atmakaraka (AK)</t>
  </si>
  <si>
    <t>AK</t>
  </si>
  <si>
    <t>Soul · highest-degree planet · king of the horoscope · life's deepest karmic lesson</t>
  </si>
  <si>
    <t>Amatyakaraka (AmK)</t>
  </si>
  <si>
    <t>AmK</t>
  </si>
  <si>
    <t>Career/mind · 2nd highest · minister to the soul · profession and intellect</t>
  </si>
  <si>
    <t>Bhratrikaraka (BK)</t>
  </si>
  <si>
    <t>BK</t>
  </si>
  <si>
    <t>Siblings · 3rd highest · brothers/sisters · courage · co-workers</t>
  </si>
  <si>
    <t>Matrikaraka (MK)</t>
  </si>
  <si>
    <t>MK</t>
  </si>
  <si>
    <t>Mother · 4th highest · home · emotional nourishment · happiness</t>
  </si>
  <si>
    <t>Putrakaraka (PK)</t>
  </si>
  <si>
    <t>PK</t>
  </si>
  <si>
    <t>Children · 5th highest · creativity · intellect · past-life merit</t>
  </si>
  <si>
    <t>Gnatikaraka (GK)</t>
  </si>
  <si>
    <t>GK</t>
  </si>
  <si>
    <t>Obstacles/rivals · 6th highest · enemies · disease · litigation</t>
  </si>
  <si>
    <t>Darakaraka (DK)</t>
  </si>
  <si>
    <t>DK</t>
  </si>
  <si>
    <t>Spouse · lowest degree · life partner · business partners</t>
  </si>
  <si>
    <t>Rahu and Ketu are excluded from Chara Karak ranking in the Parashari-Jaimini system used here. Degree taken as the planet's degree within its current sign (0°–29°) from CALC_PlanetPositions col C.</t>
  </si>
  <si>
    <t>CALC_DashaActive  ·  Current Mahadasha &amp; Antardasha  ·  Auto from INPUT_BirthData</t>
  </si>
  <si>
    <t>Reads 9-Mahadasha timeline from INPUT_BirthData rows 34-42 + TODAY(). Active period highlighted.</t>
  </si>
  <si>
    <t>Start</t>
  </si>
  <si>
    <t>End</t>
  </si>
  <si>
    <t>Active?</t>
  </si>
  <si>
    <t>Remaining (yrs)</t>
  </si>
  <si>
    <t>Natal house · dignity</t>
  </si>
  <si>
    <t>── CURRENTLY ACTIVE PERIOD ──</t>
  </si>
  <si>
    <t>Current Mahadasha</t>
  </si>
  <si>
    <t>Period</t>
  </si>
  <si>
    <t>Years remaining</t>
  </si>
  <si>
    <t>Dasha lord house</t>
  </si>
  <si>
    <t>Dasha lord dignity</t>
  </si>
  <si>
    <t>CALC_DashaModifier  ·  Active Mahadasha Multiplier  ·  Temporal Score Adjustment</t>
  </si>
  <si>
    <t>Active Dasha lord natal house receives x1.15 score multiplier. Reads CALC_DashaActive!B14. Feeds SCORE_AllHouses col M. NON-BPHS: interpretive addition.</t>
  </si>
  <si>
    <t>Active Dasha lord?</t>
  </si>
  <si>
    <t>Multiplier</t>
  </si>
  <si>
    <t>Antara ×mod</t>
  </si>
  <si>
    <t>Combined ×mod</t>
  </si>
  <si>
    <t>Self</t>
  </si>
  <si>
    <t>Wealth</t>
  </si>
  <si>
    <t>Courage</t>
  </si>
  <si>
    <t>Home</t>
  </si>
  <si>
    <t>Intellect</t>
  </si>
  <si>
    <t>Partnerships</t>
  </si>
  <si>
    <t>Longevity</t>
  </si>
  <si>
    <t>Fortune</t>
  </si>
  <si>
    <t>Gains</t>
  </si>
  <si>
    <t>Liberation</t>
  </si>
  <si>
    <t>CALC_Ashtakavarga  ·  Bindu Grid  ·  Auto-computed from chart  ·  BPHS Ch.66-76  ·  SAV = Sarvashtakavarga (sum of all 8 contribution tables)</t>
  </si>
  <si>
    <t>Each cell = bindus contributed TO that house by that planet (0 or 1 per contributing source). SAV Total (row 13) = sum of all 8 sources per house. Strong house = SAV ≥ 28. Weak house = SAV ≤ 18. R23 in SCORE_H uses row 13.</t>
  </si>
  <si>
    <t>SECTION 1 — BINDU GRID  (auto-computed from CALC_PlanetPositions)</t>
  </si>
  <si>
    <t>Planet/Source</t>
  </si>
  <si>
    <t>Total</t>
  </si>
  <si>
    <t>Avg</t>
  </si>
  <si>
    <t>Own AV · max 8 per house (1 bindu per contributing source)</t>
  </si>
  <si>
    <t>Own AV · max 8 per house</t>
  </si>
  <si>
    <t>Lagna AV · max 7 per house (no self-contribution)</t>
  </si>
  <si>
    <t>SAV Total</t>
  </si>
  <si>
    <t>SECTION 2 — HOW ASHTAKAVARGA WORKS  ·  BPHS Ch.66-76</t>
  </si>
  <si>
    <t>How bindus are computed</t>
  </si>
  <si>
    <t>For each planet (e.g. Sun), BPHS defines which relative house positions (counted from each contributing source) receive a bindu. This sheet auto-computes all 8×12 = 96 cells. Each cell can be 0-8 (one potential bindu from each of 8 sources). Source: BPHS Ch.66-76 standard tables.</t>
  </si>
  <si>
    <t>SAV Total (row 15)</t>
  </si>
  <si>
    <t>Sarvashtakavarga = sum of all 8 planet + Lagna contribution rows per house. Theoretical max = 56 per house (8 sources × max 8 contributions). Strong house ≥ 28. Weak house ≤ 18. Very strong ≥ 35. Very weak ≤ 15.</t>
  </si>
  <si>
    <t>R23 connection</t>
  </si>
  <si>
    <t>SAV totals in row 15 feed SCORE_H* rule R23: SAV &gt; 28 = +0.5, SAV &lt; 22 = −0.5, else 0. This is the Ashtakavarga-based house score modifier per BPHS Ch.66-76.</t>
  </si>
  <si>
    <t>Sodhya Pinda (not implemented)</t>
  </si>
  <si>
    <t>BPHS Ch.74 defines Sodhya Pinda — a further reduction of SAV totals for more precise assessment. Requires planet Rashi Pinda × Graha Pinda calculation. Phase 2 item.</t>
  </si>
  <si>
    <t>Verification</t>
  </si>
  <si>
    <t>To verify: compare SAV totals against Jagannath Hora or AstroSage Ashtakavarga tab. Values should match within ±1 for each house (minor school variation in edge cases).</t>
  </si>
  <si>
    <t>SECTION 3 — SAV verification vs BPHS reference (1947 chart). Expected values from PVRNR audit. Compare delta row against Jagannath Hora output. Delta = 0 → correct. Delta ≠ 0 → investigate Rahu/Ketu inclusion, Lagna contribution, or sign vs house confusion.</t>
  </si>
  <si>
    <t>Expected SAV (reference)</t>
  </si>
  <si>
    <t>Current (row 15 above)</t>
  </si>
  <si>
    <t>Delta (current − expected)</t>
  </si>
  <si>
    <t>Match?</t>
  </si>
  <si>
    <t>ISSUE #8 RESOLVED (v5): Verification table extended to all 12 houses. Expected SAV per PVRNR audit: H1=44, H2=19, H3=28, H4=24, H5=25, H6=26, H7=23, H8=22, H9=29, H10=25, H11=26, H12=21 (total=316). Compare row 30 against Jagannath Hora export to validate bindu allocation.</t>
  </si>
  <si>
    <t>REF_ShadbalaData  ·  Lookup constants for CALC_Shadbala  ·  BPHS Ch.27</t>
  </si>
  <si>
    <t>SECTION 1 — Exaltation &amp; Debilitation degrees (sidereal, degrees 0-359)</t>
  </si>
  <si>
    <t>Exalt_Lon (sidereal °)</t>
  </si>
  <si>
    <t>Debil_Lon (sidereal °)</t>
  </si>
  <si>
    <t>Exalt_Sign</t>
  </si>
  <si>
    <t>Deep_Exalt_Deg</t>
  </si>
  <si>
    <t>Deep exalt 10°Aries</t>
  </si>
  <si>
    <t>Deep exalt 3°Taurus</t>
  </si>
  <si>
    <t>Deep exalt 28°Capricorn</t>
  </si>
  <si>
    <t>Deep exalt 15°Virgo</t>
  </si>
  <si>
    <t>Deep exalt 5°Cancer</t>
  </si>
  <si>
    <t>Deep exalt 27°Pisces</t>
  </si>
  <si>
    <t>Deep exalt 20°Libra</t>
  </si>
  <si>
    <t>SECTION 2 — Kendradi Bala (positional weight by house type)</t>
  </si>
  <si>
    <t>Kendra (H1,H4,H7,H10) → 60 virupas</t>
  </si>
  <si>
    <t>Panapara (H2,H5,H8,H11) → 30 virupas</t>
  </si>
  <si>
    <t>Apoklima (H3,H6,H9,H12) → 15 virupas</t>
  </si>
  <si>
    <t>SECTION 3 — Nathonnatha Bala (day/night strength)</t>
  </si>
  <si>
    <t>Day Birth</t>
  </si>
  <si>
    <t>Night Birth</t>
  </si>
  <si>
    <t>SECTION 4 — Vara Bala weekday lords  (MOD(INT(JDN+0.5)+1,7) → 0=Mon…4=Fri…)</t>
  </si>
  <si>
    <t>MOD index (0-6)</t>
  </si>
  <si>
    <t>Weekday</t>
  </si>
  <si>
    <t>Lord</t>
  </si>
  <si>
    <t>Virupas</t>
  </si>
  <si>
    <t>Monday</t>
  </si>
  <si>
    <t>Tuesday</t>
  </si>
  <si>
    <t>Wednesday</t>
  </si>
  <si>
    <t>Thursday</t>
  </si>
  <si>
    <t>Friday</t>
  </si>
  <si>
    <t>Saturday</t>
  </si>
  <si>
    <t>Sunday</t>
  </si>
  <si>
    <t>SECTION 5 — Masa Bala (lunar month lord by Sun sign)  → lord gets 30v</t>
  </si>
  <si>
    <t>Sun Sign #</t>
  </si>
  <si>
    <t>Masa</t>
  </si>
  <si>
    <t>Chaitra</t>
  </si>
  <si>
    <t>Vaishakha</t>
  </si>
  <si>
    <t>Ashadha</t>
  </si>
  <si>
    <t>Bhadrapada</t>
  </si>
  <si>
    <t>Ashwina</t>
  </si>
  <si>
    <t>Kartika</t>
  </si>
  <si>
    <t>Margashirsha</t>
  </si>
  <si>
    <t>Pausha</t>
  </si>
  <si>
    <t>Magh</t>
  </si>
  <si>
    <t>Phalguna</t>
  </si>
  <si>
    <t>SECTION 6 — Ayana Bala (direction-based from Sun declination)</t>
  </si>
  <si>
    <t>Formula: Sun_tropical = CALC_PlanetLongitudes!D8 + INPUT_BirthData!B20</t>
  </si>
  <si>
    <t>Declination = DEGREES(ASIN(SIN(RADIANS(23.45))*SIN(RADIANS(Sun_tropical))))</t>
  </si>
  <si>
    <t>Ayana Bala: Uttarayana planets (Sun,Mars,Jup,Ve,Me) = 30+30*decl/23.45</t>
  </si>
  <si>
    <t>Dakshinayana planets (Moon,Saturn) = 30-30*decl/23.45 (capped 0-60)</t>
  </si>
  <si>
    <t>Favoured direction</t>
  </si>
  <si>
    <t>Formula modifier</t>
  </si>
  <si>
    <t>Uttarayana</t>
  </si>
  <si>
    <t>+1  (add when decl positive)</t>
  </si>
  <si>
    <t>Dakshinayana</t>
  </si>
  <si>
    <t>-1 (more when decl negative)</t>
  </si>
  <si>
    <t>+1</t>
  </si>
  <si>
    <t>-1</t>
  </si>
  <si>
    <t>SECTION 7 — Drik Bala aspect weights (Parashari graha drishti)</t>
  </si>
  <si>
    <t>All planets: full aspect to 7th house (180° = 1.0 strength)</t>
  </si>
  <si>
    <t>Mars: also 4th (1.0) and 8th (0.75)</t>
  </si>
  <si>
    <t>Jupiter: also 5th (1.0) and 9th (1.0)</t>
  </si>
  <si>
    <t>Saturn: also 3rd (0.75) and 10th (1.0)</t>
  </si>
  <si>
    <t>Conjunction (same house): strength = 1 - (deg_diff/30), min 0</t>
  </si>
  <si>
    <t>Contribution: Benefic (Mo,Ju,Ve) = +45v; Malefic (Su,Ma,Sa) = -45v; Mercury = +22.5v</t>
  </si>
  <si>
    <t>SECTION 8 — Minimum Shadbala requirements (virupas)  BPHS Ch.27</t>
  </si>
  <si>
    <t>Min required</t>
  </si>
  <si>
    <t>CALC_Shadbala  ·  Planetary Strength  ·  5 of 6 components  ·  Sthana+Dig+Kala+Chesta+Drik+Naisargika  ·  BPHS Ch.27</t>
  </si>
  <si>
    <t>Scores in Virupas. 11 components: Uchcha+Kendradi+Ojha-Yugma+Dig+Naisargika+Paksha+Tribhaga+Hora+Chesta+Drik+Saptavargaja. Saptavargaja = strength across D1/D2/D3/D7/D9/D12/D30. Min thresholds per BPHS Ch.27: Sun=390, Moon=360, Mars=300, Merc=420, Jup=390, Ven=330, Sat=300.</t>
  </si>
  <si>
    <t>SECTION 1 — SHADBALA COMPONENTS  (Virupas per planet)</t>
  </si>
  <si>
    <t>Kendradi</t>
  </si>
  <si>
    <t>Ojha-Yugma</t>
  </si>
  <si>
    <t>Naisargika</t>
  </si>
  <si>
    <t>Paksha</t>
  </si>
  <si>
    <t>Tribhaga</t>
  </si>
  <si>
    <t>Hora</t>
  </si>
  <si>
    <t>Chesta (pySwissEph)</t>
  </si>
  <si>
    <t>Chesta (API)</t>
  </si>
  <si>
    <t>Saptavargaja</t>
  </si>
  <si>
    <t>Abda</t>
  </si>
  <si>
    <t>Total (virupas)</t>
  </si>
  <si>
    <t>Min Required</t>
  </si>
  <si>
    <t>Ratio %</t>
  </si>
  <si>
    <t>Status</t>
  </si>
  <si>
    <t>15</t>
  </si>
  <si>
    <t>Min Shadbala (BPHS Ch.27): Sun=390  Moon=360  Mars=300  Mercury=420  Jupiter=390  Venus=330  Saturn=300 Virupas  ·  Ishta% ≥ 100 = planet fully effective</t>
  </si>
  <si>
    <t>SECTION 2 — COMPONENT NOTES AND LIMITATIONS</t>
  </si>
  <si>
    <t>Uchcha Bala (col B)</t>
  </si>
  <si>
    <t>Dignity-based. Reads CALC_PlanetPositions dignity label. Does not include Saptavargaja (strength across 7 Vargas) — that requires Phase 2 divisional charts.</t>
  </si>
  <si>
    <t>Kendradi Bala (col C)</t>
  </si>
  <si>
    <t>House position: Kendra(1/4/7/10)=60, Panapara(2/5/8/11)=30, Apoklima(3/6/9/12)=15. Fully computed from chart Bhav.</t>
  </si>
  <si>
    <t>Ojha-Yugma Bala (col D)</t>
  </si>
  <si>
    <t>Odd/even sign gender affinity. Male planets (Sun/Mars/Jupiter) strong in odd signs. Female (Moon/Venus) strong in even. Mercury/Saturn neutral=15.</t>
  </si>
  <si>
    <t>Dig Bala (col E)</t>
  </si>
  <si>
    <t>Directional strength from CALC_DigBala. Fully computed. Source: BPHS Ch.27.</t>
  </si>
  <si>
    <t>Naisargika Bala (col F)</t>
  </si>
  <si>
    <t>Permanent natural strength constants (Sun=60 down to Saturn=8.57). Never changes.</t>
  </si>
  <si>
    <t>Paksha Bala (col G)</t>
  </si>
  <si>
    <t>Lunar phase strength. Computed from Sun-Moon angle via CALC_PlanetLongitudes. Benefics strong in waxing half; malefics in waning. Fully computed.</t>
  </si>
  <si>
    <t>Tribhaga Bala (col H)</t>
  </si>
  <si>
    <t>Third-of-day ruler. Approximated from HOUR(birth time). Full version requires precise sunrise time. Jupiter always=60 per BPHS.</t>
  </si>
  <si>
    <t>CHESTA BALA LIVE (v6, 17-Mar-2026): Col 10 (Chesta) now contains pyswisseph orbital speed values. Formula: Chesta = min(60, mean_daily_motion/actual_speed × 60). Rx planets = 60 (max Chesta per Saravali). Values: Sun=60 (faster than mean), Moon=52.4, Mars=47.8, Mercury=46.0, Jupiter=58.4, Venus=58.3, Saturn=15.9. Run swiss_eph_engine.py to refresh for new charts.</t>
  </si>
  <si>
    <t>v4: Chesta Bala written by prokerala_lagna_v4.py. Computed as min(60, 60 × mean_motion / |actual_speed|). Source: daily motion from D+1 API call (or pyswisseph xx[3] speed field). Retrograde planets get 15 Virupas (BPHS Ch.27). This replaces the previous retrograde-estimate approximation. RESOLVED: Issue #13.</t>
  </si>
  <si>
    <t>Chesta Bala (col J)</t>
  </si>
  <si>
    <t>Motional strength from CALC_RetrogradeFix daily motion vs mean motion. Rx=15 Virupas; direct proportional to speed. Approximation — full version needs orbital speed from Swiss Ephemeris.</t>
  </si>
  <si>
    <t>Drik Bala (col K)</t>
  </si>
  <si>
    <t>Net aspect strength received. Counts benefic aspects cast on this planet minus malefic aspects. From CALC_PlanetPositions aspect strings. Full version weights partial aspects (3/4, 1/2) — not implemented here.</t>
  </si>
  <si>
    <t>CALC_Gochar  ·  Transit (Gochar) Analysis  ·  Reads INPUT_Gochar</t>
  </si>
  <si>
    <t>Transit Bhav from natal Lagna, Moon, and Sun. Saturn Sade Sati = H1/H2/H12 from Moon. Jupiter Trikona (H1/H5/H9) = growth. Enter today's positions in INPUT_Gochar first.</t>
  </si>
  <si>
    <t>Transit sign</t>
  </si>
  <si>
    <t>Tran °</t>
  </si>
  <si>
    <t>Bhav/Lagna</t>
  </si>
  <si>
    <t>Bhav/Moon</t>
  </si>
  <si>
    <t>Bhav/Sun</t>
  </si>
  <si>
    <t>Sade Sati?</t>
  </si>
  <si>
    <t>Key transit</t>
  </si>
  <si>
    <t>SAV bindus (transit house)</t>
  </si>
  <si>
    <t>Transit quality</t>
  </si>
  <si>
    <t>H10 career; H6/H8 health</t>
  </si>
  <si>
    <t>H10 = career peak. H6/H8/H12 = health.</t>
  </si>
  <si>
    <t>H1 intense; H8/H12 low</t>
  </si>
  <si>
    <t>H1 = intensity. H8/H12 = low energy.</t>
  </si>
  <si>
    <t>H8/H12 conflict; H3/H11 strength</t>
  </si>
  <si>
    <t>H8/H12 = conflict. H3/H6/H11 = strength.</t>
  </si>
  <si>
    <t>H1/H5 intellect</t>
  </si>
  <si>
    <t>H1/H5 = clarity. Rx = delays.</t>
  </si>
  <si>
    <t>H1/H5/H9 = expansion</t>
  </si>
  <si>
    <t>Trikona+Labha = best growth/fortune transit.</t>
  </si>
  <si>
    <t>H1/H2/H7 love</t>
  </si>
  <si>
    <t>H1/H2/H7 = love. Rx = review.</t>
  </si>
  <si>
    <t>H1/H4/H8/H12 from Moon</t>
  </si>
  <si>
    <t>Sade Sati 7.5yr. Ashtama H8 = obstacles. Kantaka H4/7/10.</t>
  </si>
  <si>
    <t>Kendra = disruption</t>
  </si>
  <si>
    <t>Amplifies. Ambition, foreign, sudden changes.</t>
  </si>
  <si>
    <t>"·"</t>
  </si>
  <si>
    <t>"—"</t>
  </si>
  <si>
    <t>Kendra = detachment</t>
  </si>
  <si>
    <t>Detachment, past karma, losses.</t>
  </si>
  <si>
    <t>CALC_D9_Navamsha  ·  Navamsha Chart (D9)  ·  Auto-computed from D1</t>
  </si>
  <si>
    <t>D9 sign is already computed in CALC_PlanetPositions col H (for planets). This sheet assembles the full D9 chart view including Lagna. Vargottama = same sign in D1 and D9 = planet very strong. D9 Lagna = inner nature and quality of dharma/marriage.</t>
  </si>
  <si>
    <t>Point</t>
  </si>
  <si>
    <t>D1 Sign</t>
  </si>
  <si>
    <t>D1 Deg</t>
  </si>
  <si>
    <t>D9 Sign</t>
  </si>
  <si>
    <t>Vargottama?</t>
  </si>
  <si>
    <t>D9 Bhav</t>
  </si>
  <si>
    <t>D9 Sun = dharmic identity · soul direction</t>
  </si>
  <si>
    <t>D9 Moon = inner emotional world · subconscious patterns</t>
  </si>
  <si>
    <t>D9 Mars = energy in relationships</t>
  </si>
  <si>
    <t>D9 Mercury = inner intellectual orientation</t>
  </si>
  <si>
    <t>D9 Jupiter = spiritual wisdom · husband in female charts</t>
  </si>
  <si>
    <t>D9 Venus = spouse nature · type of marriage partner</t>
  </si>
  <si>
    <t>D9 Saturn = karmic inner discipline</t>
  </si>
  <si>
    <t>D9 Rahu = karmic desire in dharma</t>
  </si>
  <si>
    <t>D9 Ketu = past-life spiritual residue</t>
  </si>
  <si>
    <t>D9 Lagna = inner purpose · dharmic path · marriage quality</t>
  </si>
  <si>
    <t>CALC_DivisionalMap  ·  Divisional Chart Sign Positions  ·  D1 → D3/D7/D9/D10/D12</t>
  </si>
  <si>
    <t>Each planet's sign in the key divisional charts, computed from D1 sign + degree. D9=Navamsha(marriage), D10=Dashamsha(career), D3=Drekkana(siblings), D7=Saptamsha(children), D12=Dwadashamsha(parents). Formula source: REF_DivisionalRules.</t>
  </si>
  <si>
    <t>D1 °</t>
  </si>
  <si>
    <t>D10 Sign</t>
  </si>
  <si>
    <t>D3 Sign</t>
  </si>
  <si>
    <t>D7 Sign</t>
  </si>
  <si>
    <t>D12 Sign</t>
  </si>
  <si>
    <t>Vargottama (D9)</t>
  </si>
  <si>
    <t>D2 Sign</t>
  </si>
  <si>
    <t>D30 Sign</t>
  </si>
  <si>
    <t>D4 Sign</t>
  </si>
  <si>
    <t>D16 Sign</t>
  </si>
  <si>
    <t>D20 Sign</t>
  </si>
  <si>
    <t>D24 Sign</t>
  </si>
  <si>
    <t>D27 Sign</t>
  </si>
  <si>
    <t>D40 Sign</t>
  </si>
  <si>
    <t>D45 Sign</t>
  </si>
  <si>
    <t>D60 Sign</t>
  </si>
  <si>
    <t>CALC_ChandraLagna  ·  Moon as Lagna  ·  Chandra Kundali</t>
  </si>
  <si>
    <t>Houses counted from Moon's sign. Essential for emotional, mental, mother, and relational analysis. Cross-reference with D1 Lagna for complete picture. Moon sign = H1.</t>
  </si>
  <si>
    <t>House (Moon)</t>
  </si>
  <si>
    <t>Bhavesh sign</t>
  </si>
  <si>
    <t>Key theme</t>
  </si>
  <si>
    <t>H1 · Self</t>
  </si>
  <si>
    <t>Mind IS the self · lagna personality · emotional vitality</t>
  </si>
  <si>
    <t>H2 · Wealth</t>
  </si>
  <si>
    <t>Family · accumulated wealth · speech patterns</t>
  </si>
  <si>
    <t>H3 · Courage</t>
  </si>
  <si>
    <t>Siblings · communication · short journeys</t>
  </si>
  <si>
    <t>H4 · Home</t>
  </si>
  <si>
    <t>Mother · home · emotional security · property</t>
  </si>
  <si>
    <t>H5 · Intellect</t>
  </si>
  <si>
    <t>Children · creativity · intelligence · speculation</t>
  </si>
  <si>
    <t>H6 · Conflicts</t>
  </si>
  <si>
    <t>Enemies · debts · disease · daily work</t>
  </si>
  <si>
    <t>H7 · Partnerships</t>
  </si>
  <si>
    <t>Spouse viewed emotionally · partnerships</t>
  </si>
  <si>
    <t>H8 · Longevity</t>
  </si>
  <si>
    <t>Fear · sudden change · hidden matters · transformation</t>
  </si>
  <si>
    <t>H9 · Fortune</t>
  </si>
  <si>
    <t>Fortune · dharma · guru · long journeys</t>
  </si>
  <si>
    <t>H10 · Career</t>
  </si>
  <si>
    <t>Career · public status · authority</t>
  </si>
  <si>
    <t>H11 · Gains</t>
  </si>
  <si>
    <t>Gains · income · aspirations · social circle</t>
  </si>
  <si>
    <t>H12 · Liberation</t>
  </si>
  <si>
    <t>Foreign lands · isolation · spiritual liberation</t>
  </si>
  <si>
    <t>CALC_SuryaLagna  ·  Sun as Lagna  ·  Surya Kundali</t>
  </si>
  <si>
    <t>Houses counted from Sun's sign. Critical for career, public role, authority, and father analysis. Combines with D1 Lagna + Chandra Lagna for three-axis interpretation. Sun sign = H1.</t>
  </si>
  <si>
    <t>House (Sun)</t>
  </si>
  <si>
    <t>Public identity · leadership · vitality · self-expression</t>
  </si>
  <si>
    <t>Wealth · resources · family from solar perspective</t>
  </si>
  <si>
    <t>Skills · communication · siblings</t>
  </si>
  <si>
    <t>Home · property · mother from solar perspective</t>
  </si>
  <si>
    <t>Children · creativity · intelligence</t>
  </si>
  <si>
    <t>Enemies · health · daily work</t>
  </si>
  <si>
    <t>Business partnerships · public relations</t>
  </si>
  <si>
    <t>Transformation · longevity · hidden matters</t>
  </si>
  <si>
    <t>Dharma · fortune · father from solar perspective</t>
  </si>
  <si>
    <t>Career peak house for Surya Lagna</t>
  </si>
  <si>
    <t>Gains · income · aspirations</t>
  </si>
  <si>
    <t>Foreign · isolation · spiritual liberation</t>
  </si>
  <si>
    <t>CALC_YogakarakaMap  ·  Yogakaraka Planet per Lagna  ·  REF_ShubhAshubh + BPHS Ch.34</t>
  </si>
  <si>
    <t>Yogakaraka = planet that is both a Kendra lord AND a Trikon lord for a given Lagna. Owns both an angular house (1/4/7/10) and a triangular house (1/5/9). Reads from REF_ShubhAshubh. Feeds R02/R06 1.5x multiplier in all SCORE_H sheets.</t>
  </si>
  <si>
    <t>SECTION 1 — Yogakaraka by Lagna (12-row reference table)</t>
  </si>
  <si>
    <t>Yogakaraka planet</t>
  </si>
  <si>
    <t>Dual lordship</t>
  </si>
  <si>
    <t>R02/R06 multiplier</t>
  </si>
  <si>
    <t>Currently active?</t>
  </si>
  <si>
    <t>No planet rules both Kendra and Trikon</t>
  </si>
  <si>
    <t>1.0x (no YK)</t>
  </si>
  <si>
    <t>No Yogakaraka for Aries Lagna in strict Parashari definition.</t>
  </si>
  <si>
    <t>H9 Trikon + H10 Kendra</t>
  </si>
  <si>
    <t>1.5x if Saturn present</t>
  </si>
  <si>
    <t>Saturn rules H9 (Capricorn) + H10 (Aquarius) for Taurus Lagna.</t>
  </si>
  <si>
    <t>No strict Yogakaraka</t>
  </si>
  <si>
    <t>Venus = H5+H12; Saturn = H8+H9. No planet rules Kendra+Trikon.</t>
  </si>
  <si>
    <t>H5 Trikon + H10 Kendra</t>
  </si>
  <si>
    <t>1.5x if Mars present</t>
  </si>
  <si>
    <t>Mars rules H5 (Scorpio) + H10 (Aries) for Cancer Lagna.</t>
  </si>
  <si>
    <t>H4 Kendra + H9 Trikon</t>
  </si>
  <si>
    <t>Mars rules H4 (Scorpio) + H9 (Aries) for Leo Lagna.</t>
  </si>
  <si>
    <t>Venus = H2+H9; Mercury = H1+H10. Mercury rules H1 (Kendra) but H1 is both Kendra and Trikon, so arguable.</t>
  </si>
  <si>
    <t>H4 Kendra + H5 Trikon</t>
  </si>
  <si>
    <t>Saturn rules H4 (Capricorn) + H5 (Aquarius) for Libra Lagna.</t>
  </si>
  <si>
    <t>Moon = H9 only. Jupiter = H2+H5. Saturn = H3+H4. None = Kendra+Trikon.</t>
  </si>
  <si>
    <t>Contested — no strict Yogakaraka</t>
  </si>
  <si>
    <t>Mars = H5+H12; Sun = H9 only. No strict Kendra+Trikon combination.</t>
  </si>
  <si>
    <t>1.5x if Venus present</t>
  </si>
  <si>
    <t>Venus rules H5 (Taurus) + H10 (Libra) for Capricorn Lagna.</t>
  </si>
  <si>
    <t>Venus rules H4 (Taurus) + H9 (Libra) for Aquarius Lagna.</t>
  </si>
  <si>
    <t>Mars = H2+H9; Moon = H5 only. No strict Kendra+Trikon combination.</t>
  </si>
  <si>
    <t>SECTION 2 — Active Yogakaraka for current Lagna (live formula)</t>
  </si>
  <si>
    <t>Active Yogakaraka</t>
  </si>
  <si>
    <t>AUTO — reads INPUT_Chart!C5</t>
  </si>
  <si>
    <t>NOTE: The active Yogakaraka from row 19 above is used by CALC_PlanetPositions col M to label that planet as "Yogakaraka" (its functional nature). SCORE_H sheets R02 and R06 check this label and apply the 1.5× multiplier automatically. Formula chain: CALC_YogakarakaMap → CALC_PlanetPositions!M → SCORE_H R02/R06</t>
  </si>
  <si>
    <t>CALC_GrahaYuddha  ·  Planetary War Detection  ·  BPHS Ch.3 v.55-70 + REF_GrahaYuddha</t>
  </si>
  <si>
    <t>Detects when two classical planets (Mars/Mercury/Jupiter/Venus/Saturn) are within 1° of longitude. Identifies winner by brightness ranking. Feeds CALC_Avasthas Deena state and SCORE_H* dignity modifiers.</t>
  </si>
  <si>
    <t>Lat A (°)</t>
  </si>
  <si>
    <t>Lat B (°)</t>
  </si>
  <si>
    <t>Winner (latitude)</t>
  </si>
  <si>
    <t>Planet A</t>
  </si>
  <si>
    <t>Planet B</t>
  </si>
  <si>
    <t>|Lon A - Lon B|</t>
  </si>
  <si>
    <t>War?</t>
  </si>
  <si>
    <t>Winner (brightness)</t>
  </si>
  <si>
    <t>Winner modifier</t>
  </si>
  <si>
    <t>Loser modifier</t>
  </si>
  <si>
    <t>ISSUE #7 RESOLVED (v6, 17-Mar-2026): Cols I/J = pyswisseph celestial latitude for each planet. Col K = winner by northerly latitude (BPHS Ch.3 v.55) — primary tiebreaker now live. Brightness proxy used only when latitudes are equal (&lt; 0.001° difference). For 1947 chart: no pairs within 1° — all war cols show '—'. Latitude values: Mars=+0.248°, Mercury=+0.773°, Jupiter=+0.851°, Venus=+1.115°, Saturn=+0.751°.</t>
  </si>
  <si>
    <t>SECTION 2 — Per-planet war modifier summary (fed to CALC_Avasthas)</t>
  </si>
  <si>
    <t>In any war?</t>
  </si>
  <si>
    <t>Role</t>
  </si>
  <si>
    <t>Net modifier</t>
  </si>
  <si>
    <t>Exempt</t>
  </si>
  <si>
    <t>Sun and Moon do not participate in Graha Yuddha</t>
  </si>
  <si>
    <t>See pairs</t>
  </si>
  <si>
    <t>Net modifier applied to Mars's dignity in SCORE_H*</t>
  </si>
  <si>
    <t>Net modifier applied to Mercury's dignity in SCORE_H*</t>
  </si>
  <si>
    <t>Net modifier applied to Jupiter's dignity in SCORE_H*</t>
  </si>
  <si>
    <t>Net modifier applied to Venus's dignity in SCORE_H*</t>
  </si>
  <si>
    <t>Net modifier applied to Saturn's dignity in SCORE_H*</t>
  </si>
  <si>
    <t>CALC_Argala  ·  Planetary Intervention (Argala &amp; Virodha)  ·  BPHS Ch.28 + REF_ArgalaRules</t>
  </si>
  <si>
    <t>For each of the 12 natal houses, computes which planets cause Argala (intervention) and which cause Virodha Argala (obstruction). Net Argala modifier feeds SCORE_H* as an additional strength modifier.</t>
  </si>
  <si>
    <t>H2 planets (Argala)</t>
  </si>
  <si>
    <t>H4 planets (Argala)</t>
  </si>
  <si>
    <t>H11 planets (Argala)</t>
  </si>
  <si>
    <t>H12 (Virodha H2)</t>
  </si>
  <si>
    <t>H10 (Virodha H4)</t>
  </si>
  <si>
    <t>H3 (Virodha H11)</t>
  </si>
  <si>
    <t>Net Argala (B=0.5, M=0.25, Virodha−)</t>
  </si>
  <si>
    <t>CALC_BhavatBhavam  ·  Secondary House Cross-Check  ·  BPHS Ch.4</t>
  </si>
  <si>
    <t>Bhavat Bhavam: house counted from itself. H3-from-H3=H5, H5-from-H5=H9. Both strong → +0.25 reinforcement. Both weak → −0.25.</t>
  </si>
  <si>
    <t>Bhavat Bhavam (H#)</t>
  </si>
  <si>
    <t>D1 Score</t>
  </si>
  <si>
    <t>Secondary H# score</t>
  </si>
  <si>
    <t>Reinforced?</t>
  </si>
  <si>
    <t>SECTION 2 — Bhavat Bhavam chain</t>
  </si>
  <si>
    <t>H1→H1  H2→H3  H3→H5  H4→H7  H5→H9  H6→H11  H7→H1  H8→H3  H9→H5  H10→H7  H11→H9  H12→H11</t>
  </si>
  <si>
    <t>Classical use: H4→H7 (home reinforces marriage), H8→H3 (longevity via effort), H5→H9 (children-fortune dharma chain).</t>
  </si>
  <si>
    <t>CALC_ArudhaPada  ·  All 12 Arudha Padas (A1–A12 / AL / UL / DL)  ·  BPHS Ch.29 + REF_ArudhaRules</t>
  </si>
  <si>
    <t>Arudha Pada = reflection of each house in the material/perceived world. Computed from house lord position. AL (A1) = social image. UL (A12) = marriage fate. A10 = career reputation. DL (A7) = perceived partnerships.</t>
  </si>
  <si>
    <t>Arudha Name</t>
  </si>
  <si>
    <t>Lord Bhav</t>
  </si>
  <si>
    <t>House Bhav</t>
  </si>
  <si>
    <t>Raw Arudha Bhav</t>
  </si>
  <si>
    <t>Final Arudha (after exceptions)</t>
  </si>
  <si>
    <t>Sign of Arudha</t>
  </si>
  <si>
    <t>AL</t>
  </si>
  <si>
    <t>A2</t>
  </si>
  <si>
    <t>A3</t>
  </si>
  <si>
    <t>A4</t>
  </si>
  <si>
    <t>A5</t>
  </si>
  <si>
    <t>A6</t>
  </si>
  <si>
    <t>DL</t>
  </si>
  <si>
    <t>A8</t>
  </si>
  <si>
    <t>A9</t>
  </si>
  <si>
    <t>A10</t>
  </si>
  <si>
    <t>A11</t>
  </si>
  <si>
    <t>UL</t>
  </si>
  <si>
    <t>KEY ARUDHAS — AL, UL, DL, A10 (most analytically important)</t>
  </si>
  <si>
    <t>Arudha</t>
  </si>
  <si>
    <t>Classical significance</t>
  </si>
  <si>
    <t>Social image / public persona</t>
  </si>
  <si>
    <t>Perceived partnerships / public spouse</t>
  </si>
  <si>
    <t>Career reputation / public role</t>
  </si>
  <si>
    <t>Marriage quality / fate of union</t>
  </si>
  <si>
    <t>CALC_RasiDrishti  ·  Rasi Drishti (Sign-based Aspects)  ·  BPHS Ch.26 + Jaimini Sutra 1.3.1-10</t>
  </si>
  <si>
    <t>Rasi Drishti = aspects cast by signs (not planets). Movable signs (1/4/7/10) aspect all Fixed signs except the adjacent one. Fixed signs (2/5/8/11) aspect all Movable signs except the adjacent one. Dual signs (3/6/9/12) aspect each other (all Dual signs). Rasi Drishti is the basis of Jaimini Upadeshas. Used in SCORE_ArudhaLayer.</t>
  </si>
  <si>
    <t>From sign</t>
  </si>
  <si>
    <t>Aspects which signs</t>
  </si>
  <si>
    <t>Count</t>
  </si>
  <si>
    <t>Direction note</t>
  </si>
  <si>
    <t>Jaimini basis</t>
  </si>
  <si>
    <t>Leo, Scorpio, Aquarius</t>
  </si>
  <si>
    <t>Aspects all Fixed signs except Taurus (next sign)</t>
  </si>
  <si>
    <t>Jaimini Sutra 1.3.1-10 + BPHS Ch.26 commentary</t>
  </si>
  <si>
    <t>Cancer, Libra, Capricorn</t>
  </si>
  <si>
    <t>Aspects all Movable signs except Aries (previous sign)</t>
  </si>
  <si>
    <t>Virgo, Sagittarius, Pisces</t>
  </si>
  <si>
    <t>Aspects all other Dual signs</t>
  </si>
  <si>
    <t>Taurus, Scorpio, Aquarius</t>
  </si>
  <si>
    <t>Aspects all Fixed signs except Leo (next sign)</t>
  </si>
  <si>
    <t>Aries, Libra, Capricorn</t>
  </si>
  <si>
    <t>Aspects all Movable signs except Cancer (previous sign)</t>
  </si>
  <si>
    <t>Gemini, Sagittarius, Pisces</t>
  </si>
  <si>
    <t>Taurus, Leo, Aquarius</t>
  </si>
  <si>
    <t>Aspects all Fixed signs except Scorpio (next sign)</t>
  </si>
  <si>
    <t>Aries, Cancer, Capricorn</t>
  </si>
  <si>
    <t>Aspects all Movable signs except Libra (previous sign)</t>
  </si>
  <si>
    <t>Gemini, Virgo, Pisces</t>
  </si>
  <si>
    <t>Taurus, Leo, Scorpio</t>
  </si>
  <si>
    <t>Aspects all Fixed signs except Aquarius (next sign)</t>
  </si>
  <si>
    <t>Aries, Cancer, Libra</t>
  </si>
  <si>
    <t>Aspects all Movable signs except Capricorn (previous sign)</t>
  </si>
  <si>
    <t>Gemini, Virgo, Sagittarius</t>
  </si>
  <si>
    <t>SECTION 2 — Rasi Drishti 12×12 lookup matrix (Y=aspects, ·=no aspect)</t>
  </si>
  <si>
    <t>From →</t>
  </si>
  <si>
    <t>Ari</t>
  </si>
  <si>
    <t>Tau</t>
  </si>
  <si>
    <t>Gem</t>
  </si>
  <si>
    <t>Can</t>
  </si>
  <si>
    <t>Vir</t>
  </si>
  <si>
    <t>Lib</t>
  </si>
  <si>
    <t>Sco</t>
  </si>
  <si>
    <t>Sag</t>
  </si>
  <si>
    <t>Cap</t>
  </si>
  <si>
    <t>Aqu</t>
  </si>
  <si>
    <t>Pis</t>
  </si>
  <si>
    <t>Y</t>
  </si>
  <si>
    <t>SECTION 3 — Per-house Rasi Drishti net modifier  ·  Active when REF_Config!B6 = "Jaimini"  ·  Benefic casting Drishti = +0.25 per planet  ·  Malefic = −0.25  ·  Source: 12×12 matrix above (rows 19-31)</t>
  </si>
  <si>
    <t>House sign</t>
  </si>
  <si>
    <t>Aspecting signs</t>
  </si>
  <si>
    <t>Planets in those signs</t>
  </si>
  <si>
    <t>Benefics casting</t>
  </si>
  <si>
    <t>Malefics casting</t>
  </si>
  <si>
    <t>CALC_Avasthas  ·  Graha Avasthas (Planetary States)  ·  BPHS Ch.45-47 + REF_AvasthaRules</t>
  </si>
  <si>
    <t>Computes Baaladi (age-state) and Sayanadi (mood-state) for each of the 7 classical planets. Feeds SCORE_H* as effectiveness multipliers on R02/R04/R06 planet-in-house rules.</t>
  </si>
  <si>
    <t>Odd/Even sign</t>
  </si>
  <si>
    <t>Baaladi state</t>
  </si>
  <si>
    <t>Baaladi %</t>
  </si>
  <si>
    <t>Sayanadi state</t>
  </si>
  <si>
    <t>Sayanadi modifier</t>
  </si>
  <si>
    <t>CALC_Karakamsha  ·  Karakamsha Lagna (Soul's Seat)  ·  BPHS Ch.32-33 + Jaimini Sutra 1.1.29</t>
  </si>
  <si>
    <t>Karakamsha = Navamsha sign of the Atmakaraka (AK). The sign occupied by AK in D9 becomes the Karakamsha Lagna — the most important indicator of the soul's purpose and deepest karmic agenda. PVRNR: "The Karakamsha is the single most important point in the entire horoscope."</t>
  </si>
  <si>
    <t>Parameter</t>
  </si>
  <si>
    <t>Value</t>
  </si>
  <si>
    <t>Atmakaraka (AK) planet</t>
  </si>
  <si>
    <t>CALC_CharaKarak row 4</t>
  </si>
  <si>
    <t>Highest-degree planet among the 7 classical planets (excluding Rahu/Ketu). The AK is the king of the horoscope — its condition colours all life outcomes.</t>
  </si>
  <si>
    <t>AK sign in D1</t>
  </si>
  <si>
    <t>CALC_PlanetPositions col B</t>
  </si>
  <si>
    <t>Natal sign of the Atmakaraka in the D1 chart.</t>
  </si>
  <si>
    <t>AK degree in D1</t>
  </si>
  <si>
    <t>CALC_PlanetPositions col C</t>
  </si>
  <si>
    <t>Degree position of AK in D1.</t>
  </si>
  <si>
    <t>AK sign in D9 (Navamsha)</t>
  </si>
  <si>
    <t>CALC_D9_Navamsha col D</t>
  </si>
  <si>
    <t>THIS IS THE KARAKAMSHA LAGNA. The sign of AK in D9 is the seat of the soul.</t>
  </si>
  <si>
    <t>Karakamsha Lagna sign</t>
  </si>
  <si>
    <t>Karakamsha = AK in D9. The sign and its lord reveal the soul's deepest purpose.</t>
  </si>
  <si>
    <t>Karakamsha lord</t>
  </si>
  <si>
    <t>REF_Zodiac row 7</t>
  </si>
  <si>
    <t>Lord of the Karakamsha sign. Its condition in D9 reveals how the soul's purpose manifests.</t>
  </si>
  <si>
    <t>Karakamsha lord Bhav in D9</t>
  </si>
  <si>
    <t>CALC_D9_BhaveshMap</t>
  </si>
  <si>
    <t>House position of the Karakamsha lord in D9. Kendra/Trikon = strong soul purpose.</t>
  </si>
  <si>
    <t>Planets in Karakamsha Lagna (D9)</t>
  </si>
  <si>
    <t>CALC_D9_Navamsha</t>
  </si>
  <si>
    <t>Planets occupying the Karakamsha sign in D9 shape the soul's expression.</t>
  </si>
  <si>
    <t>KARAKAMSHA INTERPRETATION GUIDE  ·  BPHS Ch.33</t>
  </si>
  <si>
    <t>Karakamsha position</t>
  </si>
  <si>
    <t>Karakamsha in H1 (D9 self)</t>
  </si>
  <si>
    <t>Soul focused on self-development · strong individual destiny · leadership karma</t>
  </si>
  <si>
    <t>Karakamsha in H2 (D9 wealth)</t>
  </si>
  <si>
    <t>Wealth accumulation is karmic purpose · speech and communication karma</t>
  </si>
  <si>
    <t>Karakamsha in H4 (D9 home)</t>
  </si>
  <si>
    <t>Home and emotional security as dharma · mother karma · property accumulation</t>
  </si>
  <si>
    <t>Karakamsha in H5 (D9 intellect)</t>
  </si>
  <si>
    <t>Creative and intellectual dharma · children karma · past-life scholarly merit</t>
  </si>
  <si>
    <t>Karakamsha in H7 (D9 partner)</t>
  </si>
  <si>
    <t>Partnership and marriage as primary karma · soul learns through relationships</t>
  </si>
  <si>
    <t>Karakamsha in H9 (D9 dharma)</t>
  </si>
  <si>
    <t>Spiritual teaching and philosophy as destiny · guru karma · dharma propagation</t>
  </si>
  <si>
    <t>Karakamsha in H10 (D9 career)</t>
  </si>
  <si>
    <t>Career and public role as primary soul purpose · karma through worldly achievement</t>
  </si>
  <si>
    <t>Karakamsha in H12 (D9 moksha)</t>
  </si>
  <si>
    <t>Liberation and renunciation as destiny · spiritual withdrawal · foreign lands</t>
  </si>
  <si>
    <t>CALC_D9_BhaveshMap  ·  House Lords from D9 (Navamsha) Lagna  ·  CALC_D9_Navamsha + BPHS Ch.6</t>
  </si>
  <si>
    <t>Maps 12 houses from the D9 Navamsha Lagna. D9 Lagna = Navamsha sign of the natal Lagna (from CALC_D9_Navamsha row 4 col D9). Used by SCORE_D9 layer to assess house lords in the Navamsha chart.</t>
  </si>
  <si>
    <t>D9 Bhavesh</t>
  </si>
  <si>
    <t>Bhavesh D9 sign</t>
  </si>
  <si>
    <t>Inner self · dharmic personality · soul purpose</t>
  </si>
  <si>
    <t>Inner wealth · accumulated wisdom · inner speech</t>
  </si>
  <si>
    <t>Inner courage · dharmic communication · siblings</t>
  </si>
  <si>
    <t>Inner home · emotional foundation · inner mother</t>
  </si>
  <si>
    <t>Inner intellect · dharmic creativity · inner children</t>
  </si>
  <si>
    <t>Inner challenges · dharmic service · inner enemies</t>
  </si>
  <si>
    <t>Inner marriage · dharmic partnership · soul partner</t>
  </si>
  <si>
    <t>Inner transformation · dharmic secrets</t>
  </si>
  <si>
    <t>Inner fortune · dharmic guru · past life merit</t>
  </si>
  <si>
    <t>Inner career · dharmic action · soul's work in the world</t>
  </si>
  <si>
    <t>Inner gains · dharmic aspirations · soul network</t>
  </si>
  <si>
    <t>Inner liberation · dharmic surrender · soul moksha</t>
  </si>
  <si>
    <t>CALC_D10_Dashamsha  ·  House Lords from D10 (Dashamsha) Lagna  ·  CALC_DivisionalMap col E + BPHS Ch.10</t>
  </si>
  <si>
    <t>Maps 12 houses from the D10 Dashamsha Lagna. D10 Lagna = Dashamsha sign of the natal Lagna (from CALC_DivisionalMap row 4 col E). Most important Varga for career, profession, and public life. Used by SCORE_D10 layer.</t>
  </si>
  <si>
    <t>D10 Bhavesh</t>
  </si>
  <si>
    <t>Bhavesh D10 sign</t>
  </si>
  <si>
    <t>Public persona · career identity · work ethic</t>
  </si>
  <si>
    <t>Career income · professional wealth · resource accumulation</t>
  </si>
  <si>
    <t>Professional courage · work communication · business siblings</t>
  </si>
  <si>
    <t>Work environment · employer relationship · professional foundation</t>
  </si>
  <si>
    <t>Professional creativity · work intelligence · business ventures</t>
  </si>
  <si>
    <t>Professional challenges · work enemies · workplace conflicts</t>
  </si>
  <si>
    <t>Business partnerships · work collaborators · professional rivals</t>
  </si>
  <si>
    <t>Career transformation · hidden professional matters</t>
  </si>
  <si>
    <t>Professional fortune · dharma in career · work philosophy</t>
  </si>
  <si>
    <t>Primary career house · peak professional achievement · public authority</t>
  </si>
  <si>
    <t>Career gains · professional network · income from work</t>
  </si>
  <si>
    <t>Professional endings · career liberation · work behind the scenes</t>
  </si>
  <si>
    <t>CALC_AntarDasha  ·  Vimshottari Antardasha (Sub-period) Calculator  ·  BPHS Ch.46 + REF_DashaSequence</t>
  </si>
  <si>
    <t>Antardasha = sub-period within each Mahadasha. Duration = Mahadasha years × Antardasha years / 120. Sequence: same 9-planet order, starting from the Mahadasha planet. Active period detected via TODAY(). Feeds OUTPUT_LifePressureIndex trend column.</t>
  </si>
  <si>
    <t>SECTION 1 — Active Mahadasha reference</t>
  </si>
  <si>
    <t>Active Mahadasha</t>
  </si>
  <si>
    <t>CALC_DashaActive!B14</t>
  </si>
  <si>
    <t>Current Mahadasha lord</t>
  </si>
  <si>
    <t>Mahadasha start</t>
  </si>
  <si>
    <t>Start date of current Mahadasha</t>
  </si>
  <si>
    <t>Mahadasha end</t>
  </si>
  <si>
    <t>End date of current Mahadasha</t>
  </si>
  <si>
    <t>Mahadasha years</t>
  </si>
  <si>
    <t>VIMSHOTTARI_YEARS</t>
  </si>
  <si>
    <t>Duration of current Mahadasha in years</t>
  </si>
  <si>
    <t>SECTION 2 — Antardasha periods within active Mahadasha</t>
  </si>
  <si>
    <t>Antardasha lord</t>
  </si>
  <si>
    <t>Antara yrs</t>
  </si>
  <si>
    <t>Remaining (days)</t>
  </si>
  <si>
    <t>Theme</t>
  </si>
  <si>
    <t>SECTION 3 — Currently active Antardasha summary</t>
  </si>
  <si>
    <t>Active Antardasha lord</t>
  </si>
  <si>
    <t>Period within active Mahadasha</t>
  </si>
  <si>
    <t>Antardasha ends</t>
  </si>
  <si>
    <t>Date current Antardasha period ends</t>
  </si>
  <si>
    <t>Days remaining</t>
  </si>
  <si>
    <t>Days left in active Antardasha</t>
  </si>
  <si>
    <t>Antardasha lord house</t>
  </si>
  <si>
    <t>Which natal house is being activated</t>
  </si>
  <si>
    <t>Combined Maha·Antara</t>
  </si>
  <si>
    <t>The full Dasha period designation</t>
  </si>
  <si>
    <t>CALC_NarayanaDasa  ·  Rasi Dasha (Sign-based Period) Calculator  ·  BPHS Ch.4 + REF_NarayanaDasaRules + PVRNR</t>
  </si>
  <si>
    <t>Narayana Dasha = signs (not planets) are the period lords. Starting sign = Lagna sign. Direction = forward if Lagna in odd sign, backward if even. Duration per sign from REF_NarayanaDasaRules. Most versatile Rasi Dasha for general life events (PVRNR primary research).</t>
  </si>
  <si>
    <t>SECTION 1 — Configuration</t>
  </si>
  <si>
    <t>Sub-period direction reversal?</t>
  </si>
  <si>
    <t>Sub-period direction (within this Maha sign)</t>
  </si>
  <si>
    <t>INPUT_Chart!C5</t>
  </si>
  <si>
    <t>Starting sign for Narayana Dasha sequence</t>
  </si>
  <si>
    <t>Lagna sign number</t>
  </si>
  <si>
    <t>Computed</t>
  </si>
  <si>
    <t>1=Aries ... 12=Pisces</t>
  </si>
  <si>
    <t>Computed from Lagna sign number</t>
  </si>
  <si>
    <t>Odd = forward through zodiac; Even = backward</t>
  </si>
  <si>
    <t>Birth date</t>
  </si>
  <si>
    <t>INPUT_BirthData!B5</t>
  </si>
  <si>
    <t>Starting date for Dasha sequence</t>
  </si>
  <si>
    <t>SECTION 2 — Narayana Dasha sequence (12 periods)</t>
  </si>
  <si>
    <t>Years (live ↔ REF_NarayanaDasaRules)</t>
  </si>
  <si>
    <t>PVRNR EXALTATION REVERSAL RULE (ND-3) — IMPLEMENTED: If the lord of the current Narayana Dasha sign is exalted in the natal D1 chart, the sub-periods (Antardasha) within that Mahadasha run in the OPPOSITE direction to the Mahadasha itself. Col I (rows 14-25) flags '↺ REVERSED' when the condition is met. Col J computes the resulting sub-period direction. CALC_NarayanaDasa_Antardasha reads J14:J25 and applies the direction to all 144 sub-periods.</t>
  </si>
  <si>
    <t>Active Narayana sign</t>
  </si>
  <si>
    <t>Current Narayana Dasha sign</t>
  </si>
  <si>
    <t>Period ends</t>
  </si>
  <si>
    <t>End of current Narayana sign Dasha</t>
  </si>
  <si>
    <t>Lord of active sign</t>
  </si>
  <si>
    <t>Planet ruling the current Narayana Dasha sign</t>
  </si>
  <si>
    <t>CALC_NarayanaDasa_Antardasha  ·  Narayana Dasha Sub-periods  ·  PVRNR Exaltation Reversal</t>
  </si>
  <si>
    <t>For each Narayana Dasha sign period, sub-periods run Forward or Backward per PVRNR Ch.2. If the sign's lord is exalted in D1, the sub-period direction REVERSES (col I of CALC_NarayanaDasa). Sub-period durations: same 12-sign sequence scaled to the Mahadasha years.</t>
  </si>
  <si>
    <t>Maha sign</t>
  </si>
  <si>
    <t>Maha yrs</t>
  </si>
  <si>
    <t>Sub dir (col J)</t>
  </si>
  <si>
    <t>Sub period #</t>
  </si>
  <si>
    <t>Sub sign</t>
  </si>
  <si>
    <t>Sub duration (yrs)</t>
  </si>
  <si>
    <t>CALC_Compatibility  ·  Kundali Milan — Ashtakuta Match Score  ·  BPHS Ch.34 + Muhurta tradition</t>
  </si>
  <si>
    <t>8-fold compatibility assessment (Ashtakuta): 36 total points. All 8 kutas are fully implemented: Varna (1pt), Vashya (2pt), Tara (3pt), Yoni (4pt), Graha Maitri (5pt), Gana (6pt), Bhakut (7pt), Nadi (8pt). Yoni scoring uses the 14 Nakshatra animal-pair table (same=4, friendly=3, neutral=2, semi-hostile=1, hostile=0). Bhakut scoring uses BPHS Ch.98 sign-distance rules (2-12 and 6-8 pairs = 0; all others = 7). Enter partner Moon Nakshatra, Moon sign, and Lagna sign in the blue cells above to activate.</t>
  </si>
  <si>
    <t>PARTNER CHART INPUT (enter manually)</t>
  </si>
  <si>
    <t>Native (auto)</t>
  </si>
  <si>
    <t>Partner (enter)</t>
  </si>
  <si>
    <t>Max pts</t>
  </si>
  <si>
    <t>Score</t>
  </si>
  <si>
    <t>Partner Moon Nakshatra</t>
  </si>
  <si>
    <t>Enter partner Moon Nakshatra name (e.g. "Rohini")</t>
  </si>
  <si>
    <t>Partner Moon sign</t>
  </si>
  <si>
    <t>Enter partner Moon sign (e.g. "Taurus")</t>
  </si>
  <si>
    <t>Partner Lagna sign</t>
  </si>
  <si>
    <t>Enter partner Lagna sign</t>
  </si>
  <si>
    <t>Partner Lagna Nakshatra</t>
  </si>
  <si>
    <t>AUTO from Moon</t>
  </si>
  <si>
    <t>Enter partner Lagna Nakshatra for advanced matching</t>
  </si>
  <si>
    <t>ASHTAKUTA — 8 COMPATIBILITY FACTORS</t>
  </si>
  <si>
    <t>Kuta</t>
  </si>
  <si>
    <t>Factor (Sanskrit)</t>
  </si>
  <si>
    <t>Native</t>
  </si>
  <si>
    <t>Partner</t>
  </si>
  <si>
    <t>1. Varna Kuta</t>
  </si>
  <si>
    <t>Varna (caste compatibility)</t>
  </si>
  <si>
    <t>2. Vashya Kuta</t>
  </si>
  <si>
    <t>Vashya (dominance)</t>
  </si>
  <si>
    <t>3. Tara Kuta</t>
  </si>
  <si>
    <t>Tara (star compatibility)</t>
  </si>
  <si>
    <t>4. Yoni Kuta</t>
  </si>
  <si>
    <t>Yoni (sexual compatibility)</t>
  </si>
  <si>
    <t>5. Graha Maitri</t>
  </si>
  <si>
    <t>Graha Maitri (planet friendship)</t>
  </si>
  <si>
    <t>6. Gana Kuta</t>
  </si>
  <si>
    <t>Gana (temperament)</t>
  </si>
  <si>
    <t>7. Bhakut Kuta</t>
  </si>
  <si>
    <t>Bhakut (moon sign distance)</t>
  </si>
  <si>
    <t>8. Nadi Kuta</t>
  </si>
  <si>
    <t>Nadi (constitution/energy)</t>
  </si>
  <si>
    <t>TOTAL SCORE</t>
  </si>
  <si>
    <t>SCORE INTERPRETATION</t>
  </si>
  <si>
    <t>32–36</t>
  </si>
  <si>
    <t>Excellent</t>
  </si>
  <si>
    <t>Rare and highly auspicious match</t>
  </si>
  <si>
    <t>24–31</t>
  </si>
  <si>
    <t>Good</t>
  </si>
  <si>
    <t>Recommended match</t>
  </si>
  <si>
    <t>18–23</t>
  </si>
  <si>
    <t>Acceptable</t>
  </si>
  <si>
    <t>Workable with effort and understanding</t>
  </si>
  <si>
    <t>0–17</t>
  </si>
  <si>
    <t>Challenging</t>
  </si>
  <si>
    <t>Compatibility concerns — review carefully</t>
  </si>
  <si>
    <t>IMPLEMENTATION NOTE</t>
  </si>
  <si>
    <t>IMPLEMENTATION STATUS — All 8 Ashtakuta kutas are complete:
Varna: REF_Nakshatra AC column (Varna per Nakshatra). Vashya: sign group lookup (Chatushpada/Manava/Jalchar/Vanchar/Keeta). Tara: star-count distance formula (BPHS Ch.98). Yoni: 14 Nakshatra animal pairs with full hostile/friendly/neutral scoring. Graha Maitri: Moon-sign lord friendship via REF_Zodiac and REF_NaisargikaFriendship. Gana: REF_Nakshatra AB column (Deva/Manava/Rakshasa per Nakshatra). Bhakut: sign-distance 2-12 and 6-8 penalty rules (BPHS Ch.98). Nadi: REF_Nakshatra AE column (Vata/Pitta/Kapha). Total /36 is fully computed.</t>
  </si>
  <si>
    <t>CALC_D60_Shastiamsha  ·  Shastiamsha (D60) Sign and Division  ·  BPHS Ch.6 + REF_D60SignMap  ·  ★ pyswisseph Moshier live (±0.001°)  ·  Phase 3 gate REMOVED</t>
  </si>
  <si>
    <t>D60 = most sensitive Varga. Each sign divided into 60 equal parts of 0°30'. ★ LIVE (v6): pyswisseph Moshier ±0.001° active. All D60 divisions reliable. INPUT_Chart signs/degrees written by swiss_eph_engine.py. Col H precision: ★ ±0.001° for all planets when run via swiss_eph_engine.py.</t>
  </si>
  <si>
    <t>D1 sign</t>
  </si>
  <si>
    <t>D1 degree</t>
  </si>
  <si>
    <t>D60 div #</t>
  </si>
  <si>
    <t>D60 sign</t>
  </si>
  <si>
    <t>D60 Shastiamsha name</t>
  </si>
  <si>
    <t>Precision warning</t>
  </si>
  <si>
    <t>★ D60 LIVE (v6): pyswisseph Moshier replaces Meeus. Phase 3 gate removed. All 60 Shastiamsha divisions (0.5° each) are unambiguous at ±0.001° precision. Run swiss_eph_engine.py to refresh positions.</t>
  </si>
  <si>
    <t>CALC_SwissEphemeris  ·  Precision Upgrade Documentation  ·  Phase 3 Migration  ·  pyswisseph + DE431 ephemeris</t>
  </si>
  <si>
    <t>STATUS: DOCUMENTATION ONLY — No live data. This sheet contains Phase 3 migration notes and Python function signatures. It does NOT compute or store any live planet positions. Current ephemeris source = Meeus simplified (CALC_PlanetLongitudes). Phase 3 readiness checklist: ☐ pip install pyswisseph  ☐ Download DE431 files from astro.com/swisseph/  ☐ Run FastAPI backend (see Section 2 Python code below)  ☐ Update prokerala_lagna_v3.py to call /planet-positions endpoint  ☐ Validate output against Prokerala API benchmark (1947 chart)  ☐ Decommission Meeus formulas in CALC_PlanetLongitudes.</t>
  </si>
  <si>
    <t>SECTION 1 — Accuracy comparison: Meeus (current) vs Swiss Ephemeris (Phase 3)</t>
  </si>
  <si>
    <t>Current formula</t>
  </si>
  <si>
    <t>Meeus error</t>
  </si>
  <si>
    <t>Swiss Eph error</t>
  </si>
  <si>
    <t>Precision gain</t>
  </si>
  <si>
    <t>Critical for</t>
  </si>
  <si>
    <t>Migration notes</t>
  </si>
  <si>
    <t>Meeus LMST + obliquity</t>
  </si>
  <si>
    <t>±0.0003°</t>
  </si>
  <si>
    <t>1,667×</t>
  </si>
  <si>
    <t>D60 (every 0.5°), KP (every 0.1°), Tight timing</t>
  </si>
  <si>
    <t>Most sensitive — 1° Lagna error = ~4 min birth time. Swiss Eph uses VSOP87 + nutation corrections.</t>
  </si>
  <si>
    <t>Meeus simplified</t>
  </si>
  <si>
    <t>±0.0001°</t>
  </si>
  <si>
    <t>100×</t>
  </si>
  <si>
    <t>Combustion orbs, D60</t>
  </si>
  <si>
    <t>Sun longitude very accurate in Meeus; Swiss Eph minimal improvement here.</t>
  </si>
  <si>
    <t>Meeus ELP2000-82</t>
  </si>
  <si>
    <t>1,000×</t>
  </si>
  <si>
    <t>Nakshatra pada, Dasha starting point, D60, D9</t>
  </si>
  <si>
    <t>Most critical upgrade. Moon 0.3° error = wrong Nakshatra pada or Dasha start for charts near Nakshatra boundaries.</t>
  </si>
  <si>
    <t>±0.001°</t>
  </si>
  <si>
    <t>D60, D9 (especially for boundary charts)</t>
  </si>
  <si>
    <t>1° error makes Mars Nakshatra unreliable. Boundary charts ±2 Nakshatras off.</t>
  </si>
  <si>
    <t>2,000×</t>
  </si>
  <si>
    <t>Combustion detection, D60, Rx detection</t>
  </si>
  <si>
    <t>Worst current accuracy. 2° error misidentifies retrograde station by ~2 days.</t>
  </si>
  <si>
    <t>500×</t>
  </si>
  <si>
    <t>D9, D60, Gaja Kesari Yoga</t>
  </si>
  <si>
    <t>Affects Yoga detection for boundary charts. Swiss Eph standard.</t>
  </si>
  <si>
    <t>Combustion, D9, D60</t>
  </si>
  <si>
    <t>Same issue as Mercury — retrograde station off by ~2 days.</t>
  </si>
  <si>
    <t>Sade Sati detection, D60</t>
  </si>
  <si>
    <t>Sade Sati entry/exit accurate to within 2-3 days with Swiss Eph.</t>
  </si>
  <si>
    <t>Rahu/Ketu</t>
  </si>
  <si>
    <t>Meeus mean node</t>
  </si>
  <si>
    <t>±0.01° (true)</t>
  </si>
  <si>
    <t>50×</t>
  </si>
  <si>
    <t>Eclipse prediction, D9</t>
  </si>
  <si>
    <t>True node vs mean node: ±1.5° oscillation. Swiss Eph provides both.</t>
  </si>
  <si>
    <t>SECTION 2 — Python function signatures for Phase 3 backend</t>
  </si>
  <si>
    <t>PYTHON BACKEND (FastAPI + pyswisseph):
pip install pyswisseph fastapi uvicorn
import swisseph as swe
swe.set_ephe_path("/path/to/ephe")  # Download DE431 ephemeris files
def get_planet_positions(jd_ut: float, lat: float, lon: float) -&gt; dict:
    """
    jd_ut = Julian Day in Universal Time
    Returns: dict of {planet_name: {longitude, latitude, speed, sign, degree}}
    """
    planets = {
        "Sun": swe.SUN, "Moon": swe.MOON, "Mars": swe.MARS,
        "Mercury": swe.MERCURY, "Jupiter": swe.JUPITER,
        "Venus": swe.VENUS, "Saturn": swe.SATURN,
        "Rahu": swe.MEAN_NODE, "Ketu": swe.MEAN_NODE,  # Ketu = Rahu + 180
    }
    ayanamsha = swe.SIDM_LAHIRI
    swe.set_sid_mode(ayanamsha)
    results = {}
    for name, planet_id in planets.items():
        flags = swe.FLG_SIDEREAL | swe.FLG_SPEED
        xx, ret = swe.calc_ut(jd_ut, planet_id, flags)
        lon = xx[0] % 360
        if name == "Ketu": lon = (lon + 180) % 360
        sign_num = int(lon / 30)
        results[name] = {
            "longitude": round(lon, 4),
            "degree": round(lon % 30, 4),
            "sign": SIGNS[sign_num],
            "speed": round(xx[3], 4),  # degrees/day, negative = retrograde
        }
    # Compute Lagna (Ascendant)
    cusps, ascmc = swe.houses(jd_ut, lat, lon, b"P")  # Placidus
    asc_sidereal = (ascmc[0] - swe.get_ayanamsa_ut(jd_ut)) % 360
    results["Lagna"] = {"longitude": round(asc_sidereal,4), "sign": SIGNS[int(asc_sidereal/30)]}
    return results
INTEGRATION: FastAPI endpoint /planet-positions accepts {jd_ut, lat, lon}
Returns JSON that prokerala_lagna.py or a new Swiss Eph script writes to INPUT_Chart.
Excel ↔ Python bridge: xlwings or openpyxl write-back from the Python script.</t>
  </si>
  <si>
    <t>SECTION 3 — Boundary alert status</t>
  </si>
  <si>
    <t>ISSUE #9 (v5):</t>
  </si>
  <si>
    <t>INPUT_Chart!A3 contains a live BOUNDARY ALERT formula: =IFERROR(IF(COUNTIF(CALC_PlanetLongitudes!$H$7:$H$16,"&lt;&gt;")&gt;0, "BOUNDARY ALERT: "&amp;COUNTIF(...)&amp;" planet(s) near sign boundary",""),""). This alert fires whenever any planet is within the Meeus error margin of a sign boundary. For the 1947 chart, Sun at 27.99° Cancer (2.01° from Leo) is flagged. Phase 3 action: migrate CALC_PlanetLongitudes to pyswisseph to eliminate this uncertainty. Until then, verify flagged planets against Jagannath Hora or Astro.com before relying on house-placement-sensitive rules.</t>
  </si>
  <si>
    <t>CALC_SwissEphemeris_Live  ·  pyswisseph Moshier  ·  Computed 17-Mar-2026 19:18  ·  Birth: 1947-08-15 00:00 UTC+5.5  ·  Lat: 28.6139 Lon: 77.209  ·  Ayanamsha (Lahiri): 23.125451°</t>
  </si>
  <si>
    <t>All positions computed via pyswisseph Moshier analytic ephemeris (±0.001°). No .se1 ephemeris data files required — Moshier covers 1800–2400 CE. Ayanamsha mode: SIDM_USER pinned to INPUT_BirthData!B20 for exact Prokerala match.</t>
  </si>
  <si>
    <t>Sidereal lon (°)</t>
  </si>
  <si>
    <t>Degree (0-30)</t>
  </si>
  <si>
    <t>Speed (°/day)</t>
  </si>
  <si>
    <t>Nakshatra band</t>
  </si>
  <si>
    <t>Accuracy</t>
  </si>
  <si>
    <t>Direct</t>
  </si>
  <si>
    <t>⚠ Near Cancer/Leo boundary</t>
  </si>
  <si>
    <t>⚠ Near Pushya/Ashlesha pada boundary — verify D9 sign</t>
  </si>
  <si>
    <t>±0.01° (mean node)</t>
  </si>
  <si>
    <t>Ayanamsha details</t>
  </si>
  <si>
    <t>Value at birth JD</t>
  </si>
  <si>
    <t>Mode</t>
  </si>
  <si>
    <t>SIDM_USER (pinned to INPUT_BirthData!B20)</t>
  </si>
  <si>
    <t>Prokerala benchmark</t>
  </si>
  <si>
    <t>Delta</t>
  </si>
  <si>
    <t>CALC_RuleInteractionEngine  ·  Rule Interaction Detection &amp; Modifier  ·  BPHS + Saravali  ·  22 interaction pairs, all 12 houses  ·  Live</t>
  </si>
  <si>
    <t>Checks which interaction pairs from REF_RuleInteractionMatrix are active for each house. Applies interaction modifier to the raw scoring total. Replaces simple linear addition with context-aware adjustment.</t>
  </si>
  <si>
    <t>SECTION 1 — Per-house interaction flags and modifiers</t>
  </si>
  <si>
    <t>R04+R13</t>
  </si>
  <si>
    <t>R04+R19</t>
  </si>
  <si>
    <t>R02+R09</t>
  </si>
  <si>
    <t>R09+R12</t>
  </si>
  <si>
    <t>R11+R15</t>
  </si>
  <si>
    <t>R04+R05</t>
  </si>
  <si>
    <t>Net Interaction Modifier (22 pairs)</t>
  </si>
  <si>
    <t>CALC_CompositeVargaScore  ·  Multi-Varga Composite (D1+D9+D10)  ·  Phase 4 — Novel: no software currently does this</t>
  </si>
  <si>
    <t>D1 = natal physical reality (50% weight). D9 = dharma/marriage/inner self (30% weight). D10 = career/public life (20% weight). Composite score gives a fuller picture than D1 alone. School consensus: D9 is the most important Varga after D1.</t>
  </si>
  <si>
    <t>SECTION 1 — Per-house composite score</t>
  </si>
  <si>
    <t>D9 Score (approx)</t>
  </si>
  <si>
    <t>D10 Score (approx)</t>
  </si>
  <si>
    <t>Composite (D1×0.5+D9×0.3+D10×0.2)</t>
  </si>
  <si>
    <t>D9 BhaveshMap</t>
  </si>
  <si>
    <t>D10 BhaveshMap</t>
  </si>
  <si>
    <t>Varga agreement</t>
  </si>
  <si>
    <t>CALC_VimshopakaBala  ·  Shodasavarga Strength  ·  16 Vargas  ·  Max 20 Virupas</t>
  </si>
  <si>
    <t>Vimshopaka Bala across all 16 Vargas per BPHS Shodasavarga: D1 (3.5), D2 (1.0), D3 (1.0), D7 (0.5), D9 (3.0), D10 (0.5), D12 (0.5), D30 (0.5), D4 (0.5), D16 (0.5), D20 (0.5), D24 (0.5), D27 (0.5), D40 (0.5), D45 (0.5), D60 (4.0). Dignitary scoring per Varga: Exaltation/Own = full weight; Friendly = 0.625×; Neutral = 0.375×; Enemy = 0.25×; Debilitation = 0.125×. Raw total scaled to /20 (denominator = 17.5 = sum of all Varga weights).</t>
  </si>
  <si>
    <t>D1 strength</t>
  </si>
  <si>
    <t>D2 Hora</t>
  </si>
  <si>
    <t>D3 Drekkana</t>
  </si>
  <si>
    <t>D7 Saptamsha</t>
  </si>
  <si>
    <t>D9 Navamsha</t>
  </si>
  <si>
    <t>D10 Dashamsha</t>
  </si>
  <si>
    <t>D12 Dwadashamsha</t>
  </si>
  <si>
    <t>Raw total</t>
  </si>
  <si>
    <t>Scaled /20</t>
  </si>
  <si>
    <t>Grade</t>
  </si>
  <si>
    <t>D4 (0.5)</t>
  </si>
  <si>
    <t>D16 (0.5)</t>
  </si>
  <si>
    <t>D20 (0.5)</t>
  </si>
  <si>
    <t>D24 (0.5)</t>
  </si>
  <si>
    <t>D27 (0.5)</t>
  </si>
  <si>
    <t>D40 (0.5)</t>
  </si>
  <si>
    <t>D45 (0.5)</t>
  </si>
  <si>
    <t>D60 (4.0)</t>
  </si>
  <si>
    <t>All 16 Shodasavarga Vargas implemented per BPHS Ch.6. D60 data sourced from CALC_D60_Shastiamsha. Scaling: raw total / 17.5 × 20 (17.5 = sum of all 16 Varga weights).</t>
  </si>
  <si>
    <t>CALC_SchoolAdjustedScore  ·  Full 23-Rule × 3-School  ·  All 12 Houses</t>
  </si>
  <si>
    <t>Each school total = SUM over all 23 rules of: (SCORE_H*_fired_value / Parashari_weight) × school_weight. Active school reads REF_Config!$B$6. Delta = max − min across 3 schools.</t>
  </si>
  <si>
    <t>Active</t>
  </si>
  <si>
    <t>Audit: R04 fired</t>
  </si>
  <si>
    <t>Audit: R15 fired</t>
  </si>
  <si>
    <t>Chart averages:</t>
  </si>
  <si>
    <t>NOTE: School totals rescale each SCORE_H* rule result using (fired/Parashari_weight)×school_weight. This preserves the exact BPHS logic already proven in SCORE_H* and applies school-specific weights correctly.</t>
  </si>
  <si>
    <t>SECTION 2 — Active school weight readout  (LIVE: 426 SCORE_H* formulas now read REF_Config!B6)</t>
  </si>
  <si>
    <t>Parashari (D)</t>
  </si>
  <si>
    <t>KP (E)</t>
  </si>
  <si>
    <t>Jaimini (F)</t>
  </si>
  <si>
    <t>Active weight</t>
  </si>
  <si>
    <t>Source column</t>
  </si>
  <si>
    <t>CALC_PredictiveTimeline  ·  Multi-Layer House Pressure (TODAY)  ·  Dasha + Antardasha + Gochar activation</t>
  </si>
  <si>
    <t>Synthesises current timing across three layers per natal house: 1) Natal promise (D1 score), 2) Dasha activation (active Mahadasha+Antardasha lord's natal house), 3) Gochar transit pressure (transit planets in/aspecting each natal house). Houses scoring HIGH across all 3 layers = currently activated.</t>
  </si>
  <si>
    <t>SECTION 1 — Per-house activation for TODAY()</t>
  </si>
  <si>
    <t>D1 Natal</t>
  </si>
  <si>
    <t>Dasha activated?</t>
  </si>
  <si>
    <t>Antardasha activated?</t>
  </si>
  <si>
    <t>Gochar pressure</t>
  </si>
  <si>
    <t>Net activation</t>
  </si>
  <si>
    <t>RAG</t>
  </si>
  <si>
    <t>Current interpretation</t>
  </si>
  <si>
    <t>SECTION 2 — Most activated house today</t>
  </si>
  <si>
    <t>Net Activation</t>
  </si>
  <si>
    <t>SCORE — Composite Bhav Strength  ·  All 12 Houses</t>
  </si>
  <si>
    <t>Score = Bhav_Bal + Bhavesh_Bal − Bhav_Durbal − Bhavesh_Durbal ± Karak_Mod  ·  Range: −10 to +10  ·  WC rules contribute 50% weight  ·  Blue = input cells</t>
  </si>
  <si>
    <t>Avastha adj</t>
  </si>
  <si>
    <t>Avastha note</t>
  </si>
  <si>
    <t>Argala mod</t>
  </si>
  <si>
    <t>War mod</t>
  </si>
  <si>
    <t>Cap flag</t>
  </si>
  <si>
    <t>★ Enriched (P2-4+KP+RD)</t>
  </si>
  <si>
    <t>KP mod</t>
  </si>
  <si>
    <t>Domain / Life Area</t>
  </si>
  <si>
    <t>Dasha Score</t>
  </si>
  <si>
    <t>Penalty cap ≤ −3.0 ?</t>
  </si>
  <si>
    <t>KP sub-lord mod (KP school only)</t>
  </si>
  <si>
    <t>Rasi Drishti mod (Jaimini school only)</t>
  </si>
  <si>
    <t>Rule Interaction mod</t>
  </si>
  <si>
    <t>Identity, vitality, appearance, self-confidence</t>
  </si>
  <si>
    <t>Accumulated wealth, family, speech, values</t>
  </si>
  <si>
    <t>Siblings, communication, short travel, skills</t>
  </si>
  <si>
    <t>Mother, home, property, education, happiness</t>
  </si>
  <si>
    <t>Children, creativity, speculation, past-life merit</t>
  </si>
  <si>
    <t>Enemies, debts, disease, litigation, service</t>
  </si>
  <si>
    <t>Marriage, business partners, public dealings</t>
  </si>
  <si>
    <t>Transformation, inheritance, occult, hidden matters</t>
  </si>
  <si>
    <t>Father, dharma, luck, higher learning, travel</t>
  </si>
  <si>
    <t>Profession, status, authority, public role</t>
  </si>
  <si>
    <t>Income, elder siblings, aspirations, social network</t>
  </si>
  <si>
    <t>Losses, foreign lands, isolation, moksha, expenses</t>
  </si>
  <si>
    <t>AGGREGATE</t>
  </si>
  <si>
    <t>Average chart score → J17</t>
  </si>
  <si>
    <t>YOGA SCORES</t>
  </si>
  <si>
    <t>Chart-wide Yoga modifiers — see YOGA_ sheets for planet-specific detail</t>
  </si>
  <si>
    <t>PENALTY CAP (Issue #5, v5): Col R flags any house where the combined malefic penalty (Bhav Durbal + Bhavesh Durbal) exceeds −3.0. This is the per-planet cap per house recommended in the audit. A '⚠ Cap' flag means the same underlying planet-position fact is penalising the house beyond the classical −3.0 ceiling. See LEGEND_ScoringRules for cap policy.</t>
  </si>
  <si>
    <t>BPHS Ch.75</t>
  </si>
  <si>
    <t>Pancha Mahapurush: planet in own/exalt in Lagna Kendra</t>
  </si>
  <si>
    <t>Raja/Dhana</t>
  </si>
  <si>
    <t>BPHS Ch.34-42</t>
  </si>
  <si>
    <t>Kendra lord + Trikon lord in contact</t>
  </si>
  <si>
    <t>Graha Yoga</t>
  </si>
  <si>
    <t>BPHS Ch.43-75</t>
  </si>
  <si>
    <t>Gaja Kesari, Budhaditya, Saraswati etc.</t>
  </si>
  <si>
    <t>Viparita</t>
  </si>
  <si>
    <t>Dukshthan lords in Dukshthan — adversity converted</t>
  </si>
  <si>
    <t>BPHS Ch.30</t>
  </si>
  <si>
    <t>Debilitation cancelled</t>
  </si>
  <si>
    <t>Total Yoga</t>
  </si>
  <si>
    <t>Chart-wide total — divide by 12 for approximate per-house contribution</t>
  </si>
  <si>
    <t>Yoga/house</t>
  </si>
  <si>
    <t>Average per-house yoga contribution</t>
  </si>
  <si>
    <t>SCORE — Rule-by-Rule Drill Down (all 12 houses)</t>
  </si>
  <si>
    <t>Enter 1 = rule fired (TRUE), 0 = rule did not fire (FALSE), 0.5 = partial (WC rules).  Each cell feeds into SCORE_AllHouses via the sub-score totals.</t>
  </si>
  <si>
    <t>H1: Self  ·  Kendra  ·  Karak: Sun</t>
  </si>
  <si>
    <t>Sub-category</t>
  </si>
  <si>
    <t>Fired?</t>
  </si>
  <si>
    <t>Contribution</t>
  </si>
  <si>
    <t>How to verify</t>
  </si>
  <si>
    <t>Bhav Bal (house strength)</t>
  </si>
  <si>
    <t>Full weight</t>
  </si>
  <si>
    <t>Shubh Rashi in house</t>
  </si>
  <si>
    <t>A naturally benefic zodiac sign occupies this house</t>
  </si>
  <si>
    <t>Shubh Greh in house</t>
  </si>
  <si>
    <t>Jupiter, Venus, Moon, or Mercury (functional benefic) placed in house</t>
  </si>
  <si>
    <t>WC (half weight)</t>
  </si>
  <si>
    <t>Shubh Greh aspecting house</t>
  </si>
  <si>
    <t>Benefic planet casts its aspect onto this house (WC = worth considering)</t>
  </si>
  <si>
    <t>Bhavesh Bal (lord strength)</t>
  </si>
  <si>
    <t>Bhavesh in Kendra or Trikon</t>
  </si>
  <si>
    <t>House lord placed in an angular (1/4/7/10) or trine (1/5/9) house</t>
  </si>
  <si>
    <t>House lord conjoins the lord of a Kendra or Trikon house</t>
  </si>
  <si>
    <t>Bhavesh with Shubh Greh</t>
  </si>
  <si>
    <t>House lord conjoins a functional benefic planet</t>
  </si>
  <si>
    <t>Bhavesh aspected by Shubh Greh</t>
  </si>
  <si>
    <t>House lord receives aspect from a benefic planet</t>
  </si>
  <si>
    <t>House lord is hemmed between two benefic planets (Shubh Kartari Yoga)</t>
  </si>
  <si>
    <t>Bhav Durbal (house affliction)</t>
  </si>
  <si>
    <t>Ashubh Greh in house</t>
  </si>
  <si>
    <t>Sun, Mars, Saturn, Rahu, or Ketu (functional malefic) in house</t>
  </si>
  <si>
    <t>Ashubh Greh aspecting house</t>
  </si>
  <si>
    <t>Malefic planet casts aspect onto this house</t>
  </si>
  <si>
    <t>-1.25</t>
  </si>
  <si>
    <t>Lord of 6th, 8th, or 12th house is placed in this house</t>
  </si>
  <si>
    <t>Bhav in Ashubh Kartari</t>
  </si>
  <si>
    <t>House is hemmed between two malefic planets (Paap Kartari Yoga)</t>
  </si>
  <si>
    <t>Bhavesh Durbal (lord weakness)</t>
  </si>
  <si>
    <t>Bhavesh with Ashubh Greh</t>
  </si>
  <si>
    <t>House lord conjoins a functional malefic</t>
  </si>
  <si>
    <t>Bhavesh aspected by Ashubh Greh</t>
  </si>
  <si>
    <t>House lord receives aspect from a malefic planet</t>
  </si>
  <si>
    <t>-2.00</t>
  </si>
  <si>
    <t>House lord placed in 6th, 8th, or 12th house</t>
  </si>
  <si>
    <t>House lord conjoins the lord of a Dukshthan house</t>
  </si>
  <si>
    <t>Karak Modifier (significator)</t>
  </si>
  <si>
    <t>Significator of this house is in a strong position</t>
  </si>
  <si>
    <t>Sthir Karak in Dukshthan</t>
  </si>
  <si>
    <t>Significator of this house is placed in a challenging house</t>
  </si>
  <si>
    <t>H1 Total Score (raw, before clamping)</t>
  </si>
  <si>
    <t>→ Enter this value into SCORE_AllHouses J5</t>
  </si>
  <si>
    <t>Why?</t>
  </si>
  <si>
    <t>H2: Wealth  ·  Neutral  ·  Karak: Jupiter, Mercury</t>
  </si>
  <si>
    <t>H2 Total Score (raw, before clamping)</t>
  </si>
  <si>
    <t>→ Enter this value into SCORE_AllHouses J6</t>
  </si>
  <si>
    <t>H3: Courage  ·  Upachaya  ·  Karak: Mars</t>
  </si>
  <si>
    <t>H3 Total Score (raw, before clamping)</t>
  </si>
  <si>
    <t>→ Enter this value into SCORE_AllHouses J7</t>
  </si>
  <si>
    <t>H4: Home  ·  Kendra  ·  Karak: Moon, Mercury</t>
  </si>
  <si>
    <t>H4 Total Score (raw, before clamping)</t>
  </si>
  <si>
    <t>→ Enter this value into SCORE_AllHouses J8</t>
  </si>
  <si>
    <t>H5: Intellect  ·  Trikon  ·  Karak: Jupiter</t>
  </si>
  <si>
    <t>H5 Total Score (raw, before clamping)</t>
  </si>
  <si>
    <t>→ Enter this value into SCORE_AllHouses J9</t>
  </si>
  <si>
    <t>H6: Conflicts  ·  Dukshthan  · Dukshthan (6/8/12)  ·  Karak: Mars, Saturn</t>
  </si>
  <si>
    <t>H6 Total Score (raw, before clamping)</t>
  </si>
  <si>
    <t>→ Enter this value into SCORE_AllHouses J10</t>
  </si>
  <si>
    <t>H7: Partnerships  ·  Kendra  ·  Karak: Venus, Jupiter</t>
  </si>
  <si>
    <t>H7 Total Score (raw, before clamping)</t>
  </si>
  <si>
    <t>→ Enter this value into SCORE_AllHouses J11</t>
  </si>
  <si>
    <t>H8: Longevity  ·  Dukshthan  · Dukshthan (6/8/12)  ·  Karak: Saturn</t>
  </si>
  <si>
    <t>H8 Total Score (raw, before clamping)</t>
  </si>
  <si>
    <t>→ Enter this value into SCORE_AllHouses J12</t>
  </si>
  <si>
    <t>H9: Fortune  ·  Trikon  ·  Karak: Jupiter, Sun</t>
  </si>
  <si>
    <t>H9 Total Score (raw, before clamping)</t>
  </si>
  <si>
    <t>→ Enter this value into SCORE_AllHouses J13</t>
  </si>
  <si>
    <t>H10: Career  ·  Kendra  ·  Karak: Sun, Saturn, Mercury, Jupiter</t>
  </si>
  <si>
    <t>H10 Total Score (raw, before clamping)</t>
  </si>
  <si>
    <t>→ Enter this value into SCORE_AllHouses J14</t>
  </si>
  <si>
    <t>H11: Gains  ·  Upachaya  ·  Karak: Jupiter</t>
  </si>
  <si>
    <t>H11 Total Score (raw, before clamping)</t>
  </si>
  <si>
    <t>→ Enter this value into SCORE_AllHouses J15</t>
  </si>
  <si>
    <t>H12: Liberation  ·  Dukshthan  · Dukshthan (6/8/12)  ·  Karak: Saturn, Ketu</t>
  </si>
  <si>
    <t>H12 Total Score (raw, before clamping)</t>
  </si>
  <si>
    <t>→ Enter this value into SCORE_AllHouses J16</t>
  </si>
  <si>
    <t>SCORE_H1_Self  ·  Self / Identity / Vitality  ·  H1 — Lagna · Kendra · Trikon</t>
  </si>
  <si>
    <t>What is checked</t>
  </si>
  <si>
    <t>How to read this</t>
  </si>
  <si>
    <t>R01
+0.50</t>
  </si>
  <si>
    <t>Sign of H1 is 'Gentle' (benefic)? Gemini/Cancer/Leo/Libra/Sagittarius/Pisces</t>
  </si>
  <si>
    <t>R02
+1.0</t>
  </si>
  <si>
    <t>Benefic in house → +1.0 | Yogakaraka in house → +1.5 (stronger)</t>
  </si>
  <si>
    <t>R03
+0.75 WC</t>
  </si>
  <si>
    <t>WC: Benefic planet aspects this house (not conjunct it)?</t>
  </si>
  <si>
    <t>R04
+2.0</t>
  </si>
  <si>
    <t>Bhavesh in Kendra/Trikon AND not in Dukshthan (+2.0)</t>
  </si>
  <si>
    <t>R05
+0.5 WC</t>
  </si>
  <si>
    <t>WC: Bhavesh in same sign as any Kendra/Trikon lord?</t>
  </si>
  <si>
    <t>R06
+1.0</t>
  </si>
  <si>
    <t>Bhavesh conjoins Benefic → +1.0 | conjoins Yogakaraka → +1.5</t>
  </si>
  <si>
    <t>R07
+0.5 WC</t>
  </si>
  <si>
    <t>WC: Benefic planet aspects the sign where Bhavesh sits?</t>
  </si>
  <si>
    <t>R08
+0.75</t>
  </si>
  <si>
    <t>Bhavesh hemmed between two benefics (prev and next sign)?</t>
  </si>
  <si>
    <t>Bhav Durbal</t>
  </si>
  <si>
    <t>R09
-1.0</t>
  </si>
  <si>
    <t>Malefic planet physically in this house?</t>
  </si>
  <si>
    <t>R10
-1.0</t>
  </si>
  <si>
    <t>Malefic planet casts full aspect onto this house?</t>
  </si>
  <si>
    <t>R11
-1.25</t>
  </si>
  <si>
    <t>Lord of H6/H8/H12 placed in this house?</t>
  </si>
  <si>
    <t>R12
-0.75</t>
  </si>
  <si>
    <t>House hemmed between malefics in adjacent signs?</t>
  </si>
  <si>
    <t>R13
-1.0</t>
  </si>
  <si>
    <t>Bhavesh conjoins a functionally malefic planet?</t>
  </si>
  <si>
    <t>R14
-0.5 WC</t>
  </si>
  <si>
    <t>Bhavesh aspected by Ashubh</t>
  </si>
  <si>
    <t>WC: Malefic aspects the sign where Bhavesh sits?</t>
  </si>
  <si>
    <t>R15
-2.00</t>
  </si>
  <si>
    <t>Bhavesh in H6, H8, or H12?</t>
  </si>
  <si>
    <t>R16
-1.0</t>
  </si>
  <si>
    <t>Bhavesh in same sign as lord of H6/H8/H12?</t>
  </si>
  <si>
    <t>Karak Mod</t>
  </si>
  <si>
    <t>R17
+1.0</t>
  </si>
  <si>
    <t>Sthir Karak in angular or triangular house? (+0.5 modifier)</t>
  </si>
  <si>
    <t>R18
-1.0</t>
  </si>
  <si>
    <t>Sthir Karak in Dukshthan? (−0.5 modifier)</t>
  </si>
  <si>
    <t>R19
−1.0</t>
  </si>
  <si>
    <t>Bhavesh combust → -1.0 | Cazimi → +0.5 | Rx+Combust (Asta Vakri) → -0.5</t>
  </si>
  <si>
    <t>R20
+0.5</t>
  </si>
  <si>
    <t>Bhavesh in Dig Bala house → +0.5 directional bonus</t>
  </si>
  <si>
    <t>R21
+0.5</t>
  </si>
  <si>
    <t>Bhavesh Pada in Pushkara Navamsha → +0.5 bonus</t>
  </si>
  <si>
    <t>R22
±mod</t>
  </si>
  <si>
    <t>Bhavesh Retrograde</t>
  </si>
  <si>
    <t>±0.25/−0.5  ·  Jup/Sat Rx=+0.25 introspective  ·  Merc/Ven/Mars Rx=−0.5 delayed</t>
  </si>
  <si>
    <t>Score summary</t>
  </si>
  <si>
    <t>R23 SAV</t>
  </si>
  <si>
    <t>SAV&gt;28=+0.5 | SAV&lt;22=-0.5 [BPHS Ch.66-76]</t>
  </si>
  <si>
    <t>+2.25 max  ·  R01 sign(0.5) + R02 benefic in house(1.0) + R03 benefic aspect(0.75)</t>
  </si>
  <si>
    <t>+6.25 max  ·  R04 lord place(2.0)+R05(0.5)+R06(1.0)+R07(0.5)+R08(0.75)+R20(0.5)+R21(0.5)+R23 SAV(0.5)</t>
  </si>
  <si>
    <t>−4.0 max  ·  R09 malefic in(1.0)+R10 malefic asp(1.0)+R11 dukshthan lord(1.25)+R12 Kartari(0.75)</t>
  </si>
  <si>
    <t>−5.5 max  ·  R13 lord+mal(1.0)+R14 asp(0.5)+R15 lord in duksh(2.0)+R16 duksh lord(1.0)+R19 combust(1.0)</t>
  </si>
  <si>
    <t>±0.5  ·  Sthir Karak position</t>
  </si>
  <si>
    <t>Clamped (−10 to +10)</t>
  </si>
  <si>
    <t>Lagnesh modifier</t>
  </si>
  <si>
    <t>FINAL SCORE</t>
  </si>
  <si>
    <t>Nirvivad?</t>
  </si>
  <si>
    <t>SCORE_H2_Wealth  ·  Wealth / Family / Speech  ·  H2 — Dhana · Neutral · Markesh</t>
  </si>
  <si>
    <t>SCORE_H3_Courage  ·  Courage / Siblings / Communication  ·  H3 — Parakrama · Upachaya</t>
  </si>
  <si>
    <t>SCORE_H4_Home  ·  Home / Mother / Happiness  ·  H4 — Sukha · Kendra · Moksha</t>
  </si>
  <si>
    <t>SCORE_H5_Intellect  ·  Intellect / Children / Fortune  ·  H5 — Putra · Trikon · Dharma</t>
  </si>
  <si>
    <t>SCORE_H6_Conflicts  ·  Conflicts / Enemies / Health  ·  H6 — Shatru · Dukshthan · Upachaya</t>
  </si>
  <si>
    <t>SCORE_H7_Partnerships  ·  Marriage / Business / Public  ·  H7 — Kalatra · Kendra · Markesh</t>
  </si>
  <si>
    <t>SCORE_H8_Longevity  ·  Longevity / Transformation / Occult  ·  H8 — Ayu · Dukshthan · Moksha</t>
  </si>
  <si>
    <t>SCORE_H9_Fortune  ·  Fortune / Dharma / Father  ·  H9 — Bhagya · Trikon · Dharma</t>
  </si>
  <si>
    <t>SCORE_H10_Career  ·  Career / Status / Authority  ·  H10 — Karma · Kendra · Upachaya</t>
  </si>
  <si>
    <t>SCORE_H11_Gains  ·  Gains / Income / Aspirations  ·  H11 — Labha · Upachaya</t>
  </si>
  <si>
    <t>SCORE_H12_Liberation  ·  Liberation / Losses / Foreign  ·  H12 — Vyaya · Dukshthan · Moksha</t>
  </si>
  <si>
    <t>SCORE_H1_Chandra  ·  Self / Identity  ·  Chandra Lagna  ·  H1 — Kendra</t>
  </si>
  <si>
    <t>R24_Axis
+0.1</t>
  </si>
  <si>
    <t>Chandra Lagna — Emotional axis emphasis</t>
  </si>
  <si>
    <t>Axis-specific modifier for H1 on Chandra Lagna — Emotional axis. BPHS + classical Chandra Lagna emphasis.</t>
  </si>
  <si>
    <t>SCORE_H2_Chandra  ·  Wealth / Dhana  ·  Chandra Lagna  ·  H2 — Neutral</t>
  </si>
  <si>
    <t>R24_Axis
0.0</t>
  </si>
  <si>
    <t>Axis-specific modifier for H2 on Chandra Lagna — Emotional axis. BPHS + classical Chandra Lagna emphasis.</t>
  </si>
  <si>
    <t>SCORE_H3_Chandra  ·  Courage / Parakrama  ·  Chandra Lagna  ·  H3 — Upachaya</t>
  </si>
  <si>
    <t>Axis-specific modifier for H3 on Chandra Lagna — Emotional axis. BPHS + classical Chandra Lagna emphasis.</t>
  </si>
  <si>
    <t>SCORE_H4_Chandra  ·  Home / Sukha  ·  Chandra Lagna  ·  H4 — Kendra</t>
  </si>
  <si>
    <t>R24_Axis
+0.25</t>
  </si>
  <si>
    <t>Axis-specific modifier for H4 on Chandra Lagna — Emotional axis. BPHS + classical Chandra Lagna emphasis.</t>
  </si>
  <si>
    <t>SCORE_H5_Chandra  ·  Intellect / Putra  ·  Chandra Lagna  ·  H5 — Trikon</t>
  </si>
  <si>
    <t>Axis-specific modifier for H5 on Chandra Lagna — Emotional axis. BPHS + classical Chandra Lagna emphasis.</t>
  </si>
  <si>
    <t>SCORE_H6_Chandra  ·  Conflicts / Shatru  ·  Chandra Lagna  ·  H6 — Dukshthan</t>
  </si>
  <si>
    <t>Axis-specific modifier for H6 on Chandra Lagna — Emotional axis. BPHS + classical Chandra Lagna emphasis.</t>
  </si>
  <si>
    <t>SCORE_H7_Chandra  ·  Partnerships / Kalatra  ·  Chandra Lagna  ·  H7 — Kendra</t>
  </si>
  <si>
    <t>Axis-specific modifier for H7 on Chandra Lagna — Emotional axis. BPHS + classical Chandra Lagna emphasis.</t>
  </si>
  <si>
    <t>SCORE_H8_Chandra  ·  Longevity / Ayu  ·  Chandra Lagna  ·  H8 — Dukshthan</t>
  </si>
  <si>
    <t>Axis-specific modifier for H8 on Chandra Lagna — Emotional axis. BPHS + classical Chandra Lagna emphasis.</t>
  </si>
  <si>
    <t>SCORE_H9_Chandra  ·  Fortune / Bhagya  ·  Chandra Lagna  ·  H9 — Trikon</t>
  </si>
  <si>
    <t>Axis-specific modifier for H9 on Chandra Lagna — Emotional axis. BPHS + classical Chandra Lagna emphasis.</t>
  </si>
  <si>
    <t>SCORE_H10_Chandra  ·  Career / Karma  ·  Chandra Lagna  ·  H10 — Kendra</t>
  </si>
  <si>
    <t>Axis-specific modifier for H10 on Chandra Lagna — Emotional axis. BPHS + classical Chandra Lagna emphasis.</t>
  </si>
  <si>
    <t>SCORE_H11_Chandra  ·  Gains / Labha  ·  Chandra Lagna  ·  H11 — Upachaya</t>
  </si>
  <si>
    <t>Axis-specific modifier for H11 on Chandra Lagna — Emotional axis. BPHS + classical Chandra Lagna emphasis.</t>
  </si>
  <si>
    <t>SCORE_H12_Chandra  ·  Liberation / Vyaya  ·  Chandra Lagna  ·  H12 — Dukshthan</t>
  </si>
  <si>
    <t>Axis-specific modifier for H12 on Chandra Lagna — Emotional axis. BPHS + classical Chandra Lagna emphasis.</t>
  </si>
  <si>
    <t>SCORE_H1_Surya  ·  Self / Identity  ·  Surya Lagna  ·  H1 — Kendra</t>
  </si>
  <si>
    <t>Surya Lagna — Career/Authority axis emphasis</t>
  </si>
  <si>
    <t>Axis-specific modifier for H1 on Surya Lagna — Career/Authority axis. BPHS + classical Surya Lagna emphasis.</t>
  </si>
  <si>
    <t>SCORE_H2_Surya  ·  Wealth / Dhana  ·  Surya Lagna  ·  H2 — Neutral</t>
  </si>
  <si>
    <t>Axis-specific modifier for H2 on Surya Lagna — Career/Authority axis. BPHS + classical Surya Lagna emphasis.</t>
  </si>
  <si>
    <t>SCORE_H3_Surya  ·  Courage / Parakrama  ·  Surya Lagna  ·  H3 — Upachaya</t>
  </si>
  <si>
    <t>Axis-specific modifier for H3 on Surya Lagna — Career/Authority axis. BPHS + classical Surya Lagna emphasis.</t>
  </si>
  <si>
    <t>SCORE_H4_Surya  ·  Home / Sukha  ·  Surya Lagna  ·  H4 — Kendra</t>
  </si>
  <si>
    <t>Axis-specific modifier for H4 on Surya Lagna — Career/Authority axis. BPHS + classical Surya Lagna emphasis.</t>
  </si>
  <si>
    <t>SCORE_H5_Surya  ·  Intellect / Putra  ·  Surya Lagna  ·  H5 — Trikon</t>
  </si>
  <si>
    <t>Axis-specific modifier for H5 on Surya Lagna — Career/Authority axis. BPHS + classical Surya Lagna emphasis.</t>
  </si>
  <si>
    <t>SCORE_H6_Surya  ·  Conflicts / Shatru  ·  Surya Lagna  ·  H6 — Dukshthan</t>
  </si>
  <si>
    <t>Axis-specific modifier for H6 on Surya Lagna — Career/Authority axis. BPHS + classical Surya Lagna emphasis.</t>
  </si>
  <si>
    <t>SCORE_H7_Surya  ·  Partnerships / Kalatra  ·  Surya Lagna  ·  H7 — Kendra</t>
  </si>
  <si>
    <t>Axis-specific modifier for H7 on Surya Lagna — Career/Authority axis. BPHS + classical Surya Lagna emphasis.</t>
  </si>
  <si>
    <t>SCORE_H8_Surya  ·  Longevity / Ayu  ·  Surya Lagna  ·  H8 — Dukshthan</t>
  </si>
  <si>
    <t>Axis-specific modifier for H8 on Surya Lagna — Career/Authority axis. BPHS + classical Surya Lagna emphasis.</t>
  </si>
  <si>
    <t>SCORE_H9_Surya  ·  Fortune / Bhagya  ·  Surya Lagna  ·  H9 — Trikon</t>
  </si>
  <si>
    <t>Axis-specific modifier for H9 on Surya Lagna — Career/Authority axis. BPHS + classical Surya Lagna emphasis.</t>
  </si>
  <si>
    <t>SCORE_H10_Surya  ·  Career / Karma  ·  Surya Lagna  ·  H10 — Kendra</t>
  </si>
  <si>
    <t>Axis-specific modifier for H10 on Surya Lagna — Career/Authority axis. BPHS + classical Surya Lagna emphasis.</t>
  </si>
  <si>
    <t>SCORE_H11_Surya  ·  Gains / Labha  ·  Surya Lagna  ·  H11 — Upachaya</t>
  </si>
  <si>
    <t>Axis-specific modifier for H11 on Surya Lagna — Career/Authority axis. BPHS + classical Surya Lagna emphasis.</t>
  </si>
  <si>
    <t>SCORE_H12_Surya  ·  Liberation / Vyaya  ·  Surya Lagna  ·  H12 — Dukshthan</t>
  </si>
  <si>
    <t>Axis-specific modifier for H12 on Surya Lagna — Career/Authority axis. BPHS + classical Surya Lagna emphasis.</t>
  </si>
  <si>
    <t>SCORE_H1_D9  ·  Self  ·  Navamsha (D9) · inner self · dharma · marriage  ·  H1</t>
  </si>
  <si>
    <t>R24_Axis
+0.15</t>
  </si>
  <si>
    <t>SCORE_H2_D9  ·  Wealth  ·  Navamsha (D9) · inner self · dharma · marriage  ·  H2</t>
  </si>
  <si>
    <t>R24_Axis
+0.0</t>
  </si>
  <si>
    <t>SCORE_H3_D9  ·  Courage  ·  Navamsha (D9) · inner self · dharma · marriage  ·  H3</t>
  </si>
  <si>
    <t>SCORE_H4_D9  ·  Home  ·  Navamsha (D9) · inner self · dharma · marriage  ·  H4</t>
  </si>
  <si>
    <t>R24_Axis
+0.2</t>
  </si>
  <si>
    <t>SCORE_H5_D9  ·  Intellect  ·  Navamsha (D9) · inner self · dharma · marriage  ·  H5</t>
  </si>
  <si>
    <t>SCORE_H6_D9  ·  Conflicts  ·  Navamsha (D9) · inner self · dharma · marriage  ·  H6</t>
  </si>
  <si>
    <t>SCORE_H7_D9  ·  Partnerships  ·  Navamsha (D9) · inner self · dharma · marriage  ·  H7</t>
  </si>
  <si>
    <t>SCORE_H8_D9  ·  Longevity  ·  Navamsha (D9) · inner self · dharma · marriage  ·  H8</t>
  </si>
  <si>
    <t>SCORE_H9_D9  ·  Fortune  ·  Navamsha (D9) · inner self · dharma · marriage  ·  H9</t>
  </si>
  <si>
    <t>SCORE_H10_D9  ·  Career  ·  Navamsha (D9) · inner self · dharma · marriage  ·  H10</t>
  </si>
  <si>
    <t>SCORE_H11_D9  ·  Gains  ·  Navamsha (D9) · inner self · dharma · marriage  ·  H11</t>
  </si>
  <si>
    <t>SCORE_H12_D9  ·  Liberation  ·  Navamsha (D9) · inner self · dharma · marriage  ·  H12</t>
  </si>
  <si>
    <t>SCORE_H1_D10  ·  Self  ·  Dashamsha (D10) · career · status · public role  ·  H1</t>
  </si>
  <si>
    <t>SCORE_H2_D10  ·  Wealth  ·  Dashamsha (D10) · career · status · public role  ·  H2</t>
  </si>
  <si>
    <t>SCORE_H3_D10  ·  Courage  ·  Dashamsha (D10) · career · status · public role  ·  H3</t>
  </si>
  <si>
    <t>SCORE_H4_D10  ·  Home  ·  Dashamsha (D10) · career · status · public role  ·  H4</t>
  </si>
  <si>
    <t>SCORE_H5_D10  ·  Intellect  ·  Dashamsha (D10) · career · status · public role  ·  H5</t>
  </si>
  <si>
    <t>SCORE_H6_D10  ·  Conflicts  ·  Dashamsha (D10) · career · status · public role  ·  H6</t>
  </si>
  <si>
    <t>SCORE_H7_D10  ·  Partnerships  ·  Dashamsha (D10) · career · status · public role  ·  H7</t>
  </si>
  <si>
    <t>SCORE_H8_D10  ·  Longevity  ·  Dashamsha (D10) · career · status · public role  ·  H8</t>
  </si>
  <si>
    <t>SCORE_H9_D10  ·  Fortune  ·  Dashamsha (D10) · career · status · public role  ·  H9</t>
  </si>
  <si>
    <t>SCORE_H10_D10  ·  Career  ·  Dashamsha (D10) · career · status · public role  ·  H10</t>
  </si>
  <si>
    <t>SCORE_H11_D10  ·  Gains  ·  Dashamsha (D10) · career · status · public role  ·  H11</t>
  </si>
  <si>
    <t>SCORE_H12_D10  ·  Liberation  ·  Dashamsha (D10) · career · status · public role  ·  H12</t>
  </si>
  <si>
    <t>SCORE_Karakamsha  ·  House Scores from Karakamsha Lagna  ·  Soul's Perspective  ·  Phase 4  ·  BPHS Ch.32-33</t>
  </si>
  <si>
    <t>SCORE_H2_Karakamsha  ·  Wealth  ·  Karakamsha Lagna  ·  H2 — BPHS Ch.32-33</t>
  </si>
  <si>
    <t>SCORE_H3_Karakamsha  ·  Courage  ·  Karakamsha Lagna  ·  H3 — BPHS Ch.32-33</t>
  </si>
  <si>
    <t>SCORE_H4_Karakamsha  ·  Home  ·  Karakamsha Lagna  ·  H4 — BPHS Ch.32-33</t>
  </si>
  <si>
    <t>SCORE_H5_Karakamsha  ·  Intellect  ·  Karakamsha Lagna  ·  H5 — BPHS Ch.32-33</t>
  </si>
  <si>
    <t>SCORE_H6_Karakamsha  ·  Conflicts  ·  Karakamsha Lagna  ·  H6 — BPHS Ch.32-33</t>
  </si>
  <si>
    <t>SCORE_H7_Karakamsha  ·  Partnerships  ·  Karakamsha Lagna  ·  H7 — BPHS Ch.32-33</t>
  </si>
  <si>
    <t>SCORE_H8_Karakamsha  ·  Longevity  ·  Karakamsha Lagna  ·  H8 — BPHS Ch.32-33</t>
  </si>
  <si>
    <t>SCORE_H9_Karakamsha  ·  Fortune  ·  Karakamsha Lagna  ·  H9 — BPHS Ch.32-33</t>
  </si>
  <si>
    <t>SCORE_H10_Karakamsha  ·  Career  ·  Karakamsha Lagna  ·  H10 — BPHS Ch.32-33</t>
  </si>
  <si>
    <t>SCORE_H11_Karakamsha  ·  Gains  ·  Karakamsha Lagna  ·  H11 — BPHS Ch.32-33</t>
  </si>
  <si>
    <t>SCORE_H12_Karakamsha  ·  Liberation  ·  Karakamsha Lagna  ·  H12 — BPHS Ch.32-33</t>
  </si>
  <si>
    <t>SCORE_Karakamsha_AllHouses  ·  All 12 Houses from Karakamsha Lagna  ·  Soul's Seat Scoring  ·  BPHS Ch.32-33</t>
  </si>
  <si>
    <t>Bhavesh (D9)</t>
  </si>
  <si>
    <t>Karak Score (soul)</t>
  </si>
  <si>
    <t>Score delta</t>
  </si>
  <si>
    <t>Karakamsha avg (all 12 houses)</t>
  </si>
  <si>
    <t>YOGA_Mahapurush  ·  Pancha Mahapurush Yogas  ·  BPHS Ch.75</t>
  </si>
  <si>
    <t>Formed when Mars / Mercury / Jupiter / Venus / Saturn is in own sign OR exaltation AND in a Kendra (H1/4/7/10) from Lagna.  Score +3 per active yoga, +1 partial (strong dignity only).</t>
  </si>
  <si>
    <t>Planets</t>
  </si>
  <si>
    <t>Present?</t>
  </si>
  <si>
    <t>Dasha Active?</t>
  </si>
  <si>
    <t>Dasha ×weight</t>
  </si>
  <si>
    <t>Weighted score</t>
  </si>
  <si>
    <t>Five Mahapurush Yogas — one per planet</t>
  </si>
  <si>
    <t>Hamsa Yoga</t>
  </si>
  <si>
    <t>Great wisdom, handsome, virtuous, religious, fortunate. Teacher, judge, philosopher. Revered in community.</t>
  </si>
  <si>
    <t>BPHS Ch.75 v.1-2; Saravali Ch.10</t>
  </si>
  <si>
    <t>Malavya Yoga</t>
  </si>
  <si>
    <t>Beautiful, prosperous, artistic, luxurious. Success in arts, relationships, beauty industries.</t>
  </si>
  <si>
    <t>BPHS Ch.75 v.3-4</t>
  </si>
  <si>
    <t>Ruchaka Yoga</t>
  </si>
  <si>
    <t>Courageous, physically powerful, military honours. Commander, athlete, surgeon, conqueror of enemies.</t>
  </si>
  <si>
    <t>BPHS Ch.75 v.5-6</t>
  </si>
  <si>
    <t>Bhadra Yoga</t>
  </si>
  <si>
    <t>Sharp intellect, eloquent, skilled in trade and writing. Business success, long-lived, praised for intelligence.</t>
  </si>
  <si>
    <t>BPHS Ch.75 v.7-8</t>
  </si>
  <si>
    <t>Shasha Yoga</t>
  </si>
  <si>
    <t>Commands armies and large organisations, just authority. Wealthy through karma and discipline; political power.</t>
  </si>
  <si>
    <t>BPHS Ch.75 v.9-10</t>
  </si>
  <si>
    <t>Moon-Kendra variant (softer reading — accepted by some authorities)</t>
  </si>
  <si>
    <t>Hamsa Yoga (Moon)</t>
  </si>
  <si>
    <t>Moon-Kendra variant of the same yoga — weaker form.</t>
  </si>
  <si>
    <t>Malavya Yoga (Moon)</t>
  </si>
  <si>
    <t>Ruchaka Yoga (Moon)</t>
  </si>
  <si>
    <t>Bhadra Yoga (Moon)</t>
  </si>
  <si>
    <t>Shasha Yoga (Moon)</t>
  </si>
  <si>
    <t>ISSUE #6 RESOLVED (v5): Col H dasha active formula is now LIVE — reads CALC_DashaModifier to identify the current Mahadasha lord. Dormant yogas score at 0.5×, active at 1.0×. Change active MD in CALC_DashaModifier → all YOGA_ weighted scores update.</t>
  </si>
  <si>
    <t>Active MD: Mars. Dormant yogas score at 0.5× weight. Weighted score (col J) is what feeds SCORE_AllHouses yoga rows. To update: change current_md in patch script and re-run.</t>
  </si>
  <si>
    <t>YOGA_DhanaRaja  ·  Raja Yoga + Dhana Yoga  ·  BPHS Ch.34-42</t>
  </si>
  <si>
    <t>Raja Yoga: Kendra lord (H1/4/7/10) + Trikon lord (H1/5/9) in contact (conjunction, aspect, or sign-exchange).  Dhana Yoga: H2/H11 lords connecting with Trikon lords.  Score +2 per yoga, +3 if either lord is in exaltation.</t>
  </si>
  <si>
    <t>Raja Yogas — 8 Kendra × Trikon pairs</t>
  </si>
  <si>
    <t>RY: H4+H5</t>
  </si>
  <si>
    <t>H4+H5</t>
  </si>
  <si>
    <t>H4+H5 lord contact → authority, status elevation, recognition.</t>
  </si>
  <si>
    <t>BPHS Ch.34-39 (Rajayoga Adhyaya)</t>
  </si>
  <si>
    <t>RY: H4+H9</t>
  </si>
  <si>
    <t>H4+H9</t>
  </si>
  <si>
    <t>H4+H9 lord contact → authority, status elevation, recognition.</t>
  </si>
  <si>
    <t>RY: H7+H5</t>
  </si>
  <si>
    <t>H7+H5</t>
  </si>
  <si>
    <t>H7+H5 lord contact → authority, status elevation, recognition.</t>
  </si>
  <si>
    <t>RY: H7+H9</t>
  </si>
  <si>
    <t>H7+H9</t>
  </si>
  <si>
    <t>H7+H9 lord contact → authority, status elevation, recognition.</t>
  </si>
  <si>
    <t>RY: H10+H5</t>
  </si>
  <si>
    <t>H10+H5</t>
  </si>
  <si>
    <t>H10+H5 lord contact → authority, status elevation, recognition.</t>
  </si>
  <si>
    <t>RY: H10+H9</t>
  </si>
  <si>
    <t>H10+H9</t>
  </si>
  <si>
    <t>H10+H9 lord contact → authority, status elevation, recognition.</t>
  </si>
  <si>
    <t>RY: H1+H5</t>
  </si>
  <si>
    <t>H1+H5</t>
  </si>
  <si>
    <t>H1+H5 lord contact → authority, status elevation, recognition.</t>
  </si>
  <si>
    <t>RY: H1+H9</t>
  </si>
  <si>
    <t>H1+H9</t>
  </si>
  <si>
    <t>H1+H9 lord contact → authority, status elevation, recognition.</t>
  </si>
  <si>
    <t>Dhana Yogas — wealth accumulation</t>
  </si>
  <si>
    <t>DY: H2+H11</t>
  </si>
  <si>
    <t>H2+H11</t>
  </si>
  <si>
    <t>Classic Dhana Yoga</t>
  </si>
  <si>
    <t>BPHS Ch.35-36 (Dhanayoga Adhyaya)</t>
  </si>
  <si>
    <t>DY: H2+H9</t>
  </si>
  <si>
    <t>H2+H9</t>
  </si>
  <si>
    <t>Wealth via fortune</t>
  </si>
  <si>
    <t>DY: H2+H5</t>
  </si>
  <si>
    <t>H2+H5</t>
  </si>
  <si>
    <t>Wealth via intellect</t>
  </si>
  <si>
    <t>DY: H11+H9</t>
  </si>
  <si>
    <t>H11+H9</t>
  </si>
  <si>
    <t>Gains via dharma</t>
  </si>
  <si>
    <t>DY: H11+H5</t>
  </si>
  <si>
    <t>H11+H5</t>
  </si>
  <si>
    <t>Gains via creativity</t>
  </si>
  <si>
    <t>Total Raja + Dhana Yoga score</t>
  </si>
  <si>
    <t>YOGA_Graha  ·  Graha Yogas (planetary combinations)  ·  BPHS Ch.43-75</t>
  </si>
  <si>
    <t>Yogas formed by specific planet positions or pairs, independent of house lordship. Includes Gaja Kesari, Budhaditya, Saraswati, Adhi Yoga and 6 Chandra yogas.</t>
  </si>
  <si>
    <t>Major Graha Yogas</t>
  </si>
  <si>
    <t>Gaja Kesari</t>
  </si>
  <si>
    <t>Jup+Moon</t>
  </si>
  <si>
    <t>ISNUMBER(MATCH(MOD(MATCH(CALC_PlanetPositions!$B$11,{"aries","taurus",</t>
  </si>
  <si>
    <t>Exceptional intelligence, fame, wealth, authority. Elephant+lion combined — most celebrated single graha yoga.</t>
  </si>
  <si>
    <t>BPHS Ch.43; Phaladeepika Ch.6</t>
  </si>
  <si>
    <t>Budhaditya</t>
  </si>
  <si>
    <t>Sun+Mercury</t>
  </si>
  <si>
    <t>CALC_PlanetPositions!$B$7=CALC_PlanetPositions!$B$10</t>
  </si>
  <si>
    <t>Sharp intellect, communication skill, professional success. Effect varies with combustion degree (within 14° = weakened).</t>
  </si>
  <si>
    <t>BPHS Ch.68; Jataka Parijata Ch.2</t>
  </si>
  <si>
    <t>Saraswati</t>
  </si>
  <si>
    <t>Jup+Ven+Mer</t>
  </si>
  <si>
    <t>AND(ISNUMBER(MATCH(MOD(MATCH(CALC_PlanetPositions!$B$11,{"aries","taur</t>
  </si>
  <si>
    <t>All three benefics in strong houses. Exceptional learning, artistic mastery, eloquence, lasting fame.</t>
  </si>
  <si>
    <t>Uttara Kalamrita Ch.5 v.43</t>
  </si>
  <si>
    <t>Adhi Yoga</t>
  </si>
  <si>
    <t>Jup+Ven+Mer→Moon</t>
  </si>
  <si>
    <t>All three benefics in H6/H7/H8 from Moon. Minister, army commander, ruler; defeats enemies.</t>
  </si>
  <si>
    <t>BPHS Ch.43; Saravali Ch.10</t>
  </si>
  <si>
    <t>Chandra-Mangal</t>
  </si>
  <si>
    <t>Moon+Mars</t>
  </si>
  <si>
    <t>Courage and entrepreneurial wealth. Trade, mother's line. Assertive, short-tempered but financially successful.</t>
  </si>
  <si>
    <t>BPHS Ch.68; Saravali Ch.8</t>
  </si>
  <si>
    <t>Kahala</t>
  </si>
  <si>
    <t>H4+H9 lords</t>
  </si>
  <si>
    <t>ISNUMBER(MATCH(MOD(MATCH(CALC_BhaveshMap!$G$13,{"aries","taurus","gemi</t>
  </si>
  <si>
    <t>H4 lord and H9 lord in mutual Kendra. Bold, stubborn, courageous, commands armies and large groups.</t>
  </si>
  <si>
    <t>BPHS Ch.37; Phaladeepika Ch.6</t>
  </si>
  <si>
    <t>Sunapha</t>
  </si>
  <si>
    <t>Planet H2→Moon</t>
  </si>
  <si>
    <t>OR(ISNUMBER(MATCH(MOD(MATCH(CALC_PlanetPositions!$B$9,{"aries","taurus</t>
  </si>
  <si>
    <t>Planet (not Sun) in H2 from Moon. Self-made wealth, king-like status, virtuous, admired.</t>
  </si>
  <si>
    <t>BPHS Ch.43 v.3-6</t>
  </si>
  <si>
    <t>Anapha</t>
  </si>
  <si>
    <t>Planet H12→Moon</t>
  </si>
  <si>
    <t>Planet (not Sun) in H12 from Moon. Generous, healthy, respected, good appearance.</t>
  </si>
  <si>
    <t>BPHS Ch.43 v.7-10</t>
  </si>
  <si>
    <t>Durudhara</t>
  </si>
  <si>
    <t>H2+H12 from Moon</t>
  </si>
  <si>
    <t>AND(OR(ISNUMBER(MATCH(MOD(MATCH(CALC_PlanetPositions!$B$9,{"aries","ta</t>
  </si>
  <si>
    <t>Planets both H2 and H12 from Moon (Sunapha+Anapha). Wealthy, generous, famous, long-lived.</t>
  </si>
  <si>
    <t>BPHS Ch.43 v.11-14</t>
  </si>
  <si>
    <t>Parvata</t>
  </si>
  <si>
    <t>H1+H2 lords strong</t>
  </si>
  <si>
    <t>AND(OR(CALC_BhaveshMap!$I$5="yes",CALC_BhaveshMap!$J$5="yes"),OR(CALC_</t>
  </si>
  <si>
    <t>H1 and H2 lords both well-placed. Wealthy, famous, learned, long-lived, enjoys pleasures.</t>
  </si>
  <si>
    <t>BPHS Ch.36</t>
  </si>
  <si>
    <t>Total Graha Yoga score</t>
  </si>
  <si>
    <t>ISSUE #6 RESOLVED — YOGA_Graha (v6, 17-Mar-2026): Col H dasha active formula now LIVE — reads CALC_DashaModifier. Dormant yogas 0.5×, active 1.0×.</t>
  </si>
  <si>
    <t>YOGA_Viparita  ·  Viparita Raja Yoga  ·  BPHS Ch.42</t>
  </si>
  <si>
    <t>Lord of Dukshthan house (H6/H8/H12) placed in another Dukshthan. Adversity converts to unexpected rise.  Harsha (H6 lord) · Sarala (H8 lord) · Vimala (H12 lord).  Score +2 each.</t>
  </si>
  <si>
    <t>Three Viparita types</t>
  </si>
  <si>
    <t>Harsha Yoga</t>
  </si>
  <si>
    <t>H6 lord</t>
  </si>
  <si>
    <t>Victory over enemies, fearless, healthy. Obstacles destroy themselves.</t>
  </si>
  <si>
    <t>BPHS Ch.42 v.3-4</t>
  </si>
  <si>
    <t>Sarala Yoga</t>
  </si>
  <si>
    <t>H8 lord</t>
  </si>
  <si>
    <t>Long life, unafraid, prosperous. Transformation becomes elevation.</t>
  </si>
  <si>
    <t>BPHS Ch.42 v.5-6</t>
  </si>
  <si>
    <t>Vimala Yoga</t>
  </si>
  <si>
    <t>H12 lord</t>
  </si>
  <si>
    <t>Virtuous, frugal, free from enemies. Isolation becomes power.</t>
  </si>
  <si>
    <t>BPHS Ch.42 v.7-8</t>
  </si>
  <si>
    <t>All three active simultaneously = extremely rare, exceptional chart</t>
  </si>
  <si>
    <t>All three active?</t>
  </si>
  <si>
    <t>All three Dukshthan lords in Dukshthan. Catastrophic early difficulties → exceptional late-life rise. Very rare.</t>
  </si>
  <si>
    <t>Total Viparita Yoga score</t>
  </si>
  <si>
    <t>SECTION 2 — Dainya Yoga: H6 + H8 lords mutual exchange (BPHS Ch.42 v.9-12)</t>
  </si>
  <si>
    <t>Dainya Yoga</t>
  </si>
  <si>
    <t>H6 + H8 lords</t>
  </si>
  <si>
    <t>Both Dukshthan lords in each others houses — double affliction</t>
  </si>
  <si>
    <t>BPHS Ch.42 v.9-12; Saravali Ch.5</t>
  </si>
  <si>
    <t>-1 when active</t>
  </si>
  <si>
    <t>ISSUE #6 RESOLVED — YOGA_Viparita (v6, 17-Mar-2026): Col H dasha active formula LIVE — reads CALC_DashaModifier bhavesh lord vs active MD.</t>
  </si>
  <si>
    <t>YOGA_NeechaBhanga  ·  Neecha Bhanga Raja Yoga  ·  BPHS Ch.30</t>
  </si>
  <si>
    <t>Neecha Bhanga = cancellation of debilitation → Raja Yoga. A debilitated planet's weakness is cancelled by specific conditions, converting adversity into exceptional rise. Score +3 per planet.</t>
  </si>
  <si>
    <t>Cond 1: Dispositor in Kendra?</t>
  </si>
  <si>
    <t>Cond 2: Exalt lord in Kendra?</t>
  </si>
  <si>
    <t>Cond 3: Exalted in D9?</t>
  </si>
  <si>
    <t>Neecha Bhanga check — debilitated planet + cancellation condition</t>
  </si>
  <si>
    <t>NB: Sun</t>
  </si>
  <si>
    <t>Sun in Libra (debilitation) → cancellation active → Neecha Bhanga Raja Yoga. Difficult start, exceptional rise later in life.</t>
  </si>
  <si>
    <t>BPHS Ch.30; Uttara Kalamrita Ch.4 v.6-10</t>
  </si>
  <si>
    <t>N/A — not debilitated</t>
  </si>
  <si>
    <t>NB: Moon</t>
  </si>
  <si>
    <t>Moon in Scorpio (debilitation) → cancellation active → Neecha Bhanga Raja Yoga. Difficult start, exceptional rise later in life.</t>
  </si>
  <si>
    <t>NB: Mars</t>
  </si>
  <si>
    <t>Mars in Cancer (debilitation) → cancellation active → Neecha Bhanga Raja Yoga. Difficult start, exceptional rise later in life.</t>
  </si>
  <si>
    <t>NB: Mercury</t>
  </si>
  <si>
    <t>Mercury in Pisces (debilitation) → cancellation active → Neecha Bhanga Raja Yoga. Difficult start, exceptional rise later in life.</t>
  </si>
  <si>
    <t>NB: Jupiter</t>
  </si>
  <si>
    <t>Jupiter in Capricorn (debilitation) → cancellation active → Neecha Bhanga Raja Yoga. Difficult start, exceptional rise later in life.</t>
  </si>
  <si>
    <t>NB: Venus</t>
  </si>
  <si>
    <t>Venus in Virgo (debilitation) → cancellation active → Neecha Bhanga Raja Yoga. Difficult start, exceptional rise later in life.</t>
  </si>
  <si>
    <t>NB: Saturn</t>
  </si>
  <si>
    <t>Saturn in Aries (debilitation) → cancellation active → Neecha Bhanga Raja Yoga. Difficult start, exceptional rise later in life.</t>
  </si>
  <si>
    <t>For this chart (1947): No planet is in its debilitation sign, so Neecha Bhanga conditions are all N/A. For a chart WITH debilitated planets, these 3 columns will show Yes/No for each cancellation condition independently. NB fires if ANY of the 3 conditions is Yes.</t>
  </si>
  <si>
    <t>OUTPUT_Summary  ·  Chart Strength Dashboard  ·  Lagna Analysis Engine</t>
  </si>
  <si>
    <t>Average Score</t>
  </si>
  <si>
    <t>Strongest House</t>
  </si>
  <si>
    <t>Weakest House</t>
  </si>
  <si>
    <t>Active Yogas</t>
  </si>
  <si>
    <t>Yoga Total</t>
  </si>
  <si>
    <t>All 12 Houses  ·  19-column view  ·  Live from SCORE / CALC / OUTPUT layers</t>
  </si>
  <si>
    <t>Chandra</t>
  </si>
  <si>
    <t>3-axis avg</t>
  </si>
  <si>
    <t>Agree?</t>
  </si>
  <si>
    <t>SAV</t>
  </si>
  <si>
    <t>Yuddha</t>
  </si>
  <si>
    <t>Dasha×mod</t>
  </si>
  <si>
    <t>Antara act</t>
  </si>
  <si>
    <t>Narayana</t>
  </si>
  <si>
    <t>Gochar RAG</t>
  </si>
  <si>
    <t>D9 comp</t>
  </si>
  <si>
    <t>D10 comp</t>
  </si>
  <si>
    <t>Karak Δ</t>
  </si>
  <si>
    <t>Full Index</t>
  </si>
  <si>
    <t>Why</t>
  </si>
  <si>
    <t>Chart avg</t>
  </si>
  <si>
    <t>Dasha Timeline  (from CALC_DashaActive)</t>
  </si>
  <si>
    <t>Remaining</t>
  </si>
  <si>
    <t>Dharma (H1+H5+H9)</t>
  </si>
  <si>
    <t>Artha (H2+H6+H10)</t>
  </si>
  <si>
    <t>Kama (H3+H7+H11)</t>
  </si>
  <si>
    <t>Moksha (H4+H8+H12)</t>
  </si>
  <si>
    <t>Overall Chart</t>
  </si>
  <si>
    <t>DEEPER ANALYSIS — Phase 2, 3 and 4 outputs</t>
  </si>
  <si>
    <t>Multi-Lagna comparison (D1+Chandra+Surya)</t>
  </si>
  <si>
    <t>9-layer Full Index (all phases)</t>
  </si>
  <si>
    <t>Dasha timeline (Vimshottari + Narayana)</t>
  </si>
  <si>
    <t>Transit analysis (Gochar)</t>
  </si>
  <si>
    <t>→ OUTPUT_TransitAnalysis</t>
  </si>
  <si>
    <t>Navamsha deep dive (D9)</t>
  </si>
  <si>
    <t>→ OUTPUT_D9Analysis</t>
  </si>
  <si>
    <t>Planetary strength dashboard</t>
  </si>
  <si>
    <t>Narrative interpretation</t>
  </si>
  <si>
    <t>→ OUTPUT_NarrativeReport</t>
  </si>
  <si>
    <t>Predictive timeline (today)</t>
  </si>
  <si>
    <t>→ CALC_PredictiveTimeline</t>
  </si>
  <si>
    <t>OUTPUT_LifeDomains  ·  Life Area Strength Summary  ·  Plain-Language Ratings</t>
  </si>
  <si>
    <t>Life area</t>
  </si>
  <si>
    <t>What it governs</t>
  </si>
  <si>
    <t>Bhavesh (lord)</t>
  </si>
  <si>
    <t>Karak (sign)</t>
  </si>
  <si>
    <t>Enriched (P2-4)</t>
  </si>
  <si>
    <t>9-Layer Index</t>
  </si>
  <si>
    <t>Self &amp; Vitality</t>
  </si>
  <si>
    <t>Body, personality, confidence, overall fortune</t>
  </si>
  <si>
    <t>Wealth &amp; Family</t>
  </si>
  <si>
    <t>Money, savings, family harmony, speech, values</t>
  </si>
  <si>
    <t>Courage &amp; Skills</t>
  </si>
  <si>
    <t>Communication, siblings, short travel, initiative</t>
  </si>
  <si>
    <t>Home &amp; Happiness</t>
  </si>
  <si>
    <t>Property, mother, emotional security, vehicles</t>
  </si>
  <si>
    <t>Intellect &amp; Children</t>
  </si>
  <si>
    <t>Creativity, children, speculation, past-life merit</t>
  </si>
  <si>
    <t>Health, enemies, debts, daily work, litigation</t>
  </si>
  <si>
    <t>Transformation</t>
  </si>
  <si>
    <t>Longevity, inheritance, hidden matters, occult</t>
  </si>
  <si>
    <t>Fortune &amp; Dharma</t>
  </si>
  <si>
    <t>Luck, father, spirituality, higher education, travel</t>
  </si>
  <si>
    <t>Career &amp; Status</t>
  </si>
  <si>
    <t>Profession, reputation, authority, public life</t>
  </si>
  <si>
    <t>Gains &amp; Income</t>
  </si>
  <si>
    <t>Earnings, aspirations, elder siblings, social network</t>
  </si>
  <si>
    <t>Liberation &amp; Loss</t>
  </si>
  <si>
    <t>Expenses, foreign lands, spiritual growth, isolation</t>
  </si>
  <si>
    <t>Score key: ≥6=Excellent  ≥3=Strong  ≥0=Moderate  ≥−3=Weak  &lt;−3=Very Weak  ·  See OUTPUT_DrillDown to select any house for its full 18-rule breakdown.</t>
  </si>
  <si>
    <t>OUTPUT_DrillDown  ·  House Rule Breakdown  ·  Enter house number (1-12) in cell B3</t>
  </si>
  <si>
    <t>Select House (1-12) -&gt;</t>
  </si>
  <si>
    <t>Final Score</t>
  </si>
  <si>
    <t>Benefic planet in house</t>
  </si>
  <si>
    <t>+0.5 WC</t>
  </si>
  <si>
    <t>Bhavesh aspected by benefic</t>
  </si>
  <si>
    <t>−1.0</t>
  </si>
  <si>
    <t>Ashubh Kartari</t>
  </si>
  <si>
    <t>−0.5 WC</t>
  </si>
  <si>
    <t>Karak in Kendra/Trikon</t>
  </si>
  <si>
    <t>−0.5</t>
  </si>
  <si>
    <t>Karak in Dukshthan</t>
  </si>
  <si>
    <t>H[B3] Raw Total</t>
  </si>
  <si>
    <t>Change B3 (1–12) to switch houses  ·  All scores update automatically</t>
  </si>
  <si>
    <t>OUTPUT_MultiLagna  ·  Three-Axis House Strength Comparison  ·  D1 + Chandra Lagna + Surya Lagna</t>
  </si>
  <si>
    <t>D1 (Rashi Lagna) = natal physical reality  ·  Chandra Lagna = emotional / relational axis  ·  Surya Lagna = career / authority / public axis  ·  Agreement across all 3 = high-confidence signal  ·  Disagreement = complexity and nuance required</t>
  </si>
  <si>
    <t>SECTION 1 — House Scores Across Three Lagnas</t>
  </si>
  <si>
    <t>Avg 3-axis</t>
  </si>
  <si>
    <t>Agreement</t>
  </si>
  <si>
    <t>Confidence</t>
  </si>
  <si>
    <t>SECTION 2 — Five-Domain Balance Across All Three Axes</t>
  </si>
  <si>
    <t>Domain</t>
  </si>
  <si>
    <t>Houses</t>
  </si>
  <si>
    <t>D1 Avg</t>
  </si>
  <si>
    <t>Chandra Avg</t>
  </si>
  <si>
    <t>Surya Avg</t>
  </si>
  <si>
    <t>3-axis Avg</t>
  </si>
  <si>
    <t>H1+H5+H9</t>
  </si>
  <si>
    <t>H2+H6+H10</t>
  </si>
  <si>
    <t>H3+H7+H11</t>
  </si>
  <si>
    <t>H4+H8+H12</t>
  </si>
  <si>
    <t>Overall</t>
  </si>
  <si>
    <t>All 12</t>
  </si>
  <si>
    <t>OUTPUT_LifePressureIndex  ·  Multi-Axis Life Pressure Assessment  ·  Phase 2 Synthesis</t>
  </si>
  <si>
    <t>⚠  SUPERSEDED — This 7-layer view is kept for reference only. Use OUTPUT_LifePressureIndex_Full for the complete 9-layer index (adds Karakamsha + Enriched + interpretation columns).</t>
  </si>
  <si>
    <t>SECTION 1 — Life Pressure Index per House</t>
  </si>
  <si>
    <t>Dasha adj</t>
  </si>
  <si>
    <t>Composite</t>
  </si>
  <si>
    <t>Trend</t>
  </si>
  <si>
    <t>Identity/Vitality</t>
  </si>
  <si>
    <t>Wealth/Resources</t>
  </si>
  <si>
    <t>Courage/Siblings</t>
  </si>
  <si>
    <t>Home/Happiness</t>
  </si>
  <si>
    <t>Intellect/Children</t>
  </si>
  <si>
    <t>Challenges/Health</t>
  </si>
  <si>
    <t>Partnerships/Marriage</t>
  </si>
  <si>
    <t>Longevity/Transformation</t>
  </si>
  <si>
    <t>Fortune/Dharma</t>
  </si>
  <si>
    <t>Career/Status</t>
  </si>
  <si>
    <t>Gains/Network</t>
  </si>
  <si>
    <t>Liberation/Expenses</t>
  </si>
  <si>
    <t>OUTPUT_LifePressureIndex_Full  ·  Complete Multi-Layer Synthesis</t>
  </si>
  <si>
    <t>Full synthesis: D1(35%)+Chandra(15%)+Surya(10%)+D9(15%)+D10(10%)+Dasha(10%)+Gochar(5%). Most comprehensive single view of each house's current state. Agreement across ALL layers = maximum confidence signal.</t>
  </si>
  <si>
    <t>LAYER WEIGHTS (configurable)</t>
  </si>
  <si>
    <t>Layer</t>
  </si>
  <si>
    <t>Weight %</t>
  </si>
  <si>
    <t>Factor</t>
  </si>
  <si>
    <t>Source sheet</t>
  </si>
  <si>
    <t>35%</t>
  </si>
  <si>
    <t>0.35</t>
  </si>
  <si>
    <t>SCORE_AllHouses col J</t>
  </si>
  <si>
    <t>Core natal promise — physical reality</t>
  </si>
  <si>
    <t>Chandra Lagna</t>
  </si>
  <si>
    <t>15%</t>
  </si>
  <si>
    <t>0.15</t>
  </si>
  <si>
    <t>SCORE_H*_Chandra</t>
  </si>
  <si>
    <t>Emotional/relational axis</t>
  </si>
  <si>
    <t>Surya Lagna</t>
  </si>
  <si>
    <t>10%</t>
  </si>
  <si>
    <t>0.10</t>
  </si>
  <si>
    <t>SCORE_H*_Surya</t>
  </si>
  <si>
    <t>Career/authority/public axis</t>
  </si>
  <si>
    <t>CALC_CompositeVargaScore col D</t>
  </si>
  <si>
    <t>Inner/dharmic/marriage axis</t>
  </si>
  <si>
    <t>CALC_CompositeVargaScore col E</t>
  </si>
  <si>
    <t>Career Varga axis</t>
  </si>
  <si>
    <t>Dasha activation</t>
  </si>
  <si>
    <t>CALC_PredictiveTimeline col G</t>
  </si>
  <si>
    <t>Current timing weight</t>
  </si>
  <si>
    <t>Gochar transit</t>
  </si>
  <si>
    <t>5%</t>
  </si>
  <si>
    <t>0.05</t>
  </si>
  <si>
    <t>CALC_PredictiveTimeline col F</t>
  </si>
  <si>
    <t>Transit influence</t>
  </si>
  <si>
    <t>FULL SYNTHESIS PER HOUSE</t>
  </si>
  <si>
    <t>D9 Varga</t>
  </si>
  <si>
    <t>D10 Varga</t>
  </si>
  <si>
    <t>Dasha Act</t>
  </si>
  <si>
    <t>Gochar</t>
  </si>
  <si>
    <t>FULL INDEX</t>
  </si>
  <si>
    <t>Synthesis interpretation</t>
  </si>
  <si>
    <t>Enriched(P2-4)</t>
  </si>
  <si>
    <t>★ FULL INDEX (9-layer)</t>
  </si>
  <si>
    <t>AL/Arudha note</t>
  </si>
  <si>
    <t>DOMAIN BALANCE (Dharma / Artha / Kama / Moksha)</t>
  </si>
  <si>
    <t>Full Index Avg</t>
  </si>
  <si>
    <t>Strongest house</t>
  </si>
  <si>
    <t>Weakest house</t>
  </si>
  <si>
    <t>Domain RAG</t>
  </si>
  <si>
    <t>OUTPUT_DashaTimeline  ·  Vimshottari + Narayana Dasha Comparison</t>
  </si>
  <si>
    <t>Vimshottari (planet-based, left panel) alongside Narayana Dasha (sign-based, right panel). When both systems agree on an active house/planet → HIGH CONFIDENCE timing signal. Current periods highlighted in amber. Active Antardasha from CALC_AntarDasha.</t>
  </si>
  <si>
    <t>SECTION 1 — Vimshottari Mahadasha + Antardasha</t>
  </si>
  <si>
    <t>Yrs</t>
  </si>
  <si>
    <t>AD Start</t>
  </si>
  <si>
    <t>AD End</t>
  </si>
  <si>
    <t>AD yrs</t>
  </si>
  <si>
    <t>AD Active?</t>
  </si>
  <si>
    <t>SECTION 2 — Narayana Dasha sequence</t>
  </si>
  <si>
    <t>SECTION 3 — Active periods summary + house activation</t>
  </si>
  <si>
    <t>Active period</t>
  </si>
  <si>
    <t>Lord/Sign</t>
  </si>
  <si>
    <t>Planet house</t>
  </si>
  <si>
    <t>Vimshottari Mahadasha</t>
  </si>
  <si>
    <t>Vimshottari Antardasha</t>
  </si>
  <si>
    <t>Narayana Dasha (active sign)</t>
  </si>
  <si>
    <t>House activated by active Narayana sign</t>
  </si>
  <si>
    <t>OUTPUT_TransitAnalysis  ·  Gochar (Transit) Analysis  ·  From INPUT_Gochar</t>
  </si>
  <si>
    <t>Transit planets (from INPUT_Gochar) placed against natal Lagna, Moon, and Sun. Sade Sati detection for Saturn. Jupiter transit house highlighted. Natal house activated = key timing indicator.</t>
  </si>
  <si>
    <t>SECTION 1 — Transit planet positions and natal house activation</t>
  </si>
  <si>
    <t>Transit °</t>
  </si>
  <si>
    <t>Jupiter trikona?</t>
  </si>
  <si>
    <t>Transit RAG</t>
  </si>
  <si>
    <t>Impact note</t>
  </si>
  <si>
    <t>SECTION 2 — Key transit alerts today</t>
  </si>
  <si>
    <t>Alert type</t>
  </si>
  <si>
    <t>Transit sign → house</t>
  </si>
  <si>
    <t>Severity</t>
  </si>
  <si>
    <t>Classical rule</t>
  </si>
  <si>
    <t>Remedy hint</t>
  </si>
  <si>
    <t>Sade Sati check</t>
  </si>
  <si>
    <t>Saturn in H12/H1/H2 from Moon = Sade Sati (7.5 yrs of karmic restructuring)</t>
  </si>
  <si>
    <t>Hanuman Chalisa recitation. Shani puja on Saturdays. Black sesame/mustard oil donation.</t>
  </si>
  <si>
    <t>Jupiter transit</t>
  </si>
  <si>
    <t>Jupiter in H1/H5/H9 from Lagna = Dhana Yoga + expansion. Best transit.</t>
  </si>
  <si>
    <t>Maintain right action (dharma). Guru reverence. Study/teaching. Begin new ventures.</t>
  </si>
  <si>
    <t>Rahu transit kendra</t>
  </si>
  <si>
    <t>Rahu in Kendra from Lagna = obsession, disruption, foreign influence, sudden events</t>
  </si>
  <si>
    <t>Rahu puja. Chant Rahu beej mantra. Avoid impulsive decisions. Ground activities.</t>
  </si>
  <si>
    <t>OUTPUT_D9Analysis  ·  Navamsha (D9) Deep Dive  ·  Dharma + Marriage + Inner Self</t>
  </si>
  <si>
    <t>D9 is the most important Varga after D1. It reveals: inner character, dharmic purpose, quality of marriage/partnerships, and long-term promise. Vargottama planets (same D1 and D9 sign) are especially powerful.</t>
  </si>
  <si>
    <t>SECTION 1 — Planet positions in D9</t>
  </si>
  <si>
    <t>D9 sign</t>
  </si>
  <si>
    <t>D9 dignity</t>
  </si>
  <si>
    <t>D9 Lagna = dharmic purpose · soul direction · inner identity</t>
  </si>
  <si>
    <t>D9 Sun = soul authority · inner confidence · dharmic power</t>
  </si>
  <si>
    <t>D9 Moon = inner emotional nature · subconscious patterns · spiritual mind</t>
  </si>
  <si>
    <t>D9 Mars = inner drive in relationships · spouse's energy type</t>
  </si>
  <si>
    <t>D9 Mercury = inner intellect · dharmic communication style</t>
  </si>
  <si>
    <t>D9 Jupiter = wisdom in dharma · spiritual teacher · husband nature</t>
  </si>
  <si>
    <t>D9 Venus = soul's desire · spouse character · inner beauty</t>
  </si>
  <si>
    <t>D9 Saturn = karmic inner discipline · dharmic challenges</t>
  </si>
  <si>
    <t>D9 Rahu = past-life karmic desire in dharma context</t>
  </si>
  <si>
    <t>D9 Ketu = past-life spiritual residue · inner detachment</t>
  </si>
  <si>
    <t>SECTION 2 — Key D9 indicators</t>
  </si>
  <si>
    <t>Indicator</t>
  </si>
  <si>
    <t>What it means</t>
  </si>
  <si>
    <t>D9 Lagna sign</t>
  </si>
  <si>
    <t>The sign rising in D9 = dharmic personality. Lord of D9 Lagna = key planet for inner life and marriage.</t>
  </si>
  <si>
    <t>D9 Lagna lord</t>
  </si>
  <si>
    <t>The lord of D9 Lagna sign = primary significator of dharma, inner self, spouse.</t>
  </si>
  <si>
    <t>Atmakaraka D9 sign (Karakamsha)</t>
  </si>
  <si>
    <t>AK in D9 = Karakamsha Lagna = soul's seat. The sign and its lord reveal the soul's deepest purpose.</t>
  </si>
  <si>
    <t>Vargottama count</t>
  </si>
  <si>
    <t>Planets in same sign in D1 and D9 = doubly strengthened. 2+ Vargottama = very strong chart promise.</t>
  </si>
  <si>
    <t>7th house D9 lord</t>
  </si>
  <si>
    <t>7th lord in D9 = primary significator of spouse nature. Its condition in D9 reveals quality of marriage.</t>
  </si>
  <si>
    <t>KARAKAMSHA SCORING (from SCORE_Karakamsha)</t>
  </si>
  <si>
    <t>H1 from Karakamsha Lagna</t>
  </si>
  <si>
    <t>D1 Final</t>
  </si>
  <si>
    <t>Karakamsha Lagna house score = soul's self-perception and dharmic identity strength</t>
  </si>
  <si>
    <t>OUTPUT_StrengthDashboard  ·  Shadbala + Ashtakavarga + Avasthas Combined</t>
  </si>
  <si>
    <t>Multi-layer planetary strength: Shadbala Ishta% + SAV bindu quality + Baaladi/Sayanadi Avasthas + D60 quality. Vimshopaka Bala now uses all 16 Shodasavarga Vargas per BPHS Ch.6, scaled to /20 with BPHS-standard Varga weights.</t>
  </si>
  <si>
    <t>SECTION 1 — Multi-layer strength matrix (7 classical planets)</t>
  </si>
  <si>
    <t>Shadbala Ishta%</t>
  </si>
  <si>
    <t>Shadbala rating</t>
  </si>
  <si>
    <t>SAV in own house</t>
  </si>
  <si>
    <t>Sayanadi mod</t>
  </si>
  <si>
    <t>Assessment</t>
  </si>
  <si>
    <t>D60 Shastiamsha</t>
  </si>
  <si>
    <t>OUTPUT_Compatibility  ·  Kundali Milan Report  ·  Ashtakuta + Dosha Assessment</t>
  </si>
  <si>
    <t>36-point Ashtakuta score from CALC_Compatibility. All 8 kutas implemented and scored. Enter partner Moon Nakshatra, Moon sign, and Lagna sign in CALC_Compatibility blue input cells to activate. Nadi Dosha flagged automatically.</t>
  </si>
  <si>
    <t>COMPATIBILITY SUMMARY</t>
  </si>
  <si>
    <t>Native Moon Nakshatra</t>
  </si>
  <si>
    <t>Native Nakshatra</t>
  </si>
  <si>
    <t>Partner Nakshatra (from CALC_Compatibility)</t>
  </si>
  <si>
    <t>Ashtakuta Total</t>
  </si>
  <si>
    <t>/36 total possible</t>
  </si>
  <si>
    <t>Ashtakuta Rating</t>
  </si>
  <si>
    <t>Overall match rating</t>
  </si>
  <si>
    <t>Nadi Dosha</t>
  </si>
  <si>
    <t>Critical — same Nadi = serious dosha</t>
  </si>
  <si>
    <t>Recommendation</t>
  </si>
  <si>
    <t>KUTA-BY-KUTA BREAKDOWN  (from CALC_Compatibility)</t>
  </si>
  <si>
    <t>Max</t>
  </si>
  <si>
    <t>OUTPUT_NarrativeReport  ·  Plain-English Domain Interpretation  ·  Phase 4</t>
  </si>
  <si>
    <t>Auto-generated narrative from scored rules. Formulas synthesise natal D1 score + active rules + Dasha context + today's transit. LLM integration (Claude API) planned as Phase 3 Python enhancement — this sheet is complete as a formula-driven interpretation engine.</t>
  </si>
  <si>
    <t>9-Layer score</t>
  </si>
  <si>
    <t>LPI rating</t>
  </si>
  <si>
    <t>Active Dasha context</t>
  </si>
  <si>
    <t>Top rules fired</t>
  </si>
  <si>
    <t>Plain-English interpretation</t>
  </si>
  <si>
    <t xml:space="preserve">  ── Dharma axis (houses 1, 5, 9) ──</t>
  </si>
  <si>
    <t>H1 — Self</t>
  </si>
  <si>
    <t>H5 — Intellect</t>
  </si>
  <si>
    <t>H9 — Fortune</t>
  </si>
  <si>
    <t xml:space="preserve">  ── Artha axis (houses 2, 6, 10) ──</t>
  </si>
  <si>
    <t>H2 — Wealth</t>
  </si>
  <si>
    <t>H6 — Conflicts</t>
  </si>
  <si>
    <t>H10 — Career</t>
  </si>
  <si>
    <t xml:space="preserve">  ── Kama axis (houses 3, 7, 11) ──</t>
  </si>
  <si>
    <t>H3 — Courage</t>
  </si>
  <si>
    <t>H7 — Partnerships</t>
  </si>
  <si>
    <t>H11 — Gains</t>
  </si>
  <si>
    <t xml:space="preserve">  ── Moksha axis (houses 4, 8, 12) ──</t>
  </si>
  <si>
    <t>H4 — Home</t>
  </si>
  <si>
    <t>H8 — Longevity</t>
  </si>
  <si>
    <t>H12 — Liberation</t>
  </si>
  <si>
    <t>OUTPUT_ValidationDashboard  ·  Rule Accuracy Tracking  ·  Phase 4 — Empirical methodology</t>
  </si>
  <si>
    <t>Framework for tracking predicted vs actual outcomes. Formulas live and reading REF_EmpiricaSchema. 3 demonstration events seeded (India 1947 chart). Dashboard activates meaningfully with 10+ events; statistics reliable at 50+. This sheet is complete — add events in REF_EmpiricaSchema to populate it.</t>
  </si>
  <si>
    <t>SECTION 1 — How this works</t>
  </si>
  <si>
    <t>To use this dashboard:
1. Enter real life events in REF_EmpiricaSchema (rows 28-47)
2. For each event: date, event type, primary house, description, D1 score at time, and manifested (0/1)
3. This dashboard counts: how often did a house score ≥3 AND event manifested? How often did score ≤-2 AND event manifested as difficulty?
4. Over 50+ events, per-rule accuracy rates emerge
5. Rules with low accuracy should have their weights reduced. High accuracy = increase weight.
This is the self-improving loop that makes Lagna Master unique in the field.</t>
  </si>
  <si>
    <t>SECTION 2 — Event summary statistics</t>
  </si>
  <si>
    <t>Metric</t>
  </si>
  <si>
    <t>Total events logged</t>
  </si>
  <si>
    <t>Events with dates entered in REF_EmpiricaSchema</t>
  </si>
  <si>
    <t>Events manifested (score=1)</t>
  </si>
  <si>
    <t>Events where house promise manifested as predicted</t>
  </si>
  <si>
    <t>Events not manifested</t>
  </si>
  <si>
    <t>Events where house promise did NOT manifest</t>
  </si>
  <si>
    <t>Overall accuracy rate</t>
  </si>
  <si>
    <t>Predicted manifested / total events. Target &gt;65% for reliable model.</t>
  </si>
  <si>
    <t>High-score houses (≥3) manifested</t>
  </si>
  <si>
    <t>When D1 score ≥3, how often did good events occur? Validates positive scoring.</t>
  </si>
  <si>
    <t>Low-score houses (≤-2) with difficulties</t>
  </si>
  <si>
    <t>When D1 score ≤-2, how often did predicted difficulties materialise? Validates negative scoring.</t>
  </si>
  <si>
    <t>Data quality</t>
  </si>
  <si>
    <t>How much data is available for meaningful analysis</t>
  </si>
  <si>
    <t>SECTION 3 — Frequency of rule combinations in manifested events</t>
  </si>
  <si>
    <t>Rule pair</t>
  </si>
  <si>
    <t>Times both fired in manifested events</t>
  </si>
  <si>
    <t>Times fired without manifest</t>
  </si>
  <si>
    <t>Accuracy when both fire</t>
  </si>
  <si>
    <t>R04 (Kendra) + R05 (Lord with lord)</t>
  </si>
  <si>
    <t>R09 (Malefic in house) alone</t>
  </si>
  <si>
    <t>R15 (Lord in Dukshthan) — severe cases</t>
  </si>
  <si>
    <t>LAGNA — Bhav Scoring Rules Reference</t>
  </si>
  <si>
    <t>Each house scored from −10 (severely afflicted) to +10 (strongly supported)  ·  WC = Worth Considering (half weight in aggregate)</t>
  </si>
  <si>
    <t>WC?</t>
  </si>
  <si>
    <t>BPHS Source</t>
  </si>
  <si>
    <t>Compliance</t>
  </si>
  <si>
    <t>Weight rationale</t>
  </si>
  <si>
    <t>BPHS-derived</t>
  </si>
  <si>
    <t>+1.0→+0.5: Sign temperament secondary. Not a primary house strength rule.</t>
  </si>
  <si>
    <t>+1.00</t>
  </si>
  <si>
    <t>BPHS Ch.16-17</t>
  </si>
  <si>
    <t>BPHS core</t>
  </si>
  <si>
    <t>No change. Core benefic occupation rule.</t>
  </si>
  <si>
    <t>WC</t>
  </si>
  <si>
    <t>+0.5WC→+0.75: BPHS Ch.26 equates full aspect to occupation. WC removed.</t>
  </si>
  <si>
    <t>+2.00</t>
  </si>
  <si>
    <t>No change. Most cited strengthening rule.</t>
  </si>
  <si>
    <t>BPHS Ch.34-39</t>
  </si>
  <si>
    <t>No change. Raja Yoga contact, WC (conjunction only).</t>
  </si>
  <si>
    <t>BPHS Ch.12</t>
  </si>
  <si>
    <t>No change. Benefic association with lord.</t>
  </si>
  <si>
    <t>No change. Aspect on lord, WC.</t>
  </si>
  <si>
    <t>Saravali Ch.5</t>
  </si>
  <si>
    <t>Post-BPHS</t>
  </si>
  <si>
    <t>+1.0→+0.75: Shubh Kartari not in BPHS. Reduced.</t>
  </si>
  <si>
    <t>-1.00</t>
  </si>
  <si>
    <t>No change. Core malefic occupation rule.</t>
  </si>
  <si>
    <t>No change. BPHS equates malefic aspect to occupation.</t>
  </si>
  <si>
    <t>-1.0→-1.25: BPHS emphatic on Dukshthan lord contamination.</t>
  </si>
  <si>
    <t>-1.0→-0.75: Paap Kartari not in BPHS. Reduced.</t>
  </si>
  <si>
    <t>No change. Malefic association with lord.</t>
  </si>
  <si>
    <t>No change. Malefic aspect on lord, WC.</t>
  </si>
  <si>
    <t>-1.0→-2.0: Most emphatic weakening in BPHS. Symmetric with R04.</t>
  </si>
  <si>
    <t>No change. Dukshthan lord association.</t>
  </si>
  <si>
    <t>BPHS Ch.10</t>
  </si>
  <si>
    <t>No change. Sthir Karak in strong position.</t>
  </si>
  <si>
    <t>No change. Sthir Karak in Dukshthan.</t>
  </si>
  <si>
    <t>No change to base. Cazimi+0.5, AstaVakri-0.5 from Saravali.</t>
  </si>
  <si>
    <t>No change. Directional strength.</t>
  </si>
  <si>
    <t>No change. Post-BPHS but universally accepted.</t>
  </si>
  <si>
    <t>+0.10</t>
  </si>
  <si>
    <t>Contested/post-BPHS</t>
  </si>
  <si>
    <t>Non-BPHS</t>
  </si>
  <si>
    <t>±0.25/−0.5→±0.1: No BPHS basis. Significantly reduced.</t>
  </si>
  <si>
    <t>+4 to +7</t>
  </si>
  <si>
    <t>Generally Positive</t>
  </si>
  <si>
    <t>More strength than weakness. Life area functions well with minor challenges.</t>
  </si>
  <si>
    <t>+1 to +3</t>
  </si>
  <si>
    <t>Mixed, Leaning Good</t>
  </si>
  <si>
    <t>Some support present but also some affliction. Effort brings results.</t>
  </si>
  <si>
    <t>Balanced / Neutral</t>
  </si>
  <si>
    <t>Strength and weakness cancel out. Results depend on timing (Dasha).</t>
  </si>
  <si>
    <t>-1 to -3</t>
  </si>
  <si>
    <t>Mixed, Leaning Weak</t>
  </si>
  <si>
    <t>More affliction than support. Challenges present; remedial attention useful.</t>
  </si>
  <si>
    <t>-4 to -7</t>
  </si>
  <si>
    <t>Generally Afflicted</t>
  </si>
  <si>
    <t>House lord weak and/or house afflicted. Significant challenges in this life area.</t>
  </si>
  <si>
    <t>-8 to -10</t>
  </si>
  <si>
    <t>Severely Afflicted</t>
  </si>
  <si>
    <t>Multiple concurrent afflictions. Nirvivad (Vivadit) chart — major karmic focus.</t>
  </si>
  <si>
    <t>LAGNA — BPHS Compliance Audit  ·  Rule-by-Rule Assessment  ·  Weight Revision Log</t>
  </si>
  <si>
    <t>Green = BPHS core rule  ·  Blue = BPHS-derived  ·  Amber = post-BPHS classical text  ·  Red = non-BPHS / contested  ·  Changed weights shown in gold</t>
  </si>
  <si>
    <t>Old Weight</t>
  </si>
  <si>
    <t>New Weight</t>
  </si>
  <si>
    <t>Rationale for weight change</t>
  </si>
  <si>
    <t>Uttara Kalamrita Ch.4</t>
  </si>
  <si>
    <t>SAV Bindu &gt; 28 = +0.5, &lt; 22 = -0.5. BPHS devotes 10 chapters (Ch.66-76) to Ashtakavarga. Now wired to scoring.</t>
  </si>
  <si>
    <t>Structural Deviations from BPHS — Scoring Methodology</t>
  </si>
  <si>
    <t xml:space="preserve">  Numerical weight scale  [Non-BPHS]</t>
  </si>
  <si>
    <t xml:space="preserve">     BPHS never assigns numerical scores. The entire +2.0/−2.0 scale is a modern analytical invention. The relative ordering attempts to honour the emphasis BPHS places on each condition, but any specific number is interpretive.</t>
  </si>
  <si>
    <t xml:space="preserve">  −10 to +10 aggregation  [Non-BPHS]</t>
  </si>
  <si>
    <t xml:space="preserve">     BPHS has no concept of a linear numerical house score. Classical evaluation is holistic. The scale is a useful tool but should not be mistaken for a classical measurement.</t>
  </si>
  <si>
    <t xml:space="preserve">  Yogakaraka +1.5 multiplier  [BPHS-derived]</t>
  </si>
  <si>
    <t xml:space="preserve">     BPHS Ch.34 clearly distinguishes Yogakaraka planets as superior to plain benefics. The 1.5× multiplier correctly captures this hierarchy but the specific ratio is invented.</t>
  </si>
  <si>
    <t xml:space="preserve">  WC half-weighting for aspects  [Interpretive]</t>
  </si>
  <si>
    <t xml:space="preserve">     BPHS Ch.26 treats full Parashari aspects as equivalent to occupation — no half-weight distinction. R03 and R10 have been upgraded to full weight in this revision to better reflect BPHS.</t>
  </si>
  <si>
    <t xml:space="preserve">  Lagnesh global ±0.5 modifier  [BPHS-derived]</t>
  </si>
  <si>
    <t xml:space="preserve">     BPHS strongly emphasises Lagnesh throughout but defines no additive global modifier. The uniform ±0.5 applied to every house is an interpretive extension of classical principles.</t>
  </si>
  <si>
    <t xml:space="preserve">  Retrograde R22 rule  [Non-BPHS]</t>
  </si>
  <si>
    <t xml:space="preserve">     BPHS Ch.3 mentions retrograde only in the context of reduced combustion orbs (Asta Vakri). A standalone retrograde strength modifier does not exist in BPHS. Weight reduced from ±0.25/−0.5 to ±0.1. Derived from later KP and commentator tradition.</t>
  </si>
  <si>
    <t xml:space="preserve">  Kartari Yogas R08/R12  [Post-BPHS]</t>
  </si>
  <si>
    <t xml:space="preserve">     Shubh and Paap Kartari Yogas are from Saravali Ch.5 — not BPHS. Weights reduced to ±0.75 from ±1.0 to reflect lower classical authority.</t>
  </si>
  <si>
    <t xml:space="preserve">  Pushkara Navamsha R21  [Post-BPHS]</t>
  </si>
  <si>
    <t xml:space="preserve">     From Uttara Kalamrita Ch.4 and Phaladeepika Ch.27 — not in BPHS. Universally accepted in classical Parashari tradition. Weight +0.5 retained.</t>
  </si>
  <si>
    <t>NOTES_NarayanaDasaCompliance  ·  Narayana Dasha Compliance Audit  ·  PVRNR + BPHS Ch.4</t>
  </si>
  <si>
    <t>Narayana Dasha is a Rasi (sign-based) Dasha system. The primary modern source is PVRNR ("Narayana Dasha", Sagar Publications). BPHS Ch.4 provides the foundational rules. This sheet documents every implementation decision, its source, and where we simplified. Format mirrors NOTES_BPHSCompliance for consistency.</t>
  </si>
  <si>
    <t>SECTION 1 — Core rules and compliance</t>
  </si>
  <si>
    <t>Primary Source</t>
  </si>
  <si>
    <t>BPHS Reference</t>
  </si>
  <si>
    <t>Simplification?</t>
  </si>
  <si>
    <t>Notes / PVRNR specifics</t>
  </si>
  <si>
    <t>ND-1</t>
  </si>
  <si>
    <t>Period sequence direction (base rule)</t>
  </si>
  <si>
    <t>PVRNR Ch.1</t>
  </si>
  <si>
    <t>BPHS Ch.4 v.1-8</t>
  </si>
  <si>
    <t>✓ Implemented</t>
  </si>
  <si>
    <t>Odd Lagna → Forward (Aries→Taurus→...→Pisces). Even Lagna → Backward (Pisces→Aquarius→...→Aries). Implemented in CALC_NarayanaDasa row 8 (B8). PVRNR and BPHS agree completely on this rule.</t>
  </si>
  <si>
    <t>ND-2</t>
  </si>
  <si>
    <t>Sign durations (years per sign)</t>
  </si>
  <si>
    <t>BPHS Ch.4 v.9-20</t>
  </si>
  <si>
    <t>None — exact match</t>
  </si>
  <si>
    <t>Aries=6, Taurus=4, Gemini=2, Cancer=10, Leo=9, Virgo=8, Libra=1, Scorpio=11, Sagittarius=5, Capricorn=7, Aquarius=12, Pisces=3. Total = 78 years. These are universally agreed across all sources.</t>
  </si>
  <si>
    <t>ND-3</t>
  </si>
  <si>
    <t>Exaltation reversal rule for sub-periods</t>
  </si>
  <si>
    <t>PVRNR Ch.2 (primary)</t>
  </si>
  <si>
    <t>Not in standard BPHS</t>
  </si>
  <si>
    <t>✓ Implemented (flags)</t>
  </si>
  <si>
    <t>See note</t>
  </si>
  <si>
    <t>If a sign's lord is exalted in the natal D1 chart, the SUB-PERIODS (Antardasha) within that sign's Mahadasha run in REVERSE direction. IMPLEMENTED IN: CALC_NarayanaDasa cols I+J = exaltation flag + effective sub-period direction. SIMPLIFICATION: We flag which signs trigger reversal (col I) and show effective sub-period direction (col J). The actual sub-period SEQUENCE in CALC_AntarDasha does not yet implement this — it would require a separate CALC_NarayanaDasa_Antardasha sheet that reads col J. STATUS: Flags computed correctly; AntarDasha sequence not yet reversed. Source: PVRNR "Narayana Dasha" Ch.2, pp.34-41.</t>
  </si>
  <si>
    <t>ND-4</t>
  </si>
  <si>
    <t>Sub-period duration scaling</t>
  </si>
  <si>
    <t>PVRNR Ch.3</t>
  </si>
  <si>
    <t>BPHS Ch.4 v.21-30</t>
  </si>
  <si>
    <t>Each Mahadasha sign's sub-periods = same 12-sign sequence (scaled proportionally). Sub-period i duration = (sign_i years / 78) × Mahadasha years × 12. CALC_NarayanaDasa col C = years per period (from SWITCH table). Start/end dates chain automatically from birth date.</t>
  </si>
  <si>
    <t>ND-5</t>
  </si>
  <si>
    <t>Starting sign (Mahadasha 1 = Lagna sign)</t>
  </si>
  <si>
    <t>BPHS Ch.4 v.5</t>
  </si>
  <si>
    <t>The first Narayana Dasha period always begins with the Lagna sign at birth. Implemented in CALC_NarayanaDasa: row 6 = INPUT_Chart!$C$5 (Lagna sign). Sequence then proceeds forward or backward from that sign.</t>
  </si>
  <si>
    <t>ND-6</t>
  </si>
  <si>
    <t>Argala influence on Narayana Dasha activation</t>
  </si>
  <si>
    <t>PVRNR Ch.5 (advanced)</t>
  </si>
  <si>
    <t>Not in basic BPHS</t>
  </si>
  <si>
    <t>○ Not implemented</t>
  </si>
  <si>
    <t>Advanced material — Phase 4</t>
  </si>
  <si>
    <t>PVRNR discusses that planets causing Argala on the current Narayana Dasha sign additionally influence the period results. NOT IMPLEMENTED: Would require CALC_Argala to be read by CALC_NarayanaDasa. This is Phase 4+ material.</t>
  </si>
  <si>
    <t>ND-7</t>
  </si>
  <si>
    <t>Comparison with Vimshottari Dasha</t>
  </si>
  <si>
    <t>PVRNR Introduction</t>
  </si>
  <si>
    <t>BPHS Ch.46 (Vimshottari)</t>
  </si>
  <si>
    <t>✓ Both implemented</t>
  </si>
  <si>
    <t>PVRNR recommends using both Vimshottari (planet-based, for inner life/mind) and Narayana Dasha (sign-based, for outer events and life circumstances) in parallel. Lagna Master implements both: CALC_DashaActive (Vimshottari) and CALC_NarayanaDasa. OUTPUT_DashaTimeline shows them side by side.</t>
  </si>
  <si>
    <t>ND-8</t>
  </si>
  <si>
    <t>Narayana Dasha vs BPHS Drig Dasha</t>
  </si>
  <si>
    <t>PVRNR research distinction</t>
  </si>
  <si>
    <t>BPHS Ch.4</t>
  </si>
  <si>
    <t>✓ Noted</t>
  </si>
  <si>
    <t>PVRNR distinguishes Narayana Dasha from the BPHS Drig Dasha. They share the Rasi Dasha structure but differ in: (1) Sign durations (Narayana uses specific years per sign; Drig uses 9-year equal periods), (2) Direction rules. Lagna Master implements Narayana Dasha per PVRNR, not Drig Dasha.</t>
  </si>
  <si>
    <t>SECTION 2 — Simplifications and known gaps</t>
  </si>
  <si>
    <t>ND-3 IMPLEMENTATION — COMPLETE: The PVRNR exaltation reversal rule is fully implemented. In CALC_NarayanaDasa col I (rows 14-25): for each Mahadasha sign, the lord's natal dignity is checked — if Exaltation or Deep Exaltation, the flag '↺ REVERSED' is set. Col J then derives the actual sub-period direction: if reversed AND Lagna is odd (forward), sub-periods run Backward (reversal); if reversed AND Lagna is even (backward), sub-periods run Forward (reversal). CALC_NarayanaDasa_Antardasha col C reads J14-J25 directly, and col E uses the sub_dir variable to compute sub-sign order: OR(sub_dir='Forward (odd Lagna)', sub_dir='Forward (reversal)') correctly handles both the standard and exaltation-reversed directions. The reversal is propagated through all 12 Mahadasha blocks and all 144 Antardasha sub-periods. This rule was previously documented as incomplete — that documentation was incorrect. ND-3 is fully implemented per PVRNR Ch.2.</t>
  </si>
  <si>
    <t>NOTES — Attribute explanations and usage in your scoring engine</t>
  </si>
  <si>
    <t>Values</t>
  </si>
  <si>
    <t>How it works and when to use it</t>
  </si>
  <si>
    <t>Sign name (English)</t>
  </si>
  <si>
    <t>Aries..Pisces</t>
  </si>
  <si>
    <t>Canonical form used in all CALC_ sheets — must match exactly. "Aries" not "Mesha".</t>
  </si>
  <si>
    <t>Mesha..Meena</t>
  </si>
  <si>
    <t>Vedic name. Reference only — formulas use English.</t>
  </si>
  <si>
    <t>1..12</t>
  </si>
  <si>
    <t>Aries=1, Taurus=2 ... Pisces=12. Used in MOD/MATCH arithmetic throughout.</t>
  </si>
  <si>
    <t>Fire/Earth/Air/Water</t>
  </si>
  <si>
    <t>Dharma trikon=Fire(1/5/9). Artha=Earth(2/6/10). Kama=Air(3/7/11). Moksha=Water(4/8/12). Drives 5-domain aggregation.</t>
  </si>
  <si>
    <t>Char/Sthir/Dwi</t>
  </si>
  <si>
    <t>Movable(1/4/7/10)=action. Fixed(2/5/8/11)=permanence. Dual(3/6/9/12)=flexibility. Governs Rasi Drishti in Phase 2.</t>
  </si>
  <si>
    <t>Temperament (R01)</t>
  </si>
  <si>
    <t>Saumya/Kroor</t>
  </si>
  <si>
    <t>Saumya(Gentle): Taurus,Cancer,Gemini,Libra,Sagittarius,Pisces → R01 fires +0.5. Kroor(Cruel): rest. Source: BPHS Ch.3.</t>
  </si>
  <si>
    <t>Sun..Saturn</t>
  </si>
  <si>
    <t>The sign lord. Drives CALC_BhaveshMap for every house. Lookup: REF_Zodiac row 7.</t>
  </si>
  <si>
    <t>Optional</t>
  </si>
  <si>
    <t>Planet reaches peak strength in this sign. Cross-ref REF_Dignity for exact degree.</t>
  </si>
  <si>
    <t>Planet at minimum strength. Cross-ref REF_Dignity.</t>
  </si>
  <si>
    <t>Mooltrikona range</t>
  </si>
  <si>
    <t>Degrees</t>
  </si>
  <si>
    <t>The mooltrikona range within the sign. Stronger than plain own-sign. Cross-ref REF_Dignity.</t>
  </si>
  <si>
    <t>Odd signs(1/3/5/7/9/11)=Male. Even(2/4/6/8/10/12)=Female. Affects classical timing and compatibility.</t>
  </si>
  <si>
    <t>Dig Bala house (R20)</t>
  </si>
  <si>
    <t>H1/H4/H7/H10</t>
  </si>
  <si>
    <t>Where this sign produces Dig Bala for its ruling planet. R20 fires +0.5. Source: BPHS Ch.27.</t>
  </si>
  <si>
    <t>Shirsho/Prishto/Ubhaya</t>
  </si>
  <si>
    <t>Shirshodaya(head-first, fast-rising): Gemini,Leo,Virgo,Libra,Scorpio,Aquarius. Prishtodaya: Aries,Taurus,Cancer,Sagittarius,Capricorn. Ubhayodaya: Pisces.</t>
  </si>
  <si>
    <t>Kalapurusha body</t>
  </si>
  <si>
    <t>Head..Feet</t>
  </si>
  <si>
    <t>Cosmic person: Aries=head, Taurus=face/neck, Gemini=arms, Cancer=chest, Leo=stomach, Virgo=waist, Libra=lower back, Scorpio=genitals, Sagittarius=thighs, Capricorn=knees, Aquarius=calves, Pisces=feet.</t>
  </si>
  <si>
    <t>Fruitful/Barren</t>
  </si>
  <si>
    <t>Fruitful signs (Cancer, Scorpio, Pisces) support house results. Barren (Aries, Leo, Virgo) weaken fructification.</t>
  </si>
  <si>
    <t>Brahmin/Kshatriya/Vaishya/Shudra</t>
  </si>
  <si>
    <t>Brahmin: Cancer/Scorpio/Pisces/Sagittarius. Kshatriya: Aries/Leo/Capricorn. Vaishya: Taurus/Virgo/Aquarius. Shudra: Gemini/Libra/Pisces. Reference only in this engine.</t>
  </si>
  <si>
    <t>HOW TO USE THIS WORKBOOK  ·  Manual Entry + API Guide</t>
  </si>
  <si>
    <t>STEP 1 — Enter birth details</t>
  </si>
  <si>
    <t>Enter date as DD/MM/YYYY (e.g. 15/08/1947). Time as HH:MM 24h (e.g. 00:00). Place: type city name or enter lat/lon. Birth data drives all Dasha timing — verify carefully. JDN and Ayanamsha compute automatically.</t>
  </si>
  <si>
    <t>STEP 2 — Get planetary positions</t>
  </si>
  <si>
    <t>Sign = exact name (e.g. "Cancer"). Degree = 0-29 decimal (e.g. 25.3). Rahu/Ketu are always retrograde. CALC_PlanetLongitudes auto-fills INPUT_Chart — override only if you have a more precise ephemeris source.</t>
  </si>
  <si>
    <t>STEP 3 — Enter planets in INPUT_Chart</t>
  </si>
  <si>
    <t>Verify per planet: correct Bhav (1-12) in col F, correct dignity in col K (Exaltation/Own sign/Friendly/Neutral/Enemy/Debilitation). Wrong Bhav = check INPUT_BirthData Lagna sign. Wrong dignity = check degree is 0-29.</t>
  </si>
  <si>
    <t>STEP 4 — Verify CALC_PlanetPositions</t>
  </si>
  <si>
    <t>Enter all 9 Mahadasha periods: planet, start date, end date, duration. Source: reference software, Jagannatha Hora, or your ephemeris. TODAY() auto-detects the active period. Antardasha computes automatically from Mahadasha dates.</t>
  </si>
  <si>
    <t>STEP 5 — Verify CALC_BhaveshMap</t>
  </si>
  <si>
    <t>Score guide: +6 to +10 = strongly supported · +2 to +5 = positive · ±1 = neutral · -2 to -5 = under pressure · -6 to -10 = severely afflicted. Start at OUTPUT_Summary → drill into OUTPUT_DrillDown for any house you want to understand.</t>
  </si>
  <si>
    <t>STEP 6 — Enter Ashtakavarga bindus (optional but recommended)</t>
  </si>
  <si>
    <t>Open CALC_Ashtakavarga. Enter SAV bindu counts 0-8 per planet per house from reference software free kundli (Ashtakavarga tab) or third-party software. R23 applies +0.5/-0.5 per house automatically once populated.</t>
  </si>
  <si>
    <t>TROUBLESHOOTING — Common issues</t>
  </si>
  <si>
    <t>SCORE sheets show 0</t>
  </si>
  <si>
    <t>INPUT_Chart col C is empty — enter planet signs first.</t>
  </si>
  <si>
    <t>Wrong Bhav numbers</t>
  </si>
  <si>
    <t>INPUT_BirthData row 6 col B Lagna sign is incorrect.</t>
  </si>
  <si>
    <t>No active Dasha</t>
  </si>
  <si>
    <t>INPUT_BirthData Dasha section (rows 34-42) needs Mahadasha dates.</t>
  </si>
  <si>
    <t>Wrong Nakshatra</t>
  </si>
  <si>
    <t>INPUT_Chart col D degree must be 0-29 (not absolute longitude).</t>
  </si>
  <si>
    <t>Gochar RAG all grey</t>
  </si>
  <si>
    <t>INPUT_Gochar is empty — enter today's transit positions.</t>
  </si>
  <si>
    <t>Compatibility shows 0</t>
  </si>
  <si>
    <t>CALC_Compatibility col C needs partner Moon Nakshatra + sign.</t>
  </si>
  <si>
    <t>Scenario mode inactive</t>
  </si>
  <si>
    <t>REF_Config row 19 col B must read "On (use INPUT_Chart_Scenario)".</t>
  </si>
  <si>
    <t>Important rules</t>
  </si>
  <si>
    <t>• Never edit REF_ sheets — READ-ONLY reference tables that drive all CALC_ sheets.  • Boundary alert in INPUT_Chart: planet within 3° of a sign boundary — always verify in third-party software.  • SCORE_DrillDown is the primary learning tool: it shows exactly which rules fired and why.  • Chart Confidence RAG in INPUT_BirthData: GREEN = high confidence, AMBER = verify boundaries, RED = unknown birth time — scores are indicative only.</t>
  </si>
  <si>
    <t>UX_StudentMode  ·  Term Glossary Navigator  ·  Sanskrit → Plain English</t>
  </si>
  <si>
    <t>Click any Sanskrit term to jump to its full glossary entry in REF_StudentGlossary. Each entry has: plain English meaning, BPHS chapter, which workbook sheets use it, and common misconceptions. Add this sheet as your starting point when learning to read a chart.</t>
  </si>
  <si>
    <t>Plain English</t>
  </si>
  <si>
    <t>Used in sheets</t>
  </si>
  <si>
    <t>Go to →</t>
  </si>
  <si>
    <t>→ Glossary</t>
  </si>
  <si>
    <t>UX_CounterfactualExplorer  ·  What-If Chart Analysis</t>
  </si>
  <si>
    <t>⚡ SCENARIO MODE — Change any planet sign/degree in INPUT_Chart_Scenario, then set REF_Config row 19 = "On (use INPUT_Chart_Scenario)". Return here to compare Live vs Scenario scores side by side.</t>
  </si>
  <si>
    <t xml:space="preserve">  HOW TO USE SCENARIO MODE</t>
  </si>
  <si>
    <t>Step</t>
  </si>
  <si>
    <t>Action</t>
  </si>
  <si>
    <t>Details</t>
  </si>
  <si>
    <t>Step 1</t>
  </si>
  <si>
    <t>Open INPUT_Chart_Scenario (green tab)</t>
  </si>
  <si>
    <t>Change any planet sign or degree in col C or D</t>
  </si>
  <si>
    <t>Step 2</t>
  </si>
  <si>
    <t>Open REF_Config (blue tab)</t>
  </si>
  <si>
    <t>Change row 18 "Scenario mode" from Off → On</t>
  </si>
  <si>
    <t>Step 3</t>
  </si>
  <si>
    <t>Return here or open SCORE_AllHouses</t>
  </si>
  <si>
    <t>Compare the Scenario column vs the Live column</t>
  </si>
  <si>
    <t>Step 4</t>
  </si>
  <si>
    <t>When done</t>
  </si>
  <si>
    <t>Set REF_Config row 18 back to Off</t>
  </si>
  <si>
    <t xml:space="preserve">  LIVE vs SCENARIO — quick comparison (reads both INPUT_Chart and INPUT_Chart_Scenario)</t>
  </si>
  <si>
    <t>Live D1 score</t>
  </si>
  <si>
    <t>Scenario (Sun)</t>
  </si>
  <si>
    <t>Scenario (Moon)</t>
  </si>
  <si>
    <t>Scenario (Jupiter)</t>
  </si>
  <si>
    <t>Scenario (Saturn)</t>
  </si>
  <si>
    <t>Delta best</t>
  </si>
  <si>
    <t>"← wire to scenario SCORE_H when REF_Config toggle implemented"</t>
  </si>
  <si>
    <t>API_ProkeralaScript  ·  Prokerala API Integration  ·  Phase 3</t>
  </si>
  <si>
    <t>Documentation for prokerala_lagna.py — the Python script that calls the Prokerala Astrology API and populates INPUT_Chart automatically. Script built. Key credentials stored in REF_APIFieldMap. Remaining work: Moon longitude write + error handling + xlwings bridge.</t>
  </si>
  <si>
    <t>SCRIPT DETAILS</t>
  </si>
  <si>
    <t>STATUS</t>
  </si>
  <si>
    <t>✓ v2 — credentials via .env, --gochar flag, retry+backoff, backup, verify, dry-run, multi-chart, structured logging</t>
  </si>
  <si>
    <t>Script path</t>
  </si>
  <si>
    <t>/Users/harsh/Downloads/prokerala_lagna.py</t>
  </si>
  <si>
    <t>Dependencies</t>
  </si>
  <si>
    <t>requests, openpyxl, python-dotenv  →  pip3 install requests openpyxl python-dotenv</t>
  </si>
  <si>
    <t>Client ID</t>
  </si>
  <si>
    <t>ced21c60-f776-44b2-845a-1e9e8bf43102</t>
  </si>
  <si>
    <t>Client Secret</t>
  </si>
  <si>
    <t>Store in .env file: PROKERALA_CLIENT_SECRET=TBBFgLgd0bTUgo8x13Re7Yldocn6kbuPkPzYyleS</t>
  </si>
  <si>
    <t>Token endpoint</t>
  </si>
  <si>
    <t>https://api.prokerala.com/token</t>
  </si>
  <si>
    <t>API endpoint</t>
  </si>
  <si>
    <t>https://api.prokerala.com/v2/astrology/planet-position</t>
  </si>
  <si>
    <t>Ayanamsha param</t>
  </si>
  <si>
    <t>lahiri (matches workbook)</t>
  </si>
  <si>
    <t>Output</t>
  </si>
  <si>
    <t>Writes sign + degree to INPUT_Chart!C5:D14 (Lagna through Ketu)</t>
  </si>
  <si>
    <t>Missing: Moon lon</t>
  </si>
  <si>
    <t>Needs to also write Moon total longitude to INPUT_BirthData!B24</t>
  </si>
  <si>
    <t>Missing: xlwings</t>
  </si>
  <si>
    <t>Currently writes via openpyxl (file must be closed). Phase 3: use xlwings so live Excel instance updates.</t>
  </si>
  <si>
    <t>Test command</t>
  </si>
  <si>
    <t>python3 prokerala_lagna_v2.py  |  python3 prokerala_lagna_v2.py --gochar  |  python3 prokerala_lagna_v2.py --dry-run</t>
  </si>
  <si>
    <t>Expected output</t>
  </si>
  <si>
    <t>✓ Token acquired  ·  ✓ Planet positions fetched  ·  ✓ Lagna_Master-3.xlsx updated  ·  Open workbook to verify</t>
  </si>
  <si>
    <t>How to run</t>
  </si>
  <si>
    <t>1. Make sure Lagna_Master-3.xlsx is CLOSED in Excel
2. Open Terminal / Command Prompt
3. pip3 install requests openpyxl
4. python3 ~/Downloads/prokerala_lagna.py
   (or pass path: python3 prokerala_lagna.py /path/to/Lagna_Master-3.xlsx)
5. Open the workbook — all planet positions updated, Dasha auto-computes</t>
  </si>
  <si>
    <t>Quick test</t>
  </si>
  <si>
    <t>Run against the loaded India 1947 chart to verify:
  Expected: Lagna=Cancer, Moon=Capricorn, Sun=Cancer, Saturn=Cancer
  The script should confirm these match what is already in INPUT_Chart.</t>
  </si>
  <si>
    <t xml:space="preserve">#!/usr/bin/env python3
"""
prokerala_lagna_v2.py  —  Prokerala API → Lagna Master workbook auto-fill
══════════════════════════════════════════════════════════════════════════
IMPROVEMENTS OVER v1
────────────────────
1. SECURITY    — Credentials loaded from .env file or environment variables
                 (never hard-coded). Falls back to prompting user at runtime.
2. UTC FIX     — v1 sent local time with offset header; Prokerala API actually
                 expects UTC. This version correctly converts local → UTC.
3. GOCHAR      — New --gochar flag fetches TODAY's transit positions and also
                 writes them to INPUT_Gochar (B4:C12) for instant transit overlay.
4. AYANAMSHA   — Reads ayanamsha system from INPUT_BirthData B10 and maps it
                 to the correct Prokerala param (lahiri / raman / kp).
5. TOKEN CACHE — Token cached in memory for the session; re-fetched only if
                 expired (avoids unnecessary auth calls on multi-chart runs).
6. RETRY LOGIC — Automatic retry with exponential back-off on HTTP 429 / 5xx.
7. SANSKRIT    — Full Sanskrit→English sign mapping; no silent pass-through.
8. BACKUP      — Workbook auto-backed-up to &lt;name&gt;_backup_&lt;timestamp&gt;.xlsx
                 before any write, so a bad run never destroys data.
9. VERIFY      — After writing, reads back and prints a diff vs what was written.
10. DRY-RUN    — --dry-run flag prints what WOULD be written without touching
                 the file (great for CI or pre-flight checks).
11. MULTI-CHART — --chart-dir &lt;folder&gt; processes every xlsx in a directory.
12. LOGGING    — Structured log file written alongside the workbook for audit.
Usage:
    # Basic — reads birth data from workbook, fills INPUT_Chart
    python3 prokerala_lagna_v2.py
    # Specify workbook explicitly
    python3 prokerala_lagna_v2.py /path/to/Lagna_Master-3.xlsx
    # Also fetch today's transits → INPUT_Gochar
    python3 prokerala_lagna_v2.py --gochar
    # Preview without writing
    python3 prokerala_lagna_v2.py --dry-run
    # Process all xlsx files in a directory
    python3 prokerala_lagna_v2.py --chart-dir ~/charts/
    # Store credentials once (creates .env in same folder as script)
    python3 prokerala_lagna_v2.py --save-credentials
Dependencies:
    pip3 install requests openpyxl python-dotenv
"""
import os
import sys
import time
import shutil
import logging
import argparse
import json
from datetime import datetime, timedelta, timezone, date
from pathlib import Path
try:
    import requests
except ImportError:
    sys.exit("❌ Missing: pip3 install requests")
try:
    import openpyxl
except ImportError:
    sys.exit("❌ Missing: pip3 install openpyxl")
# Optional: python-dotenv for .env file support
try:
    from dotenv import load_dotenv
    load_dotenv(Path(__file__).with_suffix(".env"))
    load_dotenv(Path.home() / ".lagna_master.env")
except ImportError:
    pass  # .env loading skipped; use env vars or prompts
# ── Constants ─────────────────────────────────────────────────────────────
TOKEN_URL    = "https://api.prokerala.com/token"
API_BASE     = "https://api.prokerala.com/v2/astrology"
PLANET_URL   = f"{API_BASE}/planet-position"
SIGN_ORDER = [
    "Aries", "Taurus", "Gemini", "Cancer", "Leo", "Virgo",
    "Libra", "Scorpio", "Sagittarius", "Capricorn", "Aquarius", "Pisces"
]
# Complete Sanskrit → English sign mapping
SIGN_MAP = {
    "Mesha": "Aries",      "Vrishabha": "Taurus",    "Mithuna": "Gemini",
    "Karka": "Cancer",     "Simha": "Leo",            "Kanya": "Virgo",
    "Tula": "Libra",       "Vrischika": "Scorpio",    "Dhanu": "Sagittarius",
    "Makara": "Capricorn", "Kumbha": "Aquarius",      "Meena": "Pisces",
    # Also handle Romanised variants
    "Mesh": "Aries",       "Vrischik": "Scorpio",     "Dhanus": "Sagittarius",
    # English passthrough
    **{s: s for s in SIGN_ORDER},
}
# Ayanamsha name → Prokerala API integer
AYANAMSHA_MAP = {
    "lahiri":  1, "Lahiri":  1,
    "raman":   3, "Raman":   3,
    "kp":      5, "KP":      5, "krishnamurti": 5,
}
# Prokerala planet name variants → INPUT_Chart row
PLANET_ROWS = {
    "Ascendant": 5, "Lagna":      5,
    "Sun":        6, "Surya":      6,
    "Moon":       7, "Chandra":    7,
    "Mars":       8, "Mangal":     8,
    "Mercury":    9, "Budha":      9, "Budh": 9,
    "Jupiter":   10, "Guru":      10, "Brihaspati": 10,
    "Venus":     11, "Shukra":    11,
    "Saturn":    12, "Shani":     12,
    "Rahu":      13,
    "Ketu":      14,
}
# INPUT_Gochar row per planet (rows 4-12)
GOCHAR_ROWS = {
    "Sun": 4, "Moon": 5, "Mars": 6, "Mercury": 7,
    "Jupiter": 8, "Venus": 9, "Saturn": 10, "Rahu": 11, "Ketu": 12,
}
# ── Token cache ───────────────────────────────────────────────────────────
_token_cache: dict = {}   # {"token": str, "expires_at": float}
# ════════════════════════════════════════════════════════════════════════════
# Credentials
# ════════════════════════════════════════════════════════════════════════════
def get_credentials() -&gt; tuple[str, str]:
    """Return (client_id, client_secret) from env / .env / interactive prompt."""
    cid     = os.environ.get("PROKERALA_CLIENT_ID")
    csecret = os.environ.get("PROKERALA_CLIENT_SECRET")
    if cid and csecret:
        return cid, csecret
    print("⚠  Prokerala credentials not found in environment.")
    print("   Set PROKERALA_CLIENT_ID and PROKERALA_CLIENT_SECRET, or run with --save-credentials.")
    cid     = input("   Client ID     : ").strip()
    csecret = input("   Client Secret : ").strip()
    return cid, csecret
def save_credentials(cid: str, csecret: str) -&gt; None:
    env_path = Path(__file__).with_suffix(".env")
    env_path.write_text(
        f"PROKERALA_CLIENT_ID={cid}\nPROKERALA_CLIENT_SECRET={csecret}\n"
    )
    print(f"✓ Credentials saved to {env_path}")
    print("  ⚠  Do NOT commit this file to git — add *.env to .gitignore")
# ════════════════════════════════════════════════════════════════════════════
# HTTP helpers
# ════════════════════════════════════════════════════════════════════════════
def _request_with_retry(method: str, url: str, max_retries: int = 3, **kwargs) -&gt; requests.Response:
    """HTTP request with exponential back-off on 429 / 5xx."""
    for attempt in range(max_retries):
        resp = requests.request(method, url, timeout=20, **kwargs)
        if resp.status_code == 429 or resp.status_code &gt;= 500:
            wait = 2 ** attempt
            logging.warning("HTTP %d — retrying in %ds …", resp.status_code, wait)
            time.sleep(wait)
            continue
        return resp
    return resp  # return last response after exhausting retries
def get_token(client_id: str, client_secret: str) -&gt; str:
    """Return a cached or freshly-fetched Bearer token."""
    global _token_cache
    now = time.time()
    if _token_cache.get("token") and _token_cache.get("expires_at", 0) &gt; now + 60:
        logging.info("Using cached token (expires in %.0fs)", _token_cache["expires_at"] - now)
        return _token_cache["token"]
    print("🔑 Fetching OAuth2 token …")
    resp = _request_with_retry(
        "POST", TOKEN_URL,
        data={"grant_type": "client_credentials",
              "client_id": client_id, "client_secret": client_secret},
    )
    if not resp.ok:
        raise RuntimeError(f"Token request failed: HTTP {resp.status_code}\n{resp.text[:400]}")
    data  = resp.json()
    token = data.get("access_token")
    if not token:
        raise RuntimeError(f"No access_token in response: {data}")
    _token_cache = {"token": token, "expires_at": now + data.get("expires_in", 3600)}
    print("  ✓ Token acquired")
    logging.info("New token acquired; expires in %ds", data.get("expires_in", 3600))
    return token
# ════════════════════════════════════════════════════════════════════════════
# Read birth data
# ════════════════════════════════════════════════════════════════════════════
def read_birth_data(wb_path: Path) -&gt; dict:
    """Read INPUT_BirthData; return dict with dob, tob, lat, lon, utc_offset, ayanamsha."""
    print(f"📖 Reading birth data from {wb_path.name} …")
    def _load_val(addr, sheet_name="INPUT_BirthData"):
        """Try plain load first, then data_only for formula cells."""
        wb_raw = openpyxl.load_workbook(wb_path)
        v = wb_raw[sheet_name][addr].value
        wb_raw.close()
        if isinstance(v, str) and v.startswith("="):
            wb_do = openpyxl.load_workbook(wb_path, data_only=True)
            v = wb_do[sheet_name][addr].value
            wb_do.close()
        return v
    # Date
    raw_date = _load_val("B5")
    if raw_date is None:
        raise ValueError("INPUT_BirthData B5 (date of birth) is empty.")
    if hasattr(raw_date, "strftime"):
        dob_str = raw_date.strftime("%Y-%m-%d")
    else:
        dob_str = str(raw_date)[:10].replace("/", "-")
        parts = dob_str.split("-")
        if len(parts) == 3 and len(parts[0]) == 2:       # DD-MM-YYYY → YYYY-MM-DD
            dob_str = f"{parts[2]}-{parts[1]}-{parts[0]}"
    # Time
    raw_time = _load_val("B6")
    if raw_time is None:
        tob_str = "00:00"
        print("  ⚠ B6 empty — defaulting to 00:00")
    elif hasattr(raw_time, "strftime"):
        tob_str = raw_time.strftime("%H:%M")
    else:
        tob_str = str(raw_time)[:5]
    lat        = float(_load_val("B14") or 28.6139)
    lon        = float(_load_val("B15") or 77.2090)
    utc_offset = float(_load_val("B9")  or 5.5)
    ayan_raw   = str(_load_val("B10") or "Lahiri").lower()
    ayanamsha  = AYANAMSHA_MAP.get(ayan_raw, 1)
    print(f"  Date: {dob_str}  Time: {tob_str}  Lat: {lat}  Lon: {lon}  UTC+{utc_offset}  Ayanamsha: {ayan_raw}")
    return dict(dob=dob_str, tob=tob_str, lat=lat, lon=lon,
                utc_offset=utc_offset, ayanamsha=ayanamsha)
# ════════════════════════════════════════════════════════════════════════════
# Fetch planet positions
# ════════════════════════════════════════════════════════════════════════════
def _build_utc_datetime(dob: str, tob: str, utc_offset: float) -&gt; str:
    """Convert local birth time to UTC ISO-8601 string for the API."""
    local_dt = datetime.strptime(f"{dob}T{tob}:00", "%Y-%m-%dT%H:%M:%S")
    utc_dt   = local_dt - timedelta(hours=utc_offset)
    return utc_dt.strftime("%Y-%m-%dT%H:%M:%S") + "+00:00"
def fetch_positions(token: str, dt_utc: str, lat: float, lon: float,
                    ayanamsha: int) -&gt; list[dict]:
    """Call Prokerala planet-position endpoint; return normalised planet list."""
    print(f"🌍 Fetching positions for {dt_utc} at {lat},{lon} …")
    resp = _request_with_retry(
        "GET", PLANET_URL,
        headers={"Authorization": f"Bearer {token}"},
        params={"datetime": dt_utc, "coordinates": f"{lat},{lon}",
                "ayanamsa": ayanamsha, "la": "en"},
    )
    if not resp.ok:
        raise RuntimeError(f"planet-position API failed: HTTP {resp.status_code}\n{resp.text[:600]}")
    data    = resp.json()
    logging.debug("API response: %s", json.dumps(data)[:2000])
    planets = None
    if "data" in data:
        inner   = data["data"]
        planets = inner.get("planet_position") or inner.get("planets")
    if not planets:
        raise RuntimeError(f"Cannot find planet list in response.\nRaw: {str(data)[:800]}")
    # Normalise each planet entry
    normalised = []
    for p in planets:
        name_raw = p.get("name") or p.get("planet", {}).get("name", "")
        sign_raw = (p.get("rasi", {})  .get("name") or
                    p.get("sign", {})  .get("name") or "")
        sign     = SIGN_MAP.get(sign_raw)
        if sign is None:
            print(f"  ⚠ Unknown sign '{sign_raw}' for {name_raw} — skipping")
            continue
        degree   = float(p.get("degrees") or p.get("degree") or 0)
        normalised.append({"name": name_raw, "sign": sign, "degree": degree})
    print(f"  ✓ {len(normalised)} planet positions received")
    return normalised
# ════════════════════════════════════════════════════════════════════════════
# Backup
# ════════════════════════════════════════════════════════════════════════════
def backup_workbook(wb_path: Path) -&gt; Path:
    ts      = datetime.now().strftime("%Y%m%d_%H%M%S")
    backup  = wb_path.with_name(f"{wb_path.stem}_backup_{ts}{wb_path.suffix}")
    shutil.copy2(wb_path, backup)
    print(f"💾 Backup: {backup.name}")
    logging.info("Backup written: %s", backup)
    return backup
# ════════════════════════════════════════════════════════════════════════════
# Write to workbook
# ════════════════════════════════════════════════════════════════════════════
def write_natal_chart(planets: list[dict], wb_path: Path, dry_run: bool = False) -&gt; dict:
    """Write natal positions to INPUT_Chart and Moon longitude to INPUT_BirthData."""
    changes = {}
    moon_lon = None
    for p in planets:
        name, sign, degree = p["name"], p["sign"], p["degree"]
        if name not in PLANET_ROWS:
            continue
        row = PLANET_ROWS[name]
        changes[f"INPUT_Chart!C{row}"] = sign
        changes[f"INPUT_Chart!D{row}"] = round(degree, 2)
        if name in ("Moon", "Chandra"):
            try:
                sign_num = SIGN_ORDER.index(sign) + 1
                moon_lon = round((sign_num - 1) * 30 + degree, 4)
                changes["INPUT_BirthData!B24"] = moon_lon
            except ValueError:
                print(f"  ⚠ Moon sign '{sign}' not found — B24 skipped")
    # Write API source flag → INPUT_BirthData E24
    # This triggers the ★ API badge in B21 and E21
    changes["INPUT_BirthData!E24"] = "API"
    if dry_run:
        print("\n🔍 DRY-RUN — no file changes. Would write:")
        for cell, val in sorted(changes.items()):
            print(f"   {cell:35s} ← {val}")
        return changes
    wb = openpyxl.load_workbook(wb_path)
    ws_chart = wb["INPUT_Chart"]
    ws_bd    = wb["INPUT_BirthData"]
    for cell_ref, val in changes.items():
        sheet, addr = cell_ref.split("!")
        ws = ws_chart if sheet == "INPUT_Chart" else ws_bd
        ws[addr] = val
    wb.save(wb_path)
    wb.close()
    print("\n  Natal chart written:")
    for cell, val in sorted(changes.items()):
        print(f"   {cell:35s} ← {val}")
    if moon_lon:
        print(f"\n  Moon longitude {moon_lon}° → B24 (Dasha chain auto-computes on next open)")
    logging.info("Natal chart written: %s", changes)
    return changes
def write_gochar(planets: list[dict], wb_path: Path, dry_run: bool = False) -&gt; dict:
    """Write today's transit positions to INPUT_Gochar."""
    changes = {}
    for p in planets:
        name = p["name"]
        if name not in GOCHAR_ROWS:
            continue
        row = GOCHAR_ROWS[name]
        changes[f"INPUT_Gochar!B{row}"] = p["sign"]
        changes[f"INPUT_Gochar!C{row}"] = round(p["degree"], 2)
    # Write last-updated timestamp to B15
    changes["INPUT_Gochar!B15"] = datetime.now().strftime("%d-%b-%Y %H:%M")
    if dry_run:
        print("\n🔍 DRY-RUN — Gochar would write:")
        for cell, val in sorted(changes.items()):
            print(f"   {cell:35s} ← {val}")
        return changes
    wb = openpyxl.load_workbook(wb_path)
    ws = wb["INPUT_Gochar"]
    for cell_ref, val in changes.items():
        _, addr = cell_ref.split("!")
        ws[addr] = val
    wb.save(wb_path)
    wb.close()
    print("\n  Gochar (transits) written to INPUT_Gochar:")
    for cell, val in sorted(changes.items()):
        print(f"   {cell:35s} ← {val}")
    logging.info("Gochar written: %s", changes)
    return changes
# ════════════════════════════════════════════════════════════════════════════
# Verify write-back
# ════════════════════════════════════════════════════════════════════════════
def verify_write(written: dict, wb_path: Path) -&gt; None:
    """Read back the cells we just wrote and confirm they match."""
    print("\n🔎 Verifying …")
    wb = openpyxl.load_workbook(wb_path, data_only=True)
    mismatches = 0
    for cell_ref, expected in written.items():
        sheet, addr = cell_ref.split("!")
        actual = wb[sheet][addr].value
        if str(actual) != str(expected):
            print(f"  ⚠ MISMATCH {cell_ref}: wrote '{expected}', found '{actual}'")
            mismatches += 1
    wb.close()
    if mismatches == 0:
        print("  ✓ All cells verified correctly")
    else:
        print(f"  ⚠ {mismatches} mismatch(es) — the workbook may have been open in Excel during write")
# ════════════════════════════════════════════════════════════════════════════
# Today's transit helper
# ════════════════════════════════════════════════════════════════════════════
def today_utc_params(lat: float, lon: float, utc_offset: float) -&gt; tuple[str, float, float]:
    """Return (dt_utc_str, lat, lon) for current moment."""
    now_local  = datetime.now()
    now_utc    = now_local - timedelta(hours=utc_offset)
    dt_str     = now_utc.strftime("%Y-%m-%dT%H:%M:%S") + "+00:00"
    return dt_str, lat, lon
# ════════════════════════════════════════════════════════════════════════════
# Process a single workbook
# ════════════════════════════════════════════════════════════════════════════
def process_workbook(wb_path: Path, args, cid: str, csecret: str) -&gt; None:
    log_path = wb_path.with_suffix(".log")
    logging.basicConfig(
        filename=str(log_path), level=logging.DEBUG,
        format="%(asctime)s  %(levelname)-8s  %(message)s",
        datefmt="%Y-%m-%d %H:%M:%S",
    )
    print(f"\n{'═'*60}")
    print(f"  Processing: {wb_path.name}")
    print(f"{'═'*60}")
    bd = read_birth_data(wb_path)
    token = get_token(cid, csecret)
    # ── Natal chart ────────────────────────────────────────────────────
    dt_utc = _build_utc_datetime(bd["dob"], bd["tob"], bd["utc_offset"])
    planets = fetch_positions(token, dt_utc, bd["lat"], bd["lon"], bd["ayanamsha"])
    if not args.dry_run:
        backup_workbook(wb_path)
    written = write_natal_chart(planets, wb_path, dry_run=args.dry_run)
    if not args.dry_run:
        verify_write(written, wb_path)
    # ── Gochar / transits ──────────────────────────────────────────────
    if args.gochar:
        print("\n🪐 Fetching today's transit positions …")
        dt_now, lat, lon = today_utc_params(bd["lat"], bd["lon"], bd["utc_offset"])
        transit_planets  = fetch_positions(token, dt_now, lat, lon, bd["ayanamsha"])
        g_written = write_gochar(transit_planets, wb_path, dry_run=args.dry_run)
        if not args.dry_run:
            verify_write(g_written, wb_path)
    if not args.dry_run:
        print(f"\n✅ Done. Open {wb_path.name} in Excel — all positions updated.")
    logging.info("Run complete for %s", wb_path.name)
# ════════════════════════════════════════════════════════════════════════════
# CLI
# ════════════════════════════════════════════════════════════════════════════
def _find_workbook() -&gt; Path:
    for folder in ["~/Downloads", "~/Documents", "~/Desktop"]:
        p = Path(folder).expanduser() / "Lagna_Master-3.xlsx"
        if p.exists():
            return p
    return Path("~/Downloads/Lagna_Master-3.xlsx").expanduser()
def main():
    parser = argparse.ArgumentParser(
        description="Prokerala API → Lagna Master auto-fill  (v2)",
        formatter_class=argparse.RawDescriptionHelpFormatter,
    )
    parser.add_argument("workbook", nargs="?", help="Path to Lagna_Master xlsx (auto-detected if omitted)")
    parser.add_argument("--gochar",           action="store_true", help="Also fetch today's transits → INPUT_Gochar")
    parser.add_argument("--dry-run",          action="store_true", help="Print what would be written; no file changes")
    parser.add_argument("--chart-dir",        metavar="DIR",       help="Process all xlsx files in this directory")
    parser.add_argument("--save-credentials", action="store_true", help="Prompt for credentials and save to .env file")
    args = parser.parse_args()
    cid, csecret = get_credentials()
    if args.save_credentials:
        save_credentials(cid, csecret)
        return
    workbooks = []
    if args.chart_dir:
        folder = Path(args.chart_dir).expanduser()
        workbooks = sorted(folder.glob("*.xlsx"))
        if not workbooks:
            sys.exit(f"❌ No xlsx files found in {folder}")
        print(f"📂 Found {len(workbooks)} workbook(s) in {folder}")
    else:
        wb_path = Path(args.workbook).expanduser() if args.workbook else _find_workbook()
        if not wb_path.exists():
            sys.exit(
                f"❌ Workbook not found: {wb_path}\n"
                f"   Pass the path: python3 {Path(__file__).name} /path/to/Lagna_Master-3.xlsx"
            )
        workbooks = [wb_path]
    for wb_path in workbooks:
        try:
            process_workbook(wb_path, args, cid, csecret)
        except RuntimeError as e:
            print(f"\n❌ Error processing {wb_path.name}: {e}")
            logging.error("Error: %s", e)
        except KeyboardInterrupt:
            print("\nCancelled.")
            sys.exit(0)
if __name__ == "__main__":
    main()
</t>
  </si>
  <si>
    <t>LAGNA MASTER  ·  Vedic Jyotish Chart Analysis Engine  ·  v5</t>
  </si>
  <si>
    <t>Demo chart: India Independence Day  ·  15 Aug 1947  ·  Taurus Lagna  ·  Mars MD 2025-2032  ·  Swiss Ephemeris live (+-0.001 deg)  ·  v5: corruption fixed, D60 5star, Shadbala 5star, VBA macro, batch_charts.py</t>
  </si>
  <si>
    <t>Run: python3 swiss_eph_engine.py  -- same folder, Terminal. See NOTES_VBAMacro for VBA button.</t>
  </si>
  <si>
    <t>Replaces localhost:5050. Swiss Ephemeris writes +-0.001 deg directly. VBA: Alt+F11 -&gt; paste Sub from NOTES_VBAMacro -&gt; assign to B22.</t>
  </si>
  <si>
    <t>Terminal / VBA macro</t>
  </si>
  <si>
    <t xml:space="preserve">  PHASE 3 / 4 ROADMAP  ·  What remains</t>
  </si>
  <si>
    <t>Phase 3 · FastAPI backend</t>
  </si>
  <si>
    <t>POST /planet-positions + /score-chart + /narrative (Claude API). Web UI + batch. ~2 weeks.</t>
  </si>
  <si>
    <t>Phase 3 · LLM narrative</t>
  </si>
  <si>
    <t>Replace CONCATENATE in OUTPUT_NarrativeReport with Claude API. ~3 days.</t>
  </si>
  <si>
    <t>Phase 3 · React frontend</t>
  </si>
  <si>
    <t>Radar + house bar (recharts). No Excel for end users. ~3 weeks.</t>
  </si>
  <si>
    <t>Phase 4 · Empirical calib.</t>
  </si>
  <si>
    <t>50+ records in REF_EmpiricaSchema. Use batch_charts.py. Dashboard at 10+ events.</t>
  </si>
  <si>
    <t>Phase 4 · Tribhaga sunrise</t>
  </si>
  <si>
    <t>Add sunrise to swiss_eph_engine.py. Replace HOUR() in CALC_Shadbala. ~1 hour.</t>
  </si>
  <si>
    <t>Phase 4 · 8 RuleInteraction</t>
  </si>
  <si>
    <t>22/30 pairs done. 8 contextual/nullified pending in CALC_RuleInteractionEngine.</t>
  </si>
  <si>
    <t>Why not xlwings?</t>
  </si>
  <si>
    <t>Mac: AppleScript + running Excel + COM. ~200MB, crashes on large workbooks. Shell macro is simpler, zero deps.</t>
  </si>
  <si>
    <t>Batch 50+ charts</t>
  </si>
  <si>
    <t>python3 batch_charts.py charts.csv -- ~1 chart/second. Full script in NOTES_VBAMacro.</t>
  </si>
  <si>
    <t>E24=SwissEph satisfied. +-0.001 deg all planets. All 60 D60 divisions reliable.</t>
  </si>
  <si>
    <t>16 components live. Chesta from pyswisseph speed. Ayana: BPHS 0-60 (correct). Drik: sign-aspects.</t>
  </si>
  <si>
    <t>NOTES_VBAMacro  ·  One-click Refresh + Batch Charts  ·  v5</t>
  </si>
  <si>
    <t>Why Shell not xlwings: xlwings on Mac = AppleScript + COM. ~200MB, crashes on large workbooks. Shell is simpler, zero extra deps.</t>
  </si>
  <si>
    <t>STEP 1</t>
  </si>
  <si>
    <t>Save as .xlsm (File -&gt; Save As -&gt; Excel Macro-Enabled Workbook).</t>
  </si>
  <si>
    <t>STEP 2</t>
  </si>
  <si>
    <t>Alt+F11 -&gt; Insert -&gt; Module -&gt; paste Sub below.</t>
  </si>
  <si>
    <t>STEP 3</t>
  </si>
  <si>
    <t>Right-click INPUT_BirthData B22 -&gt; Assign Macro -&gt; RefreshSwissEph.</t>
  </si>
  <si>
    <t>VBA Sub -- paste into Module1:</t>
  </si>
  <si>
    <t>Sub RefreshSwissEph()
    ' Lagna Master v5 -- no xlwings needed
    Dim s As String
    s = ThisWorkbook.Path &amp; "/swiss_eph_engine.py"
    If Dir(s) = "" Then
        MsgBox "swiss_eph_engine.py not found in " &amp; ThisWorkbook.Path, vbExclamation: Exit Sub
    End If
    ThisWorkbook.Save
    Shell "bash -c 'python3 " &amp; Chr(34) &amp; s &amp; Chr(34) &amp; " " &amp; Chr(34) &amp; ThisWorkbook.FullName &amp; Chr(34) &amp; "'", vbHide
    Application.Wait Now + TimeValue("00:00:10")
    Application.CalculateFull
    MsgBox "Refreshed. Positions updated to +/-0.001 degrees.", vbInformation
End Sub</t>
  </si>
  <si>
    <t>batch_charts.py -- save separately, run from Terminal:</t>
  </si>
  <si>
    <t># batch_charts.py -- process 50+ charts
# CSV: name,date(YYYY-MM-DD),time(HH:MM),lat,lon,utc_offset
# Run: python3 batch_charts.py charts.csv
import csv, shutil, subprocess, sys
from pathlib import Path
import openpyxl
TEMPLATE = Path(__file__).parent / 'Lagna_Master4_v5.xlsm'
OUT_DIR = Path('chart_outputs'); OUT_DIR.mkdir(exist_ok=True)
with open(sys.argv[1] if len(sys.argv)&gt;1 else 'charts.csv') as f:
    rows = list(csv.DictReader(f))
for i, row in enumerate(rows, 1):
    name = row['name'].replace(' ','_')
    dest = OUT_DIR / f'{name}.xlsm'
    shutil.copy2(TEMPLATE, dest)
    wb = openpyxl.load_workbook(dest, keep_vba=True)
    ws = wb['INPUT_BirthData']
    ws['B5']=row['date']; ws['B6']=row.get('time','00:00')
    ws['B9']=float(row.get('utc_offset','5.5'))
    ws['B14']=float(row['lat']); ws['B15']=float(row['lon'])
    ws['B20']=''; ws['E24']=''
    wb.save(dest); wb.close()
    r = subprocess.run(['python3','swiss_eph_engine.py',str(dest)],capture_output=True,text=True,timeout=30)
    print(f"  [{i}/{len(rows)}] {'OK' if r.returncode==0 else 'ERR'} {row['name']}")
print(f"Done. Outputs in {OUT_DIR}/")</t>
  </si>
  <si>
    <t>🔄 Refresh chart</t>
  </si>
  <si>
    <t>(+) R01, R05 | (-) R09, R10, R14</t>
  </si>
  <si>
    <t>(+) R01, R02, R05 | (-) R09, R10, R14, R16</t>
  </si>
  <si>
    <t>(+) R05 | (-) R14, R16</t>
  </si>
  <si>
    <t>(+) R01, R03, R05 | (-) R10, R14, R16, R18</t>
  </si>
  <si>
    <t>(+) R01, R05 | (-) R09, R14</t>
  </si>
  <si>
    <t>(-) R09, R10, R14</t>
  </si>
  <si>
    <t>(+) R01 | (-) R10, R15</t>
  </si>
  <si>
    <t>(+) R03, R05 | (-) R10, R14, R16, R18</t>
  </si>
  <si>
    <t>(+) R05 | (-) R10, R14, R16</t>
  </si>
  <si>
    <t>(+) R01 | (-) R10, R15, R18</t>
  </si>
  <si>
    <t>(+) R03 | (-) R10, R14</t>
  </si>
  <si>
    <t>(+) R01, R05 / (-) R09, R10, R14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</si>
</sst>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0"/>
    <numFmt numFmtId="165" formatCode="0.0000"/>
    <numFmt numFmtId="166" formatCode="dd\-mmm\-yyyy"/>
    <numFmt numFmtId="167" formatCode="0.0"/>
    <numFmt numFmtId="168" formatCode="\+0.0;\-0.0;&quot;0.0&quot;"/>
    <numFmt numFmtId="169" formatCode="\+0.00;\-0.00;&quot;0.00&quot;"/>
    <numFmt numFmtId="170" formatCode="\+0.0;\-0.0;0.0"/>
    <numFmt numFmtId="171" formatCode="\+0.00;\-0.00;0.00"/>
    <numFmt numFmtId="172" formatCode="0.000"/>
    <numFmt numFmtId="173" formatCode="\+0.0;\-0.0;\·"/>
  </numFmts>
  <fonts count="336" x14ac:knownFonts="1">
    <font>
      <sz val="11"/>
      <color theme="1"/>
      <name val="Calibri"/>
      <family val="2"/>
      <charset val="1"/>
    </font>
    <font>
      <b/>
      <sz val="13"/>
      <color rgb="FFFFFFFF"/>
      <name val="Calibri"/>
      <family val="2"/>
    </font>
    <font>
      <sz val="10"/>
      <name val="Calibri"/>
      <family val="2"/>
    </font>
    <font>
      <i/>
      <sz val="9"/>
      <color rgb="FF444444"/>
      <name val="Calibri"/>
      <family val="2"/>
    </font>
    <font>
      <b/>
      <sz val="9"/>
      <color rgb="FFFFFFFF"/>
      <name val="Calibri"/>
      <family val="2"/>
    </font>
    <font>
      <b/>
      <sz val="10"/>
      <color rgb="FFFFFFFF"/>
      <name val="Calibri"/>
      <family val="2"/>
    </font>
    <font>
      <b/>
      <sz val="10"/>
      <color rgb="FF155724"/>
      <name val="Calibri"/>
      <family val="2"/>
    </font>
    <font>
      <b/>
      <sz val="10"/>
      <color rgb="FF000000"/>
      <name val="Calibri"/>
      <family val="2"/>
    </font>
    <font>
      <sz val="9"/>
      <color rgb="FF333333"/>
      <name val="Calibri"/>
      <family val="2"/>
    </font>
    <font>
      <i/>
      <sz val="9"/>
      <color rgb="FF555555"/>
      <name val="Calibri"/>
      <family val="2"/>
    </font>
    <font>
      <b/>
      <sz val="9"/>
      <color rgb="FF000000"/>
      <name val="Calibri"/>
      <family val="2"/>
    </font>
    <font>
      <i/>
      <sz val="9"/>
      <color rgb="FF666666"/>
      <name val="Calibri"/>
      <family val="2"/>
    </font>
    <font>
      <sz val="9"/>
      <color rgb="FF444488"/>
      <name val="Calibri"/>
      <family val="2"/>
    </font>
    <font>
      <i/>
      <sz val="9"/>
      <color rgb="FF888888"/>
      <name val="Calibri"/>
      <family val="2"/>
    </font>
    <font>
      <b/>
      <sz val="10"/>
      <color rgb="FF92400E"/>
      <name val="Calibri"/>
      <family val="2"/>
    </font>
    <font>
      <sz val="9"/>
      <color rgb="FF888888"/>
      <name val="Calibri"/>
      <family val="2"/>
    </font>
    <font>
      <sz val="10"/>
      <color rgb="FF0000FF"/>
      <name val="Calibri"/>
      <family val="2"/>
    </font>
    <font>
      <b/>
      <sz val="13"/>
      <color rgb="FFFFFFFF"/>
      <name val="Arial"/>
      <family val="2"/>
    </font>
    <font>
      <u/>
      <sz val="9"/>
      <color rgb="FF6EB5FF"/>
      <name val="Calibri"/>
      <family val="2"/>
    </font>
    <font>
      <sz val="9"/>
      <color rgb="FF92400E"/>
      <name val="Arial"/>
      <family val="2"/>
    </font>
    <font>
      <b/>
      <sz val="10"/>
      <color rgb="FFFFFFFF"/>
      <name val="Arial"/>
      <family val="2"/>
    </font>
    <font>
      <b/>
      <sz val="10"/>
      <color rgb="FF374151"/>
      <name val="Arial"/>
      <family val="2"/>
    </font>
    <font>
      <b/>
      <sz val="11"/>
      <color rgb="FF1D4ED8"/>
      <name val="Arial"/>
      <family val="2"/>
    </font>
    <font>
      <i/>
      <sz val="9"/>
      <color rgb="FF6B7280"/>
      <name val="Arial"/>
      <family val="2"/>
    </font>
    <font>
      <sz val="9"/>
      <color rgb="FF94A3B8"/>
      <name val="Arial"/>
      <family val="2"/>
    </font>
    <font>
      <sz val="9"/>
      <color rgb="FF166534"/>
      <name val="Arial"/>
      <family val="2"/>
    </font>
    <font>
      <i/>
      <sz val="9"/>
      <color rgb="FF166534"/>
      <name val="Arial"/>
      <family val="2"/>
    </font>
    <font>
      <b/>
      <sz val="9"/>
      <color rgb="FFF5A623"/>
      <name val="Calibri"/>
      <family val="2"/>
    </font>
    <font>
      <i/>
      <sz val="9"/>
      <color rgb="FF065F46"/>
      <name val="Calibri"/>
      <family val="2"/>
    </font>
    <font>
      <i/>
      <sz val="8"/>
      <color rgb="FFB0B0B0"/>
      <name val="Calibri"/>
      <family val="2"/>
    </font>
    <font>
      <b/>
      <sz val="11"/>
      <color rgb="FFFFFFFF"/>
      <name val="Calibri"/>
      <family val="2"/>
    </font>
    <font>
      <b/>
      <u/>
      <sz val="10"/>
      <color rgb="FF1D4ED8"/>
      <name val="Calibri"/>
      <family val="2"/>
    </font>
    <font>
      <i/>
      <sz val="9"/>
      <color rgb="FF6B7280"/>
      <name val="Calibri"/>
      <family val="2"/>
    </font>
    <font>
      <i/>
      <sz val="9"/>
      <color rgb="FF451A03"/>
      <name val="Calibri"/>
      <family val="2"/>
    </font>
    <font>
      <i/>
      <sz val="8"/>
      <color rgb="FF6B7280"/>
      <name val="Calibri"/>
      <family val="2"/>
    </font>
    <font>
      <b/>
      <sz val="9"/>
      <color rgb="FF1E40AF"/>
      <name val="Arial"/>
      <family val="2"/>
    </font>
    <font>
      <i/>
      <sz val="9"/>
      <color rgb="FF6D28D9"/>
      <name val="Arial"/>
      <family val="2"/>
    </font>
    <font>
      <b/>
      <sz val="10"/>
      <name val="Arial"/>
      <family val="2"/>
    </font>
    <font>
      <sz val="10"/>
      <color rgb="FF000000"/>
      <name val="Arial"/>
      <family val="2"/>
    </font>
    <font>
      <sz val="10"/>
      <name val="Arial"/>
      <family val="2"/>
    </font>
    <font>
      <i/>
      <sz val="10"/>
      <name val="Arial"/>
      <family val="2"/>
    </font>
    <font>
      <sz val="9"/>
      <color rgb="FF1E40AF"/>
      <name val="Arial"/>
      <family val="2"/>
    </font>
    <font>
      <b/>
      <sz val="9"/>
      <color rgb="FFFFFFFF"/>
      <name val="Arial"/>
      <family val="2"/>
    </font>
    <font>
      <sz val="9"/>
      <color rgb="FF065F46"/>
      <name val="Arial"/>
      <family val="2"/>
    </font>
    <font>
      <sz val="9"/>
      <color rgb="FF374151"/>
      <name val="Arial"/>
      <family val="2"/>
    </font>
    <font>
      <b/>
      <sz val="11"/>
      <color rgb="FF4C1D95"/>
      <name val="Arial"/>
      <family val="2"/>
    </font>
    <font>
      <b/>
      <sz val="9"/>
      <color rgb="FF1E293B"/>
      <name val="Arial"/>
      <family val="2"/>
    </font>
    <font>
      <b/>
      <sz val="10"/>
      <color rgb="FF065F46"/>
      <name val="Arial"/>
      <family val="2"/>
    </font>
    <font>
      <b/>
      <sz val="9"/>
      <color rgb="FF991B1B"/>
      <name val="Arial"/>
      <family val="2"/>
    </font>
    <font>
      <i/>
      <sz val="8"/>
      <color rgb="FF475569"/>
      <name val="Arial"/>
      <family val="2"/>
    </font>
    <font>
      <i/>
      <sz val="9"/>
      <color rgb="FF80B8FF"/>
      <name val="Calibri"/>
      <family val="2"/>
    </font>
    <font>
      <sz val="10"/>
      <color rgb="FF374151"/>
      <name val="Arial"/>
      <family val="2"/>
    </font>
    <font>
      <i/>
      <sz val="9"/>
      <color rgb="FF475569"/>
      <name val="Arial"/>
      <family val="2"/>
    </font>
    <font>
      <sz val="10"/>
      <color rgb="FF1E40AF"/>
      <name val="Arial"/>
      <family val="2"/>
    </font>
    <font>
      <b/>
      <sz val="12"/>
      <color rgb="FFFFFFFF"/>
      <name val="Arial"/>
      <family val="2"/>
    </font>
    <font>
      <sz val="9"/>
      <color rgb="FF713F12"/>
      <name val="Arial"/>
      <family val="2"/>
    </font>
    <font>
      <b/>
      <sz val="10"/>
      <color rgb="FF1E293B"/>
      <name val="Arial"/>
      <family val="2"/>
    </font>
    <font>
      <i/>
      <sz val="9"/>
      <color rgb="FF713F12"/>
      <name val="Arial"/>
      <family val="2"/>
    </font>
    <font>
      <i/>
      <sz val="9"/>
      <color rgb="FF64748B"/>
      <name val="Arial"/>
      <family val="2"/>
    </font>
    <font>
      <sz val="9"/>
      <color rgb="FF1E3A5F"/>
      <name val="Arial"/>
      <family val="2"/>
    </font>
    <font>
      <b/>
      <sz val="10"/>
      <color rgb="FF991B1B"/>
      <name val="Arial"/>
      <family val="2"/>
    </font>
    <font>
      <b/>
      <sz val="10"/>
      <color rgb="FF166534"/>
      <name val="Arial"/>
      <family val="2"/>
    </font>
    <font>
      <b/>
      <sz val="10"/>
      <color rgb="FF1E40AF"/>
      <name val="Arial"/>
      <family val="2"/>
    </font>
    <font>
      <b/>
      <sz val="10"/>
      <color rgb="FF075985"/>
      <name val="Arial"/>
      <family val="2"/>
    </font>
    <font>
      <b/>
      <sz val="10"/>
      <color rgb="FF92400E"/>
      <name val="Arial"/>
      <family val="2"/>
    </font>
    <font>
      <b/>
      <sz val="10"/>
      <color rgb="FF4C1D95"/>
      <name val="Arial"/>
      <family val="2"/>
    </font>
    <font>
      <b/>
      <sz val="10"/>
      <color rgb="FF831843"/>
      <name val="Arial"/>
      <family val="2"/>
    </font>
    <font>
      <b/>
      <sz val="10"/>
      <color rgb="FF7C2D12"/>
      <name val="Arial"/>
      <family val="2"/>
    </font>
    <font>
      <b/>
      <sz val="10"/>
      <color rgb="FF1E3A5F"/>
      <name val="Arial"/>
      <family val="2"/>
    </font>
    <font>
      <b/>
      <sz val="10"/>
      <color rgb="FF0C4A6E"/>
      <name val="Arial"/>
      <family val="2"/>
    </font>
    <font>
      <b/>
      <sz val="8"/>
      <color rgb="FF1E293B"/>
      <name val="Arial"/>
      <family val="2"/>
    </font>
    <font>
      <b/>
      <sz val="8"/>
      <color rgb="FF1E40AF"/>
      <name val="Arial"/>
      <family val="2"/>
    </font>
    <font>
      <b/>
      <sz val="9"/>
      <color rgb="FF166534"/>
      <name val="Arial"/>
      <family val="2"/>
    </font>
    <font>
      <b/>
      <sz val="9"/>
      <color rgb="FF075985"/>
      <name val="Arial"/>
      <family val="2"/>
    </font>
    <font>
      <b/>
      <sz val="9"/>
      <color rgb="FF92400E"/>
      <name val="Arial"/>
      <family val="2"/>
    </font>
    <font>
      <b/>
      <sz val="9"/>
      <color rgb="FF4C1D95"/>
      <name val="Arial"/>
      <family val="2"/>
    </font>
    <font>
      <b/>
      <sz val="9"/>
      <color rgb="FF831843"/>
      <name val="Arial"/>
      <family val="2"/>
    </font>
    <font>
      <b/>
      <sz val="9"/>
      <color rgb="FF7C2D12"/>
      <name val="Arial"/>
      <family val="2"/>
    </font>
    <font>
      <b/>
      <sz val="9"/>
      <color rgb="FF1E3A5F"/>
      <name val="Arial"/>
      <family val="2"/>
    </font>
    <font>
      <b/>
      <sz val="9"/>
      <color rgb="FF0C4A6E"/>
      <name val="Arial"/>
      <family val="2"/>
    </font>
    <font>
      <sz val="9"/>
      <color rgb="FF991B1B"/>
      <name val="Arial"/>
      <family val="2"/>
    </font>
    <font>
      <sz val="9"/>
      <color rgb="FF075985"/>
      <name val="Arial"/>
      <family val="2"/>
    </font>
    <font>
      <sz val="9"/>
      <color rgb="FF4C1D95"/>
      <name val="Arial"/>
      <family val="2"/>
    </font>
    <font>
      <sz val="9"/>
      <color rgb="FF831843"/>
      <name val="Arial"/>
      <family val="2"/>
    </font>
    <font>
      <sz val="9"/>
      <color rgb="FF7C2D12"/>
      <name val="Arial"/>
      <family val="2"/>
    </font>
    <font>
      <sz val="9"/>
      <color rgb="FF1E293B"/>
      <name val="Arial"/>
      <family val="2"/>
    </font>
    <font>
      <sz val="9"/>
      <color rgb="FF0C4A6E"/>
      <name val="Arial"/>
      <family val="2"/>
    </font>
    <font>
      <b/>
      <sz val="8"/>
      <color rgb="FF166534"/>
      <name val="Arial"/>
      <family val="2"/>
    </font>
    <font>
      <b/>
      <sz val="9"/>
      <color rgb="FF713F12"/>
      <name val="Arial"/>
      <family val="2"/>
    </font>
    <font>
      <b/>
      <sz val="9"/>
      <color rgb="FF5B21B6"/>
      <name val="Arial"/>
      <family val="2"/>
    </font>
    <font>
      <b/>
      <sz val="8"/>
      <color rgb="FF7C2D12"/>
      <name val="Arial"/>
      <family val="2"/>
    </font>
    <font>
      <b/>
      <sz val="8"/>
      <color rgb="FF5B21B6"/>
      <name val="Arial"/>
      <family val="2"/>
    </font>
    <font>
      <b/>
      <sz val="8"/>
      <color rgb="FF78350F"/>
      <name val="Arial"/>
      <family val="2"/>
    </font>
    <font>
      <b/>
      <sz val="8"/>
      <color rgb="FF075985"/>
      <name val="Arial"/>
      <family val="2"/>
    </font>
    <font>
      <b/>
      <sz val="8"/>
      <color rgb="FF881337"/>
      <name val="Arial"/>
      <family val="2"/>
    </font>
    <font>
      <b/>
      <sz val="8"/>
      <color rgb="FF343A40"/>
      <name val="Arial"/>
      <family val="2"/>
    </font>
    <font>
      <b/>
      <sz val="8"/>
      <color rgb="FF4C1D95"/>
      <name val="Arial"/>
      <family val="2"/>
    </font>
    <font>
      <b/>
      <sz val="8"/>
      <color rgb="FF065F46"/>
      <name val="Arial"/>
      <family val="2"/>
    </font>
    <font>
      <b/>
      <sz val="8"/>
      <color rgb="FF1E3A5F"/>
      <name val="Arial"/>
      <family val="2"/>
    </font>
    <font>
      <i/>
      <sz val="8"/>
      <color rgb="FF94A3B8"/>
      <name val="Arial"/>
      <family val="2"/>
    </font>
    <font>
      <sz val="9"/>
      <color rgb="FF1D4ED8"/>
      <name val="Courier New"/>
      <family val="1"/>
    </font>
    <font>
      <sz val="10"/>
      <color rgb="FF1D4ED8"/>
      <name val="Arial"/>
      <family val="2"/>
    </font>
    <font>
      <b/>
      <sz val="11"/>
      <color rgb="FF92400E"/>
      <name val="Arial"/>
      <family val="2"/>
    </font>
    <font>
      <b/>
      <sz val="11"/>
      <color rgb="FF075985"/>
      <name val="Arial"/>
      <family val="2"/>
    </font>
    <font>
      <b/>
      <sz val="11"/>
      <color rgb="FF991B1B"/>
      <name val="Arial"/>
      <family val="2"/>
    </font>
    <font>
      <b/>
      <sz val="11"/>
      <color rgb="FF166534"/>
      <name val="Arial"/>
      <family val="2"/>
    </font>
    <font>
      <b/>
      <sz val="11"/>
      <color rgb="FF7C2D12"/>
      <name val="Arial"/>
      <family val="2"/>
    </font>
    <font>
      <b/>
      <sz val="11"/>
      <color rgb="FF831843"/>
      <name val="Arial"/>
      <family val="2"/>
    </font>
    <font>
      <b/>
      <sz val="11"/>
      <color rgb="FF1E293B"/>
      <name val="Arial"/>
      <family val="2"/>
    </font>
    <font>
      <b/>
      <sz val="11"/>
      <color rgb="FF881837"/>
      <name val="Arial"/>
      <family val="2"/>
    </font>
    <font>
      <b/>
      <sz val="9"/>
      <color rgb="FF881837"/>
      <name val="Arial"/>
      <family val="2"/>
    </font>
    <font>
      <sz val="9"/>
      <color rgb="FF881837"/>
      <name val="Arial"/>
      <family val="2"/>
    </font>
    <font>
      <i/>
      <sz val="10"/>
      <color rgb="FF64748B"/>
      <name val="Arial"/>
      <family val="2"/>
    </font>
    <font>
      <b/>
      <sz val="9"/>
      <color rgb="FF854D0E"/>
      <name val="Arial"/>
      <family val="2"/>
    </font>
    <font>
      <b/>
      <sz val="10"/>
      <color rgb="FF713F12"/>
      <name val="Arial"/>
      <family val="2"/>
    </font>
    <font>
      <b/>
      <sz val="9"/>
      <color rgb="FF7F1D1D"/>
      <name val="Arial"/>
      <family val="2"/>
    </font>
    <font>
      <b/>
      <sz val="10"/>
      <color rgb="FF7F1D1D"/>
      <name val="Arial"/>
      <family val="2"/>
    </font>
    <font>
      <sz val="9"/>
      <color rgb="FF7F1D1D"/>
      <name val="Arial"/>
      <family val="2"/>
    </font>
    <font>
      <sz val="9"/>
      <color rgb="FF475569"/>
      <name val="Arial"/>
      <family val="2"/>
    </font>
    <font>
      <b/>
      <sz val="11"/>
      <color rgb="FFFFFFFF"/>
      <name val="Arial"/>
      <family val="2"/>
    </font>
    <font>
      <b/>
      <sz val="11"/>
      <color rgb="FF713F12"/>
      <name val="Arial"/>
      <family val="2"/>
    </font>
    <font>
      <b/>
      <sz val="10"/>
      <color rgb="FF854D0E"/>
      <name val="Arial"/>
      <family val="2"/>
    </font>
    <font>
      <b/>
      <sz val="11"/>
      <color rgb="FF854D0E"/>
      <name val="Arial"/>
      <family val="2"/>
    </font>
    <font>
      <b/>
      <sz val="11"/>
      <color rgb="FF065F46"/>
      <name val="Arial"/>
      <family val="2"/>
    </font>
    <font>
      <b/>
      <sz val="11"/>
      <color rgb="FF1E40AF"/>
      <name val="Arial"/>
      <family val="2"/>
    </font>
    <font>
      <b/>
      <sz val="10"/>
      <color rgb="FF475569"/>
      <name val="Arial"/>
      <family val="2"/>
    </font>
    <font>
      <b/>
      <sz val="11"/>
      <color rgb="FF475569"/>
      <name val="Arial"/>
      <family val="2"/>
    </font>
    <font>
      <b/>
      <sz val="11"/>
      <color rgb="FF7F1D1D"/>
      <name val="Arial"/>
      <family val="2"/>
    </font>
    <font>
      <b/>
      <sz val="11"/>
      <color rgb="FF374151"/>
      <name val="Arial"/>
      <family val="2"/>
    </font>
    <font>
      <b/>
      <sz val="8"/>
      <color rgb="FF854D0E"/>
      <name val="Arial"/>
      <family val="2"/>
    </font>
    <font>
      <sz val="8"/>
      <color rgb="FF475569"/>
      <name val="Arial"/>
      <family val="2"/>
    </font>
    <font>
      <sz val="8"/>
      <color rgb="FF1E40AF"/>
      <name val="Arial"/>
      <family val="2"/>
    </font>
    <font>
      <b/>
      <sz val="8"/>
      <color rgb="FF7F1D1D"/>
      <name val="Arial"/>
      <family val="2"/>
    </font>
    <font>
      <sz val="8"/>
      <color rgb="FF991B1B"/>
      <name val="Arial"/>
      <family val="2"/>
    </font>
    <font>
      <b/>
      <sz val="10"/>
      <color rgb="FF1F3864"/>
      <name val="Arial"/>
      <family val="2"/>
    </font>
    <font>
      <b/>
      <sz val="10"/>
      <color rgb="FF7F6000"/>
      <name val="Arial"/>
      <family val="2"/>
    </font>
    <font>
      <b/>
      <sz val="9"/>
      <color rgb="FF065F46"/>
      <name val="Arial"/>
      <family val="2"/>
    </font>
    <font>
      <b/>
      <sz val="8"/>
      <color rgb="FF713F12"/>
      <name val="Arial"/>
      <family val="2"/>
    </font>
    <font>
      <i/>
      <sz val="8"/>
      <color rgb="FF1E293B"/>
      <name val="Arial"/>
      <family val="2"/>
    </font>
    <font>
      <i/>
      <sz val="8"/>
      <color rgb="FF1E40AF"/>
      <name val="Arial"/>
      <family val="2"/>
    </font>
    <font>
      <i/>
      <sz val="8"/>
      <color rgb="FF713F12"/>
      <name val="Arial"/>
      <family val="2"/>
    </font>
    <font>
      <i/>
      <sz val="8"/>
      <color rgb="FF4C1D95"/>
      <name val="Arial"/>
      <family val="2"/>
    </font>
    <font>
      <i/>
      <sz val="8"/>
      <color rgb="FF7C2D12"/>
      <name val="Arial"/>
      <family val="2"/>
    </font>
    <font>
      <i/>
      <sz val="8"/>
      <color rgb="FF065F46"/>
      <name val="Arial"/>
      <family val="2"/>
    </font>
    <font>
      <b/>
      <sz val="10"/>
      <color rgb="FF881837"/>
      <name val="Arial"/>
      <family val="2"/>
    </font>
    <font>
      <sz val="9"/>
      <color rgb="FFCBD5E1"/>
      <name val="Arial"/>
      <family val="2"/>
    </font>
    <font>
      <sz val="10"/>
      <color rgb="FF64748B"/>
      <name val="Arial"/>
      <family val="2"/>
    </font>
    <font>
      <b/>
      <sz val="9"/>
      <color rgb="FF374151"/>
      <name val="Arial"/>
      <family val="2"/>
    </font>
    <font>
      <i/>
      <sz val="9"/>
      <color rgb="FF374151"/>
      <name val="Arial"/>
      <family val="2"/>
    </font>
    <font>
      <b/>
      <sz val="10"/>
      <color rgb="FF94A3B8"/>
      <name val="Arial"/>
      <family val="2"/>
    </font>
    <font>
      <b/>
      <sz val="8"/>
      <color rgb="FF374151"/>
      <name val="Arial"/>
      <family val="2"/>
    </font>
    <font>
      <sz val="8"/>
      <color rgb="FF374151"/>
      <name val="Arial"/>
      <family val="2"/>
    </font>
    <font>
      <sz val="8"/>
      <color rgb="FF64748B"/>
      <name val="Arial"/>
      <family val="2"/>
    </font>
    <font>
      <i/>
      <sz val="8"/>
      <color rgb="FF374151"/>
      <name val="Arial"/>
      <family val="2"/>
    </font>
    <font>
      <b/>
      <sz val="8"/>
      <color rgb="FFFFFFFF"/>
      <name val="Arial"/>
      <family val="2"/>
    </font>
    <font>
      <i/>
      <sz val="8"/>
      <color rgb="FF166534"/>
      <name val="Arial"/>
      <family val="2"/>
    </font>
    <font>
      <i/>
      <sz val="8"/>
      <color rgb="FFFFFFFF"/>
      <name val="Arial"/>
      <family val="2"/>
    </font>
    <font>
      <i/>
      <sz val="9"/>
      <color rgb="FF1E40AF"/>
      <name val="Arial"/>
      <family val="2"/>
    </font>
    <font>
      <i/>
      <sz val="9"/>
      <color rgb="FF075985"/>
      <name val="Arial"/>
      <family val="2"/>
    </font>
    <font>
      <b/>
      <sz val="10"/>
      <color rgb="FF7E22CE"/>
      <name val="Arial"/>
      <family val="2"/>
    </font>
    <font>
      <i/>
      <sz val="9"/>
      <color rgb="FF831843"/>
      <name val="Arial"/>
      <family val="2"/>
    </font>
    <font>
      <i/>
      <sz val="9"/>
      <color rgb="FF991B1B"/>
      <name val="Arial"/>
      <family val="2"/>
    </font>
    <font>
      <b/>
      <sz val="11"/>
      <color rgb="FF7E22CE"/>
      <name val="Arial"/>
      <family val="2"/>
    </font>
    <font>
      <i/>
      <sz val="9"/>
      <color rgb="FF7E22CE"/>
      <name val="Arial"/>
      <family val="2"/>
    </font>
    <font>
      <sz val="9"/>
      <color rgb="FF7E22CE"/>
      <name val="Arial"/>
      <family val="2"/>
    </font>
    <font>
      <i/>
      <sz val="9"/>
      <color rgb="FF7F1D1D"/>
      <name val="Arial"/>
      <family val="2"/>
    </font>
    <font>
      <i/>
      <sz val="9"/>
      <color rgb="FF7C2D12"/>
      <name val="Arial"/>
      <family val="2"/>
    </font>
    <font>
      <i/>
      <sz val="9"/>
      <color rgb="FF065F46"/>
      <name val="Arial"/>
      <family val="2"/>
    </font>
    <font>
      <i/>
      <sz val="9"/>
      <color rgb="FF4C1D95"/>
      <name val="Arial"/>
      <family val="2"/>
    </font>
    <font>
      <b/>
      <sz val="9"/>
      <color rgb="FF475569"/>
      <name val="Arial"/>
      <family val="2"/>
    </font>
    <font>
      <b/>
      <i/>
      <sz val="9"/>
      <color rgb="FF166534"/>
      <name val="Arial"/>
      <family val="2"/>
    </font>
    <font>
      <b/>
      <i/>
      <sz val="9"/>
      <color rgb="FF991B1B"/>
      <name val="Arial"/>
      <family val="2"/>
    </font>
    <font>
      <sz val="10"/>
      <color rgb="FF166534"/>
      <name val="Arial"/>
      <family val="2"/>
    </font>
    <font>
      <b/>
      <sz val="10"/>
      <color rgb="FF000000"/>
      <name val="Arial"/>
      <family val="2"/>
    </font>
    <font>
      <b/>
      <sz val="9"/>
      <color rgb="FFF57F17"/>
      <name val="Arial"/>
      <family val="2"/>
    </font>
    <font>
      <b/>
      <sz val="10"/>
      <color rgb="FF375623"/>
      <name val="Arial"/>
      <family val="2"/>
    </font>
    <font>
      <sz val="10"/>
      <color rgb="FF475569"/>
      <name val="Arial"/>
      <family val="2"/>
    </font>
    <font>
      <sz val="8"/>
      <color rgb="FF1D4ED8"/>
      <name val="Courier New"/>
      <family val="1"/>
    </font>
    <font>
      <sz val="10"/>
      <color rgb="FF1E293B"/>
      <name val="Arial"/>
      <family val="2"/>
    </font>
    <font>
      <b/>
      <sz val="10"/>
      <color rgb="FFF0C040"/>
      <name val="Calibri"/>
      <family val="2"/>
    </font>
    <font>
      <u/>
      <sz val="9"/>
      <color rgb="FFF0C040"/>
      <name val="Calibri"/>
      <family val="2"/>
    </font>
    <font>
      <i/>
      <sz val="8"/>
      <color rgb="FFACACB8"/>
      <name val="Calibri"/>
      <family val="2"/>
    </font>
    <font>
      <b/>
      <sz val="9"/>
      <color rgb="FF80B8FF"/>
      <name val="Calibri"/>
      <family val="2"/>
    </font>
    <font>
      <b/>
      <sz val="8"/>
      <color rgb="FFF2F2F2"/>
      <name val="Calibri"/>
      <family val="2"/>
    </font>
    <font>
      <b/>
      <sz val="9"/>
      <color rgb="FFF2F2F2"/>
      <name val="Calibri"/>
      <family val="2"/>
    </font>
    <font>
      <b/>
      <sz val="9"/>
      <color rgb="FFF0C040"/>
      <name val="Calibri"/>
      <family val="2"/>
    </font>
    <font>
      <sz val="8"/>
      <color rgb="FF80B8FF"/>
      <name val="Calibri"/>
      <family val="2"/>
    </font>
    <font>
      <b/>
      <sz val="9"/>
      <color rgb="FF4DC89A"/>
      <name val="Calibri"/>
      <family val="2"/>
    </font>
    <font>
      <sz val="8"/>
      <color rgb="FFACACB8"/>
      <name val="Calibri"/>
      <family val="2"/>
    </font>
    <font>
      <i/>
      <sz val="10"/>
      <color rgb="FF000000"/>
      <name val="Arial"/>
      <family val="2"/>
    </font>
    <font>
      <sz val="9"/>
      <color rgb="FF4DC89A"/>
      <name val="Calibri"/>
      <family val="2"/>
    </font>
    <font>
      <sz val="9"/>
      <color rgb="FFF0A040"/>
      <name val="Calibri"/>
      <family val="2"/>
    </font>
    <font>
      <b/>
      <sz val="9"/>
      <color rgb="FFF0A040"/>
      <name val="Calibri"/>
      <family val="2"/>
    </font>
    <font>
      <sz val="9"/>
      <color rgb="FFF2F2F2"/>
      <name val="Calibri"/>
      <family val="2"/>
    </font>
    <font>
      <b/>
      <sz val="8"/>
      <color rgb="FFF0A040"/>
      <name val="Calibri"/>
      <family val="2"/>
    </font>
    <font>
      <b/>
      <sz val="9"/>
      <color rgb="FFE87040"/>
      <name val="Calibri"/>
      <family val="2"/>
    </font>
    <font>
      <b/>
      <sz val="8"/>
      <color rgb="FF80B8FF"/>
      <name val="Calibri"/>
      <family val="2"/>
    </font>
    <font>
      <b/>
      <sz val="8"/>
      <color rgb="FF4DC89A"/>
      <name val="Calibri"/>
      <family val="2"/>
    </font>
    <font>
      <b/>
      <sz val="8"/>
      <color rgb="FFACACB8"/>
      <name val="Calibri"/>
      <family val="2"/>
    </font>
    <font>
      <sz val="8"/>
      <color rgb="FFC8A8FF"/>
      <name val="Calibri"/>
      <family val="2"/>
    </font>
    <font>
      <sz val="8"/>
      <color rgb="FFF2F2F2"/>
      <name val="Calibri"/>
      <family val="2"/>
    </font>
    <font>
      <b/>
      <sz val="9"/>
      <color rgb="FFACACB8"/>
      <name val="Calibri"/>
      <family val="2"/>
    </font>
    <font>
      <sz val="9"/>
      <color rgb="FFACACB8"/>
      <name val="Calibri"/>
      <family val="2"/>
    </font>
    <font>
      <sz val="9"/>
      <color rgb="FF80B8FF"/>
      <name val="Calibri"/>
      <family val="2"/>
    </font>
    <font>
      <b/>
      <sz val="9"/>
      <color rgb="FFC8A8FF"/>
      <name val="Calibri"/>
      <family val="2"/>
    </font>
    <font>
      <b/>
      <sz val="10"/>
      <color rgb="FF4DC89A"/>
      <name val="Calibri"/>
      <family val="2"/>
    </font>
    <font>
      <i/>
      <sz val="8"/>
      <color rgb="FFF0A040"/>
      <name val="Calibri"/>
      <family val="2"/>
    </font>
    <font>
      <sz val="8"/>
      <color rgb="FF4DC89A"/>
      <name val="Calibri"/>
      <family val="2"/>
    </font>
    <font>
      <u/>
      <sz val="8"/>
      <color rgb="FFF0C040"/>
      <name val="Calibri"/>
      <family val="2"/>
    </font>
    <font>
      <b/>
      <sz val="10"/>
      <color rgb="FF80B8FF"/>
      <name val="Calibri"/>
      <family val="2"/>
    </font>
    <font>
      <b/>
      <sz val="10"/>
      <color rgb="FFF0A040"/>
      <name val="Calibri"/>
      <family val="2"/>
    </font>
    <font>
      <b/>
      <sz val="11"/>
      <color rgb="FF4DC89A"/>
      <name val="Calibri"/>
      <family val="2"/>
    </font>
    <font>
      <i/>
      <sz val="8"/>
      <color rgb="FF334155"/>
      <name val="Arial"/>
      <family val="2"/>
    </font>
    <font>
      <sz val="9"/>
      <color rgb="FF854F0B"/>
      <name val="Arial"/>
      <family val="2"/>
    </font>
    <font>
      <b/>
      <sz val="11"/>
      <color rgb="FF334155"/>
      <name val="Arial"/>
      <family val="2"/>
    </font>
    <font>
      <sz val="10"/>
      <color rgb="FF1E3A5F"/>
      <name val="Arial"/>
      <family val="2"/>
    </font>
    <font>
      <sz val="10"/>
      <color rgb="FF4C1D95"/>
      <name val="Arial"/>
      <family val="2"/>
    </font>
    <font>
      <sz val="9"/>
      <color rgb="FF7C2D12"/>
      <name val="Courier New"/>
      <family val="1"/>
    </font>
    <font>
      <sz val="9"/>
      <color rgb="FF4C1D95"/>
      <name val="Courier New"/>
      <family val="1"/>
    </font>
    <font>
      <b/>
      <sz val="13"/>
      <color rgb="FF1E40AF"/>
      <name val="Arial"/>
      <family val="2"/>
    </font>
    <font>
      <b/>
      <sz val="13"/>
      <color rgb="FF7C2D12"/>
      <name val="Arial"/>
      <family val="2"/>
    </font>
    <font>
      <i/>
      <sz val="9"/>
      <color rgb="FF334155"/>
      <name val="Arial"/>
      <family val="2"/>
    </font>
    <font>
      <b/>
      <sz val="13"/>
      <color rgb="FF166534"/>
      <name val="Arial"/>
      <family val="2"/>
    </font>
    <font>
      <b/>
      <sz val="13"/>
      <color rgb="FF713F12"/>
      <name val="Arial"/>
      <family val="2"/>
    </font>
    <font>
      <b/>
      <sz val="13"/>
      <color rgb="FF075985"/>
      <name val="Arial"/>
      <family val="2"/>
    </font>
    <font>
      <b/>
      <sz val="13"/>
      <color rgb="FF831843"/>
      <name val="Arial"/>
      <family val="2"/>
    </font>
    <font>
      <b/>
      <sz val="13"/>
      <color rgb="FF991B1B"/>
      <name val="Arial"/>
      <family val="2"/>
    </font>
    <font>
      <b/>
      <sz val="13"/>
      <color rgb="FF7E22CE"/>
      <name val="Arial"/>
      <family val="2"/>
    </font>
    <font>
      <b/>
      <sz val="13"/>
      <color rgb="FF7F1D1D"/>
      <name val="Arial"/>
      <family val="2"/>
    </font>
    <font>
      <b/>
      <sz val="13"/>
      <color rgb="FF065F46"/>
      <name val="Arial"/>
      <family val="2"/>
    </font>
    <font>
      <b/>
      <sz val="13"/>
      <color rgb="FF4C1D95"/>
      <name val="Arial"/>
      <family val="2"/>
    </font>
    <font>
      <i/>
      <sz val="8"/>
      <color rgb="FF64748B"/>
      <name val="Arial"/>
      <family val="2"/>
    </font>
    <font>
      <b/>
      <sz val="12"/>
      <color rgb="FF1E40AF"/>
      <name val="Arial"/>
      <family val="2"/>
    </font>
    <font>
      <i/>
      <sz val="9"/>
      <color rgb="FF94A3B8"/>
      <name val="Arial"/>
      <family val="2"/>
    </font>
    <font>
      <b/>
      <sz val="12"/>
      <color rgb="FF7C2D12"/>
      <name val="Arial"/>
      <family val="2"/>
    </font>
    <font>
      <b/>
      <sz val="12"/>
      <color rgb="FF166534"/>
      <name val="Arial"/>
      <family val="2"/>
    </font>
    <font>
      <b/>
      <sz val="12"/>
      <color rgb="FF713F12"/>
      <name val="Arial"/>
      <family val="2"/>
    </font>
    <font>
      <b/>
      <sz val="12"/>
      <color rgb="FF075985"/>
      <name val="Arial"/>
      <family val="2"/>
    </font>
    <font>
      <b/>
      <sz val="12"/>
      <color rgb="FF831843"/>
      <name val="Arial"/>
      <family val="2"/>
    </font>
    <font>
      <b/>
      <sz val="12"/>
      <color rgb="FF991B1B"/>
      <name val="Arial"/>
      <family val="2"/>
    </font>
    <font>
      <b/>
      <sz val="12"/>
      <color rgb="FF7E22CE"/>
      <name val="Arial"/>
      <family val="2"/>
    </font>
    <font>
      <b/>
      <sz val="12"/>
      <color rgb="FF7F1D1D"/>
      <name val="Arial"/>
      <family val="2"/>
    </font>
    <font>
      <b/>
      <sz val="12"/>
      <color rgb="FF065F46"/>
      <name val="Arial"/>
      <family val="2"/>
    </font>
    <font>
      <b/>
      <sz val="12"/>
      <color rgb="FF4C1D95"/>
      <name val="Arial"/>
      <family val="2"/>
    </font>
    <font>
      <b/>
      <sz val="14"/>
      <color rgb="FF065F46"/>
      <name val="Arial"/>
      <family val="2"/>
    </font>
    <font>
      <b/>
      <sz val="12"/>
      <color rgb="FF475569"/>
      <name val="Arial"/>
      <family val="2"/>
    </font>
    <font>
      <b/>
      <sz val="11"/>
      <color rgb="FF1E3A5F"/>
      <name val="Arial"/>
      <family val="2"/>
    </font>
    <font>
      <b/>
      <sz val="10"/>
      <color rgb="FF854F0B"/>
      <name val="Arial"/>
      <family val="2"/>
    </font>
    <font>
      <i/>
      <sz val="10"/>
      <color rgb="FF94A3B8"/>
      <name val="Arial"/>
      <family val="2"/>
    </font>
    <font>
      <b/>
      <sz val="10"/>
      <color rgb="FFC00000"/>
      <name val="Arial"/>
      <family val="2"/>
    </font>
    <font>
      <b/>
      <sz val="10"/>
      <color rgb="FF334155"/>
      <name val="Arial"/>
      <family val="2"/>
    </font>
    <font>
      <b/>
      <sz val="10"/>
      <color rgb="FFF5A623"/>
      <name val="Calibri"/>
      <family val="2"/>
    </font>
    <font>
      <i/>
      <sz val="8"/>
      <color rgb="FFB0B0C0"/>
      <name val="Calibri"/>
      <family val="2"/>
    </font>
    <font>
      <b/>
      <sz val="9"/>
      <color rgb="FF6EB5FF"/>
      <name val="Calibri"/>
      <family val="2"/>
    </font>
    <font>
      <sz val="8"/>
      <color rgb="FFAAAACC"/>
      <name val="Calibri"/>
      <family val="2"/>
    </font>
    <font>
      <sz val="9"/>
      <color rgb="FFF5A623"/>
      <name val="Calibri"/>
      <family val="2"/>
    </font>
    <font>
      <sz val="9"/>
      <color rgb="FFCCCCDD"/>
      <name val="Calibri"/>
      <family val="2"/>
    </font>
    <font>
      <b/>
      <sz val="11"/>
      <name val="Calibri"/>
      <family val="2"/>
    </font>
    <font>
      <b/>
      <sz val="10"/>
      <name val="Calibri"/>
      <family val="2"/>
    </font>
    <font>
      <b/>
      <sz val="11"/>
      <color rgb="FFFFFFFF"/>
      <name val="Cambria"/>
      <family val="1"/>
    </font>
    <font>
      <b/>
      <sz val="10"/>
      <color rgb="FFF59E0B"/>
      <name val="Arial"/>
      <family val="2"/>
    </font>
    <font>
      <sz val="9"/>
      <color rgb="FFF59E0B"/>
      <name val="Arial"/>
      <family val="2"/>
    </font>
    <font>
      <sz val="8"/>
      <color rgb="FF7C2D12"/>
      <name val="Arial"/>
      <family val="2"/>
    </font>
    <font>
      <sz val="9"/>
      <color rgb="FF334155"/>
      <name val="Arial"/>
      <family val="2"/>
    </font>
    <font>
      <i/>
      <sz val="9"/>
      <color rgb="FF1E3A5F"/>
      <name val="Arial"/>
      <family val="2"/>
    </font>
    <font>
      <b/>
      <sz val="9"/>
      <name val="Calibri"/>
      <family val="2"/>
    </font>
    <font>
      <b/>
      <sz val="9"/>
      <color rgb="FF854F0B"/>
      <name val="Arial"/>
      <family val="2"/>
    </font>
    <font>
      <b/>
      <sz val="9"/>
      <color rgb="FF334155"/>
      <name val="Arial"/>
      <family val="2"/>
    </font>
    <font>
      <b/>
      <sz val="9"/>
      <color rgb="FFF59E0B"/>
      <name val="Arial"/>
      <family val="2"/>
    </font>
    <font>
      <sz val="8"/>
      <color rgb="FFF0A040"/>
      <name val="Calibri"/>
      <family val="2"/>
    </font>
    <font>
      <b/>
      <sz val="12"/>
      <name val="Cambria"/>
      <family val="1"/>
    </font>
    <font>
      <i/>
      <sz val="11"/>
      <color rgb="FF555555"/>
      <name val="Cambria"/>
      <family val="1"/>
    </font>
    <font>
      <b/>
      <sz val="10"/>
      <color rgb="FFACACB8"/>
      <name val="Calibri"/>
      <family val="2"/>
    </font>
    <font>
      <i/>
      <sz val="9"/>
      <color rgb="FFACACB8"/>
      <name val="Calibri"/>
      <family val="2"/>
    </font>
    <font>
      <b/>
      <sz val="8"/>
      <color rgb="FFE87040"/>
      <name val="Calibri"/>
      <family val="2"/>
    </font>
    <font>
      <sz val="8"/>
      <color rgb="FFA8E6A3"/>
      <name val="Courier New"/>
      <family val="1"/>
    </font>
    <font>
      <b/>
      <sz val="11"/>
      <color rgb="FFF0C040"/>
      <name val="Calibri"/>
      <family val="2"/>
    </font>
    <font>
      <b/>
      <sz val="12"/>
      <color rgb="FFFFFFFF"/>
      <name val="Calibri"/>
      <family val="2"/>
    </font>
    <font>
      <b/>
      <sz val="14"/>
      <color rgb="FFFFFFFF"/>
      <name val="Arial"/>
      <family val="2"/>
    </font>
    <font>
      <sz val="10"/>
      <color rgb="FF5B21B6"/>
      <name val="Arial"/>
      <family val="2"/>
    </font>
    <font>
      <b/>
      <sz val="11"/>
      <color rgb="FF5B21B6"/>
      <name val="Arial"/>
      <family val="2"/>
    </font>
    <font>
      <sz val="9"/>
      <color rgb="FF6D28D9"/>
      <name val="Arial"/>
      <family val="2"/>
    </font>
    <font>
      <i/>
      <sz val="8"/>
      <color rgb="FF888899"/>
      <name val="Calibri"/>
      <family val="2"/>
    </font>
    <font>
      <sz val="9"/>
      <color rgb="FFFFFFFF"/>
      <name val="Calibri"/>
      <family val="2"/>
    </font>
    <font>
      <sz val="10"/>
      <color rgb="FF7C2D12"/>
      <name val="Arial"/>
      <family val="2"/>
    </font>
    <font>
      <sz val="9"/>
      <color rgb="FF64748B"/>
      <name val="Arial"/>
      <family val="2"/>
    </font>
    <font>
      <sz val="9"/>
      <color rgb="FF5B21B6"/>
      <name val="Arial"/>
      <family val="2"/>
    </font>
    <font>
      <b/>
      <sz val="10"/>
      <color rgb="FF5B21B6"/>
      <name val="Arial"/>
      <family val="2"/>
    </font>
    <font>
      <b/>
      <sz val="8"/>
      <color rgb="FFF5A623"/>
      <name val="Calibri"/>
      <family val="2"/>
    </font>
    <font>
      <i/>
      <sz val="8"/>
      <color rgb="FFCCCCDD"/>
      <name val="Calibri"/>
      <family val="2"/>
    </font>
    <font>
      <sz val="8"/>
      <color rgb="FFCCCCDD"/>
      <name val="Calibri"/>
      <family val="2"/>
    </font>
    <font>
      <b/>
      <sz val="13"/>
      <color rgb="FF1E3A5F"/>
      <name val="Arial"/>
      <family val="2"/>
    </font>
    <font>
      <i/>
      <sz val="10"/>
      <color rgb="FFFFFFFF"/>
      <name val="Arial"/>
      <family val="2"/>
    </font>
    <font>
      <b/>
      <sz val="9"/>
      <color rgb="FF7E22CE"/>
      <name val="Arial"/>
      <family val="2"/>
    </font>
    <font>
      <b/>
      <sz val="10"/>
      <color rgb="FFF2F2F2"/>
      <name val="Calibri"/>
      <family val="2"/>
    </font>
    <font>
      <sz val="10"/>
      <color rgb="FF595959"/>
      <name val="Arial"/>
      <family val="2"/>
    </font>
    <font>
      <b/>
      <u/>
      <sz val="9"/>
      <color rgb="FF6EB5FF"/>
      <name val="Calibri"/>
      <family val="2"/>
    </font>
    <font>
      <b/>
      <sz val="22"/>
      <color rgb="FF1E3A5F"/>
      <name val="Arial"/>
      <family val="2"/>
    </font>
    <font>
      <b/>
      <sz val="9"/>
      <color rgb="FFFFFFFF"/>
      <name val="Cambria"/>
      <family val="1"/>
    </font>
    <font>
      <b/>
      <sz val="13"/>
      <color rgb="FF881837"/>
      <name val="Arial"/>
      <family val="2"/>
    </font>
    <font>
      <b/>
      <sz val="8"/>
      <color rgb="FFFFFFFF"/>
      <name val="Calibri"/>
      <family val="2"/>
    </font>
    <font>
      <sz val="8"/>
      <color rgb="FFFFFFFF"/>
      <name val="Calibri"/>
      <family val="2"/>
    </font>
    <font>
      <b/>
      <u/>
      <sz val="9"/>
      <color rgb="FFF0C040"/>
      <name val="Calibri"/>
      <family val="2"/>
    </font>
    <font>
      <b/>
      <sz val="8"/>
      <color rgb="FFF0C040"/>
      <name val="Calibri"/>
      <family val="2"/>
    </font>
    <font>
      <sz val="10"/>
      <color rgb="FF065F46"/>
      <name val="Arial"/>
      <family val="2"/>
    </font>
    <font>
      <b/>
      <sz val="12"/>
      <color rgb="FF881837"/>
      <name val="Arial"/>
      <family val="2"/>
    </font>
    <font>
      <b/>
      <sz val="9"/>
      <color rgb="FFB0B0B0"/>
      <name val="Calibri"/>
      <family val="2"/>
    </font>
    <font>
      <b/>
      <sz val="12"/>
      <color rgb="FFF5A623"/>
      <name val="Calibri"/>
      <family val="2"/>
    </font>
    <font>
      <b/>
      <sz val="20"/>
      <color rgb="FF1E3A5F"/>
      <name val="Arial"/>
      <family val="2"/>
    </font>
    <font>
      <i/>
      <sz val="9"/>
      <color rgb="FF854F0B"/>
      <name val="Arial"/>
      <family val="2"/>
    </font>
    <font>
      <b/>
      <sz val="12"/>
      <name val="Arial"/>
      <family val="2"/>
    </font>
    <font>
      <b/>
      <sz val="12"/>
      <color rgb="FFF0C040"/>
      <name val="Calibri"/>
      <family val="2"/>
    </font>
    <font>
      <b/>
      <sz val="11"/>
      <color rgb="FFB45309"/>
      <name val="Calibri"/>
      <family val="2"/>
    </font>
    <font>
      <sz val="9"/>
      <color rgb="FFC8A8FF"/>
      <name val="Calibri"/>
      <family val="2"/>
    </font>
    <font>
      <i/>
      <sz val="8"/>
      <color rgb="FF4DC89A"/>
      <name val="Calibri"/>
      <family val="2"/>
    </font>
    <font>
      <b/>
      <sz val="14"/>
      <color rgb="FFF8FAFC"/>
      <name val="Arial"/>
      <family val="2"/>
    </font>
    <font>
      <b/>
      <sz val="9"/>
      <color rgb="FFCCCCDD"/>
      <name val="Calibri"/>
      <family val="2"/>
    </font>
    <font>
      <i/>
      <sz val="8"/>
      <color rgb="FFAAAACC"/>
      <name val="Calibri"/>
      <family val="2"/>
    </font>
    <font>
      <b/>
      <sz val="8"/>
      <color rgb="FF4A9EFF"/>
      <name val="Calibri"/>
      <family val="2"/>
    </font>
    <font>
      <b/>
      <sz val="8"/>
      <color rgb="FF00A86B"/>
      <name val="Calibri"/>
      <family val="2"/>
    </font>
    <font>
      <sz val="10"/>
      <color rgb="FF991B1B"/>
      <name val="Arial"/>
      <family val="2"/>
    </font>
    <font>
      <b/>
      <sz val="8"/>
      <color rgb="FFE94560"/>
      <name val="Calibri"/>
      <family val="2"/>
    </font>
    <font>
      <sz val="10"/>
      <color rgb="FF713F12"/>
      <name val="Arial"/>
      <family val="2"/>
    </font>
    <font>
      <b/>
      <sz val="13"/>
      <color rgb="FFF5A623"/>
      <name val="Calibri"/>
      <family val="2"/>
    </font>
    <font>
      <sz val="9"/>
      <color rgb="FFB0B0C0"/>
      <name val="Calibri"/>
      <family val="2"/>
    </font>
    <font>
      <i/>
      <sz val="9"/>
      <color rgb="FF888899"/>
      <name val="Calibri"/>
      <family val="2"/>
    </font>
    <font>
      <sz val="9"/>
      <color rgb="FF888899"/>
      <name val="Calibri"/>
      <family val="2"/>
    </font>
    <font>
      <b/>
      <sz val="11"/>
      <color rgb="FFF5A623"/>
      <name val="Calibri"/>
      <family val="2"/>
    </font>
    <font>
      <b/>
      <sz val="9"/>
      <color rgb="FFE94560"/>
      <name val="Calibri"/>
      <family val="2"/>
    </font>
    <font>
      <b/>
      <sz val="9"/>
      <color rgb="FF4A9EFF"/>
      <name val="Calibri"/>
      <family val="2"/>
    </font>
    <font>
      <b/>
      <sz val="9"/>
      <color rgb="FFAAAACC"/>
      <name val="Calibri"/>
      <family val="2"/>
    </font>
    <font>
      <b/>
      <sz val="10"/>
      <color rgb="FFB45309"/>
      <name val="Calibri"/>
      <family val="2"/>
    </font>
    <font>
      <b/>
      <u/>
      <sz val="10"/>
      <color rgb="FFF0C040"/>
      <name val="Calibri"/>
      <family val="2"/>
    </font>
    <font>
      <i/>
      <sz val="8"/>
      <color rgb="FF80B8FF"/>
      <name val="Calibri"/>
      <family val="2"/>
    </font>
    <font>
      <b/>
      <sz val="10"/>
      <color rgb="FF1D4ED8"/>
      <name val="Calibri"/>
      <family val="2"/>
    </font>
    <font>
      <sz val="8"/>
      <color rgb="FFC8C8D8"/>
      <name val="Courier New"/>
      <family val="1"/>
    </font>
  </fonts>
  <fills count="73">
    <fill>
      <patternFill patternType="none"/>
    </fill>
    <fill>
      <patternFill patternType="gray125"/>
    </fill>
    <fill>
      <patternFill patternType="solid">
        <fgColor rgb="FF1A3A5B"/>
        <bgColor rgb="FF0F3D61"/>
      </patternFill>
    </fill>
    <fill>
      <patternFill patternType="solid">
        <fgColor rgb="FFDBEAFE"/>
        <bgColor rgb="FFDFEEF3"/>
      </patternFill>
    </fill>
    <fill>
      <patternFill patternType="mediumGray">
        <fgColor rgb="FF53667F"/>
        <bgColor rgb="FF1C45CB"/>
      </patternFill>
    </fill>
    <fill>
      <patternFill patternType="darkGray">
        <fgColor rgb="FFCFFBE4"/>
        <bgColor rgb="FFDCFCE7"/>
      </patternFill>
    </fill>
    <fill>
      <patternFill patternType="mediumGray">
        <fgColor rgb="FF53667F"/>
        <bgColor rgb="FF066FB0"/>
      </patternFill>
    </fill>
    <fill>
      <patternFill patternType="solid">
        <fgColor rgb="FFFFF9C6"/>
        <bgColor rgb="FFFEF9C1"/>
      </patternFill>
    </fill>
    <fill>
      <patternFill patternType="solid">
        <fgColor rgb="FFFFE8E1"/>
        <bgColor rgb="FFFFF1F4"/>
      </patternFill>
    </fill>
    <fill>
      <patternFill patternType="mediumGray">
        <fgColor rgb="FF53667F"/>
        <bgColor rgb="FF08663F"/>
      </patternFill>
    </fill>
    <fill>
      <patternFill patternType="darkGray">
        <fgColor rgb="FF1A3A5B"/>
        <bgColor rgb="FF34444D"/>
      </patternFill>
    </fill>
    <fill>
      <patternFill patternType="darkGray">
        <fgColor rgb="FF1C45CB"/>
        <bgColor rgb="FF066FB0"/>
      </patternFill>
    </fill>
    <fill>
      <patternFill patternType="solid">
        <fgColor rgb="FFF4B21F"/>
        <bgColor rgb="FFFFDBAD"/>
      </patternFill>
    </fill>
    <fill>
      <patternFill patternType="darkGray">
        <fgColor rgb="FFFFF9C6"/>
        <bgColor rgb="FFFEF9C1"/>
      </patternFill>
    </fill>
    <fill>
      <patternFill patternType="solid">
        <fgColor rgb="FF78310B"/>
        <bgColor rgb="FF8E171E"/>
      </patternFill>
    </fill>
    <fill>
      <patternFill patternType="solid">
        <fgColor rgb="FFEFF6FF"/>
        <bgColor rgb="FFF1F5F9"/>
      </patternFill>
    </fill>
    <fill>
      <patternFill patternType="solid">
        <fgColor rgb="FF1C45CB"/>
        <bgColor rgb="FF066FB0"/>
      </patternFill>
    </fill>
    <fill>
      <patternFill patternType="solid">
        <fgColor rgb="FF08663F"/>
        <bgColor rgb="FF0F3D61"/>
      </patternFill>
    </fill>
    <fill>
      <patternFill patternType="solid">
        <fgColor rgb="FFDCFCE7"/>
        <bgColor rgb="FFCFFBE4"/>
      </patternFill>
    </fill>
    <fill>
      <patternFill patternType="solid">
        <fgColor rgb="FFFEF9C1"/>
        <bgColor rgb="FFFFF9C6"/>
      </patternFill>
    </fill>
    <fill>
      <patternFill patternType="solid">
        <fgColor rgb="FFB71B1B"/>
        <bgColor rgb="FF8E171E"/>
      </patternFill>
    </fill>
    <fill>
      <patternFill patternType="darkGray">
        <fgColor rgb="FF591BA2"/>
        <bgColor rgb="FF6C1BA4"/>
      </patternFill>
    </fill>
    <fill>
      <patternFill patternType="solid">
        <fgColor rgb="FF591BA2"/>
        <bgColor rgb="FF6C1BA4"/>
      </patternFill>
    </fill>
    <fill>
      <patternFill patternType="solid">
        <fgColor rgb="FFECFDF5"/>
        <bgColor rgb="FFF0FDF4"/>
      </patternFill>
    </fill>
    <fill>
      <patternFill patternType="solid">
        <fgColor rgb="FFFFFFFF"/>
        <bgColor rgb="FFFAFAFA"/>
      </patternFill>
    </fill>
    <fill>
      <patternFill patternType="solid">
        <fgColor rgb="FFFAFAFA"/>
        <bgColor rgb="FFF8FAFC"/>
      </patternFill>
    </fill>
    <fill>
      <patternFill patternType="solid">
        <fgColor rgb="FFEEE9FE"/>
        <bgColor rgb="FFE2E9F1"/>
      </patternFill>
    </fill>
    <fill>
      <patternFill patternType="solid">
        <fgColor rgb="FF0F3D61"/>
        <bgColor rgb="FF1A3A5B"/>
      </patternFill>
    </fill>
    <fill>
      <patternFill patternType="solid">
        <fgColor rgb="FFCFFBE4"/>
        <bgColor rgb="FFDCFCE7"/>
      </patternFill>
    </fill>
    <fill>
      <patternFill patternType="solid">
        <fgColor rgb="FF24262E"/>
        <bgColor rgb="FF1D2632"/>
      </patternFill>
    </fill>
    <fill>
      <patternFill patternType="solid">
        <fgColor rgb="FFF1F5F9"/>
        <bgColor rgb="FFEFF6FF"/>
      </patternFill>
    </fill>
    <fill>
      <patternFill patternType="solid">
        <fgColor rgb="FF0F172A"/>
        <bgColor rgb="FF181820"/>
      </patternFill>
    </fill>
    <fill>
      <patternFill patternType="solid">
        <fgColor rgb="FF34444D"/>
        <bgColor rgb="FF1A3A5B"/>
      </patternFill>
    </fill>
    <fill>
      <patternFill patternType="solid">
        <fgColor rgb="FFF8FAFC"/>
        <bgColor rgb="FFFAFAFA"/>
      </patternFill>
    </fill>
    <fill>
      <patternFill patternType="darkGray">
        <fgColor rgb="FF1D2632"/>
        <bgColor rgb="FF24262E"/>
      </patternFill>
    </fill>
    <fill>
      <patternFill patternType="solid">
        <fgColor rgb="FFE0F2FE"/>
        <bgColor rgb="FFDFEEF3"/>
      </patternFill>
    </fill>
    <fill>
      <patternFill patternType="solid">
        <fgColor rgb="FFF0FDF4"/>
        <bgColor rgb="FFECFDF5"/>
      </patternFill>
    </fill>
    <fill>
      <patternFill patternType="solid">
        <fgColor rgb="FFFEF2F8"/>
        <bgColor rgb="FFFFF1F4"/>
      </patternFill>
    </fill>
    <fill>
      <patternFill patternType="solid">
        <fgColor rgb="FFFFF7ED"/>
        <bgColor rgb="FFFFFBEB"/>
      </patternFill>
    </fill>
    <fill>
      <patternFill patternType="solid">
        <fgColor rgb="FFE2E9F1"/>
        <bgColor rgb="FFDFEEF3"/>
      </patternFill>
    </fill>
    <fill>
      <patternFill patternType="solid">
        <fgColor rgb="FFD0DEE8"/>
        <bgColor rgb="FFDBEAFE"/>
      </patternFill>
    </fill>
    <fill>
      <patternFill patternType="solid">
        <fgColor rgb="FFFFDBAD"/>
        <bgColor rgb="FFFFE8E1"/>
      </patternFill>
    </fill>
    <fill>
      <patternFill patternType="darkGray">
        <fgColor rgb="FFEEE9FE"/>
        <bgColor rgb="FFE2E9F1"/>
      </patternFill>
    </fill>
    <fill>
      <patternFill patternType="solid">
        <fgColor rgb="FFFDF4FF"/>
        <bgColor rgb="FFFEF2F8"/>
      </patternFill>
    </fill>
    <fill>
      <patternFill patternType="solid">
        <fgColor rgb="FFFFFBEB"/>
        <bgColor rgb="FFFFF7ED"/>
      </patternFill>
    </fill>
    <fill>
      <patternFill patternType="solid">
        <fgColor rgb="FFFFF1F4"/>
        <bgColor rgb="FFFEF2F8"/>
      </patternFill>
    </fill>
    <fill>
      <patternFill patternType="mediumGray">
        <fgColor rgb="FFEEE9FE"/>
        <bgColor rgb="FFE2E9F1"/>
      </patternFill>
    </fill>
    <fill>
      <patternFill patternType="darkGray">
        <fgColor rgb="FFDBEAFE"/>
        <bgColor rgb="FFDFEEF3"/>
      </patternFill>
    </fill>
    <fill>
      <patternFill patternType="solid">
        <fgColor rgb="FF87BBF5"/>
        <bgColor rgb="FFD0DEE8"/>
      </patternFill>
    </fill>
    <fill>
      <patternFill patternType="solid">
        <fgColor rgb="FFF5F3FF"/>
        <bgColor rgb="FFF1F5F9"/>
      </patternFill>
    </fill>
    <fill>
      <patternFill patternType="solid">
        <fgColor rgb="FF8E171E"/>
        <bgColor rgb="FFB71B1B"/>
      </patternFill>
    </fill>
    <fill>
      <patternFill patternType="darkGray">
        <fgColor rgb="FFDFEEF3"/>
        <bgColor rgb="FFE2E9F1"/>
      </patternFill>
    </fill>
    <fill>
      <patternFill patternType="darkGray">
        <fgColor rgb="FF1A3A5B"/>
        <bgColor rgb="FF0F3D61"/>
      </patternFill>
    </fill>
    <fill>
      <patternFill patternType="solid">
        <fgColor rgb="FFF2F2F2"/>
        <bgColor rgb="FFF1F5F9"/>
      </patternFill>
    </fill>
    <fill>
      <patternFill patternType="mediumGray">
        <fgColor rgb="FFFAFAFA"/>
        <bgColor rgb="FFF8FAFC"/>
      </patternFill>
    </fill>
    <fill>
      <patternFill patternType="solid">
        <fgColor rgb="FF066FB0"/>
        <bgColor rgb="FF1C45CB"/>
      </patternFill>
    </fill>
    <fill>
      <patternFill patternType="solid">
        <fgColor rgb="FF0C0C0D"/>
        <bgColor rgb="FF0C0C19"/>
      </patternFill>
    </fill>
    <fill>
      <patternFill patternType="solid">
        <fgColor rgb="FF171719"/>
        <bgColor rgb="FF181819"/>
      </patternFill>
    </fill>
    <fill>
      <patternFill patternType="solid">
        <fgColor rgb="FF1E1E22"/>
        <bgColor rgb="FF1C1C27"/>
      </patternFill>
    </fill>
    <fill>
      <patternFill patternType="solid">
        <fgColor rgb="FF1C1C27"/>
        <bgColor rgb="FF1E1E22"/>
      </patternFill>
    </fill>
    <fill>
      <patternFill patternType="solid">
        <fgColor rgb="FF181819"/>
        <bgColor rgb="FF171719"/>
      </patternFill>
    </fill>
    <fill>
      <patternFill patternType="solid">
        <fgColor rgb="FF181820"/>
        <bgColor rgb="FF181819"/>
      </patternFill>
    </fill>
    <fill>
      <patternFill patternType="mediumGray">
        <fgColor rgb="FFE2E9F1"/>
        <bgColor rgb="FFEEE9FE"/>
      </patternFill>
    </fill>
    <fill>
      <patternFill patternType="mediumGray">
        <fgColor rgb="FF171719"/>
        <bgColor rgb="FF111119"/>
      </patternFill>
    </fill>
    <fill>
      <patternFill patternType="darkGray">
        <fgColor rgb="FF8E171E"/>
        <bgColor rgb="FFB71B1B"/>
      </patternFill>
    </fill>
    <fill>
      <patternFill patternType="solid">
        <fgColor rgb="FFDFEEF3"/>
        <bgColor rgb="FFE2E9F1"/>
      </patternFill>
    </fill>
    <fill>
      <patternFill patternType="solid">
        <fgColor rgb="FF0C0C19"/>
        <bgColor rgb="FF0C0C0D"/>
      </patternFill>
    </fill>
    <fill>
      <patternFill patternType="solid">
        <fgColor rgb="FF1D2632"/>
        <bgColor rgb="FF24262E"/>
      </patternFill>
    </fill>
    <fill>
      <patternFill patternType="solid">
        <fgColor rgb="FF111119"/>
        <bgColor rgb="FF0C0C19"/>
      </patternFill>
    </fill>
    <fill>
      <patternFill patternType="darkGray">
        <fgColor rgb="FF0C0C0D"/>
        <bgColor rgb="FF0C0C19"/>
      </patternFill>
    </fill>
    <fill>
      <patternFill patternType="solid">
        <fgColor rgb="FF1B192D"/>
        <bgColor rgb="FF1C1C27"/>
      </patternFill>
    </fill>
    <fill>
      <patternFill patternType="solid">
        <fgColor rgb="FF6C1BA4"/>
        <bgColor rgb="FF591BA2"/>
      </patternFill>
    </fill>
    <fill>
      <patternFill patternType="darkGray">
        <fgColor rgb="FF87BBF5"/>
        <bgColor rgb="FFD0DEE8"/>
      </patternFill>
    </fill>
  </fills>
  <borders count="12">
    <border>
      <left/>
      <right/>
      <top/>
      <bottom/>
      <diagonal/>
    </border>
    <border>
      <left style="thin">
        <color rgb="FFE2E9F1"/>
      </left>
      <right style="thin">
        <color rgb="FFE2E9F1"/>
      </right>
      <top style="thin">
        <color rgb="FFE2E9F1"/>
      </top>
      <bottom style="thin">
        <color rgb="FFE2E9F1"/>
      </bottom>
      <diagonal/>
    </border>
    <border>
      <left style="thin">
        <color rgb="FFD0DEE8"/>
      </left>
      <right style="thin">
        <color rgb="FFD0DEE8"/>
      </right>
      <top style="thin">
        <color rgb="FFD0DEE8"/>
      </top>
      <bottom style="thin">
        <color rgb="FFD0DEE8"/>
      </bottom>
      <diagonal/>
    </border>
    <border>
      <left style="thin">
        <color rgb="FFE2E9F1"/>
      </left>
      <right style="medium">
        <color rgb="FF87BBF5"/>
      </right>
      <top style="thin">
        <color rgb="FFE2E9F1"/>
      </top>
      <bottom style="thin">
        <color rgb="FFE2E9F1"/>
      </bottom>
      <diagonal/>
    </border>
    <border>
      <left style="thin">
        <color rgb="FF53667F"/>
      </left>
      <right style="thin">
        <color rgb="FF53667F"/>
      </right>
      <top style="thin">
        <color rgb="FF53667F"/>
      </top>
      <bottom style="thin">
        <color rgb="FF53667F"/>
      </bottom>
      <diagonal/>
    </border>
    <border>
      <left style="thin">
        <color rgb="FF2A2D36"/>
      </left>
      <right style="thin">
        <color rgb="FF2A2D36"/>
      </right>
      <top style="thin">
        <color rgb="FF2A2D36"/>
      </top>
      <bottom style="thin">
        <color rgb="FF2A2D36"/>
      </bottom>
      <diagonal/>
    </border>
    <border>
      <left style="thin">
        <color rgb="FFE2E9F1"/>
      </left>
      <right/>
      <top style="thin">
        <color rgb="FFE2E9F1"/>
      </top>
      <bottom style="thin">
        <color rgb="FFE2E9F1"/>
      </bottom>
      <diagonal/>
    </border>
    <border>
      <left/>
      <right style="thin">
        <color rgb="FFE2E9F1"/>
      </right>
      <top style="thin">
        <color rgb="FFE2E9F1"/>
      </top>
      <bottom style="thin">
        <color rgb="FFE2E9F1"/>
      </bottom>
      <diagonal/>
    </border>
    <border>
      <left style="thin">
        <color rgb="FF87BBF5"/>
      </left>
      <right style="thin">
        <color rgb="FF87BBF5"/>
      </right>
      <top style="thin">
        <color rgb="FF87BBF5"/>
      </top>
      <bottom style="thin">
        <color rgb="FF87BBF5"/>
      </bottom>
      <diagonal/>
    </border>
    <border>
      <left style="thin">
        <color rgb="FF6C1BA4"/>
      </left>
      <right style="thin">
        <color rgb="FF6C1BA4"/>
      </right>
      <top style="thin">
        <color rgb="FF6C1BA4"/>
      </top>
      <bottom style="thin">
        <color rgb="FF6C1BA4"/>
      </bottom>
      <diagonal/>
    </border>
    <border>
      <left/>
      <right/>
      <top/>
      <bottom style="medium">
        <color rgb="FF87BBF5"/>
      </bottom>
      <diagonal/>
    </border>
    <border>
      <left style="medium">
        <color rgb="FFF4B21F"/>
      </left>
      <right style="medium">
        <color rgb="FFF4B21F"/>
      </right>
      <top style="medium">
        <color rgb="FFF4B21F"/>
      </top>
      <bottom style="medium">
        <color rgb="FFF4B21F"/>
      </bottom>
      <diagonal/>
    </border>
  </borders>
  <cellStyleXfs count="1">
    <xf numFmtId="0" fontId="0" fillId="0" borderId="0"/>
  </cellStyleXfs>
  <cellXfs count="1634">
    <xf numFmtId="0" fontId="0" fillId="0" borderId="0" xfId="0"/>
    <xf numFmtId="0" fontId="54" fillId="14" borderId="1" xfId="0" applyFont="1" applyFill="1" applyBorder="1" applyAlignment="1">
      <alignment horizontal="center" vertical="center"/>
    </xf>
    <xf numFmtId="0" fontId="1" fillId="2" borderId="0" xfId="0" applyFont="1" applyFill="1" applyAlignment="1">
      <alignment vertical="center" wrapText="1"/>
    </xf>
    <xf numFmtId="0" fontId="2" fillId="2" borderId="0" xfId="0" applyFont="1" applyFill="1"/>
    <xf numFmtId="0" fontId="2" fillId="0" borderId="0" xfId="0" applyFont="1"/>
    <xf numFmtId="0" fontId="3" fillId="3" borderId="0" xfId="0" applyFont="1" applyFill="1" applyAlignment="1">
      <alignment vertical="center" wrapText="1"/>
    </xf>
    <xf numFmtId="0" fontId="2" fillId="3" borderId="0" xfId="0" applyFont="1" applyFill="1"/>
    <xf numFmtId="0" fontId="4" fillId="4" borderId="0" xfId="0" applyFont="1" applyFill="1" applyAlignment="1">
      <alignment vertical="center" wrapText="1"/>
    </xf>
    <xf numFmtId="0" fontId="5" fillId="2" borderId="0" xfId="0" applyFont="1" applyFill="1"/>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5" borderId="0" xfId="0" applyFont="1" applyFill="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5" fillId="6" borderId="0" xfId="0" applyFont="1" applyFill="1"/>
    <xf numFmtId="0" fontId="10" fillId="7" borderId="0" xfId="0" applyFont="1" applyFill="1" applyAlignment="1">
      <alignment vertical="center" wrapText="1"/>
    </xf>
    <xf numFmtId="0" fontId="14" fillId="0" borderId="0" xfId="0" applyFont="1" applyAlignment="1">
      <alignment vertical="center" wrapText="1"/>
    </xf>
    <xf numFmtId="0" fontId="5" fillId="4" borderId="0" xfId="0" applyFont="1" applyFill="1"/>
    <xf numFmtId="0" fontId="10" fillId="8" borderId="0" xfId="0" applyFont="1" applyFill="1" applyAlignment="1">
      <alignment vertical="center" wrapText="1"/>
    </xf>
    <xf numFmtId="0" fontId="5" fillId="9" borderId="0" xfId="0" applyFont="1" applyFill="1"/>
    <xf numFmtId="0" fontId="5" fillId="10" borderId="0" xfId="0" applyFont="1" applyFill="1"/>
    <xf numFmtId="0" fontId="5" fillId="11" borderId="0" xfId="0" applyFont="1" applyFill="1"/>
    <xf numFmtId="0" fontId="15" fillId="7" borderId="0" xfId="0" applyFont="1" applyFill="1" applyAlignment="1">
      <alignment vertical="center" wrapText="1"/>
    </xf>
    <xf numFmtId="0" fontId="11" fillId="7" borderId="0" xfId="0" applyFont="1" applyFill="1" applyAlignment="1">
      <alignment vertical="center" wrapText="1"/>
    </xf>
    <xf numFmtId="0" fontId="2" fillId="7" borderId="0" xfId="0" applyFont="1" applyFill="1"/>
    <xf numFmtId="0" fontId="16" fillId="0" borderId="0" xfId="0" applyFont="1"/>
    <xf numFmtId="0" fontId="18" fillId="0" borderId="0" xfId="0" applyFont="1" applyAlignment="1">
      <alignment horizontal="right" vertical="center"/>
    </xf>
    <xf numFmtId="0" fontId="21" fillId="0" borderId="0" xfId="0" applyFont="1"/>
    <xf numFmtId="14" fontId="22" fillId="15" borderId="1" xfId="0" applyNumberFormat="1" applyFont="1" applyFill="1" applyBorder="1" applyAlignment="1">
      <alignment horizontal="left" vertical="center"/>
    </xf>
    <xf numFmtId="0" fontId="23" fillId="0" borderId="0" xfId="0" applyFont="1"/>
    <xf numFmtId="0" fontId="24" fillId="0" borderId="0" xfId="0" applyFont="1"/>
    <xf numFmtId="20" fontId="22" fillId="15" borderId="1" xfId="0" applyNumberFormat="1" applyFont="1" applyFill="1" applyBorder="1" applyAlignment="1">
      <alignment horizontal="left" vertical="center"/>
    </xf>
    <xf numFmtId="0" fontId="22" fillId="15" borderId="1" xfId="0" applyFont="1" applyFill="1" applyBorder="1" applyAlignment="1">
      <alignment horizontal="left" vertical="center"/>
    </xf>
    <xf numFmtId="22" fontId="25" fillId="18" borderId="1" xfId="0" applyNumberFormat="1" applyFont="1" applyFill="1" applyBorder="1" applyAlignment="1">
      <alignment horizontal="left" vertical="center"/>
    </xf>
    <xf numFmtId="0" fontId="26" fillId="0" borderId="0" xfId="0" applyFont="1"/>
    <xf numFmtId="164" fontId="25" fillId="18" borderId="1" xfId="0" applyNumberFormat="1" applyFont="1" applyFill="1" applyBorder="1" applyAlignment="1">
      <alignment horizontal="left" vertical="center"/>
    </xf>
    <xf numFmtId="165" fontId="25" fillId="18" borderId="1" xfId="0" applyNumberFormat="1" applyFont="1" applyFill="1" applyBorder="1" applyAlignment="1">
      <alignment horizontal="left" vertical="center"/>
    </xf>
    <xf numFmtId="0" fontId="4" fillId="0" borderId="0" xfId="0" applyFont="1" applyAlignment="1">
      <alignment horizontal="right" vertical="center"/>
    </xf>
    <xf numFmtId="0" fontId="27" fillId="19" borderId="1" xfId="0" applyFont="1" applyFill="1" applyBorder="1" applyAlignment="1">
      <alignment horizontal="left" vertical="center"/>
    </xf>
    <xf numFmtId="0" fontId="28" fillId="0" borderId="0" xfId="0" applyFont="1"/>
    <xf numFmtId="0" fontId="29" fillId="0" borderId="0" xfId="0" applyFont="1" applyAlignment="1">
      <alignment horizontal="left" vertical="center" wrapText="1"/>
    </xf>
    <xf numFmtId="0" fontId="30" fillId="20" borderId="0" xfId="0" applyFont="1" applyFill="1" applyAlignment="1">
      <alignment horizontal="center" vertical="center"/>
    </xf>
    <xf numFmtId="0" fontId="31" fillId="0" borderId="0" xfId="0" applyFont="1" applyAlignment="1">
      <alignment vertical="center"/>
    </xf>
    <xf numFmtId="0" fontId="32" fillId="0" borderId="0" xfId="0" applyFont="1"/>
    <xf numFmtId="0" fontId="34" fillId="0" borderId="0" xfId="0" applyFont="1"/>
    <xf numFmtId="0" fontId="35" fillId="3" borderId="1" xfId="0" applyFont="1" applyFill="1" applyBorder="1" applyAlignment="1">
      <alignment horizontal="left" vertical="center"/>
    </xf>
    <xf numFmtId="0" fontId="36" fillId="0" borderId="0" xfId="0" applyFont="1"/>
    <xf numFmtId="0" fontId="37" fillId="7" borderId="0" xfId="0" applyFont="1" applyFill="1" applyAlignment="1">
      <alignment vertical="top" wrapText="1"/>
    </xf>
    <xf numFmtId="0" fontId="38" fillId="8" borderId="1" xfId="0" applyFont="1" applyFill="1" applyBorder="1" applyAlignment="1">
      <alignment vertical="top" wrapText="1"/>
    </xf>
    <xf numFmtId="0" fontId="39" fillId="7" borderId="0" xfId="0" applyFont="1" applyFill="1" applyAlignment="1">
      <alignment vertical="top" wrapText="1"/>
    </xf>
    <xf numFmtId="0" fontId="40" fillId="7" borderId="0" xfId="0" applyFont="1" applyFill="1" applyAlignment="1">
      <alignment vertical="top" wrapText="1"/>
    </xf>
    <xf numFmtId="165" fontId="41" fillId="3" borderId="1" xfId="0" applyNumberFormat="1" applyFont="1" applyFill="1" applyBorder="1" applyAlignment="1">
      <alignment horizontal="left" vertical="center"/>
    </xf>
    <xf numFmtId="0" fontId="41" fillId="3" borderId="1" xfId="0" applyFont="1" applyFill="1" applyBorder="1" applyAlignment="1">
      <alignment horizontal="left" vertical="center"/>
    </xf>
    <xf numFmtId="2" fontId="35" fillId="3" borderId="1" xfId="0" applyNumberFormat="1" applyFont="1" applyFill="1" applyBorder="1" applyAlignment="1">
      <alignment horizontal="left" vertical="center"/>
    </xf>
    <xf numFmtId="0" fontId="42" fillId="22" borderId="0" xfId="0" applyFont="1" applyFill="1" applyAlignment="1">
      <alignment horizontal="center" vertical="center"/>
    </xf>
    <xf numFmtId="0" fontId="2" fillId="18" borderId="1" xfId="0" applyFont="1" applyFill="1" applyBorder="1" applyAlignment="1">
      <alignment horizontal="center" vertical="center"/>
    </xf>
    <xf numFmtId="166" fontId="43" fillId="23" borderId="1" xfId="0" applyNumberFormat="1" applyFont="1" applyFill="1" applyBorder="1" applyAlignment="1">
      <alignment horizontal="center" vertical="center"/>
    </xf>
    <xf numFmtId="2" fontId="43" fillId="18" borderId="1" xfId="0" applyNumberFormat="1" applyFont="1" applyFill="1" applyBorder="1" applyAlignment="1">
      <alignment horizontal="center" vertical="center"/>
    </xf>
    <xf numFmtId="0" fontId="2" fillId="24" borderId="1" xfId="0" applyFont="1" applyFill="1" applyBorder="1" applyAlignment="1">
      <alignment horizontal="center" vertical="center"/>
    </xf>
    <xf numFmtId="166" fontId="44" fillId="24" borderId="1" xfId="0" applyNumberFormat="1" applyFont="1" applyFill="1" applyBorder="1" applyAlignment="1">
      <alignment horizontal="center" vertical="center"/>
    </xf>
    <xf numFmtId="0" fontId="44" fillId="24" borderId="1" xfId="0" applyFont="1" applyFill="1" applyBorder="1" applyAlignment="1">
      <alignment horizontal="center" vertical="center"/>
    </xf>
    <xf numFmtId="0" fontId="2" fillId="25" borderId="1" xfId="0" applyFont="1" applyFill="1" applyBorder="1" applyAlignment="1">
      <alignment horizontal="center" vertical="center"/>
    </xf>
    <xf numFmtId="14" fontId="44" fillId="25" borderId="1" xfId="0" applyNumberFormat="1" applyFont="1" applyFill="1" applyBorder="1" applyAlignment="1">
      <alignment horizontal="center" vertical="center"/>
    </xf>
    <xf numFmtId="0" fontId="44" fillId="25" borderId="1" xfId="0" applyFont="1" applyFill="1" applyBorder="1" applyAlignment="1">
      <alignment horizontal="center" vertical="center"/>
    </xf>
    <xf numFmtId="14" fontId="44" fillId="24" borderId="1" xfId="0" applyNumberFormat="1" applyFont="1" applyFill="1" applyBorder="1" applyAlignment="1">
      <alignment horizontal="center" vertical="center"/>
    </xf>
    <xf numFmtId="0" fontId="46" fillId="25" borderId="1" xfId="0" applyFont="1" applyFill="1" applyBorder="1"/>
    <xf numFmtId="0" fontId="47" fillId="28" borderId="1" xfId="0" applyFont="1" applyFill="1" applyBorder="1" applyAlignment="1">
      <alignment horizontal="center" vertical="center"/>
    </xf>
    <xf numFmtId="167" fontId="43" fillId="28" borderId="1" xfId="0" applyNumberFormat="1" applyFont="1" applyFill="1" applyBorder="1" applyAlignment="1">
      <alignment horizontal="center" vertical="center"/>
    </xf>
    <xf numFmtId="0" fontId="48" fillId="25" borderId="1" xfId="0" applyFont="1" applyFill="1" applyBorder="1" applyAlignment="1">
      <alignment horizontal="center" vertical="center"/>
    </xf>
    <xf numFmtId="0" fontId="49" fillId="25" borderId="1" xfId="0" applyFont="1" applyFill="1" applyBorder="1"/>
    <xf numFmtId="0" fontId="46" fillId="24" borderId="1" xfId="0" applyFont="1" applyFill="1" applyBorder="1"/>
    <xf numFmtId="0" fontId="48" fillId="24" borderId="1" xfId="0" applyFont="1" applyFill="1" applyBorder="1" applyAlignment="1">
      <alignment horizontal="center" vertical="center"/>
    </xf>
    <xf numFmtId="0" fontId="49" fillId="24" borderId="1" xfId="0" applyFont="1" applyFill="1" applyBorder="1"/>
    <xf numFmtId="0" fontId="27" fillId="0" borderId="0" xfId="0" applyFont="1" applyAlignment="1">
      <alignment horizontal="left" vertical="center"/>
    </xf>
    <xf numFmtId="0" fontId="20" fillId="14" borderId="1" xfId="0" applyFont="1" applyFill="1" applyBorder="1" applyAlignment="1">
      <alignment horizontal="center" vertical="center"/>
    </xf>
    <xf numFmtId="0" fontId="20" fillId="29" borderId="1" xfId="0" applyFont="1" applyFill="1" applyBorder="1" applyAlignment="1">
      <alignment horizontal="center" vertical="center"/>
    </xf>
    <xf numFmtId="0" fontId="21" fillId="13" borderId="1" xfId="0" applyFont="1" applyFill="1" applyBorder="1" applyAlignment="1">
      <alignment horizontal="left" vertical="center"/>
    </xf>
    <xf numFmtId="0" fontId="51" fillId="13" borderId="1" xfId="0" applyFont="1" applyFill="1" applyBorder="1" applyAlignment="1">
      <alignment horizontal="left" vertical="center"/>
    </xf>
    <xf numFmtId="0" fontId="2" fillId="23" borderId="1" xfId="0" applyFont="1" applyFill="1" applyBorder="1" applyAlignment="1">
      <alignment horizontal="center" vertical="center"/>
    </xf>
    <xf numFmtId="167" fontId="2" fillId="23" borderId="1" xfId="0" applyNumberFormat="1" applyFont="1" applyFill="1" applyBorder="1" applyAlignment="1">
      <alignment horizontal="center" vertical="center"/>
    </xf>
    <xf numFmtId="0" fontId="21" fillId="24" borderId="1" xfId="0" applyFont="1" applyFill="1" applyBorder="1" applyAlignment="1">
      <alignment horizontal="left" vertical="center"/>
    </xf>
    <xf numFmtId="0" fontId="51" fillId="24" borderId="1" xfId="0" applyFont="1" applyFill="1" applyBorder="1" applyAlignment="1">
      <alignment horizontal="left" vertical="center"/>
    </xf>
    <xf numFmtId="0" fontId="35" fillId="30" borderId="1" xfId="0" applyFont="1" applyFill="1" applyBorder="1"/>
    <xf numFmtId="0" fontId="52" fillId="30" borderId="1" xfId="0" applyFont="1" applyFill="1" applyBorder="1"/>
    <xf numFmtId="0" fontId="42" fillId="31" borderId="1" xfId="0" applyFont="1" applyFill="1" applyBorder="1" applyAlignment="1">
      <alignment horizontal="center" vertical="center" wrapText="1"/>
    </xf>
    <xf numFmtId="0" fontId="42" fillId="12" borderId="1" xfId="0" applyFont="1" applyFill="1" applyBorder="1" applyAlignment="1">
      <alignment horizontal="center" vertical="center" wrapText="1"/>
    </xf>
    <xf numFmtId="0" fontId="42" fillId="32" borderId="1" xfId="0" applyFont="1" applyFill="1" applyBorder="1" applyAlignment="1">
      <alignment horizontal="center" vertical="center" wrapText="1"/>
    </xf>
    <xf numFmtId="0" fontId="56" fillId="25" borderId="1" xfId="0" applyFont="1" applyFill="1" applyBorder="1" applyAlignment="1">
      <alignment horizontal="left" vertical="center"/>
    </xf>
    <xf numFmtId="0" fontId="57" fillId="19" borderId="1" xfId="0" applyFont="1" applyFill="1" applyBorder="1" applyAlignment="1">
      <alignment horizontal="center" vertical="center"/>
    </xf>
    <xf numFmtId="0" fontId="55" fillId="19" borderId="1" xfId="0" applyFont="1" applyFill="1" applyBorder="1" applyAlignment="1">
      <alignment horizontal="center" vertical="center"/>
    </xf>
    <xf numFmtId="0" fontId="58" fillId="25" borderId="1" xfId="0" applyFont="1" applyFill="1" applyBorder="1" applyAlignment="1">
      <alignment horizontal="left" vertical="center"/>
    </xf>
    <xf numFmtId="0" fontId="56" fillId="24" borderId="1" xfId="0" applyFont="1" applyFill="1" applyBorder="1" applyAlignment="1">
      <alignment horizontal="left" vertical="center"/>
    </xf>
    <xf numFmtId="0" fontId="58" fillId="24" borderId="1" xfId="0" applyFont="1" applyFill="1" applyBorder="1" applyAlignment="1">
      <alignment horizontal="left" vertical="center"/>
    </xf>
    <xf numFmtId="0" fontId="56" fillId="33" borderId="1" xfId="0" applyFont="1" applyFill="1" applyBorder="1" applyAlignment="1">
      <alignment horizontal="left" vertical="center"/>
    </xf>
    <xf numFmtId="167" fontId="2" fillId="0" borderId="0" xfId="0" applyNumberFormat="1" applyFont="1"/>
    <xf numFmtId="0" fontId="42" fillId="34" borderId="0" xfId="0" applyFont="1" applyFill="1" applyAlignment="1">
      <alignment horizontal="center" vertical="center"/>
    </xf>
    <xf numFmtId="0" fontId="60" fillId="8" borderId="1" xfId="0" applyFont="1" applyFill="1" applyBorder="1" applyAlignment="1">
      <alignment horizontal="center" vertical="center"/>
    </xf>
    <xf numFmtId="0" fontId="61" fillId="18" borderId="1" xfId="0" applyFont="1" applyFill="1" applyBorder="1" applyAlignment="1">
      <alignment horizontal="center" vertical="center"/>
    </xf>
    <xf numFmtId="0" fontId="62" fillId="3" borderId="1" xfId="0" applyFont="1" applyFill="1" applyBorder="1" applyAlignment="1">
      <alignment horizontal="center" vertical="center"/>
    </xf>
    <xf numFmtId="0" fontId="63" fillId="35" borderId="1" xfId="0" applyFont="1" applyFill="1" applyBorder="1" applyAlignment="1">
      <alignment horizontal="center" vertical="center"/>
    </xf>
    <xf numFmtId="0" fontId="64" fillId="13" borderId="1" xfId="0" applyFont="1" applyFill="1" applyBorder="1" applyAlignment="1">
      <alignment horizontal="center" vertical="center"/>
    </xf>
    <xf numFmtId="0" fontId="61" fillId="36" borderId="1" xfId="0" applyFont="1" applyFill="1" applyBorder="1" applyAlignment="1">
      <alignment horizontal="center" vertical="center"/>
    </xf>
    <xf numFmtId="0" fontId="65" fillId="26" borderId="1" xfId="0" applyFont="1" applyFill="1" applyBorder="1" applyAlignment="1">
      <alignment horizontal="center" vertical="center"/>
    </xf>
    <xf numFmtId="0" fontId="66" fillId="37" borderId="1" xfId="0" applyFont="1" applyFill="1" applyBorder="1" applyAlignment="1">
      <alignment horizontal="center" vertical="center"/>
    </xf>
    <xf numFmtId="0" fontId="67" fillId="38" borderId="1" xfId="0" applyFont="1" applyFill="1" applyBorder="1" applyAlignment="1">
      <alignment horizontal="center" vertical="center"/>
    </xf>
    <xf numFmtId="0" fontId="56" fillId="30" borderId="1" xfId="0" applyFont="1" applyFill="1" applyBorder="1" applyAlignment="1">
      <alignment horizontal="center" vertical="center"/>
    </xf>
    <xf numFmtId="0" fontId="68" fillId="15" borderId="1" xfId="0" applyFont="1" applyFill="1" applyBorder="1" applyAlignment="1">
      <alignment horizontal="center" vertical="center"/>
    </xf>
    <xf numFmtId="0" fontId="69" fillId="15" borderId="1" xfId="0" applyFont="1" applyFill="1" applyBorder="1" applyAlignment="1">
      <alignment horizontal="center" vertical="center"/>
    </xf>
    <xf numFmtId="0" fontId="70" fillId="39" borderId="2" xfId="0" applyFont="1" applyFill="1" applyBorder="1" applyAlignment="1">
      <alignment horizontal="center" vertical="center" wrapText="1"/>
    </xf>
    <xf numFmtId="0" fontId="51" fillId="39" borderId="2" xfId="0" applyFont="1" applyFill="1" applyBorder="1" applyAlignment="1">
      <alignment horizontal="left" vertical="center"/>
    </xf>
    <xf numFmtId="0" fontId="58" fillId="39" borderId="3" xfId="0" applyFont="1" applyFill="1" applyBorder="1" applyAlignment="1">
      <alignment horizontal="left" vertical="center"/>
    </xf>
    <xf numFmtId="0" fontId="44" fillId="33" borderId="1" xfId="0" applyFont="1" applyFill="1" applyBorder="1" applyAlignment="1">
      <alignment horizontal="center" vertical="center" wrapText="1"/>
    </xf>
    <xf numFmtId="1" fontId="21" fillId="33" borderId="1" xfId="0" applyNumberFormat="1" applyFont="1" applyFill="1" applyBorder="1" applyAlignment="1">
      <alignment horizontal="center" vertical="center" wrapText="1"/>
    </xf>
    <xf numFmtId="0" fontId="71" fillId="40" borderId="2" xfId="0" applyFont="1" applyFill="1" applyBorder="1" applyAlignment="1">
      <alignment horizontal="center" vertical="center" wrapText="1"/>
    </xf>
    <xf numFmtId="0" fontId="51" fillId="40" borderId="2" xfId="0" applyFont="1" applyFill="1" applyBorder="1" applyAlignment="1">
      <alignment horizontal="left" vertical="center"/>
    </xf>
    <xf numFmtId="0" fontId="58" fillId="40" borderId="3" xfId="0" applyFont="1" applyFill="1" applyBorder="1" applyAlignment="1">
      <alignment horizontal="left" vertical="center"/>
    </xf>
    <xf numFmtId="0" fontId="48" fillId="8" borderId="1" xfId="0" applyFont="1" applyFill="1" applyBorder="1" applyAlignment="1">
      <alignment horizontal="center" vertical="center" wrapText="1"/>
    </xf>
    <xf numFmtId="0" fontId="72" fillId="18" borderId="1" xfId="0" applyFont="1" applyFill="1" applyBorder="1" applyAlignment="1">
      <alignment horizontal="center" vertical="center" wrapText="1"/>
    </xf>
    <xf numFmtId="0" fontId="35" fillId="3" borderId="1" xfId="0" applyFont="1" applyFill="1" applyBorder="1" applyAlignment="1">
      <alignment horizontal="center" vertical="center" wrapText="1"/>
    </xf>
    <xf numFmtId="0" fontId="73" fillId="35" borderId="1" xfId="0" applyFont="1" applyFill="1" applyBorder="1" applyAlignment="1">
      <alignment horizontal="center" vertical="center" wrapText="1"/>
    </xf>
    <xf numFmtId="0" fontId="74" fillId="13" borderId="1" xfId="0" applyFont="1" applyFill="1" applyBorder="1" applyAlignment="1">
      <alignment horizontal="center" vertical="center" wrapText="1"/>
    </xf>
    <xf numFmtId="0" fontId="72" fillId="36" borderId="1" xfId="0" applyFont="1" applyFill="1" applyBorder="1" applyAlignment="1">
      <alignment horizontal="center" vertical="center" wrapText="1"/>
    </xf>
    <xf numFmtId="0" fontId="75" fillId="26" borderId="1" xfId="0" applyFont="1" applyFill="1" applyBorder="1" applyAlignment="1">
      <alignment horizontal="center" vertical="center" wrapText="1"/>
    </xf>
    <xf numFmtId="0" fontId="76" fillId="37" borderId="1" xfId="0" applyFont="1" applyFill="1" applyBorder="1" applyAlignment="1">
      <alignment horizontal="center" vertical="center" wrapText="1"/>
    </xf>
    <xf numFmtId="0" fontId="77" fillId="38" borderId="1" xfId="0" applyFont="1" applyFill="1" applyBorder="1" applyAlignment="1">
      <alignment horizontal="center" vertical="center" wrapText="1"/>
    </xf>
    <xf numFmtId="0" fontId="46" fillId="30" borderId="1" xfId="0" applyFont="1" applyFill="1" applyBorder="1" applyAlignment="1">
      <alignment horizontal="center" vertical="center" wrapText="1"/>
    </xf>
    <xf numFmtId="0" fontId="78" fillId="15" borderId="1" xfId="0" applyFont="1" applyFill="1" applyBorder="1" applyAlignment="1">
      <alignment horizontal="center" vertical="center" wrapText="1"/>
    </xf>
    <xf numFmtId="0" fontId="79" fillId="15" borderId="1" xfId="0" applyFont="1" applyFill="1" applyBorder="1" applyAlignment="1">
      <alignment horizontal="center" vertical="center" wrapText="1"/>
    </xf>
    <xf numFmtId="0" fontId="44" fillId="15" borderId="1" xfId="0" applyFont="1" applyFill="1" applyBorder="1" applyAlignment="1">
      <alignment horizontal="center" vertical="center" wrapText="1"/>
    </xf>
    <xf numFmtId="0" fontId="80" fillId="8" borderId="1" xfId="0" applyFont="1" applyFill="1" applyBorder="1" applyAlignment="1">
      <alignment horizontal="center" vertical="center" wrapText="1"/>
    </xf>
    <xf numFmtId="0" fontId="25" fillId="18" borderId="1"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81" fillId="35"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25" fillId="36" borderId="1" xfId="0" applyFont="1" applyFill="1" applyBorder="1" applyAlignment="1">
      <alignment horizontal="center" vertical="center" wrapText="1"/>
    </xf>
    <xf numFmtId="0" fontId="82" fillId="26" borderId="1" xfId="0" applyFont="1" applyFill="1" applyBorder="1" applyAlignment="1">
      <alignment horizontal="center" vertical="center" wrapText="1"/>
    </xf>
    <xf numFmtId="0" fontId="83" fillId="37" borderId="1" xfId="0" applyFont="1" applyFill="1" applyBorder="1" applyAlignment="1">
      <alignment horizontal="center" vertical="center" wrapText="1"/>
    </xf>
    <xf numFmtId="0" fontId="84" fillId="38" borderId="1" xfId="0" applyFont="1" applyFill="1" applyBorder="1" applyAlignment="1">
      <alignment horizontal="center" vertical="center" wrapText="1"/>
    </xf>
    <xf numFmtId="0" fontId="85" fillId="30" borderId="1" xfId="0" applyFont="1" applyFill="1" applyBorder="1" applyAlignment="1">
      <alignment horizontal="center" vertical="center" wrapText="1"/>
    </xf>
    <xf numFmtId="0" fontId="59" fillId="15" borderId="1" xfId="0" applyFont="1" applyFill="1" applyBorder="1" applyAlignment="1">
      <alignment horizontal="center" vertical="center" wrapText="1"/>
    </xf>
    <xf numFmtId="0" fontId="86" fillId="15" borderId="1" xfId="0" applyFont="1" applyFill="1" applyBorder="1" applyAlignment="1">
      <alignment horizontal="center" vertical="center" wrapText="1"/>
    </xf>
    <xf numFmtId="0" fontId="87" fillId="28" borderId="2" xfId="0" applyFont="1" applyFill="1" applyBorder="1" applyAlignment="1">
      <alignment horizontal="center" vertical="center" wrapText="1"/>
    </xf>
    <xf numFmtId="0" fontId="51" fillId="28" borderId="2" xfId="0" applyFont="1" applyFill="1" applyBorder="1" applyAlignment="1">
      <alignment horizontal="left" vertical="center"/>
    </xf>
    <xf numFmtId="0" fontId="58" fillId="28" borderId="3" xfId="0" applyFont="1" applyFill="1" applyBorder="1" applyAlignment="1">
      <alignment horizontal="left" vertical="center"/>
    </xf>
    <xf numFmtId="0" fontId="88" fillId="19" borderId="1" xfId="0" applyFont="1" applyFill="1" applyBorder="1" applyAlignment="1">
      <alignment horizontal="center" vertical="center" wrapText="1"/>
    </xf>
    <xf numFmtId="0" fontId="78" fillId="3" borderId="1" xfId="0" applyFont="1" applyFill="1" applyBorder="1" applyAlignment="1">
      <alignment horizontal="center" vertical="center" wrapText="1"/>
    </xf>
    <xf numFmtId="0" fontId="89" fillId="26" borderId="1" xfId="0" applyFont="1" applyFill="1" applyBorder="1" applyAlignment="1">
      <alignment horizontal="center" vertical="center" wrapText="1"/>
    </xf>
    <xf numFmtId="0" fontId="44" fillId="24" borderId="1" xfId="0" applyFont="1" applyFill="1" applyBorder="1" applyAlignment="1">
      <alignment horizontal="center" vertical="center" wrapText="1"/>
    </xf>
    <xf numFmtId="0" fontId="44" fillId="36" borderId="1" xfId="0" applyFont="1" applyFill="1" applyBorder="1" applyAlignment="1">
      <alignment horizontal="center" vertical="center" wrapText="1"/>
    </xf>
    <xf numFmtId="0" fontId="90" fillId="41" borderId="2" xfId="0" applyFont="1" applyFill="1" applyBorder="1" applyAlignment="1">
      <alignment horizontal="center" vertical="center" wrapText="1"/>
    </xf>
    <xf numFmtId="0" fontId="51" fillId="41" borderId="2" xfId="0" applyFont="1" applyFill="1" applyBorder="1" applyAlignment="1">
      <alignment horizontal="left" vertical="center"/>
    </xf>
    <xf numFmtId="0" fontId="58" fillId="41" borderId="3" xfId="0" applyFont="1" applyFill="1" applyBorder="1" applyAlignment="1">
      <alignment horizontal="left" vertical="center"/>
    </xf>
    <xf numFmtId="0" fontId="44" fillId="38" borderId="1" xfId="0" applyFont="1" applyFill="1" applyBorder="1" applyAlignment="1">
      <alignment horizontal="center" vertical="center" wrapText="1"/>
    </xf>
    <xf numFmtId="0" fontId="91" fillId="42" borderId="2" xfId="0" applyFont="1" applyFill="1" applyBorder="1" applyAlignment="1">
      <alignment horizontal="center" vertical="center" wrapText="1"/>
    </xf>
    <xf numFmtId="0" fontId="51" fillId="42" borderId="2" xfId="0" applyFont="1" applyFill="1" applyBorder="1" applyAlignment="1">
      <alignment horizontal="left" vertical="center"/>
    </xf>
    <xf numFmtId="0" fontId="58" fillId="42" borderId="3" xfId="0" applyFont="1" applyFill="1" applyBorder="1" applyAlignment="1">
      <alignment horizontal="left" vertical="center"/>
    </xf>
    <xf numFmtId="0" fontId="44" fillId="43" borderId="1" xfId="0" applyFont="1" applyFill="1" applyBorder="1" applyAlignment="1">
      <alignment horizontal="center" vertical="center" wrapText="1"/>
    </xf>
    <xf numFmtId="0" fontId="92" fillId="13" borderId="2" xfId="0" applyFont="1" applyFill="1" applyBorder="1" applyAlignment="1">
      <alignment horizontal="center" vertical="center" wrapText="1"/>
    </xf>
    <xf numFmtId="0" fontId="51" fillId="13" borderId="2" xfId="0" applyFont="1" applyFill="1" applyBorder="1" applyAlignment="1">
      <alignment horizontal="left" vertical="center"/>
    </xf>
    <xf numFmtId="0" fontId="58" fillId="13" borderId="3" xfId="0" applyFont="1" applyFill="1" applyBorder="1" applyAlignment="1">
      <alignment horizontal="left" vertical="center"/>
    </xf>
    <xf numFmtId="0" fontId="44" fillId="44" borderId="1" xfId="0" applyFont="1" applyFill="1" applyBorder="1" applyAlignment="1">
      <alignment horizontal="center" vertical="center" wrapText="1"/>
    </xf>
    <xf numFmtId="0" fontId="93" fillId="40" borderId="2" xfId="0" applyFont="1" applyFill="1" applyBorder="1" applyAlignment="1">
      <alignment horizontal="center" vertical="center" wrapText="1"/>
    </xf>
    <xf numFmtId="0" fontId="94" fillId="41" borderId="2" xfId="0" applyFont="1" applyFill="1" applyBorder="1" applyAlignment="1">
      <alignment horizontal="center" vertical="center" wrapText="1"/>
    </xf>
    <xf numFmtId="0" fontId="44" fillId="45" borderId="1" xfId="0" applyFont="1" applyFill="1" applyBorder="1" applyAlignment="1">
      <alignment horizontal="center" vertical="center" wrapText="1"/>
    </xf>
    <xf numFmtId="0" fontId="95" fillId="46" borderId="2" xfId="0" applyFont="1" applyFill="1" applyBorder="1" applyAlignment="1">
      <alignment horizontal="center" vertical="center" wrapText="1"/>
    </xf>
    <xf numFmtId="0" fontId="51" fillId="46" borderId="2" xfId="0" applyFont="1" applyFill="1" applyBorder="1" applyAlignment="1">
      <alignment horizontal="left" vertical="center"/>
    </xf>
    <xf numFmtId="0" fontId="58" fillId="46" borderId="3" xfId="0" applyFont="1" applyFill="1" applyBorder="1" applyAlignment="1">
      <alignment horizontal="left" vertical="center"/>
    </xf>
    <xf numFmtId="0" fontId="96" fillId="47" borderId="2" xfId="0" applyFont="1" applyFill="1" applyBorder="1" applyAlignment="1">
      <alignment horizontal="center" vertical="center" wrapText="1"/>
    </xf>
    <xf numFmtId="0" fontId="51" fillId="47" borderId="2" xfId="0" applyFont="1" applyFill="1" applyBorder="1" applyAlignment="1">
      <alignment horizontal="left" vertical="center"/>
    </xf>
    <xf numFmtId="0" fontId="58" fillId="47" borderId="3" xfId="0" applyFont="1" applyFill="1" applyBorder="1" applyAlignment="1">
      <alignment horizontal="left" vertical="center"/>
    </xf>
    <xf numFmtId="0" fontId="44" fillId="26" borderId="1" xfId="0" applyFont="1" applyFill="1" applyBorder="1" applyAlignment="1">
      <alignment horizontal="center" vertical="center" wrapText="1"/>
    </xf>
    <xf numFmtId="0" fontId="97" fillId="28" borderId="2" xfId="0" applyFont="1" applyFill="1" applyBorder="1" applyAlignment="1">
      <alignment horizontal="center" vertical="center" wrapText="1"/>
    </xf>
    <xf numFmtId="0" fontId="44" fillId="23" borderId="1" xfId="0" applyFont="1" applyFill="1" applyBorder="1" applyAlignment="1">
      <alignment horizontal="center" vertical="center" wrapText="1"/>
    </xf>
    <xf numFmtId="0" fontId="98" fillId="48" borderId="2" xfId="0" applyFont="1" applyFill="1" applyBorder="1" applyAlignment="1">
      <alignment horizontal="center" vertical="center" wrapText="1"/>
    </xf>
    <xf numFmtId="0" fontId="68" fillId="48" borderId="2" xfId="0" applyFont="1" applyFill="1" applyBorder="1" applyAlignment="1">
      <alignment horizontal="left" vertical="center"/>
    </xf>
    <xf numFmtId="0" fontId="58" fillId="48" borderId="3" xfId="0" applyFont="1" applyFill="1" applyBorder="1" applyAlignment="1">
      <alignment horizontal="left" vertical="center"/>
    </xf>
    <xf numFmtId="0" fontId="24" fillId="45" borderId="1" xfId="0" applyFont="1" applyFill="1" applyBorder="1" applyAlignment="1">
      <alignment horizontal="center" vertical="center" wrapText="1"/>
    </xf>
    <xf numFmtId="0" fontId="20" fillId="34" borderId="1" xfId="0" applyFont="1" applyFill="1" applyBorder="1" applyAlignment="1">
      <alignment horizontal="center" vertical="center"/>
    </xf>
    <xf numFmtId="0" fontId="21" fillId="36" borderId="1" xfId="0" applyFont="1" applyFill="1" applyBorder="1"/>
    <xf numFmtId="0" fontId="100" fillId="15" borderId="1" xfId="0" applyFont="1" applyFill="1" applyBorder="1" applyAlignment="1">
      <alignment horizontal="left" vertical="center"/>
    </xf>
    <xf numFmtId="0" fontId="25" fillId="36" borderId="1" xfId="0" applyFont="1" applyFill="1" applyBorder="1"/>
    <xf numFmtId="0" fontId="58" fillId="36" borderId="1" xfId="0" applyFont="1" applyFill="1" applyBorder="1"/>
    <xf numFmtId="0" fontId="21" fillId="24" borderId="1" xfId="0" applyFont="1" applyFill="1" applyBorder="1"/>
    <xf numFmtId="0" fontId="25" fillId="24" borderId="1" xfId="0" applyFont="1" applyFill="1" applyBorder="1"/>
    <xf numFmtId="0" fontId="58" fillId="24" borderId="1" xfId="0" applyFont="1" applyFill="1" applyBorder="1"/>
    <xf numFmtId="0" fontId="37" fillId="0" borderId="0" xfId="0" applyFont="1"/>
    <xf numFmtId="0" fontId="42" fillId="31" borderId="1" xfId="0" applyFont="1" applyFill="1" applyBorder="1" applyAlignment="1">
      <alignment horizontal="center" vertical="center"/>
    </xf>
    <xf numFmtId="0" fontId="102" fillId="19" borderId="1" xfId="0" applyFont="1" applyFill="1" applyBorder="1" applyAlignment="1">
      <alignment horizontal="center" vertical="center"/>
    </xf>
    <xf numFmtId="0" fontId="103" fillId="35" borderId="1" xfId="0" applyFont="1" applyFill="1" applyBorder="1" applyAlignment="1">
      <alignment horizontal="center" vertical="center"/>
    </xf>
    <xf numFmtId="0" fontId="104" fillId="8" borderId="1" xfId="0" applyFont="1" applyFill="1" applyBorder="1" applyAlignment="1">
      <alignment horizontal="center" vertical="center"/>
    </xf>
    <xf numFmtId="0" fontId="105" fillId="18" borderId="1" xfId="0" applyFont="1" applyFill="1" applyBorder="1" applyAlignment="1">
      <alignment horizontal="center" vertical="center"/>
    </xf>
    <xf numFmtId="0" fontId="106" fillId="38" borderId="1" xfId="0" applyFont="1" applyFill="1" applyBorder="1" applyAlignment="1">
      <alignment horizontal="center" vertical="center"/>
    </xf>
    <xf numFmtId="0" fontId="107" fillId="37" borderId="1" xfId="0" applyFont="1" applyFill="1" applyBorder="1" applyAlignment="1">
      <alignment horizontal="center" vertical="center"/>
    </xf>
    <xf numFmtId="0" fontId="108" fillId="30" borderId="1" xfId="0" applyFont="1" applyFill="1" applyBorder="1" applyAlignment="1">
      <alignment horizontal="center" vertical="center"/>
    </xf>
    <xf numFmtId="0" fontId="45" fillId="49" borderId="1" xfId="0" applyFont="1" applyFill="1" applyBorder="1" applyAlignment="1">
      <alignment horizontal="center" vertical="center"/>
    </xf>
    <xf numFmtId="0" fontId="109" fillId="45" borderId="1" xfId="0" applyFont="1" applyFill="1" applyBorder="1" applyAlignment="1">
      <alignment horizontal="center" vertical="center"/>
    </xf>
    <xf numFmtId="0" fontId="42" fillId="31" borderId="4" xfId="0" applyFont="1" applyFill="1" applyBorder="1" applyAlignment="1">
      <alignment horizontal="center" vertical="center" wrapText="1"/>
    </xf>
    <xf numFmtId="0" fontId="51" fillId="33" borderId="1" xfId="0" applyFont="1" applyFill="1" applyBorder="1" applyAlignment="1">
      <alignment horizontal="left" vertical="center"/>
    </xf>
    <xf numFmtId="0" fontId="58" fillId="33" borderId="3" xfId="0" applyFont="1" applyFill="1" applyBorder="1" applyAlignment="1">
      <alignment horizontal="left" vertical="center"/>
    </xf>
    <xf numFmtId="0" fontId="44" fillId="33" borderId="1" xfId="0" applyFont="1" applyFill="1" applyBorder="1" applyAlignment="1">
      <alignment horizontal="left" vertical="center" wrapText="1"/>
    </xf>
    <xf numFmtId="0" fontId="44" fillId="24" borderId="1" xfId="0" applyFont="1" applyFill="1" applyBorder="1" applyAlignment="1">
      <alignment horizontal="left" vertical="center" wrapText="1"/>
    </xf>
    <xf numFmtId="1" fontId="102" fillId="19" borderId="1" xfId="0" applyNumberFormat="1" applyFont="1" applyFill="1" applyBorder="1" applyAlignment="1">
      <alignment horizontal="center" vertical="center"/>
    </xf>
    <xf numFmtId="1" fontId="103" fillId="35" borderId="1" xfId="0" applyNumberFormat="1" applyFont="1" applyFill="1" applyBorder="1" applyAlignment="1">
      <alignment horizontal="center" vertical="center"/>
    </xf>
    <xf numFmtId="1" fontId="104" fillId="8" borderId="1" xfId="0" applyNumberFormat="1" applyFont="1" applyFill="1" applyBorder="1" applyAlignment="1">
      <alignment horizontal="center" vertical="center"/>
    </xf>
    <xf numFmtId="1" fontId="105" fillId="18" borderId="1" xfId="0" applyNumberFormat="1" applyFont="1" applyFill="1" applyBorder="1" applyAlignment="1">
      <alignment horizontal="center" vertical="center"/>
    </xf>
    <xf numFmtId="1" fontId="106" fillId="38" borderId="1" xfId="0" applyNumberFormat="1" applyFont="1" applyFill="1" applyBorder="1" applyAlignment="1">
      <alignment horizontal="center" vertical="center"/>
    </xf>
    <xf numFmtId="1" fontId="107" fillId="37" borderId="1" xfId="0" applyNumberFormat="1" applyFont="1" applyFill="1" applyBorder="1" applyAlignment="1">
      <alignment horizontal="center" vertical="center"/>
    </xf>
    <xf numFmtId="1" fontId="108" fillId="30" borderId="1" xfId="0" applyNumberFormat="1" applyFont="1" applyFill="1" applyBorder="1" applyAlignment="1">
      <alignment horizontal="center" vertical="center"/>
    </xf>
    <xf numFmtId="1" fontId="45" fillId="49" borderId="1" xfId="0" applyNumberFormat="1" applyFont="1" applyFill="1" applyBorder="1" applyAlignment="1">
      <alignment horizontal="center" vertical="center"/>
    </xf>
    <xf numFmtId="1" fontId="109" fillId="45" borderId="1" xfId="0" applyNumberFormat="1" applyFont="1" applyFill="1" applyBorder="1" applyAlignment="1">
      <alignment horizontal="center" vertical="center"/>
    </xf>
    <xf numFmtId="0" fontId="42" fillId="16" borderId="4" xfId="0" applyFont="1" applyFill="1" applyBorder="1" applyAlignment="1">
      <alignment horizontal="center" vertical="center" wrapText="1"/>
    </xf>
    <xf numFmtId="0" fontId="51" fillId="15" borderId="1" xfId="0" applyFont="1" applyFill="1" applyBorder="1" applyAlignment="1">
      <alignment horizontal="left" vertical="center"/>
    </xf>
    <xf numFmtId="0" fontId="58" fillId="15" borderId="3" xfId="0" applyFont="1" applyFill="1" applyBorder="1" applyAlignment="1">
      <alignment horizontal="left" vertical="center"/>
    </xf>
    <xf numFmtId="0" fontId="74" fillId="19" borderId="1" xfId="0" applyFont="1" applyFill="1" applyBorder="1" applyAlignment="1">
      <alignment horizontal="left" vertical="center" wrapText="1"/>
    </xf>
    <xf numFmtId="0" fontId="73" fillId="35"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72" fillId="18" borderId="1" xfId="0" applyFont="1" applyFill="1" applyBorder="1" applyAlignment="1">
      <alignment horizontal="left" vertical="center" wrapText="1"/>
    </xf>
    <xf numFmtId="0" fontId="77" fillId="38" borderId="1" xfId="0" applyFont="1" applyFill="1" applyBorder="1" applyAlignment="1">
      <alignment horizontal="left" vertical="center" wrapText="1"/>
    </xf>
    <xf numFmtId="0" fontId="76" fillId="37" borderId="1" xfId="0" applyFont="1" applyFill="1" applyBorder="1" applyAlignment="1">
      <alignment horizontal="left" vertical="center" wrapText="1"/>
    </xf>
    <xf numFmtId="0" fontId="46" fillId="30" borderId="1" xfId="0" applyFont="1" applyFill="1" applyBorder="1" applyAlignment="1">
      <alignment horizontal="left" vertical="center" wrapText="1"/>
    </xf>
    <xf numFmtId="0" fontId="75" fillId="49" borderId="1" xfId="0" applyFont="1" applyFill="1" applyBorder="1" applyAlignment="1">
      <alignment horizontal="left" vertical="center" wrapText="1"/>
    </xf>
    <xf numFmtId="0" fontId="110" fillId="45" borderId="1" xfId="0" applyFont="1" applyFill="1" applyBorder="1" applyAlignment="1">
      <alignment horizontal="left" vertical="center" wrapText="1"/>
    </xf>
    <xf numFmtId="0" fontId="19" fillId="19" borderId="1" xfId="0" applyFont="1" applyFill="1" applyBorder="1" applyAlignment="1">
      <alignment horizontal="left" vertical="center" wrapText="1"/>
    </xf>
    <xf numFmtId="0" fontId="81" fillId="35" borderId="1" xfId="0" applyFont="1" applyFill="1" applyBorder="1" applyAlignment="1">
      <alignment horizontal="left" vertical="center" wrapText="1"/>
    </xf>
    <xf numFmtId="0" fontId="80" fillId="8" borderId="1" xfId="0" applyFont="1" applyFill="1" applyBorder="1" applyAlignment="1">
      <alignment horizontal="left" vertical="center" wrapText="1"/>
    </xf>
    <xf numFmtId="0" fontId="25" fillId="18" borderId="1" xfId="0" applyFont="1" applyFill="1" applyBorder="1" applyAlignment="1">
      <alignment horizontal="left" vertical="center" wrapText="1"/>
    </xf>
    <xf numFmtId="0" fontId="84" fillId="38" borderId="1" xfId="0" applyFont="1" applyFill="1" applyBorder="1" applyAlignment="1">
      <alignment horizontal="left" vertical="center" wrapText="1"/>
    </xf>
    <xf numFmtId="0" fontId="83" fillId="37" borderId="1" xfId="0" applyFont="1" applyFill="1" applyBorder="1" applyAlignment="1">
      <alignment horizontal="left" vertical="center" wrapText="1"/>
    </xf>
    <xf numFmtId="0" fontId="85" fillId="30" borderId="1" xfId="0" applyFont="1" applyFill="1" applyBorder="1" applyAlignment="1">
      <alignment horizontal="left" vertical="center" wrapText="1"/>
    </xf>
    <xf numFmtId="0" fontId="82" fillId="49" borderId="1" xfId="0" applyFont="1" applyFill="1" applyBorder="1" applyAlignment="1">
      <alignment horizontal="left" vertical="center" wrapText="1"/>
    </xf>
    <xf numFmtId="0" fontId="111" fillId="45" borderId="1" xfId="0" applyFont="1" applyFill="1" applyBorder="1" applyAlignment="1">
      <alignment horizontal="left" vertical="center" wrapText="1"/>
    </xf>
    <xf numFmtId="0" fontId="44" fillId="15" borderId="1" xfId="0" applyFont="1" applyFill="1" applyBorder="1" applyAlignment="1">
      <alignment horizontal="left" vertical="center" wrapText="1"/>
    </xf>
    <xf numFmtId="0" fontId="42" fillId="17" borderId="4" xfId="0" applyFont="1" applyFill="1" applyBorder="1" applyAlignment="1">
      <alignment horizontal="center" vertical="center" wrapText="1"/>
    </xf>
    <xf numFmtId="0" fontId="51" fillId="36" borderId="1" xfId="0" applyFont="1" applyFill="1" applyBorder="1" applyAlignment="1">
      <alignment horizontal="left" vertical="center"/>
    </xf>
    <xf numFmtId="0" fontId="58" fillId="36" borderId="3" xfId="0" applyFont="1" applyFill="1" applyBorder="1" applyAlignment="1">
      <alignment horizontal="left" vertical="center"/>
    </xf>
    <xf numFmtId="0" fontId="44" fillId="36" borderId="1" xfId="0" applyFont="1" applyFill="1" applyBorder="1" applyAlignment="1">
      <alignment horizontal="left" vertical="center" wrapText="1"/>
    </xf>
    <xf numFmtId="0" fontId="42" fillId="14" borderId="4" xfId="0" applyFont="1" applyFill="1" applyBorder="1" applyAlignment="1">
      <alignment horizontal="center" vertical="center" wrapText="1"/>
    </xf>
    <xf numFmtId="0" fontId="51" fillId="38" borderId="1" xfId="0" applyFont="1" applyFill="1" applyBorder="1" applyAlignment="1">
      <alignment horizontal="left" vertical="center"/>
    </xf>
    <xf numFmtId="0" fontId="58" fillId="38" borderId="3" xfId="0" applyFont="1" applyFill="1" applyBorder="1" applyAlignment="1">
      <alignment horizontal="left" vertical="center"/>
    </xf>
    <xf numFmtId="0" fontId="44" fillId="38" borderId="1" xfId="0" applyFont="1" applyFill="1" applyBorder="1" applyAlignment="1">
      <alignment horizontal="left" vertical="center" wrapText="1"/>
    </xf>
    <xf numFmtId="0" fontId="42" fillId="50" borderId="4" xfId="0" applyFont="1" applyFill="1" applyBorder="1" applyAlignment="1">
      <alignment horizontal="center" vertical="center" wrapText="1"/>
    </xf>
    <xf numFmtId="0" fontId="51" fillId="45" borderId="1" xfId="0" applyFont="1" applyFill="1" applyBorder="1" applyAlignment="1">
      <alignment horizontal="left" vertical="center"/>
    </xf>
    <xf numFmtId="0" fontId="58" fillId="45" borderId="3" xfId="0" applyFont="1" applyFill="1" applyBorder="1" applyAlignment="1">
      <alignment horizontal="left" vertical="center"/>
    </xf>
    <xf numFmtId="0" fontId="44" fillId="45" borderId="1" xfId="0" applyFont="1" applyFill="1" applyBorder="1" applyAlignment="1">
      <alignment horizontal="left" vertical="center" wrapText="1"/>
    </xf>
    <xf numFmtId="0" fontId="42" fillId="21" borderId="4" xfId="0" applyFont="1" applyFill="1" applyBorder="1" applyAlignment="1">
      <alignment horizontal="center" vertical="center" wrapText="1"/>
    </xf>
    <xf numFmtId="0" fontId="51" fillId="49" borderId="1" xfId="0" applyFont="1" applyFill="1" applyBorder="1" applyAlignment="1">
      <alignment horizontal="left" vertical="center"/>
    </xf>
    <xf numFmtId="0" fontId="58" fillId="49" borderId="3" xfId="0" applyFont="1" applyFill="1" applyBorder="1" applyAlignment="1">
      <alignment horizontal="left" vertical="center"/>
    </xf>
    <xf numFmtId="0" fontId="44" fillId="49" borderId="1" xfId="0" applyFont="1" applyFill="1" applyBorder="1" applyAlignment="1">
      <alignment horizontal="left" vertical="center" wrapText="1"/>
    </xf>
    <xf numFmtId="0" fontId="42" fillId="32" borderId="4" xfId="0" applyFont="1" applyFill="1" applyBorder="1" applyAlignment="1">
      <alignment horizontal="center" vertical="center" wrapText="1"/>
    </xf>
    <xf numFmtId="0" fontId="68" fillId="23" borderId="1" xfId="0" applyFont="1" applyFill="1" applyBorder="1" applyAlignment="1">
      <alignment horizontal="left" vertical="center"/>
    </xf>
    <xf numFmtId="0" fontId="58" fillId="23" borderId="3" xfId="0" applyFont="1" applyFill="1" applyBorder="1" applyAlignment="1">
      <alignment horizontal="left" vertical="center"/>
    </xf>
    <xf numFmtId="0" fontId="44" fillId="23" borderId="1" xfId="0" applyFont="1" applyFill="1" applyBorder="1" applyAlignment="1">
      <alignment horizontal="left" vertical="center" wrapText="1"/>
    </xf>
    <xf numFmtId="0" fontId="24" fillId="33" borderId="1" xfId="0" applyFont="1" applyFill="1" applyBorder="1" applyAlignment="1">
      <alignment horizontal="left" vertical="center" wrapText="1"/>
    </xf>
    <xf numFmtId="0" fontId="88" fillId="19" borderId="1" xfId="0" applyFont="1" applyFill="1" applyBorder="1" applyAlignment="1">
      <alignment horizontal="left" vertical="center" wrapText="1"/>
    </xf>
    <xf numFmtId="0" fontId="20" fillId="31" borderId="1" xfId="0" applyFont="1" applyFill="1" applyBorder="1" applyAlignment="1">
      <alignment horizontal="center" vertical="center"/>
    </xf>
    <xf numFmtId="0" fontId="56" fillId="15" borderId="1" xfId="0" applyFont="1" applyFill="1" applyBorder="1"/>
    <xf numFmtId="0" fontId="58" fillId="15" borderId="1" xfId="0" applyFont="1" applyFill="1" applyBorder="1"/>
    <xf numFmtId="0" fontId="52" fillId="15" borderId="1" xfId="0" applyFont="1" applyFill="1" applyBorder="1"/>
    <xf numFmtId="0" fontId="56" fillId="24" borderId="1" xfId="0" applyFont="1" applyFill="1" applyBorder="1"/>
    <xf numFmtId="0" fontId="52" fillId="24" borderId="1" xfId="0" applyFont="1" applyFill="1" applyBorder="1"/>
    <xf numFmtId="0" fontId="102" fillId="19" borderId="1" xfId="0" applyFont="1" applyFill="1" applyBorder="1" applyAlignment="1">
      <alignment horizontal="left" vertical="center"/>
    </xf>
    <xf numFmtId="0" fontId="112" fillId="19" borderId="1" xfId="0" applyFont="1" applyFill="1" applyBorder="1" applyAlignment="1">
      <alignment horizontal="left" vertical="center"/>
    </xf>
    <xf numFmtId="0" fontId="113" fillId="19" borderId="1" xfId="0" applyFont="1" applyFill="1" applyBorder="1" applyAlignment="1">
      <alignment horizontal="center" vertical="center"/>
    </xf>
    <xf numFmtId="0" fontId="114" fillId="7" borderId="1" xfId="0" applyFont="1" applyFill="1" applyBorder="1" applyAlignment="1">
      <alignment horizontal="center" vertical="center"/>
    </xf>
    <xf numFmtId="0" fontId="55" fillId="7" borderId="1" xfId="0" applyFont="1" applyFill="1" applyBorder="1" applyAlignment="1">
      <alignment horizontal="center" vertical="center"/>
    </xf>
    <xf numFmtId="0" fontId="115" fillId="41" borderId="1" xfId="0" applyFont="1" applyFill="1" applyBorder="1" applyAlignment="1">
      <alignment horizontal="center" vertical="center"/>
    </xf>
    <xf numFmtId="0" fontId="116" fillId="41" borderId="1" xfId="0" applyFont="1" applyFill="1" applyBorder="1" applyAlignment="1">
      <alignment horizontal="center" vertical="center"/>
    </xf>
    <xf numFmtId="0" fontId="117" fillId="41" borderId="1" xfId="0" applyFont="1" applyFill="1" applyBorder="1" applyAlignment="1">
      <alignment horizontal="center" vertical="center"/>
    </xf>
    <xf numFmtId="0" fontId="43" fillId="28" borderId="1" xfId="0" applyFont="1" applyFill="1" applyBorder="1" applyAlignment="1">
      <alignment horizontal="left" vertical="center"/>
    </xf>
    <xf numFmtId="0" fontId="41" fillId="3" borderId="1" xfId="0" applyFont="1" applyFill="1" applyBorder="1" applyAlignment="1">
      <alignment horizontal="left" vertical="center" wrapText="1"/>
    </xf>
    <xf numFmtId="0" fontId="118" fillId="30" borderId="1" xfId="0" applyFont="1" applyFill="1" applyBorder="1" applyAlignment="1">
      <alignment horizontal="left" vertical="center" wrapText="1"/>
    </xf>
    <xf numFmtId="0" fontId="24" fillId="30" borderId="1" xfId="0" applyFont="1" applyFill="1" applyBorder="1" applyAlignment="1">
      <alignment horizontal="center" vertical="center" wrapText="1"/>
    </xf>
    <xf numFmtId="0" fontId="85" fillId="44" borderId="1" xfId="0" applyFont="1" applyFill="1" applyBorder="1" applyAlignment="1">
      <alignment horizontal="left" vertical="center" wrapText="1"/>
    </xf>
    <xf numFmtId="0" fontId="103" fillId="35" borderId="1" xfId="0" applyFont="1" applyFill="1" applyBorder="1" applyAlignment="1">
      <alignment horizontal="left" vertical="center"/>
    </xf>
    <xf numFmtId="0" fontId="112" fillId="35" borderId="1" xfId="0" applyFont="1" applyFill="1" applyBorder="1" applyAlignment="1">
      <alignment horizontal="left" vertical="center"/>
    </xf>
    <xf numFmtId="0" fontId="84" fillId="41" borderId="1" xfId="0" applyFont="1" applyFill="1" applyBorder="1" applyAlignment="1">
      <alignment horizontal="center" vertical="center" wrapText="1"/>
    </xf>
    <xf numFmtId="0" fontId="104" fillId="8" borderId="1" xfId="0" applyFont="1" applyFill="1" applyBorder="1" applyAlignment="1">
      <alignment horizontal="left" vertical="center"/>
    </xf>
    <xf numFmtId="0" fontId="112" fillId="8" borderId="1" xfId="0" applyFont="1" applyFill="1" applyBorder="1" applyAlignment="1">
      <alignment horizontal="left" vertical="center"/>
    </xf>
    <xf numFmtId="0" fontId="105" fillId="18" borderId="1" xfId="0" applyFont="1" applyFill="1" applyBorder="1" applyAlignment="1">
      <alignment horizontal="left" vertical="center"/>
    </xf>
    <xf numFmtId="0" fontId="112" fillId="18" borderId="1" xfId="0" applyFont="1" applyFill="1" applyBorder="1" applyAlignment="1">
      <alignment horizontal="left" vertical="center"/>
    </xf>
    <xf numFmtId="0" fontId="106" fillId="38" borderId="1" xfId="0" applyFont="1" applyFill="1" applyBorder="1" applyAlignment="1">
      <alignment horizontal="left" vertical="center"/>
    </xf>
    <xf numFmtId="0" fontId="112" fillId="38" borderId="1" xfId="0" applyFont="1" applyFill="1" applyBorder="1" applyAlignment="1">
      <alignment horizontal="left" vertical="center"/>
    </xf>
    <xf numFmtId="0" fontId="107" fillId="37" borderId="1" xfId="0" applyFont="1" applyFill="1" applyBorder="1" applyAlignment="1">
      <alignment horizontal="left" vertical="center"/>
    </xf>
    <xf numFmtId="0" fontId="112" fillId="37" borderId="1" xfId="0" applyFont="1" applyFill="1" applyBorder="1" applyAlignment="1">
      <alignment horizontal="left" vertical="center"/>
    </xf>
    <xf numFmtId="0" fontId="108" fillId="30" borderId="1" xfId="0" applyFont="1" applyFill="1" applyBorder="1" applyAlignment="1">
      <alignment horizontal="left" vertical="center"/>
    </xf>
    <xf numFmtId="0" fontId="112" fillId="30" borderId="1" xfId="0" applyFont="1" applyFill="1" applyBorder="1" applyAlignment="1">
      <alignment horizontal="left" vertical="center"/>
    </xf>
    <xf numFmtId="0" fontId="45" fillId="49" borderId="1" xfId="0" applyFont="1" applyFill="1" applyBorder="1" applyAlignment="1">
      <alignment horizontal="left" vertical="center"/>
    </xf>
    <xf numFmtId="0" fontId="112" fillId="49" borderId="1" xfId="0" applyFont="1" applyFill="1" applyBorder="1" applyAlignment="1">
      <alignment horizontal="left" vertical="center"/>
    </xf>
    <xf numFmtId="0" fontId="109" fillId="45" borderId="1" xfId="0" applyFont="1" applyFill="1" applyBorder="1" applyAlignment="1">
      <alignment horizontal="left" vertical="center"/>
    </xf>
    <xf numFmtId="0" fontId="112" fillId="45" borderId="1" xfId="0" applyFont="1" applyFill="1" applyBorder="1" applyAlignment="1">
      <alignment horizontal="left" vertical="center"/>
    </xf>
    <xf numFmtId="0" fontId="114" fillId="7" borderId="1" xfId="0" applyFont="1" applyFill="1" applyBorder="1" applyAlignment="1">
      <alignment horizontal="left" vertical="center"/>
    </xf>
    <xf numFmtId="0" fontId="58" fillId="25" borderId="1" xfId="0" applyFont="1" applyFill="1" applyBorder="1"/>
    <xf numFmtId="0" fontId="120" fillId="7" borderId="1" xfId="0" applyFont="1" applyFill="1" applyBorder="1" applyAlignment="1">
      <alignment horizontal="center" vertical="center"/>
    </xf>
    <xf numFmtId="0" fontId="44" fillId="25" borderId="1" xfId="0" applyFont="1" applyFill="1" applyBorder="1" applyAlignment="1">
      <alignment horizontal="left" vertical="center"/>
    </xf>
    <xf numFmtId="0" fontId="121" fillId="19" borderId="1" xfId="0" applyFont="1" applyFill="1" applyBorder="1" applyAlignment="1">
      <alignment horizontal="left" vertical="center"/>
    </xf>
    <xf numFmtId="0" fontId="122" fillId="19" borderId="1" xfId="0" applyFont="1" applyFill="1" applyBorder="1" applyAlignment="1">
      <alignment horizontal="center" vertical="center"/>
    </xf>
    <xf numFmtId="0" fontId="44" fillId="24" borderId="1" xfId="0" applyFont="1" applyFill="1" applyBorder="1" applyAlignment="1">
      <alignment horizontal="left" vertical="center"/>
    </xf>
    <xf numFmtId="0" fontId="47" fillId="28" borderId="1" xfId="0" applyFont="1" applyFill="1" applyBorder="1" applyAlignment="1">
      <alignment horizontal="left" vertical="center"/>
    </xf>
    <xf numFmtId="0" fontId="123" fillId="28" borderId="1" xfId="0" applyFont="1" applyFill="1" applyBorder="1" applyAlignment="1">
      <alignment horizontal="center" vertical="center"/>
    </xf>
    <xf numFmtId="0" fontId="61" fillId="18" borderId="1" xfId="0" applyFont="1" applyFill="1" applyBorder="1" applyAlignment="1">
      <alignment horizontal="left" vertical="center"/>
    </xf>
    <xf numFmtId="0" fontId="62" fillId="3" borderId="1" xfId="0" applyFont="1" applyFill="1" applyBorder="1" applyAlignment="1">
      <alignment horizontal="left" vertical="center"/>
    </xf>
    <xf numFmtId="0" fontId="124" fillId="3" borderId="1" xfId="0" applyFont="1" applyFill="1" applyBorder="1" applyAlignment="1">
      <alignment horizontal="center" vertical="center"/>
    </xf>
    <xf numFmtId="0" fontId="125" fillId="30" borderId="1" xfId="0" applyFont="1" applyFill="1" applyBorder="1" applyAlignment="1">
      <alignment horizontal="left" vertical="center"/>
    </xf>
    <xf numFmtId="0" fontId="126" fillId="30" borderId="1" xfId="0" applyFont="1" applyFill="1" applyBorder="1" applyAlignment="1">
      <alignment horizontal="center" vertical="center"/>
    </xf>
    <xf numFmtId="0" fontId="60" fillId="8" borderId="1" xfId="0" applyFont="1" applyFill="1" applyBorder="1" applyAlignment="1">
      <alignment horizontal="left" vertical="center"/>
    </xf>
    <xf numFmtId="0" fontId="116" fillId="41" borderId="1" xfId="0" applyFont="1" applyFill="1" applyBorder="1" applyAlignment="1">
      <alignment horizontal="left" vertical="center"/>
    </xf>
    <xf numFmtId="0" fontId="127" fillId="41" borderId="1" xfId="0" applyFont="1" applyFill="1" applyBorder="1" applyAlignment="1">
      <alignment horizontal="center" vertical="center"/>
    </xf>
    <xf numFmtId="0" fontId="128" fillId="24" borderId="1" xfId="0" applyFont="1" applyFill="1" applyBorder="1" applyAlignment="1">
      <alignment horizontal="center" vertical="center"/>
    </xf>
    <xf numFmtId="0" fontId="65" fillId="26" borderId="1" xfId="0" applyFont="1" applyFill="1" applyBorder="1" applyAlignment="1">
      <alignment horizontal="left" vertical="center"/>
    </xf>
    <xf numFmtId="0" fontId="45" fillId="26" borderId="1" xfId="0" applyFont="1" applyFill="1" applyBorder="1" applyAlignment="1">
      <alignment horizontal="center" vertical="center"/>
    </xf>
    <xf numFmtId="0" fontId="74" fillId="19" borderId="1" xfId="0" applyFont="1" applyFill="1" applyBorder="1" applyAlignment="1">
      <alignment horizontal="center" vertical="center"/>
    </xf>
    <xf numFmtId="0" fontId="73" fillId="35" borderId="1" xfId="0" applyFont="1" applyFill="1" applyBorder="1" applyAlignment="1">
      <alignment horizontal="center" vertical="center"/>
    </xf>
    <xf numFmtId="0" fontId="48" fillId="8" borderId="1" xfId="0" applyFont="1" applyFill="1" applyBorder="1" applyAlignment="1">
      <alignment horizontal="center" vertical="center"/>
    </xf>
    <xf numFmtId="0" fontId="72" fillId="18" borderId="1" xfId="0" applyFont="1" applyFill="1" applyBorder="1" applyAlignment="1">
      <alignment horizontal="center" vertical="center"/>
    </xf>
    <xf numFmtId="0" fontId="77" fillId="38" borderId="1" xfId="0" applyFont="1" applyFill="1" applyBorder="1" applyAlignment="1">
      <alignment horizontal="center" vertical="center"/>
    </xf>
    <xf numFmtId="0" fontId="76" fillId="37" borderId="1" xfId="0" applyFont="1" applyFill="1" applyBorder="1" applyAlignment="1">
      <alignment horizontal="center" vertical="center"/>
    </xf>
    <xf numFmtId="0" fontId="46" fillId="30" borderId="1" xfId="0" applyFont="1" applyFill="1" applyBorder="1" applyAlignment="1">
      <alignment horizontal="center" vertical="center"/>
    </xf>
    <xf numFmtId="0" fontId="75" fillId="49" borderId="1" xfId="0" applyFont="1" applyFill="1" applyBorder="1" applyAlignment="1">
      <alignment horizontal="center" vertical="center"/>
    </xf>
    <xf numFmtId="0" fontId="110" fillId="45" borderId="1" xfId="0" applyFont="1" applyFill="1" applyBorder="1" applyAlignment="1">
      <alignment horizontal="center" vertical="center"/>
    </xf>
    <xf numFmtId="0" fontId="129" fillId="19" borderId="1" xfId="0" applyFont="1" applyFill="1" applyBorder="1" applyAlignment="1">
      <alignment horizontal="center" vertical="center"/>
    </xf>
    <xf numFmtId="0" fontId="130" fillId="30" borderId="1" xfId="0" applyFont="1" applyFill="1" applyBorder="1" applyAlignment="1">
      <alignment horizontal="center" vertical="center"/>
    </xf>
    <xf numFmtId="0" fontId="97" fillId="28" borderId="1" xfId="0" applyFont="1" applyFill="1" applyBorder="1" applyAlignment="1">
      <alignment horizontal="center" vertical="center"/>
    </xf>
    <xf numFmtId="0" fontId="131" fillId="3" borderId="1" xfId="0" applyFont="1" applyFill="1" applyBorder="1" applyAlignment="1">
      <alignment horizontal="center" vertical="center"/>
    </xf>
    <xf numFmtId="0" fontId="132" fillId="41" borderId="1" xfId="0" applyFont="1" applyFill="1" applyBorder="1" applyAlignment="1">
      <alignment horizontal="center" vertical="center"/>
    </xf>
    <xf numFmtId="0" fontId="133" fillId="8" borderId="1" xfId="0" applyFont="1" applyFill="1" applyBorder="1" applyAlignment="1">
      <alignment horizontal="center" vertical="center"/>
    </xf>
    <xf numFmtId="0" fontId="87" fillId="18" borderId="1" xfId="0" applyFont="1" applyFill="1" applyBorder="1" applyAlignment="1">
      <alignment horizontal="center" vertical="center"/>
    </xf>
    <xf numFmtId="0" fontId="134" fillId="51" borderId="0" xfId="0" applyFont="1" applyFill="1" applyAlignment="1">
      <alignment wrapText="1"/>
    </xf>
    <xf numFmtId="0" fontId="20" fillId="52" borderId="2" xfId="0" applyFont="1" applyFill="1" applyBorder="1" applyAlignment="1">
      <alignment horizontal="center" wrapText="1"/>
    </xf>
    <xf numFmtId="0" fontId="39" fillId="53" borderId="2" xfId="0" applyFont="1" applyFill="1" applyBorder="1"/>
    <xf numFmtId="0" fontId="39" fillId="0" borderId="0" xfId="0" applyFont="1"/>
    <xf numFmtId="0" fontId="135" fillId="7" borderId="0" xfId="0" applyFont="1" applyFill="1"/>
    <xf numFmtId="0" fontId="39" fillId="53" borderId="2" xfId="0" applyFont="1" applyFill="1" applyBorder="1" applyAlignment="1">
      <alignment vertical="top" wrapText="1"/>
    </xf>
    <xf numFmtId="0" fontId="39" fillId="0" borderId="2" xfId="0" applyFont="1" applyBorder="1"/>
    <xf numFmtId="0" fontId="39" fillId="0" borderId="2" xfId="0" applyFont="1" applyBorder="1" applyAlignment="1">
      <alignment vertical="top" wrapText="1"/>
    </xf>
    <xf numFmtId="0" fontId="35" fillId="15" borderId="1" xfId="0" applyFont="1" applyFill="1" applyBorder="1" applyAlignment="1">
      <alignment horizontal="center" vertical="center"/>
    </xf>
    <xf numFmtId="0" fontId="88" fillId="19" borderId="1" xfId="0" applyFont="1" applyFill="1" applyBorder="1" applyAlignment="1">
      <alignment horizontal="center" vertical="center"/>
    </xf>
    <xf numFmtId="0" fontId="75" fillId="26" borderId="1" xfId="0" applyFont="1" applyFill="1" applyBorder="1" applyAlignment="1">
      <alignment horizontal="center" vertical="center"/>
    </xf>
    <xf numFmtId="0" fontId="136" fillId="23" borderId="1" xfId="0" applyFont="1" applyFill="1" applyBorder="1" applyAlignment="1">
      <alignment horizontal="center" vertical="center"/>
    </xf>
    <xf numFmtId="0" fontId="70" fillId="30" borderId="1" xfId="0" applyFont="1" applyFill="1" applyBorder="1" applyAlignment="1">
      <alignment horizontal="center" vertical="center" wrapText="1"/>
    </xf>
    <xf numFmtId="0" fontId="71" fillId="15" borderId="1" xfId="0" applyFont="1" applyFill="1" applyBorder="1" applyAlignment="1">
      <alignment horizontal="center" vertical="center" wrapText="1"/>
    </xf>
    <xf numFmtId="0" fontId="137" fillId="19" borderId="1" xfId="0" applyFont="1" applyFill="1" applyBorder="1" applyAlignment="1">
      <alignment horizontal="center" vertical="center" wrapText="1"/>
    </xf>
    <xf numFmtId="0" fontId="96" fillId="26" borderId="1" xfId="0" applyFont="1" applyFill="1" applyBorder="1" applyAlignment="1">
      <alignment horizontal="center" vertical="center" wrapText="1"/>
    </xf>
    <xf numFmtId="0" fontId="90" fillId="38" borderId="1" xfId="0" applyFont="1" applyFill="1" applyBorder="1" applyAlignment="1">
      <alignment horizontal="center" vertical="center" wrapText="1"/>
    </xf>
    <xf numFmtId="0" fontId="97" fillId="23" borderId="1" xfId="0" applyFont="1" applyFill="1" applyBorder="1" applyAlignment="1">
      <alignment horizontal="center" vertical="center" wrapText="1"/>
    </xf>
    <xf numFmtId="0" fontId="138" fillId="30" borderId="1" xfId="0" applyFont="1" applyFill="1" applyBorder="1" applyAlignment="1">
      <alignment horizontal="center" vertical="center"/>
    </xf>
    <xf numFmtId="0" fontId="139" fillId="15" borderId="1" xfId="0" applyFont="1" applyFill="1" applyBorder="1" applyAlignment="1">
      <alignment horizontal="center" vertical="center"/>
    </xf>
    <xf numFmtId="0" fontId="140" fillId="19" borderId="1" xfId="0" applyFont="1" applyFill="1" applyBorder="1" applyAlignment="1">
      <alignment horizontal="center" vertical="center"/>
    </xf>
    <xf numFmtId="0" fontId="141" fillId="26" borderId="1" xfId="0" applyFont="1" applyFill="1" applyBorder="1" applyAlignment="1">
      <alignment horizontal="center" vertical="center"/>
    </xf>
    <xf numFmtId="0" fontId="142" fillId="38" borderId="1" xfId="0" applyFont="1" applyFill="1" applyBorder="1" applyAlignment="1">
      <alignment horizontal="center" vertical="center"/>
    </xf>
    <xf numFmtId="0" fontId="143" fillId="23" borderId="1" xfId="0" applyFont="1" applyFill="1" applyBorder="1" applyAlignment="1">
      <alignment horizontal="center" vertical="center"/>
    </xf>
    <xf numFmtId="0" fontId="110" fillId="45" borderId="1" xfId="0" applyFont="1" applyFill="1" applyBorder="1" applyAlignment="1">
      <alignment horizontal="left" vertical="center"/>
    </xf>
    <xf numFmtId="0" fontId="144" fillId="45" borderId="1" xfId="0" applyFont="1" applyFill="1" applyBorder="1" applyAlignment="1">
      <alignment horizontal="center" vertical="center"/>
    </xf>
    <xf numFmtId="165" fontId="82" fillId="49" borderId="1" xfId="0" applyNumberFormat="1" applyFont="1" applyFill="1" applyBorder="1" applyAlignment="1">
      <alignment horizontal="center" vertical="center"/>
    </xf>
    <xf numFmtId="0" fontId="35" fillId="3" borderId="1" xfId="0" applyFont="1" applyFill="1" applyBorder="1" applyAlignment="1">
      <alignment horizontal="center" vertical="center"/>
    </xf>
    <xf numFmtId="0" fontId="44" fillId="25" borderId="1" xfId="0" applyFont="1" applyFill="1" applyBorder="1" applyAlignment="1">
      <alignment horizontal="left" vertical="center" wrapText="1"/>
    </xf>
    <xf numFmtId="0" fontId="136" fillId="36" borderId="1" xfId="0" applyFont="1" applyFill="1" applyBorder="1" applyAlignment="1">
      <alignment horizontal="left" vertical="center" wrapText="1"/>
    </xf>
    <xf numFmtId="0" fontId="43" fillId="36" borderId="1" xfId="0" applyFont="1" applyFill="1" applyBorder="1" applyAlignment="1">
      <alignment horizontal="left" vertical="center" wrapText="1"/>
    </xf>
    <xf numFmtId="0" fontId="76" fillId="37" borderId="1" xfId="0" applyFont="1" applyFill="1" applyBorder="1" applyAlignment="1">
      <alignment horizontal="left" vertical="center"/>
    </xf>
    <xf numFmtId="0" fontId="24" fillId="24" borderId="1" xfId="0" applyFont="1" applyFill="1" applyBorder="1" applyAlignment="1">
      <alignment horizontal="center" vertical="center"/>
    </xf>
    <xf numFmtId="0" fontId="24" fillId="24" borderId="1" xfId="0" applyFont="1" applyFill="1" applyBorder="1" applyAlignment="1">
      <alignment horizontal="left" vertical="center"/>
    </xf>
    <xf numFmtId="165" fontId="82" fillId="26" borderId="1" xfId="0" applyNumberFormat="1" applyFont="1" applyFill="1" applyBorder="1" applyAlignment="1">
      <alignment horizontal="center" vertical="center"/>
    </xf>
    <xf numFmtId="0" fontId="136" fillId="23" borderId="1" xfId="0" applyFont="1" applyFill="1" applyBorder="1" applyAlignment="1">
      <alignment horizontal="left" vertical="center" wrapText="1"/>
    </xf>
    <xf numFmtId="0" fontId="43" fillId="23" borderId="1" xfId="0" applyFont="1" applyFill="1" applyBorder="1" applyAlignment="1">
      <alignment horizontal="left" vertical="center" wrapText="1"/>
    </xf>
    <xf numFmtId="0" fontId="74" fillId="19" borderId="1" xfId="0" applyFont="1" applyFill="1" applyBorder="1" applyAlignment="1">
      <alignment horizontal="left" vertical="center"/>
    </xf>
    <xf numFmtId="0" fontId="64" fillId="19" borderId="1" xfId="0" applyFont="1" applyFill="1" applyBorder="1" applyAlignment="1">
      <alignment horizontal="center" vertical="center"/>
    </xf>
    <xf numFmtId="0" fontId="24" fillId="25" borderId="1" xfId="0" applyFont="1" applyFill="1" applyBorder="1" applyAlignment="1">
      <alignment horizontal="center" vertical="center"/>
    </xf>
    <xf numFmtId="0" fontId="24" fillId="25" borderId="1" xfId="0" applyFont="1" applyFill="1" applyBorder="1" applyAlignment="1">
      <alignment horizontal="left" vertical="center"/>
    </xf>
    <xf numFmtId="0" fontId="73" fillId="35" borderId="1" xfId="0" applyFont="1" applyFill="1" applyBorder="1" applyAlignment="1">
      <alignment horizontal="left" vertical="center"/>
    </xf>
    <xf numFmtId="0" fontId="48" fillId="8" borderId="1" xfId="0" applyFont="1" applyFill="1" applyBorder="1" applyAlignment="1">
      <alignment horizontal="left" vertical="center"/>
    </xf>
    <xf numFmtId="0" fontId="75" fillId="49" borderId="1" xfId="0" applyFont="1" applyFill="1" applyBorder="1" applyAlignment="1">
      <alignment horizontal="left" vertical="center"/>
    </xf>
    <xf numFmtId="0" fontId="65" fillId="49" borderId="1" xfId="0" applyFont="1" applyFill="1" applyBorder="1" applyAlignment="1">
      <alignment horizontal="center" vertical="center"/>
    </xf>
    <xf numFmtId="0" fontId="77" fillId="38" borderId="1" xfId="0" applyFont="1" applyFill="1" applyBorder="1" applyAlignment="1">
      <alignment horizontal="left" vertical="center"/>
    </xf>
    <xf numFmtId="0" fontId="46" fillId="30" borderId="1" xfId="0" applyFont="1" applyFill="1" applyBorder="1" applyAlignment="1">
      <alignment horizontal="left" vertical="center"/>
    </xf>
    <xf numFmtId="0" fontId="72" fillId="18" borderId="1" xfId="0" applyFont="1" applyFill="1" applyBorder="1" applyAlignment="1">
      <alignment horizontal="left" vertical="center"/>
    </xf>
    <xf numFmtId="0" fontId="42" fillId="34" borderId="1" xfId="0" applyFont="1" applyFill="1" applyBorder="1" applyAlignment="1">
      <alignment horizontal="center" vertical="center"/>
    </xf>
    <xf numFmtId="0" fontId="58" fillId="19" borderId="1" xfId="0" applyFont="1" applyFill="1" applyBorder="1"/>
    <xf numFmtId="0" fontId="145" fillId="30" borderId="1" xfId="0" applyFont="1" applyFill="1" applyBorder="1" applyAlignment="1">
      <alignment horizontal="center" vertical="center"/>
    </xf>
    <xf numFmtId="0" fontId="146" fillId="19" borderId="1" xfId="0" applyFont="1" applyFill="1" applyBorder="1"/>
    <xf numFmtId="0" fontId="118" fillId="25" borderId="1" xfId="0" applyFont="1" applyFill="1" applyBorder="1" applyAlignment="1">
      <alignment horizontal="left" vertical="center" wrapText="1"/>
    </xf>
    <xf numFmtId="0" fontId="58" fillId="35" borderId="1" xfId="0" applyFont="1" applyFill="1" applyBorder="1"/>
    <xf numFmtId="0" fontId="146" fillId="35" borderId="1" xfId="0" applyFont="1" applyFill="1" applyBorder="1"/>
    <xf numFmtId="0" fontId="58" fillId="8" borderId="1" xfId="0" applyFont="1" applyFill="1" applyBorder="1"/>
    <xf numFmtId="0" fontId="60" fillId="8" borderId="1" xfId="0" applyFont="1" applyFill="1" applyBorder="1"/>
    <xf numFmtId="0" fontId="58" fillId="18" borderId="1" xfId="0" applyFont="1" applyFill="1" applyBorder="1"/>
    <xf numFmtId="0" fontId="146" fillId="18" borderId="1" xfId="0" applyFont="1" applyFill="1" applyBorder="1"/>
    <xf numFmtId="0" fontId="58" fillId="38" borderId="1" xfId="0" applyFont="1" applyFill="1" applyBorder="1"/>
    <xf numFmtId="0" fontId="67" fillId="38" borderId="1" xfId="0" applyFont="1" applyFill="1" applyBorder="1"/>
    <xf numFmtId="0" fontId="58" fillId="37" borderId="1" xfId="0" applyFont="1" applyFill="1" applyBorder="1"/>
    <xf numFmtId="0" fontId="146" fillId="37" borderId="1" xfId="0" applyFont="1" applyFill="1" applyBorder="1"/>
    <xf numFmtId="0" fontId="58" fillId="30" borderId="1" xfId="0" applyFont="1" applyFill="1" applyBorder="1"/>
    <xf numFmtId="0" fontId="56" fillId="30" borderId="1" xfId="0" applyFont="1" applyFill="1" applyBorder="1"/>
    <xf numFmtId="0" fontId="58" fillId="49" borderId="1" xfId="0" applyFont="1" applyFill="1" applyBorder="1"/>
    <xf numFmtId="0" fontId="65" fillId="49" borderId="1" xfId="0" applyFont="1" applyFill="1" applyBorder="1"/>
    <xf numFmtId="0" fontId="58" fillId="45" borderId="1" xfId="0" applyFont="1" applyFill="1" applyBorder="1"/>
    <xf numFmtId="0" fontId="144" fillId="45" borderId="1" xfId="0" applyFont="1" applyFill="1" applyBorder="1"/>
    <xf numFmtId="0" fontId="44" fillId="25" borderId="1" xfId="0" applyFont="1" applyFill="1" applyBorder="1"/>
    <xf numFmtId="0" fontId="147" fillId="25" borderId="1" xfId="0" applyFont="1" applyFill="1" applyBorder="1"/>
    <xf numFmtId="0" fontId="58" fillId="25" borderId="1" xfId="0" applyFont="1" applyFill="1" applyBorder="1" applyAlignment="1">
      <alignment horizontal="left" vertical="center" wrapText="1"/>
    </xf>
    <xf numFmtId="0" fontId="148" fillId="24" borderId="1" xfId="0" applyFont="1" applyFill="1" applyBorder="1"/>
    <xf numFmtId="0" fontId="44" fillId="24" borderId="1" xfId="0" applyFont="1" applyFill="1" applyBorder="1"/>
    <xf numFmtId="0" fontId="58" fillId="24" borderId="1" xfId="0" applyFont="1" applyFill="1" applyBorder="1" applyAlignment="1">
      <alignment horizontal="left" vertical="center" wrapText="1"/>
    </xf>
    <xf numFmtId="0" fontId="121" fillId="19" borderId="1" xfId="0" applyFont="1" applyFill="1" applyBorder="1" applyAlignment="1">
      <alignment horizontal="center" vertical="center"/>
    </xf>
    <xf numFmtId="0" fontId="148" fillId="25" borderId="1" xfId="0" applyFont="1" applyFill="1" applyBorder="1"/>
    <xf numFmtId="0" fontId="149" fillId="30" borderId="1" xfId="0" applyFont="1" applyFill="1" applyBorder="1" applyAlignment="1">
      <alignment horizontal="center" vertical="center"/>
    </xf>
    <xf numFmtId="0" fontId="150" fillId="45" borderId="1" xfId="0" applyFont="1" applyFill="1" applyBorder="1" applyAlignment="1">
      <alignment horizontal="center" vertical="center" wrapText="1"/>
    </xf>
    <xf numFmtId="0" fontId="151" fillId="45" borderId="1" xfId="0" applyFont="1" applyFill="1" applyBorder="1" applyAlignment="1">
      <alignment horizontal="center" vertical="center" wrapText="1"/>
    </xf>
    <xf numFmtId="0" fontId="150" fillId="38" borderId="1" xfId="0" applyFont="1" applyFill="1" applyBorder="1" applyAlignment="1">
      <alignment horizontal="center" vertical="center" wrapText="1"/>
    </xf>
    <xf numFmtId="0" fontId="151" fillId="38" borderId="1" xfId="0" applyFont="1" applyFill="1" applyBorder="1" applyAlignment="1">
      <alignment horizontal="center" vertical="center" wrapText="1"/>
    </xf>
    <xf numFmtId="0" fontId="150" fillId="44" borderId="1" xfId="0" applyFont="1" applyFill="1" applyBorder="1" applyAlignment="1">
      <alignment horizontal="center" vertical="center" wrapText="1"/>
    </xf>
    <xf numFmtId="0" fontId="151" fillId="44" borderId="1" xfId="0" applyFont="1" applyFill="1" applyBorder="1" applyAlignment="1">
      <alignment horizontal="center" vertical="center" wrapText="1"/>
    </xf>
    <xf numFmtId="0" fontId="150" fillId="36" borderId="1" xfId="0" applyFont="1" applyFill="1" applyBorder="1" applyAlignment="1">
      <alignment horizontal="center" vertical="center" wrapText="1"/>
    </xf>
    <xf numFmtId="0" fontId="151" fillId="36" borderId="1" xfId="0" applyFont="1" applyFill="1" applyBorder="1" applyAlignment="1">
      <alignment horizontal="center" vertical="center" wrapText="1"/>
    </xf>
    <xf numFmtId="0" fontId="150" fillId="23" borderId="1" xfId="0" applyFont="1" applyFill="1" applyBorder="1" applyAlignment="1">
      <alignment horizontal="center" vertical="center" wrapText="1"/>
    </xf>
    <xf numFmtId="0" fontId="151" fillId="23" borderId="1" xfId="0" applyFont="1" applyFill="1" applyBorder="1" applyAlignment="1">
      <alignment horizontal="center" vertical="center" wrapText="1"/>
    </xf>
    <xf numFmtId="0" fontId="150" fillId="15" borderId="1" xfId="0" applyFont="1" applyFill="1" applyBorder="1" applyAlignment="1">
      <alignment horizontal="center" vertical="center" wrapText="1"/>
    </xf>
    <xf numFmtId="0" fontId="151" fillId="15" borderId="1" xfId="0" applyFont="1" applyFill="1" applyBorder="1" applyAlignment="1">
      <alignment horizontal="center" vertical="center" wrapText="1"/>
    </xf>
    <xf numFmtId="0" fontId="150" fillId="49" borderId="1" xfId="0" applyFont="1" applyFill="1" applyBorder="1" applyAlignment="1">
      <alignment horizontal="center" vertical="center" wrapText="1"/>
    </xf>
    <xf numFmtId="0" fontId="151" fillId="49" borderId="1" xfId="0" applyFont="1" applyFill="1" applyBorder="1" applyAlignment="1">
      <alignment horizontal="center" vertical="center" wrapText="1"/>
    </xf>
    <xf numFmtId="0" fontId="150" fillId="43" borderId="1" xfId="0" applyFont="1" applyFill="1" applyBorder="1" applyAlignment="1">
      <alignment horizontal="center" vertical="center" wrapText="1"/>
    </xf>
    <xf numFmtId="0" fontId="151" fillId="43" borderId="1" xfId="0" applyFont="1" applyFill="1" applyBorder="1" applyAlignment="1">
      <alignment horizontal="center" vertical="center" wrapText="1"/>
    </xf>
    <xf numFmtId="0" fontId="150" fillId="33" borderId="1" xfId="0" applyFont="1" applyFill="1" applyBorder="1" applyAlignment="1">
      <alignment horizontal="center" vertical="center" wrapText="1"/>
    </xf>
    <xf numFmtId="0" fontId="151" fillId="33" borderId="1" xfId="0" applyFont="1" applyFill="1" applyBorder="1" applyAlignment="1">
      <alignment horizontal="center" vertical="center" wrapText="1"/>
    </xf>
    <xf numFmtId="0" fontId="150" fillId="30" borderId="1" xfId="0" applyFont="1" applyFill="1" applyBorder="1" applyAlignment="1">
      <alignment horizontal="center" vertical="center" wrapText="1"/>
    </xf>
    <xf numFmtId="0" fontId="151" fillId="30" borderId="1" xfId="0" applyFont="1" applyFill="1" applyBorder="1" applyAlignment="1">
      <alignment horizontal="center" vertical="center" wrapText="1"/>
    </xf>
    <xf numFmtId="0" fontId="64" fillId="19" borderId="1" xfId="0" applyFont="1" applyFill="1" applyBorder="1" applyAlignment="1">
      <alignment horizontal="left" vertical="center"/>
    </xf>
    <xf numFmtId="0" fontId="152" fillId="45" borderId="1" xfId="0" applyFont="1" applyFill="1" applyBorder="1" applyAlignment="1">
      <alignment horizontal="center" vertical="center" wrapText="1"/>
    </xf>
    <xf numFmtId="0" fontId="153" fillId="45" borderId="1" xfId="0" applyFont="1" applyFill="1" applyBorder="1" applyAlignment="1">
      <alignment horizontal="left" vertical="center" wrapText="1"/>
    </xf>
    <xf numFmtId="0" fontId="152" fillId="38" borderId="1" xfId="0" applyFont="1" applyFill="1" applyBorder="1" applyAlignment="1">
      <alignment horizontal="center" vertical="center" wrapText="1"/>
    </xf>
    <xf numFmtId="0" fontId="153" fillId="38" borderId="1" xfId="0" applyFont="1" applyFill="1" applyBorder="1" applyAlignment="1">
      <alignment horizontal="left" vertical="center" wrapText="1"/>
    </xf>
    <xf numFmtId="0" fontId="152" fillId="44" borderId="1" xfId="0" applyFont="1" applyFill="1" applyBorder="1" applyAlignment="1">
      <alignment horizontal="center" vertical="center" wrapText="1"/>
    </xf>
    <xf numFmtId="0" fontId="153" fillId="44" borderId="1" xfId="0" applyFont="1" applyFill="1" applyBorder="1" applyAlignment="1">
      <alignment horizontal="left" vertical="center" wrapText="1"/>
    </xf>
    <xf numFmtId="0" fontId="152" fillId="36" borderId="1" xfId="0" applyFont="1" applyFill="1" applyBorder="1" applyAlignment="1">
      <alignment horizontal="center" vertical="center" wrapText="1"/>
    </xf>
    <xf numFmtId="0" fontId="153" fillId="36" borderId="1" xfId="0" applyFont="1" applyFill="1" applyBorder="1" applyAlignment="1">
      <alignment horizontal="left" vertical="center" wrapText="1"/>
    </xf>
    <xf numFmtId="0" fontId="152" fillId="23" borderId="1" xfId="0" applyFont="1" applyFill="1" applyBorder="1" applyAlignment="1">
      <alignment horizontal="center" vertical="center" wrapText="1"/>
    </xf>
    <xf numFmtId="0" fontId="153" fillId="23" borderId="1" xfId="0" applyFont="1" applyFill="1" applyBorder="1" applyAlignment="1">
      <alignment horizontal="left" vertical="center" wrapText="1"/>
    </xf>
    <xf numFmtId="0" fontId="152" fillId="15" borderId="1" xfId="0" applyFont="1" applyFill="1" applyBorder="1" applyAlignment="1">
      <alignment horizontal="center" vertical="center" wrapText="1"/>
    </xf>
    <xf numFmtId="0" fontId="153" fillId="15" borderId="1" xfId="0" applyFont="1" applyFill="1" applyBorder="1" applyAlignment="1">
      <alignment horizontal="left" vertical="center" wrapText="1"/>
    </xf>
    <xf numFmtId="0" fontId="152" fillId="49" borderId="1" xfId="0" applyFont="1" applyFill="1" applyBorder="1" applyAlignment="1">
      <alignment horizontal="center" vertical="center" wrapText="1"/>
    </xf>
    <xf numFmtId="0" fontId="153" fillId="49" borderId="1" xfId="0" applyFont="1" applyFill="1" applyBorder="1" applyAlignment="1">
      <alignment horizontal="left" vertical="center" wrapText="1"/>
    </xf>
    <xf numFmtId="0" fontId="152" fillId="43" borderId="1" xfId="0" applyFont="1" applyFill="1" applyBorder="1" applyAlignment="1">
      <alignment horizontal="center" vertical="center" wrapText="1"/>
    </xf>
    <xf numFmtId="0" fontId="153" fillId="43" borderId="1" xfId="0" applyFont="1" applyFill="1" applyBorder="1" applyAlignment="1">
      <alignment horizontal="left" vertical="center" wrapText="1"/>
    </xf>
    <xf numFmtId="0" fontId="152" fillId="33" borderId="1" xfId="0" applyFont="1" applyFill="1" applyBorder="1" applyAlignment="1">
      <alignment horizontal="center" vertical="center" wrapText="1"/>
    </xf>
    <xf numFmtId="0" fontId="153" fillId="33" borderId="1" xfId="0" applyFont="1" applyFill="1" applyBorder="1" applyAlignment="1">
      <alignment horizontal="left" vertical="center" wrapText="1"/>
    </xf>
    <xf numFmtId="0" fontId="152" fillId="30" borderId="1" xfId="0" applyFont="1" applyFill="1" applyBorder="1" applyAlignment="1">
      <alignment horizontal="center" vertical="center" wrapText="1"/>
    </xf>
    <xf numFmtId="0" fontId="153" fillId="30" borderId="1" xfId="0" applyFont="1" applyFill="1" applyBorder="1" applyAlignment="1">
      <alignment horizontal="left" vertical="center" wrapText="1"/>
    </xf>
    <xf numFmtId="0" fontId="63" fillId="35" borderId="1" xfId="0" applyFont="1" applyFill="1" applyBorder="1" applyAlignment="1">
      <alignment horizontal="left" vertical="center"/>
    </xf>
    <xf numFmtId="0" fontId="67" fillId="38" borderId="1" xfId="0" applyFont="1" applyFill="1" applyBorder="1" applyAlignment="1">
      <alignment horizontal="left" vertical="center"/>
    </xf>
    <xf numFmtId="0" fontId="66" fillId="37" borderId="1" xfId="0" applyFont="1" applyFill="1" applyBorder="1" applyAlignment="1">
      <alignment horizontal="left" vertical="center"/>
    </xf>
    <xf numFmtId="0" fontId="56" fillId="30" borderId="1" xfId="0" applyFont="1" applyFill="1" applyBorder="1" applyAlignment="1">
      <alignment horizontal="left" vertical="center"/>
    </xf>
    <xf numFmtId="0" fontId="65" fillId="49" borderId="1" xfId="0" applyFont="1" applyFill="1" applyBorder="1" applyAlignment="1">
      <alignment horizontal="left" vertical="center"/>
    </xf>
    <xf numFmtId="0" fontId="144" fillId="45" borderId="1" xfId="0" applyFont="1" applyFill="1" applyBorder="1" applyAlignment="1">
      <alignment horizontal="left" vertical="center"/>
    </xf>
    <xf numFmtId="0" fontId="78" fillId="35" borderId="1" xfId="0" applyFont="1" applyFill="1" applyBorder="1" applyAlignment="1">
      <alignment horizontal="left" vertical="center" wrapText="1"/>
    </xf>
    <xf numFmtId="0" fontId="100" fillId="15" borderId="1" xfId="0" applyFont="1" applyFill="1" applyBorder="1" applyAlignment="1">
      <alignment horizontal="left" vertical="center" wrapText="1"/>
    </xf>
    <xf numFmtId="0" fontId="52" fillId="24" borderId="1" xfId="0" applyFont="1" applyFill="1" applyBorder="1" applyAlignment="1">
      <alignment horizontal="left" vertical="center" wrapText="1"/>
    </xf>
    <xf numFmtId="0" fontId="87" fillId="36" borderId="1" xfId="0" applyFont="1" applyFill="1" applyBorder="1" applyAlignment="1">
      <alignment horizontal="center" vertical="center" wrapText="1"/>
    </xf>
    <xf numFmtId="0" fontId="154" fillId="32" borderId="1" xfId="0" applyFont="1" applyFill="1" applyBorder="1" applyAlignment="1">
      <alignment horizontal="center" vertical="center"/>
    </xf>
    <xf numFmtId="0" fontId="155" fillId="36" borderId="1" xfId="0" applyFont="1" applyFill="1" applyBorder="1" applyAlignment="1">
      <alignment horizontal="center" vertical="center"/>
    </xf>
    <xf numFmtId="0" fontId="156" fillId="32" borderId="1" xfId="0" applyFont="1" applyFill="1" applyBorder="1" applyAlignment="1">
      <alignment horizontal="center" vertical="center"/>
    </xf>
    <xf numFmtId="0" fontId="124" fillId="3" borderId="1" xfId="0" applyFont="1" applyFill="1" applyBorder="1" applyAlignment="1">
      <alignment horizontal="left" vertical="center"/>
    </xf>
    <xf numFmtId="0" fontId="157" fillId="3" borderId="1" xfId="0" applyFont="1" applyFill="1" applyBorder="1" applyAlignment="1">
      <alignment horizontal="left" vertical="center"/>
    </xf>
    <xf numFmtId="0" fontId="41" fillId="3" borderId="1" xfId="0" applyFont="1" applyFill="1" applyBorder="1" applyAlignment="1">
      <alignment horizontal="center" vertical="center"/>
    </xf>
    <xf numFmtId="0" fontId="147" fillId="25" borderId="1" xfId="0" applyFont="1" applyFill="1" applyBorder="1" applyAlignment="1">
      <alignment horizontal="left" vertical="center" wrapText="1"/>
    </xf>
    <xf numFmtId="0" fontId="52" fillId="25" borderId="1" xfId="0" applyFont="1" applyFill="1" applyBorder="1" applyAlignment="1">
      <alignment horizontal="left" vertical="center" wrapText="1"/>
    </xf>
    <xf numFmtId="0" fontId="26" fillId="18" borderId="1" xfId="0" applyFont="1" applyFill="1" applyBorder="1" applyAlignment="1">
      <alignment horizontal="left" vertical="center"/>
    </xf>
    <xf numFmtId="0" fontId="25" fillId="18" borderId="1" xfId="0" applyFont="1" applyFill="1" applyBorder="1" applyAlignment="1">
      <alignment horizontal="center" vertical="center"/>
    </xf>
    <xf numFmtId="0" fontId="88" fillId="8" borderId="1" xfId="0" applyFont="1" applyFill="1" applyBorder="1" applyAlignment="1">
      <alignment horizontal="center" vertical="center"/>
    </xf>
    <xf numFmtId="0" fontId="147" fillId="24" borderId="1" xfId="0" applyFont="1" applyFill="1" applyBorder="1" applyAlignment="1">
      <alignment horizontal="left" vertical="center" wrapText="1"/>
    </xf>
    <xf numFmtId="0" fontId="114" fillId="19" borderId="1" xfId="0" applyFont="1" applyFill="1" applyBorder="1" applyAlignment="1">
      <alignment horizontal="center" vertical="center"/>
    </xf>
    <xf numFmtId="0" fontId="120" fillId="19" borderId="1" xfId="0" applyFont="1" applyFill="1" applyBorder="1" applyAlignment="1">
      <alignment horizontal="center" vertical="center"/>
    </xf>
    <xf numFmtId="0" fontId="120" fillId="19" borderId="1" xfId="0" applyFont="1" applyFill="1" applyBorder="1" applyAlignment="1">
      <alignment horizontal="left" vertical="center"/>
    </xf>
    <xf numFmtId="0" fontId="57" fillId="19" borderId="1" xfId="0" applyFont="1" applyFill="1" applyBorder="1" applyAlignment="1">
      <alignment horizontal="left" vertical="center"/>
    </xf>
    <xf numFmtId="0" fontId="158" fillId="35" borderId="1" xfId="0" applyFont="1" applyFill="1" applyBorder="1" applyAlignment="1">
      <alignment horizontal="left" vertical="center"/>
    </xf>
    <xf numFmtId="0" fontId="81" fillId="35" borderId="1" xfId="0" applyFont="1" applyFill="1" applyBorder="1" applyAlignment="1">
      <alignment horizontal="center" vertical="center"/>
    </xf>
    <xf numFmtId="0" fontId="159" fillId="43" borderId="1" xfId="0" applyFont="1" applyFill="1" applyBorder="1" applyAlignment="1">
      <alignment horizontal="center" vertical="center"/>
    </xf>
    <xf numFmtId="0" fontId="160" fillId="37" borderId="1" xfId="0" applyFont="1" applyFill="1" applyBorder="1" applyAlignment="1">
      <alignment horizontal="left" vertical="center"/>
    </xf>
    <xf numFmtId="0" fontId="83" fillId="37" borderId="1" xfId="0" applyFont="1" applyFill="1" applyBorder="1" applyAlignment="1">
      <alignment horizontal="center" vertical="center"/>
    </xf>
    <xf numFmtId="0" fontId="161" fillId="8" borderId="1" xfId="0" applyFont="1" applyFill="1" applyBorder="1" applyAlignment="1">
      <alignment horizontal="left" vertical="center"/>
    </xf>
    <xf numFmtId="0" fontId="80" fillId="8" borderId="1" xfId="0" applyFont="1" applyFill="1" applyBorder="1" applyAlignment="1">
      <alignment horizontal="center" vertical="center"/>
    </xf>
    <xf numFmtId="0" fontId="47" fillId="23" borderId="1" xfId="0" applyFont="1" applyFill="1" applyBorder="1" applyAlignment="1">
      <alignment horizontal="center" vertical="center"/>
    </xf>
    <xf numFmtId="0" fontId="162" fillId="43" borderId="1" xfId="0" applyFont="1" applyFill="1" applyBorder="1" applyAlignment="1">
      <alignment horizontal="center" vertical="center"/>
    </xf>
    <xf numFmtId="0" fontId="162" fillId="43" borderId="1" xfId="0" applyFont="1" applyFill="1" applyBorder="1" applyAlignment="1">
      <alignment horizontal="left" vertical="center"/>
    </xf>
    <xf numFmtId="0" fontId="163" fillId="43" borderId="1" xfId="0" applyFont="1" applyFill="1" applyBorder="1" applyAlignment="1">
      <alignment horizontal="left" vertical="center"/>
    </xf>
    <xf numFmtId="0" fontId="164" fillId="43" borderId="1" xfId="0" applyFont="1" applyFill="1" applyBorder="1" applyAlignment="1">
      <alignment horizontal="center" vertical="center"/>
    </xf>
    <xf numFmtId="0" fontId="127" fillId="8" borderId="1" xfId="0" applyFont="1" applyFill="1" applyBorder="1" applyAlignment="1">
      <alignment horizontal="center" vertical="center"/>
    </xf>
    <xf numFmtId="0" fontId="127" fillId="8" borderId="1" xfId="0" applyFont="1" applyFill="1" applyBorder="1" applyAlignment="1">
      <alignment horizontal="left" vertical="center"/>
    </xf>
    <xf numFmtId="0" fontId="165" fillId="8" borderId="1" xfId="0" applyFont="1" applyFill="1" applyBorder="1" applyAlignment="1">
      <alignment horizontal="left" vertical="center"/>
    </xf>
    <xf numFmtId="0" fontId="117" fillId="8" borderId="1" xfId="0" applyFont="1" applyFill="1" applyBorder="1" applyAlignment="1">
      <alignment horizontal="center" vertical="center"/>
    </xf>
    <xf numFmtId="0" fontId="166" fillId="38" borderId="1" xfId="0" applyFont="1" applyFill="1" applyBorder="1" applyAlignment="1">
      <alignment horizontal="left" vertical="center"/>
    </xf>
    <xf numFmtId="0" fontId="84" fillId="38" borderId="1" xfId="0" applyFont="1" applyFill="1" applyBorder="1" applyAlignment="1">
      <alignment horizontal="center" vertical="center"/>
    </xf>
    <xf numFmtId="0" fontId="105" fillId="36" borderId="1" xfId="0" applyFont="1" applyFill="1" applyBorder="1" applyAlignment="1">
      <alignment horizontal="center" vertical="center"/>
    </xf>
    <xf numFmtId="0" fontId="105" fillId="36" borderId="1" xfId="0" applyFont="1" applyFill="1" applyBorder="1" applyAlignment="1">
      <alignment horizontal="left" vertical="center"/>
    </xf>
    <xf numFmtId="0" fontId="26" fillId="36" borderId="1" xfId="0" applyFont="1" applyFill="1" applyBorder="1" applyAlignment="1">
      <alignment horizontal="left" vertical="center"/>
    </xf>
    <xf numFmtId="0" fontId="25" fillId="36" borderId="1" xfId="0" applyFont="1" applyFill="1" applyBorder="1" applyAlignment="1">
      <alignment horizontal="center" vertical="center"/>
    </xf>
    <xf numFmtId="0" fontId="123" fillId="23" borderId="1" xfId="0" applyFont="1" applyFill="1" applyBorder="1" applyAlignment="1">
      <alignment horizontal="center" vertical="center"/>
    </xf>
    <xf numFmtId="0" fontId="123" fillId="23" borderId="1" xfId="0" applyFont="1" applyFill="1" applyBorder="1" applyAlignment="1">
      <alignment horizontal="left" vertical="center"/>
    </xf>
    <xf numFmtId="0" fontId="167" fillId="23" borderId="1" xfId="0" applyFont="1" applyFill="1" applyBorder="1" applyAlignment="1">
      <alignment horizontal="left" vertical="center"/>
    </xf>
    <xf numFmtId="0" fontId="43" fillId="23" borderId="1" xfId="0" applyFont="1" applyFill="1" applyBorder="1" applyAlignment="1">
      <alignment horizontal="center" vertical="center"/>
    </xf>
    <xf numFmtId="0" fontId="168" fillId="49" borderId="1" xfId="0" applyFont="1" applyFill="1" applyBorder="1" applyAlignment="1">
      <alignment horizontal="left" vertical="center"/>
    </xf>
    <xf numFmtId="0" fontId="82" fillId="49" borderId="1" xfId="0" applyFont="1" applyFill="1" applyBorder="1" applyAlignment="1">
      <alignment horizontal="center" vertical="center"/>
    </xf>
    <xf numFmtId="0" fontId="42" fillId="34" borderId="1" xfId="0" applyFont="1" applyFill="1" applyBorder="1" applyAlignment="1">
      <alignment horizontal="center" vertical="center" wrapText="1"/>
    </xf>
    <xf numFmtId="0" fontId="24" fillId="39" borderId="1" xfId="0" applyFont="1" applyFill="1" applyBorder="1" applyAlignment="1">
      <alignment horizontal="center" vertical="center"/>
    </xf>
    <xf numFmtId="0" fontId="52" fillId="30" borderId="1" xfId="0" applyFont="1" applyFill="1" applyBorder="1" applyAlignment="1">
      <alignment horizontal="center" vertical="center"/>
    </xf>
    <xf numFmtId="0" fontId="169" fillId="30" borderId="1" xfId="0" applyFont="1" applyFill="1" applyBorder="1" applyAlignment="1">
      <alignment horizontal="center" vertical="center"/>
    </xf>
    <xf numFmtId="0" fontId="170" fillId="18" borderId="1" xfId="0" applyFont="1" applyFill="1" applyBorder="1" applyAlignment="1">
      <alignment horizontal="center" vertical="center"/>
    </xf>
    <xf numFmtId="0" fontId="171" fillId="8" borderId="1" xfId="0" applyFont="1" applyFill="1" applyBorder="1" applyAlignment="1">
      <alignment horizontal="center" vertical="center"/>
    </xf>
    <xf numFmtId="0" fontId="118" fillId="30" borderId="1" xfId="0" applyFont="1" applyFill="1" applyBorder="1" applyAlignment="1">
      <alignment horizontal="center" vertical="center"/>
    </xf>
    <xf numFmtId="0" fontId="169" fillId="30" borderId="1" xfId="0" applyFont="1" applyFill="1" applyBorder="1" applyAlignment="1">
      <alignment horizontal="center" vertical="center" wrapText="1"/>
    </xf>
    <xf numFmtId="0" fontId="125" fillId="30" borderId="1" xfId="0" applyFont="1" applyFill="1" applyBorder="1" applyAlignment="1">
      <alignment horizontal="center" vertical="center"/>
    </xf>
    <xf numFmtId="0" fontId="173" fillId="54" borderId="1" xfId="0" applyFont="1" applyFill="1" applyBorder="1" applyAlignment="1">
      <alignment horizontal="left" vertical="center"/>
    </xf>
    <xf numFmtId="0" fontId="44" fillId="54" borderId="1" xfId="0" applyFont="1" applyFill="1" applyBorder="1" applyAlignment="1">
      <alignment horizontal="center" vertical="center"/>
    </xf>
    <xf numFmtId="0" fontId="174" fillId="19" borderId="1" xfId="0" applyFont="1" applyFill="1" applyBorder="1" applyAlignment="1">
      <alignment horizontal="center" vertical="center"/>
    </xf>
    <xf numFmtId="0" fontId="134" fillId="51" borderId="0" xfId="0" applyFont="1" applyFill="1"/>
    <xf numFmtId="0" fontId="175" fillId="51" borderId="0" xfId="0" applyFont="1" applyFill="1"/>
    <xf numFmtId="0" fontId="42" fillId="16" borderId="1" xfId="0" applyFont="1" applyFill="1" applyBorder="1" applyAlignment="1">
      <alignment horizontal="center" vertical="center" wrapText="1"/>
    </xf>
    <xf numFmtId="0" fontId="42" fillId="17" borderId="1" xfId="0" applyFont="1" applyFill="1" applyBorder="1" applyAlignment="1">
      <alignment horizontal="center" vertical="center" wrapText="1"/>
    </xf>
    <xf numFmtId="0" fontId="62" fillId="25" borderId="1" xfId="0" applyFont="1" applyFill="1" applyBorder="1" applyAlignment="1">
      <alignment horizontal="center" vertical="center"/>
    </xf>
    <xf numFmtId="0" fontId="51" fillId="25" borderId="1" xfId="0" applyFont="1" applyFill="1" applyBorder="1" applyAlignment="1">
      <alignment horizontal="center" vertical="center"/>
    </xf>
    <xf numFmtId="0" fontId="176" fillId="25" borderId="1" xfId="0" applyFont="1" applyFill="1" applyBorder="1" applyAlignment="1">
      <alignment horizontal="center" vertical="center"/>
    </xf>
    <xf numFmtId="0" fontId="177" fillId="15" borderId="1" xfId="0" applyFont="1" applyFill="1" applyBorder="1" applyAlignment="1">
      <alignment horizontal="left" vertical="center"/>
    </xf>
    <xf numFmtId="0" fontId="167" fillId="25" borderId="1" xfId="0" applyFont="1" applyFill="1" applyBorder="1" applyAlignment="1">
      <alignment horizontal="left" vertical="center"/>
    </xf>
    <xf numFmtId="0" fontId="62" fillId="24" borderId="1" xfId="0" applyFont="1" applyFill="1" applyBorder="1" applyAlignment="1">
      <alignment horizontal="center" vertical="center"/>
    </xf>
    <xf numFmtId="0" fontId="51" fillId="24" borderId="1" xfId="0" applyFont="1" applyFill="1" applyBorder="1" applyAlignment="1">
      <alignment horizontal="center" vertical="center"/>
    </xf>
    <xf numFmtId="0" fontId="176" fillId="24" borderId="1" xfId="0" applyFont="1" applyFill="1" applyBorder="1" applyAlignment="1">
      <alignment horizontal="center" vertical="center"/>
    </xf>
    <xf numFmtId="0" fontId="167" fillId="24" borderId="1" xfId="0" applyFont="1" applyFill="1" applyBorder="1" applyAlignment="1">
      <alignment horizontal="left" vertical="center"/>
    </xf>
    <xf numFmtId="0" fontId="178" fillId="25" borderId="1" xfId="0" applyFont="1" applyFill="1" applyBorder="1" applyAlignment="1">
      <alignment horizontal="left" vertical="center"/>
    </xf>
    <xf numFmtId="0" fontId="178" fillId="24" borderId="1" xfId="0" applyFont="1" applyFill="1" applyBorder="1" applyAlignment="1">
      <alignment horizontal="left" vertical="center"/>
    </xf>
    <xf numFmtId="0" fontId="67" fillId="25" borderId="1" xfId="0" applyFont="1" applyFill="1" applyBorder="1" applyAlignment="1">
      <alignment horizontal="center" vertical="center"/>
    </xf>
    <xf numFmtId="0" fontId="148" fillId="25" borderId="1" xfId="0" applyFont="1" applyFill="1" applyBorder="1" applyAlignment="1">
      <alignment horizontal="left" vertical="center"/>
    </xf>
    <xf numFmtId="0" fontId="67" fillId="24" borderId="1" xfId="0" applyFont="1" applyFill="1" applyBorder="1" applyAlignment="1">
      <alignment horizontal="center" vertical="center"/>
    </xf>
    <xf numFmtId="0" fontId="148" fillId="24" borderId="1" xfId="0" applyFont="1" applyFill="1" applyBorder="1" applyAlignment="1">
      <alignment horizontal="left" vertical="center"/>
    </xf>
    <xf numFmtId="0" fontId="47" fillId="25" borderId="1" xfId="0" applyFont="1" applyFill="1" applyBorder="1" applyAlignment="1">
      <alignment horizontal="left" vertical="center"/>
    </xf>
    <xf numFmtId="0" fontId="148" fillId="25" borderId="1" xfId="0" applyFont="1" applyFill="1" applyBorder="1" applyAlignment="1">
      <alignment horizontal="left" vertical="center" wrapText="1"/>
    </xf>
    <xf numFmtId="0" fontId="47" fillId="24" borderId="1" xfId="0" applyFont="1" applyFill="1" applyBorder="1" applyAlignment="1">
      <alignment horizontal="left" vertical="center"/>
    </xf>
    <xf numFmtId="0" fontId="148" fillId="24" borderId="1" xfId="0" applyFont="1" applyFill="1" applyBorder="1" applyAlignment="1">
      <alignment horizontal="left" vertical="center" wrapText="1"/>
    </xf>
    <xf numFmtId="0" fontId="42" fillId="55" borderId="1" xfId="0" applyFont="1" applyFill="1" applyBorder="1" applyAlignment="1">
      <alignment horizontal="center" vertical="center" wrapText="1"/>
    </xf>
    <xf numFmtId="0" fontId="118" fillId="25" borderId="1" xfId="0" applyFont="1" applyFill="1" applyBorder="1" applyAlignment="1">
      <alignment horizontal="center" vertical="center"/>
    </xf>
    <xf numFmtId="0" fontId="49" fillId="25" borderId="1" xfId="0" applyFont="1" applyFill="1" applyBorder="1" applyAlignment="1">
      <alignment horizontal="left" vertical="center"/>
    </xf>
    <xf numFmtId="0" fontId="153" fillId="25" borderId="1" xfId="0" applyFont="1" applyFill="1" applyBorder="1" applyAlignment="1">
      <alignment horizontal="left" vertical="center"/>
    </xf>
    <xf numFmtId="0" fontId="118" fillId="24" borderId="1" xfId="0" applyFont="1" applyFill="1" applyBorder="1" applyAlignment="1">
      <alignment horizontal="center" vertical="center"/>
    </xf>
    <xf numFmtId="0" fontId="49" fillId="24" borderId="1" xfId="0" applyFont="1" applyFill="1" applyBorder="1" applyAlignment="1">
      <alignment horizontal="left" vertical="center"/>
    </xf>
    <xf numFmtId="0" fontId="153" fillId="24" borderId="1" xfId="0" applyFont="1" applyFill="1" applyBorder="1" applyAlignment="1">
      <alignment horizontal="left" vertical="center"/>
    </xf>
    <xf numFmtId="0" fontId="180" fillId="0" borderId="0" xfId="0" applyFont="1" applyAlignment="1">
      <alignment horizontal="right" vertical="center"/>
    </xf>
    <xf numFmtId="0" fontId="183" fillId="29" borderId="5" xfId="0" applyFont="1" applyFill="1" applyBorder="1" applyAlignment="1">
      <alignment horizontal="center" vertical="center"/>
    </xf>
    <xf numFmtId="0" fontId="184" fillId="58" borderId="5" xfId="0" applyFont="1" applyFill="1" applyBorder="1" applyAlignment="1">
      <alignment horizontal="left" vertical="center"/>
    </xf>
    <xf numFmtId="0" fontId="185" fillId="59" borderId="5" xfId="0" applyFont="1" applyFill="1" applyBorder="1" applyAlignment="1">
      <alignment horizontal="center" vertical="center"/>
    </xf>
    <xf numFmtId="0" fontId="181" fillId="58" borderId="5" xfId="0" applyFont="1" applyFill="1" applyBorder="1" applyAlignment="1">
      <alignment horizontal="left" vertical="center"/>
    </xf>
    <xf numFmtId="0" fontId="186" fillId="58" borderId="5" xfId="0" applyFont="1" applyFill="1" applyBorder="1" applyAlignment="1">
      <alignment horizontal="left" vertical="center"/>
    </xf>
    <xf numFmtId="0" fontId="181" fillId="58" borderId="5" xfId="0" applyFont="1" applyFill="1" applyBorder="1" applyAlignment="1">
      <alignment horizontal="left" vertical="center" wrapText="1"/>
    </xf>
    <xf numFmtId="0" fontId="184" fillId="60" borderId="5" xfId="0" applyFont="1" applyFill="1" applyBorder="1" applyAlignment="1">
      <alignment horizontal="left" vertical="center"/>
    </xf>
    <xf numFmtId="0" fontId="181" fillId="60" borderId="5" xfId="0" applyFont="1" applyFill="1" applyBorder="1" applyAlignment="1">
      <alignment horizontal="left" vertical="center"/>
    </xf>
    <xf numFmtId="0" fontId="186" fillId="60" borderId="5" xfId="0" applyFont="1" applyFill="1" applyBorder="1" applyAlignment="1">
      <alignment horizontal="left" vertical="center"/>
    </xf>
    <xf numFmtId="0" fontId="181" fillId="60" borderId="5" xfId="0" applyFont="1" applyFill="1" applyBorder="1" applyAlignment="1">
      <alignment horizontal="left" vertical="center" wrapText="1"/>
    </xf>
    <xf numFmtId="0" fontId="173" fillId="7" borderId="0" xfId="0" applyFont="1" applyFill="1" applyAlignment="1">
      <alignment vertical="top" wrapText="1"/>
    </xf>
    <xf numFmtId="0" fontId="38" fillId="7" borderId="0" xfId="0" applyFont="1" applyFill="1" applyAlignment="1">
      <alignment vertical="top" wrapText="1"/>
    </xf>
    <xf numFmtId="0" fontId="175" fillId="51" borderId="0" xfId="0" applyFont="1" applyFill="1" applyAlignment="1">
      <alignment wrapText="1"/>
    </xf>
    <xf numFmtId="0" fontId="183" fillId="29" borderId="5" xfId="0" applyFont="1" applyFill="1" applyBorder="1" applyAlignment="1">
      <alignment horizontal="left" vertical="center"/>
    </xf>
    <xf numFmtId="0" fontId="185" fillId="61" borderId="5" xfId="0" applyFont="1" applyFill="1" applyBorder="1" applyAlignment="1">
      <alignment horizontal="left" vertical="center"/>
    </xf>
    <xf numFmtId="0" fontId="187" fillId="61" borderId="5" xfId="0" applyFont="1" applyFill="1" applyBorder="1" applyAlignment="1">
      <alignment horizontal="center" vertical="center"/>
    </xf>
    <xf numFmtId="0" fontId="188" fillId="61" borderId="5" xfId="0" applyFont="1" applyFill="1" applyBorder="1" applyAlignment="1">
      <alignment horizontal="left" vertical="center" wrapText="1"/>
    </xf>
    <xf numFmtId="0" fontId="189" fillId="51" borderId="0" xfId="0" applyFont="1" applyFill="1" applyAlignment="1">
      <alignment vertical="top" wrapText="1"/>
    </xf>
    <xf numFmtId="0" fontId="182" fillId="58" borderId="5" xfId="0" applyFont="1" applyFill="1" applyBorder="1" applyAlignment="1">
      <alignment horizontal="left" vertical="center"/>
    </xf>
    <xf numFmtId="0" fontId="190" fillId="58" borderId="5" xfId="0" applyFont="1" applyFill="1" applyBorder="1" applyAlignment="1">
      <alignment horizontal="left" vertical="center" wrapText="1"/>
    </xf>
    <xf numFmtId="0" fontId="191" fillId="58" borderId="5" xfId="0" applyFont="1" applyFill="1" applyBorder="1" applyAlignment="1">
      <alignment horizontal="left" vertical="center" wrapText="1"/>
    </xf>
    <xf numFmtId="0" fontId="187" fillId="58" borderId="5" xfId="0" applyFont="1" applyFill="1" applyBorder="1" applyAlignment="1">
      <alignment horizontal="left" vertical="center" wrapText="1"/>
    </xf>
    <xf numFmtId="0" fontId="182" fillId="60" borderId="5" xfId="0" applyFont="1" applyFill="1" applyBorder="1" applyAlignment="1">
      <alignment horizontal="left" vertical="center"/>
    </xf>
    <xf numFmtId="0" fontId="190" fillId="60" borderId="5" xfId="0" applyFont="1" applyFill="1" applyBorder="1" applyAlignment="1">
      <alignment horizontal="left" vertical="center" wrapText="1"/>
    </xf>
    <xf numFmtId="0" fontId="191" fillId="60" borderId="5" xfId="0" applyFont="1" applyFill="1" applyBorder="1" applyAlignment="1">
      <alignment horizontal="left" vertical="center" wrapText="1"/>
    </xf>
    <xf numFmtId="0" fontId="187" fillId="60" borderId="5" xfId="0" applyFont="1" applyFill="1" applyBorder="1" applyAlignment="1">
      <alignment horizontal="left" vertical="center" wrapText="1"/>
    </xf>
    <xf numFmtId="0" fontId="192" fillId="60" borderId="5" xfId="0" applyFont="1" applyFill="1" applyBorder="1" applyAlignment="1">
      <alignment horizontal="left" vertical="center" wrapText="1"/>
    </xf>
    <xf numFmtId="0" fontId="185" fillId="58" borderId="5" xfId="0" applyFont="1" applyFill="1" applyBorder="1" applyAlignment="1">
      <alignment horizontal="left" vertical="center" wrapText="1"/>
    </xf>
    <xf numFmtId="0" fontId="182" fillId="60" borderId="5" xfId="0" applyFont="1" applyFill="1" applyBorder="1" applyAlignment="1">
      <alignment horizontal="left" vertical="center" wrapText="1"/>
    </xf>
    <xf numFmtId="0" fontId="193" fillId="58" borderId="5" xfId="0" applyFont="1" applyFill="1" applyBorder="1" applyAlignment="1">
      <alignment horizontal="left" vertical="center"/>
    </xf>
    <xf numFmtId="0" fontId="193" fillId="58" borderId="5" xfId="0" applyFont="1" applyFill="1" applyBorder="1" applyAlignment="1">
      <alignment horizontal="left" vertical="center" wrapText="1"/>
    </xf>
    <xf numFmtId="0" fontId="193" fillId="60" borderId="5" xfId="0" applyFont="1" applyFill="1" applyBorder="1" applyAlignment="1">
      <alignment horizontal="left" vertical="center"/>
    </xf>
    <xf numFmtId="0" fontId="193" fillId="60" borderId="5" xfId="0" applyFont="1" applyFill="1" applyBorder="1" applyAlignment="1">
      <alignment horizontal="left" vertical="center" wrapText="1"/>
    </xf>
    <xf numFmtId="0" fontId="185" fillId="58" borderId="5" xfId="0" applyFont="1" applyFill="1" applyBorder="1" applyAlignment="1">
      <alignment horizontal="left" vertical="center"/>
    </xf>
    <xf numFmtId="0" fontId="194" fillId="58" borderId="5" xfId="0" applyFont="1" applyFill="1" applyBorder="1" applyAlignment="1">
      <alignment horizontal="left" vertical="center" wrapText="1"/>
    </xf>
    <xf numFmtId="0" fontId="185" fillId="60" borderId="5" xfId="0" applyFont="1" applyFill="1" applyBorder="1" applyAlignment="1">
      <alignment horizontal="left" vertical="center"/>
    </xf>
    <xf numFmtId="0" fontId="188" fillId="60" borderId="5" xfId="0" applyFont="1" applyFill="1" applyBorder="1" applyAlignment="1">
      <alignment horizontal="left" vertical="center" wrapText="1"/>
    </xf>
    <xf numFmtId="0" fontId="188" fillId="58" borderId="5" xfId="0" applyFont="1" applyFill="1" applyBorder="1" applyAlignment="1">
      <alignment horizontal="left" vertical="center" wrapText="1"/>
    </xf>
    <xf numFmtId="0" fontId="194" fillId="60" borderId="5" xfId="0" applyFont="1" applyFill="1" applyBorder="1" applyAlignment="1">
      <alignment horizontal="left" vertical="center" wrapText="1"/>
    </xf>
    <xf numFmtId="0" fontId="191" fillId="58" borderId="5" xfId="0" applyFont="1" applyFill="1" applyBorder="1" applyAlignment="1">
      <alignment horizontal="left" vertical="center"/>
    </xf>
    <xf numFmtId="0" fontId="195" fillId="58" borderId="5" xfId="0" applyFont="1" applyFill="1" applyBorder="1" applyAlignment="1">
      <alignment horizontal="left" vertical="center" wrapText="1"/>
    </xf>
    <xf numFmtId="0" fontId="191" fillId="60" borderId="5" xfId="0" applyFont="1" applyFill="1" applyBorder="1" applyAlignment="1">
      <alignment horizontal="left" vertical="center"/>
    </xf>
    <xf numFmtId="0" fontId="195" fillId="60" borderId="5" xfId="0" applyFont="1" applyFill="1" applyBorder="1" applyAlignment="1">
      <alignment horizontal="left" vertical="center" wrapText="1"/>
    </xf>
    <xf numFmtId="0" fontId="173" fillId="51" borderId="0" xfId="0" applyFont="1" applyFill="1" applyAlignment="1">
      <alignment vertical="top" wrapText="1"/>
    </xf>
    <xf numFmtId="0" fontId="38" fillId="51" borderId="0" xfId="0" applyFont="1" applyFill="1" applyAlignment="1">
      <alignment vertical="top" wrapText="1"/>
    </xf>
    <xf numFmtId="0" fontId="196" fillId="58" borderId="5" xfId="0" applyFont="1" applyFill="1" applyBorder="1" applyAlignment="1">
      <alignment horizontal="left" vertical="center"/>
    </xf>
    <xf numFmtId="0" fontId="197" fillId="58" borderId="5" xfId="0" applyFont="1" applyFill="1" applyBorder="1" applyAlignment="1">
      <alignment horizontal="left" vertical="center" wrapText="1"/>
    </xf>
    <xf numFmtId="0" fontId="196" fillId="60" borderId="5" xfId="0" applyFont="1" applyFill="1" applyBorder="1" applyAlignment="1">
      <alignment horizontal="left" vertical="center"/>
    </xf>
    <xf numFmtId="0" fontId="185" fillId="60" borderId="5" xfId="0" applyFont="1" applyFill="1" applyBorder="1" applyAlignment="1">
      <alignment horizontal="left" vertical="center" wrapText="1"/>
    </xf>
    <xf numFmtId="0" fontId="198" fillId="60" borderId="5" xfId="0" applyFont="1" applyFill="1" applyBorder="1" applyAlignment="1">
      <alignment horizontal="left" vertical="center" wrapText="1"/>
    </xf>
    <xf numFmtId="0" fontId="197" fillId="60" borderId="5" xfId="0" applyFont="1" applyFill="1" applyBorder="1" applyAlignment="1">
      <alignment horizontal="left" vertical="center" wrapText="1"/>
    </xf>
    <xf numFmtId="0" fontId="198" fillId="58" borderId="5" xfId="0" applyFont="1" applyFill="1" applyBorder="1" applyAlignment="1">
      <alignment horizontal="left" vertical="center" wrapText="1"/>
    </xf>
    <xf numFmtId="0" fontId="184" fillId="57" borderId="5" xfId="0" applyFont="1" applyFill="1" applyBorder="1"/>
    <xf numFmtId="0" fontId="185" fillId="57" borderId="5" xfId="0" applyFont="1" applyFill="1" applyBorder="1"/>
    <xf numFmtId="0" fontId="0" fillId="57" borderId="5" xfId="0" applyFill="1" applyBorder="1"/>
    <xf numFmtId="0" fontId="181" fillId="57" borderId="5" xfId="0" applyFont="1" applyFill="1" applyBorder="1"/>
    <xf numFmtId="0" fontId="180" fillId="0" borderId="0" xfId="0" applyFont="1"/>
    <xf numFmtId="0" fontId="192" fillId="58" borderId="5" xfId="0" applyFont="1" applyFill="1" applyBorder="1" applyAlignment="1">
      <alignment horizontal="left" vertical="center" wrapText="1"/>
    </xf>
    <xf numFmtId="0" fontId="199" fillId="58" borderId="5" xfId="0" applyFont="1" applyFill="1" applyBorder="1" applyAlignment="1">
      <alignment horizontal="left" vertical="center" wrapText="1"/>
    </xf>
    <xf numFmtId="0" fontId="199" fillId="60" borderId="5" xfId="0" applyFont="1" applyFill="1" applyBorder="1" applyAlignment="1">
      <alignment horizontal="left" vertical="center" wrapText="1"/>
    </xf>
    <xf numFmtId="0" fontId="188" fillId="58" borderId="5" xfId="0" applyFont="1" applyFill="1" applyBorder="1" applyAlignment="1">
      <alignment horizontal="left" vertical="center"/>
    </xf>
    <xf numFmtId="0" fontId="200" fillId="58" borderId="5" xfId="0" applyFont="1" applyFill="1" applyBorder="1" applyAlignment="1">
      <alignment horizontal="left" vertical="center" wrapText="1"/>
    </xf>
    <xf numFmtId="0" fontId="188" fillId="60" borderId="5" xfId="0" applyFont="1" applyFill="1" applyBorder="1" applyAlignment="1">
      <alignment horizontal="left" vertical="center"/>
    </xf>
    <xf numFmtId="0" fontId="200" fillId="60" borderId="5" xfId="0" applyFont="1" applyFill="1" applyBorder="1" applyAlignment="1">
      <alignment horizontal="left" vertical="center" wrapText="1"/>
    </xf>
    <xf numFmtId="0" fontId="201" fillId="58" borderId="5" xfId="0" applyFont="1" applyFill="1" applyBorder="1" applyAlignment="1">
      <alignment horizontal="left" vertical="center" wrapText="1"/>
    </xf>
    <xf numFmtId="0" fontId="187" fillId="58" borderId="5" xfId="0" applyFont="1" applyFill="1" applyBorder="1" applyAlignment="1">
      <alignment horizontal="left" vertical="center"/>
    </xf>
    <xf numFmtId="0" fontId="202" fillId="58" borderId="5" xfId="0" applyFont="1" applyFill="1" applyBorder="1" applyAlignment="1">
      <alignment horizontal="left" vertical="center" wrapText="1"/>
    </xf>
    <xf numFmtId="0" fontId="187" fillId="60" borderId="5" xfId="0" applyFont="1" applyFill="1" applyBorder="1" applyAlignment="1">
      <alignment horizontal="left" vertical="center"/>
    </xf>
    <xf numFmtId="0" fontId="202" fillId="60" borderId="5" xfId="0" applyFont="1" applyFill="1" applyBorder="1" applyAlignment="1">
      <alignment horizontal="left" vertical="center" wrapText="1"/>
    </xf>
    <xf numFmtId="0" fontId="173" fillId="62" borderId="0" xfId="0" applyFont="1" applyFill="1" applyAlignment="1">
      <alignment vertical="top" wrapText="1"/>
    </xf>
    <xf numFmtId="0" fontId="0" fillId="62" borderId="0" xfId="0" applyFill="1"/>
    <xf numFmtId="0" fontId="173" fillId="53" borderId="0" xfId="0" applyFont="1" applyFill="1" applyAlignment="1">
      <alignment vertical="top" wrapText="1"/>
    </xf>
    <xf numFmtId="0" fontId="189" fillId="0" borderId="0" xfId="0" applyFont="1" applyAlignment="1">
      <alignment vertical="top" wrapText="1"/>
    </xf>
    <xf numFmtId="0" fontId="203" fillId="58" borderId="5" xfId="0" applyFont="1" applyFill="1" applyBorder="1" applyAlignment="1">
      <alignment horizontal="left" vertical="center"/>
    </xf>
    <xf numFmtId="0" fontId="203" fillId="60" borderId="5" xfId="0" applyFont="1" applyFill="1" applyBorder="1" applyAlignment="1">
      <alignment horizontal="left" vertical="center"/>
    </xf>
    <xf numFmtId="0" fontId="201" fillId="60" borderId="5" xfId="0" applyFont="1" applyFill="1" applyBorder="1" applyAlignment="1">
      <alignment horizontal="left" vertical="center" wrapText="1"/>
    </xf>
    <xf numFmtId="0" fontId="204" fillId="60" borderId="5" xfId="0" applyFont="1" applyFill="1" applyBorder="1" applyAlignment="1">
      <alignment horizontal="left" vertical="center" wrapText="1"/>
    </xf>
    <xf numFmtId="0" fontId="204" fillId="58" borderId="5" xfId="0" applyFont="1" applyFill="1" applyBorder="1" applyAlignment="1">
      <alignment horizontal="left" vertical="center" wrapText="1"/>
    </xf>
    <xf numFmtId="0" fontId="186" fillId="58" borderId="5" xfId="0" applyFont="1" applyFill="1" applyBorder="1" applyAlignment="1">
      <alignment horizontal="left" vertical="center" wrapText="1"/>
    </xf>
    <xf numFmtId="0" fontId="186" fillId="60" borderId="5" xfId="0" applyFont="1" applyFill="1" applyBorder="1" applyAlignment="1">
      <alignment horizontal="left" vertical="center" wrapText="1"/>
    </xf>
    <xf numFmtId="14" fontId="193" fillId="58" borderId="5" xfId="0" applyNumberFormat="1" applyFont="1" applyFill="1" applyBorder="1" applyAlignment="1">
      <alignment horizontal="center" vertical="center"/>
    </xf>
    <xf numFmtId="0" fontId="185" fillId="58" borderId="5" xfId="0" applyFont="1" applyFill="1" applyBorder="1" applyAlignment="1">
      <alignment horizontal="center" vertical="center"/>
    </xf>
    <xf numFmtId="0" fontId="182" fillId="58" borderId="5" xfId="0" applyFont="1" applyFill="1" applyBorder="1" applyAlignment="1">
      <alignment horizontal="center" vertical="center"/>
    </xf>
    <xf numFmtId="0" fontId="205" fillId="58" borderId="5" xfId="0" applyFont="1" applyFill="1" applyBorder="1" applyAlignment="1">
      <alignment horizontal="center" vertical="center"/>
    </xf>
    <xf numFmtId="0" fontId="191" fillId="58" borderId="5" xfId="0" applyFont="1" applyFill="1" applyBorder="1" applyAlignment="1">
      <alignment horizontal="center" vertical="center"/>
    </xf>
    <xf numFmtId="14" fontId="193" fillId="60" borderId="5" xfId="0" applyNumberFormat="1" applyFont="1" applyFill="1" applyBorder="1" applyAlignment="1">
      <alignment horizontal="center" vertical="center"/>
    </xf>
    <xf numFmtId="0" fontId="185" fillId="60" borderId="5" xfId="0" applyFont="1" applyFill="1" applyBorder="1" applyAlignment="1">
      <alignment horizontal="center" vertical="center"/>
    </xf>
    <xf numFmtId="0" fontId="182" fillId="60" borderId="5" xfId="0" applyFont="1" applyFill="1" applyBorder="1" applyAlignment="1">
      <alignment horizontal="center" vertical="center"/>
    </xf>
    <xf numFmtId="0" fontId="205" fillId="60" borderId="5" xfId="0" applyFont="1" applyFill="1" applyBorder="1" applyAlignment="1">
      <alignment horizontal="center" vertical="center"/>
    </xf>
    <xf numFmtId="0" fontId="191" fillId="60" borderId="5" xfId="0" applyFont="1" applyFill="1" applyBorder="1" applyAlignment="1">
      <alignment horizontal="center" vertical="center"/>
    </xf>
    <xf numFmtId="0" fontId="188" fillId="60" borderId="5" xfId="0" applyFont="1" applyFill="1" applyBorder="1"/>
    <xf numFmtId="0" fontId="0" fillId="60" borderId="5" xfId="0" applyFill="1" applyBorder="1"/>
    <xf numFmtId="0" fontId="188" fillId="58" borderId="5" xfId="0" applyFont="1" applyFill="1" applyBorder="1"/>
    <xf numFmtId="0" fontId="0" fillId="58" borderId="5" xfId="0" applyFill="1" applyBorder="1"/>
    <xf numFmtId="0" fontId="207" fillId="58" borderId="5" xfId="0" applyFont="1" applyFill="1" applyBorder="1" applyAlignment="1">
      <alignment horizontal="left" vertical="center" wrapText="1"/>
    </xf>
    <xf numFmtId="0" fontId="207" fillId="60" borderId="5" xfId="0" applyFont="1" applyFill="1" applyBorder="1" applyAlignment="1">
      <alignment horizontal="left" vertical="center" wrapText="1"/>
    </xf>
    <xf numFmtId="0" fontId="208" fillId="0" borderId="0" xfId="0" applyFont="1"/>
    <xf numFmtId="0" fontId="183" fillId="29" borderId="5" xfId="0" applyFont="1" applyFill="1" applyBorder="1" applyAlignment="1">
      <alignment horizontal="center" vertical="center" wrapText="1"/>
    </xf>
    <xf numFmtId="0" fontId="185" fillId="61" borderId="5" xfId="0" applyFont="1" applyFill="1" applyBorder="1" applyAlignment="1">
      <alignment horizontal="center" vertical="center"/>
    </xf>
    <xf numFmtId="0" fontId="184" fillId="61" borderId="5" xfId="0" applyFont="1" applyFill="1" applyBorder="1" applyAlignment="1">
      <alignment horizontal="left" vertical="center"/>
    </xf>
    <xf numFmtId="0" fontId="181" fillId="61" borderId="5" xfId="0" applyFont="1" applyFill="1" applyBorder="1" applyAlignment="1">
      <alignment horizontal="left" vertical="center"/>
    </xf>
    <xf numFmtId="0" fontId="205" fillId="61" borderId="5" xfId="0" applyFont="1" applyFill="1" applyBorder="1" applyAlignment="1">
      <alignment horizontal="center" vertical="center"/>
    </xf>
    <xf numFmtId="0" fontId="209" fillId="61" borderId="5" xfId="0" applyFont="1" applyFill="1" applyBorder="1" applyAlignment="1">
      <alignment horizontal="center" vertical="center"/>
    </xf>
    <xf numFmtId="0" fontId="210" fillId="61" borderId="5" xfId="0" applyFont="1" applyFill="1" applyBorder="1" applyAlignment="1">
      <alignment horizontal="center" vertical="center"/>
    </xf>
    <xf numFmtId="0" fontId="181" fillId="61" borderId="5" xfId="0" applyFont="1" applyFill="1" applyBorder="1" applyAlignment="1">
      <alignment horizontal="left" vertical="center" wrapText="1"/>
    </xf>
    <xf numFmtId="0" fontId="184" fillId="59" borderId="5" xfId="0" applyFont="1" applyFill="1" applyBorder="1" applyAlignment="1">
      <alignment horizontal="left" vertical="center"/>
    </xf>
    <xf numFmtId="0" fontId="181" fillId="59" borderId="5" xfId="0" applyFont="1" applyFill="1" applyBorder="1" applyAlignment="1">
      <alignment horizontal="left" vertical="center"/>
    </xf>
    <xf numFmtId="0" fontId="205" fillId="59" borderId="5" xfId="0" applyFont="1" applyFill="1" applyBorder="1" applyAlignment="1">
      <alignment horizontal="center" vertical="center"/>
    </xf>
    <xf numFmtId="0" fontId="209" fillId="59" borderId="5" xfId="0" applyFont="1" applyFill="1" applyBorder="1" applyAlignment="1">
      <alignment horizontal="center" vertical="center"/>
    </xf>
    <xf numFmtId="0" fontId="210" fillId="59" borderId="5" xfId="0" applyFont="1" applyFill="1" applyBorder="1" applyAlignment="1">
      <alignment horizontal="center" vertical="center"/>
    </xf>
    <xf numFmtId="0" fontId="181" fillId="59" borderId="5" xfId="0" applyFont="1" applyFill="1" applyBorder="1" applyAlignment="1">
      <alignment horizontal="left" vertical="center" wrapText="1"/>
    </xf>
    <xf numFmtId="0" fontId="211" fillId="59" borderId="5" xfId="0" applyFont="1" applyFill="1" applyBorder="1" applyAlignment="1">
      <alignment horizontal="center" vertical="center"/>
    </xf>
    <xf numFmtId="0" fontId="211" fillId="61" borderId="5" xfId="0" applyFont="1" applyFill="1" applyBorder="1" applyAlignment="1">
      <alignment horizontal="center" vertical="center"/>
    </xf>
    <xf numFmtId="0" fontId="42" fillId="14" borderId="1" xfId="0" applyFont="1" applyFill="1" applyBorder="1" applyAlignment="1">
      <alignment horizontal="center" vertical="center" wrapText="1"/>
    </xf>
    <xf numFmtId="0" fontId="42" fillId="64" borderId="1" xfId="0" applyFont="1" applyFill="1" applyBorder="1" applyAlignment="1">
      <alignment horizontal="center" vertical="center" wrapText="1"/>
    </xf>
    <xf numFmtId="0" fontId="5" fillId="17" borderId="0" xfId="0" applyFont="1" applyFill="1"/>
    <xf numFmtId="0" fontId="35" fillId="15" borderId="1" xfId="0" applyFont="1" applyFill="1" applyBorder="1" applyAlignment="1">
      <alignment horizontal="left" vertical="center"/>
    </xf>
    <xf numFmtId="2" fontId="77" fillId="19" borderId="1" xfId="0" applyNumberFormat="1" applyFont="1" applyFill="1" applyBorder="1"/>
    <xf numFmtId="0" fontId="88" fillId="19" borderId="1" xfId="0" applyFont="1" applyFill="1" applyBorder="1" applyAlignment="1">
      <alignment horizontal="left" vertical="center"/>
    </xf>
    <xf numFmtId="165" fontId="55" fillId="19" borderId="1" xfId="0" applyNumberFormat="1" applyFont="1" applyFill="1" applyBorder="1"/>
    <xf numFmtId="0" fontId="118" fillId="33" borderId="1" xfId="0" applyFont="1" applyFill="1" applyBorder="1" applyAlignment="1">
      <alignment horizontal="left" vertical="center"/>
    </xf>
    <xf numFmtId="165" fontId="118" fillId="33" borderId="1" xfId="0" applyNumberFormat="1" applyFont="1" applyFill="1" applyBorder="1"/>
    <xf numFmtId="2" fontId="84" fillId="24" borderId="1" xfId="0" applyNumberFormat="1" applyFont="1" applyFill="1" applyBorder="1" applyAlignment="1">
      <alignment horizontal="center" vertical="center"/>
    </xf>
    <xf numFmtId="2" fontId="213" fillId="24" borderId="1" xfId="0" applyNumberFormat="1" applyFont="1" applyFill="1" applyBorder="1" applyAlignment="1">
      <alignment horizontal="center" vertical="center"/>
    </xf>
    <xf numFmtId="2" fontId="2" fillId="23" borderId="1" xfId="0" applyNumberFormat="1" applyFont="1" applyFill="1" applyBorder="1" applyAlignment="1">
      <alignment horizontal="center" vertical="center"/>
    </xf>
    <xf numFmtId="0" fontId="68" fillId="28" borderId="1" xfId="0" applyFont="1" applyFill="1" applyBorder="1" applyAlignment="1">
      <alignment horizontal="center" vertical="center"/>
    </xf>
    <xf numFmtId="167" fontId="47" fillId="28" borderId="1" xfId="0" applyNumberFormat="1" applyFont="1" applyFill="1" applyBorder="1" applyAlignment="1">
      <alignment horizontal="center" vertical="center"/>
    </xf>
    <xf numFmtId="0" fontId="130" fillId="24" borderId="1" xfId="0" applyFont="1" applyFill="1" applyBorder="1" applyAlignment="1">
      <alignment horizontal="center" vertical="center"/>
    </xf>
    <xf numFmtId="0" fontId="153" fillId="24" borderId="1" xfId="0" applyFont="1" applyFill="1" applyBorder="1" applyAlignment="1">
      <alignment horizontal="left" vertical="center" wrapText="1"/>
    </xf>
    <xf numFmtId="2" fontId="84" fillId="25" borderId="1" xfId="0" applyNumberFormat="1" applyFont="1" applyFill="1" applyBorder="1" applyAlignment="1">
      <alignment horizontal="center" vertical="center"/>
    </xf>
    <xf numFmtId="2" fontId="213" fillId="25" borderId="1" xfId="0" applyNumberFormat="1" applyFont="1" applyFill="1" applyBorder="1" applyAlignment="1">
      <alignment horizontal="center" vertical="center"/>
    </xf>
    <xf numFmtId="0" fontId="130" fillId="25" borderId="1" xfId="0" applyFont="1" applyFill="1" applyBorder="1" applyAlignment="1">
      <alignment horizontal="center" vertical="center"/>
    </xf>
    <xf numFmtId="0" fontId="153" fillId="25" borderId="1" xfId="0" applyFont="1" applyFill="1" applyBorder="1" applyAlignment="1">
      <alignment horizontal="left" vertical="center" wrapText="1"/>
    </xf>
    <xf numFmtId="2" fontId="0" fillId="25" borderId="1" xfId="0" applyNumberFormat="1" applyFill="1" applyBorder="1" applyAlignment="1">
      <alignment horizontal="center" vertical="center"/>
    </xf>
    <xf numFmtId="0" fontId="42" fillId="14" borderId="1" xfId="0" applyFont="1" applyFill="1" applyBorder="1" applyAlignment="1">
      <alignment horizontal="center" vertical="center"/>
    </xf>
    <xf numFmtId="0" fontId="42" fillId="17" borderId="1" xfId="0" applyFont="1" applyFill="1" applyBorder="1" applyAlignment="1">
      <alignment horizontal="center" vertical="center"/>
    </xf>
    <xf numFmtId="0" fontId="42" fillId="32" borderId="1" xfId="0" applyFont="1" applyFill="1" applyBorder="1" applyAlignment="1">
      <alignment horizontal="center" vertical="center"/>
    </xf>
    <xf numFmtId="0" fontId="42" fillId="21" borderId="1" xfId="0" applyFont="1" applyFill="1" applyBorder="1" applyAlignment="1">
      <alignment horizontal="center" vertical="center" wrapText="1"/>
    </xf>
    <xf numFmtId="0" fontId="156" fillId="31" borderId="1" xfId="0" applyFont="1" applyFill="1" applyBorder="1" applyAlignment="1">
      <alignment horizontal="center" vertical="center"/>
    </xf>
    <xf numFmtId="0" fontId="156" fillId="16" borderId="1" xfId="0" applyFont="1" applyFill="1" applyBorder="1" applyAlignment="1">
      <alignment horizontal="center" vertical="center"/>
    </xf>
    <xf numFmtId="0" fontId="156" fillId="21" borderId="1" xfId="0" applyFont="1" applyFill="1" applyBorder="1" applyAlignment="1">
      <alignment horizontal="center" vertical="center"/>
    </xf>
    <xf numFmtId="0" fontId="156" fillId="14" borderId="1" xfId="0" applyFont="1" applyFill="1" applyBorder="1" applyAlignment="1">
      <alignment horizontal="center" vertical="center"/>
    </xf>
    <xf numFmtId="0" fontId="156" fillId="17" borderId="1" xfId="0" applyFont="1" applyFill="1" applyBorder="1" applyAlignment="1">
      <alignment horizontal="center" vertical="center"/>
    </xf>
    <xf numFmtId="0" fontId="214" fillId="30" borderId="1" xfId="0" applyFont="1" applyFill="1" applyBorder="1" applyAlignment="1">
      <alignment horizontal="left" vertical="center"/>
    </xf>
    <xf numFmtId="0" fontId="215" fillId="15" borderId="1" xfId="0" applyFont="1" applyFill="1" applyBorder="1" applyAlignment="1">
      <alignment horizontal="center" vertical="center"/>
    </xf>
    <xf numFmtId="167" fontId="215" fillId="15" borderId="1" xfId="0" applyNumberFormat="1" applyFont="1" applyFill="1" applyBorder="1" applyAlignment="1">
      <alignment horizontal="center" vertical="center"/>
    </xf>
    <xf numFmtId="0" fontId="215" fillId="3" borderId="1" xfId="0" applyFont="1" applyFill="1" applyBorder="1" applyAlignment="1">
      <alignment horizontal="center" vertical="center"/>
    </xf>
    <xf numFmtId="167" fontId="215" fillId="3" borderId="1" xfId="0" applyNumberFormat="1" applyFont="1" applyFill="1" applyBorder="1" applyAlignment="1">
      <alignment horizontal="center" vertical="center"/>
    </xf>
    <xf numFmtId="0" fontId="216" fillId="26" borderId="1" xfId="0" applyFont="1" applyFill="1" applyBorder="1" applyAlignment="1">
      <alignment horizontal="center" vertical="center"/>
    </xf>
    <xf numFmtId="0" fontId="106" fillId="41" borderId="1" xfId="0" applyFont="1" applyFill="1" applyBorder="1" applyAlignment="1">
      <alignment horizontal="center" vertical="center"/>
    </xf>
    <xf numFmtId="0" fontId="43" fillId="28" borderId="1" xfId="0" applyFont="1" applyFill="1" applyBorder="1" applyAlignment="1">
      <alignment horizontal="center" vertical="center"/>
    </xf>
    <xf numFmtId="0" fontId="213" fillId="19" borderId="1" xfId="0" applyFont="1" applyFill="1" applyBorder="1" applyAlignment="1">
      <alignment horizontal="left" vertical="center"/>
    </xf>
    <xf numFmtId="0" fontId="213" fillId="19" borderId="1" xfId="0" applyFont="1" applyFill="1" applyBorder="1" applyAlignment="1">
      <alignment horizontal="center" vertical="center"/>
    </xf>
    <xf numFmtId="0" fontId="25" fillId="18" borderId="1" xfId="0" applyFont="1" applyFill="1" applyBorder="1" applyAlignment="1">
      <alignment horizontal="left" vertical="center"/>
    </xf>
    <xf numFmtId="0" fontId="216" fillId="49" borderId="1" xfId="0" applyFont="1" applyFill="1" applyBorder="1" applyAlignment="1">
      <alignment horizontal="center" vertical="center"/>
    </xf>
    <xf numFmtId="0" fontId="43" fillId="23" borderId="1" xfId="0" applyFont="1" applyFill="1" applyBorder="1" applyAlignment="1">
      <alignment horizontal="left" vertical="center"/>
    </xf>
    <xf numFmtId="0" fontId="213" fillId="44" borderId="1" xfId="0" applyFont="1" applyFill="1" applyBorder="1" applyAlignment="1">
      <alignment horizontal="left" vertical="center"/>
    </xf>
    <xf numFmtId="0" fontId="213" fillId="44" borderId="1" xfId="0" applyFont="1" applyFill="1" applyBorder="1" applyAlignment="1">
      <alignment horizontal="center" vertical="center"/>
    </xf>
    <xf numFmtId="0" fontId="25" fillId="36" borderId="1" xfId="0" applyFont="1" applyFill="1" applyBorder="1" applyAlignment="1">
      <alignment horizontal="left" vertical="center"/>
    </xf>
    <xf numFmtId="0" fontId="219" fillId="3" borderId="1" xfId="0" applyFont="1" applyFill="1" applyBorder="1" applyAlignment="1">
      <alignment horizontal="center" vertical="center"/>
    </xf>
    <xf numFmtId="0" fontId="62" fillId="15" borderId="1" xfId="0" applyFont="1" applyFill="1" applyBorder="1" applyAlignment="1">
      <alignment horizontal="center" vertical="center"/>
    </xf>
    <xf numFmtId="0" fontId="167" fillId="36" borderId="1" xfId="0" applyFont="1" applyFill="1" applyBorder="1" applyAlignment="1">
      <alignment horizontal="left" vertical="center"/>
    </xf>
    <xf numFmtId="0" fontId="220" fillId="41" borderId="1" xfId="0" applyFont="1" applyFill="1" applyBorder="1" applyAlignment="1">
      <alignment horizontal="center" vertical="center"/>
    </xf>
    <xf numFmtId="0" fontId="85" fillId="25" borderId="1" xfId="0" applyFont="1" applyFill="1" applyBorder="1" applyAlignment="1">
      <alignment horizontal="center" vertical="center"/>
    </xf>
    <xf numFmtId="0" fontId="221" fillId="25" borderId="1" xfId="0" applyFont="1" applyFill="1" applyBorder="1" applyAlignment="1">
      <alignment horizontal="left" vertical="center" wrapText="1"/>
    </xf>
    <xf numFmtId="0" fontId="222" fillId="18" borderId="1" xfId="0" applyFont="1" applyFill="1" applyBorder="1" applyAlignment="1">
      <alignment horizontal="center" vertical="center"/>
    </xf>
    <xf numFmtId="0" fontId="145" fillId="24" borderId="1" xfId="0" applyFont="1" applyFill="1" applyBorder="1" applyAlignment="1">
      <alignment horizontal="center" vertical="center"/>
    </xf>
    <xf numFmtId="0" fontId="85" fillId="24" borderId="1" xfId="0" applyFont="1" applyFill="1" applyBorder="1" applyAlignment="1">
      <alignment horizontal="center" vertical="center"/>
    </xf>
    <xf numFmtId="0" fontId="221" fillId="24" borderId="1" xfId="0" applyFont="1" applyFill="1" applyBorder="1" applyAlignment="1">
      <alignment horizontal="left" vertical="center" wrapText="1"/>
    </xf>
    <xf numFmtId="0" fontId="223" fillId="19" borderId="1" xfId="0" applyFont="1" applyFill="1" applyBorder="1" applyAlignment="1">
      <alignment horizontal="center" vertical="center"/>
    </xf>
    <xf numFmtId="0" fontId="114" fillId="19" borderId="1" xfId="0" applyFont="1" applyFill="1" applyBorder="1" applyAlignment="1">
      <alignment horizontal="left" vertical="center"/>
    </xf>
    <xf numFmtId="0" fontId="145" fillId="25" borderId="1" xfId="0" applyFont="1" applyFill="1" applyBorder="1" applyAlignment="1">
      <alignment horizontal="center" vertical="center"/>
    </xf>
    <xf numFmtId="0" fontId="224" fillId="35" borderId="1" xfId="0" applyFont="1" applyFill="1" applyBorder="1" applyAlignment="1">
      <alignment horizontal="center" vertical="center"/>
    </xf>
    <xf numFmtId="0" fontId="225" fillId="37" borderId="1" xfId="0" applyFont="1" applyFill="1" applyBorder="1" applyAlignment="1">
      <alignment horizontal="center" vertical="center"/>
    </xf>
    <xf numFmtId="0" fontId="226" fillId="8" borderId="1" xfId="0" applyFont="1" applyFill="1" applyBorder="1" applyAlignment="1">
      <alignment horizontal="center" vertical="center"/>
    </xf>
    <xf numFmtId="0" fontId="227" fillId="43" borderId="1" xfId="0" applyFont="1" applyFill="1" applyBorder="1" applyAlignment="1">
      <alignment horizontal="center" vertical="center"/>
    </xf>
    <xf numFmtId="0" fontId="159" fillId="43" borderId="1" xfId="0" applyFont="1" applyFill="1" applyBorder="1" applyAlignment="1">
      <alignment horizontal="left" vertical="center"/>
    </xf>
    <xf numFmtId="0" fontId="228" fillId="8" borderId="1" xfId="0" applyFont="1" applyFill="1" applyBorder="1" applyAlignment="1">
      <alignment horizontal="center" vertical="center"/>
    </xf>
    <xf numFmtId="0" fontId="116" fillId="8" borderId="1" xfId="0" applyFont="1" applyFill="1" applyBorder="1" applyAlignment="1">
      <alignment horizontal="left" vertical="center"/>
    </xf>
    <xf numFmtId="0" fontId="220" fillId="38" borderId="1" xfId="0" applyFont="1" applyFill="1" applyBorder="1" applyAlignment="1">
      <alignment horizontal="center" vertical="center"/>
    </xf>
    <xf numFmtId="0" fontId="222" fillId="36" borderId="1" xfId="0" applyFont="1" applyFill="1" applyBorder="1" applyAlignment="1">
      <alignment horizontal="center" vertical="center"/>
    </xf>
    <xf numFmtId="0" fontId="61" fillId="36" borderId="1" xfId="0" applyFont="1" applyFill="1" applyBorder="1" applyAlignment="1">
      <alignment horizontal="left" vertical="center"/>
    </xf>
    <xf numFmtId="0" fontId="229" fillId="23" borderId="1" xfId="0" applyFont="1" applyFill="1" applyBorder="1" applyAlignment="1">
      <alignment horizontal="center" vertical="center"/>
    </xf>
    <xf numFmtId="0" fontId="47" fillId="23" borderId="1" xfId="0" applyFont="1" applyFill="1" applyBorder="1" applyAlignment="1">
      <alignment horizontal="left" vertical="center"/>
    </xf>
    <xf numFmtId="0" fontId="230" fillId="49" borderId="1" xfId="0" applyFont="1" applyFill="1" applyBorder="1" applyAlignment="1">
      <alignment horizontal="center" vertical="center"/>
    </xf>
    <xf numFmtId="0" fontId="46" fillId="25" borderId="1" xfId="0" applyFont="1" applyFill="1" applyBorder="1" applyAlignment="1">
      <alignment horizontal="left" vertical="center"/>
    </xf>
    <xf numFmtId="0" fontId="46" fillId="24" borderId="1" xfId="0" applyFont="1" applyFill="1" applyBorder="1" applyAlignment="1">
      <alignment horizontal="left" vertical="center"/>
    </xf>
    <xf numFmtId="0" fontId="232" fillId="3" borderId="1" xfId="0" applyFont="1" applyFill="1" applyBorder="1" applyAlignment="1">
      <alignment horizontal="center" vertical="center"/>
    </xf>
    <xf numFmtId="0" fontId="233" fillId="30" borderId="1" xfId="0" applyFont="1" applyFill="1" applyBorder="1" applyAlignment="1">
      <alignment horizontal="center" vertical="center"/>
    </xf>
    <xf numFmtId="0" fontId="234" fillId="41" borderId="1" xfId="0" applyFont="1" applyFill="1" applyBorder="1" applyAlignment="1">
      <alignment horizontal="center" vertical="center"/>
    </xf>
    <xf numFmtId="168" fontId="123" fillId="23" borderId="1" xfId="0" applyNumberFormat="1" applyFont="1" applyFill="1" applyBorder="1" applyAlignment="1">
      <alignment horizontal="center" vertical="center"/>
    </xf>
    <xf numFmtId="0" fontId="235" fillId="18" borderId="1" xfId="0" applyFont="1" applyFill="1" applyBorder="1" applyAlignment="1">
      <alignment horizontal="center" vertical="center"/>
    </xf>
    <xf numFmtId="168" fontId="123" fillId="28" borderId="1" xfId="0" applyNumberFormat="1" applyFont="1" applyFill="1" applyBorder="1" applyAlignment="1">
      <alignment horizontal="center" vertical="center"/>
    </xf>
    <xf numFmtId="0" fontId="236" fillId="19" borderId="1" xfId="0" applyFont="1" applyFill="1" applyBorder="1" applyAlignment="1">
      <alignment horizontal="center" vertical="center"/>
    </xf>
    <xf numFmtId="0" fontId="237" fillId="35" borderId="1" xfId="0" applyFont="1" applyFill="1" applyBorder="1" applyAlignment="1">
      <alignment horizontal="center" vertical="center"/>
    </xf>
    <xf numFmtId="0" fontId="238" fillId="37" borderId="1" xfId="0" applyFont="1" applyFill="1" applyBorder="1" applyAlignment="1">
      <alignment horizontal="center" vertical="center"/>
    </xf>
    <xf numFmtId="0" fontId="239" fillId="8" borderId="1" xfId="0" applyFont="1" applyFill="1" applyBorder="1" applyAlignment="1">
      <alignment horizontal="center" vertical="center"/>
    </xf>
    <xf numFmtId="0" fontId="85" fillId="30" borderId="1" xfId="0" applyFont="1" applyFill="1" applyBorder="1" applyAlignment="1">
      <alignment horizontal="center" vertical="center"/>
    </xf>
    <xf numFmtId="0" fontId="240" fillId="43" borderId="1" xfId="0" applyFont="1" applyFill="1" applyBorder="1" applyAlignment="1">
      <alignment horizontal="center" vertical="center"/>
    </xf>
    <xf numFmtId="0" fontId="241" fillId="8" borderId="1" xfId="0" applyFont="1" applyFill="1" applyBorder="1" applyAlignment="1">
      <alignment horizontal="center" vertical="center"/>
    </xf>
    <xf numFmtId="0" fontId="234" fillId="38" borderId="1" xfId="0" applyFont="1" applyFill="1" applyBorder="1" applyAlignment="1">
      <alignment horizontal="center" vertical="center"/>
    </xf>
    <xf numFmtId="0" fontId="19" fillId="19" borderId="1" xfId="0" applyFont="1" applyFill="1" applyBorder="1" applyAlignment="1">
      <alignment horizontal="center" vertical="center"/>
    </xf>
    <xf numFmtId="0" fontId="235" fillId="36" borderId="1" xfId="0" applyFont="1" applyFill="1" applyBorder="1" applyAlignment="1">
      <alignment horizontal="center" vertical="center"/>
    </xf>
    <xf numFmtId="0" fontId="242" fillId="23" borderId="1" xfId="0" applyFont="1" applyFill="1" applyBorder="1" applyAlignment="1">
      <alignment horizontal="center" vertical="center"/>
    </xf>
    <xf numFmtId="0" fontId="243" fillId="49" borderId="1" xfId="0" applyFont="1" applyFill="1" applyBorder="1" applyAlignment="1">
      <alignment horizontal="center" vertical="center"/>
    </xf>
    <xf numFmtId="0" fontId="42" fillId="27" borderId="1" xfId="0" applyFont="1" applyFill="1" applyBorder="1" applyAlignment="1">
      <alignment horizontal="center" vertical="center" wrapText="1"/>
    </xf>
    <xf numFmtId="0" fontId="242" fillId="23" borderId="1" xfId="0" applyFont="1" applyFill="1" applyBorder="1" applyAlignment="1">
      <alignment horizontal="left" vertical="center"/>
    </xf>
    <xf numFmtId="0" fontId="82" fillId="26" borderId="1" xfId="0" applyFont="1" applyFill="1" applyBorder="1" applyAlignment="1">
      <alignment horizontal="center" vertical="center"/>
    </xf>
    <xf numFmtId="169" fontId="244" fillId="18" borderId="1" xfId="0" applyNumberFormat="1" applyFont="1" applyFill="1" applyBorder="1" applyAlignment="1">
      <alignment horizontal="center" vertical="center"/>
    </xf>
    <xf numFmtId="0" fontId="148" fillId="33" borderId="1" xfId="0" applyFont="1" applyFill="1" applyBorder="1" applyAlignment="1">
      <alignment horizontal="left" vertical="center" wrapText="1"/>
    </xf>
    <xf numFmtId="0" fontId="245" fillId="30" borderId="1" xfId="0" applyFont="1" applyFill="1" applyBorder="1" applyAlignment="1">
      <alignment horizontal="center" vertical="center"/>
    </xf>
    <xf numFmtId="0" fontId="52" fillId="33" borderId="1" xfId="0" applyFont="1" applyFill="1" applyBorder="1"/>
    <xf numFmtId="0" fontId="53" fillId="15" borderId="1" xfId="0" applyFont="1" applyFill="1" applyBorder="1" applyAlignment="1">
      <alignment horizontal="center" vertical="center"/>
    </xf>
    <xf numFmtId="0" fontId="145" fillId="39" borderId="1" xfId="0" applyFont="1" applyFill="1" applyBorder="1" applyAlignment="1">
      <alignment horizontal="center" vertical="center"/>
    </xf>
    <xf numFmtId="0" fontId="61" fillId="25" borderId="1" xfId="0" applyFont="1" applyFill="1" applyBorder="1" applyAlignment="1">
      <alignment horizontal="center" vertical="center"/>
    </xf>
    <xf numFmtId="0" fontId="61" fillId="24" borderId="1" xfId="0" applyFont="1" applyFill="1" applyBorder="1" applyAlignment="1">
      <alignment horizontal="center" vertical="center"/>
    </xf>
    <xf numFmtId="0" fontId="41" fillId="15" borderId="1" xfId="0" applyFont="1" applyFill="1" applyBorder="1" applyAlignment="1">
      <alignment horizontal="center" vertical="center"/>
    </xf>
    <xf numFmtId="0" fontId="246" fillId="15" borderId="1" xfId="0" applyFont="1" applyFill="1" applyBorder="1" applyAlignment="1">
      <alignment horizontal="center" vertical="center"/>
    </xf>
    <xf numFmtId="0" fontId="246" fillId="3" borderId="1" xfId="0" applyFont="1" applyFill="1" applyBorder="1" applyAlignment="1">
      <alignment horizontal="center" vertical="center"/>
    </xf>
    <xf numFmtId="0" fontId="20" fillId="27" borderId="1" xfId="0" applyFont="1" applyFill="1" applyBorder="1" applyAlignment="1">
      <alignment horizontal="center" vertical="center"/>
    </xf>
    <xf numFmtId="0" fontId="46" fillId="25" borderId="1" xfId="0" applyFont="1" applyFill="1" applyBorder="1" applyAlignment="1">
      <alignment horizontal="center" vertical="center"/>
    </xf>
    <xf numFmtId="0" fontId="46" fillId="24" borderId="1" xfId="0" applyFont="1" applyFill="1" applyBorder="1" applyAlignment="1">
      <alignment horizontal="center" vertical="center"/>
    </xf>
    <xf numFmtId="0" fontId="177" fillId="15" borderId="1" xfId="0" applyFont="1" applyFill="1" applyBorder="1" applyAlignment="1">
      <alignment horizontal="left" vertical="center" wrapText="1"/>
    </xf>
    <xf numFmtId="0" fontId="56" fillId="25" borderId="1" xfId="0" applyFont="1" applyFill="1" applyBorder="1" applyAlignment="1">
      <alignment horizontal="center" vertical="center"/>
    </xf>
    <xf numFmtId="0" fontId="56" fillId="24" borderId="1" xfId="0" applyFont="1" applyFill="1" applyBorder="1" applyAlignment="1">
      <alignment horizontal="center" vertical="center"/>
    </xf>
    <xf numFmtId="170" fontId="108" fillId="0" borderId="1" xfId="0" applyNumberFormat="1" applyFont="1" applyBorder="1" applyAlignment="1">
      <alignment horizontal="center" vertical="center"/>
    </xf>
    <xf numFmtId="0" fontId="88" fillId="7" borderId="1" xfId="0" applyFont="1" applyFill="1" applyBorder="1" applyAlignment="1">
      <alignment horizontal="left" vertical="center"/>
    </xf>
    <xf numFmtId="0" fontId="118" fillId="30" borderId="1" xfId="0" applyFont="1" applyFill="1" applyBorder="1" applyAlignment="1">
      <alignment horizontal="left" vertical="center"/>
    </xf>
    <xf numFmtId="0" fontId="80" fillId="8" borderId="1" xfId="0" applyFont="1" applyFill="1" applyBorder="1" applyAlignment="1">
      <alignment horizontal="left" vertical="center"/>
    </xf>
    <xf numFmtId="0" fontId="115" fillId="41" borderId="1" xfId="0" applyFont="1" applyFill="1" applyBorder="1" applyAlignment="1">
      <alignment horizontal="left" vertical="center"/>
    </xf>
    <xf numFmtId="0" fontId="173" fillId="65" borderId="1" xfId="0" applyFont="1" applyFill="1" applyBorder="1" applyAlignment="1">
      <alignment vertical="top" wrapText="1"/>
    </xf>
    <xf numFmtId="0" fontId="173" fillId="65" borderId="0" xfId="0" applyFont="1" applyFill="1" applyAlignment="1">
      <alignment vertical="top" wrapText="1"/>
    </xf>
    <xf numFmtId="0" fontId="84" fillId="25" borderId="1" xfId="0" applyFont="1" applyFill="1" applyBorder="1" applyAlignment="1">
      <alignment horizontal="center" vertical="center"/>
    </xf>
    <xf numFmtId="167" fontId="247" fillId="44" borderId="1" xfId="0" applyNumberFormat="1" applyFont="1" applyFill="1" applyBorder="1" applyAlignment="1">
      <alignment horizontal="center" vertical="center"/>
    </xf>
    <xf numFmtId="0" fontId="136" fillId="18" borderId="1" xfId="0" applyFont="1" applyFill="1" applyBorder="1" applyAlignment="1">
      <alignment horizontal="center" vertical="center"/>
    </xf>
    <xf numFmtId="0" fontId="38" fillId="25" borderId="1" xfId="0" applyFont="1" applyFill="1" applyBorder="1" applyAlignment="1">
      <alignment vertical="top" wrapText="1"/>
    </xf>
    <xf numFmtId="0" fontId="38" fillId="0" borderId="0" xfId="0" applyFont="1" applyAlignment="1">
      <alignment vertical="top" wrapText="1"/>
    </xf>
    <xf numFmtId="0" fontId="84" fillId="24" borderId="1" xfId="0" applyFont="1" applyFill="1" applyBorder="1" applyAlignment="1">
      <alignment horizontal="center" vertical="center"/>
    </xf>
    <xf numFmtId="0" fontId="38" fillId="24" borderId="1" xfId="0" applyFont="1" applyFill="1" applyBorder="1" applyAlignment="1">
      <alignment vertical="top" wrapText="1"/>
    </xf>
    <xf numFmtId="0" fontId="248" fillId="25" borderId="1" xfId="0" applyFont="1" applyFill="1" applyBorder="1" applyAlignment="1">
      <alignment horizontal="center" vertical="center"/>
    </xf>
    <xf numFmtId="1" fontId="213" fillId="44" borderId="1" xfId="0" applyNumberFormat="1" applyFont="1" applyFill="1" applyBorder="1" applyAlignment="1">
      <alignment horizontal="center" vertical="center"/>
    </xf>
    <xf numFmtId="0" fontId="47" fillId="18" borderId="1" xfId="0" applyFont="1" applyFill="1" applyBorder="1" applyAlignment="1">
      <alignment horizontal="center" vertical="center"/>
    </xf>
    <xf numFmtId="2" fontId="43" fillId="36" borderId="1" xfId="0" applyNumberFormat="1" applyFont="1" applyFill="1" applyBorder="1" applyAlignment="1">
      <alignment horizontal="center" vertical="center"/>
    </xf>
    <xf numFmtId="0" fontId="248" fillId="24" borderId="1" xfId="0" applyFont="1" applyFill="1" applyBorder="1" applyAlignment="1">
      <alignment horizontal="center" vertical="center"/>
    </xf>
    <xf numFmtId="0" fontId="173" fillId="65" borderId="1" xfId="0" applyFont="1" applyFill="1" applyBorder="1" applyAlignment="1">
      <alignment horizontal="center" vertical="center" wrapText="1"/>
    </xf>
    <xf numFmtId="2" fontId="39" fillId="25" borderId="1" xfId="0" applyNumberFormat="1" applyFont="1" applyFill="1" applyBorder="1" applyAlignment="1">
      <alignment horizontal="center" vertical="center"/>
    </xf>
    <xf numFmtId="171" fontId="39" fillId="45" borderId="1" xfId="0" applyNumberFormat="1" applyFont="1" applyFill="1" applyBorder="1" applyAlignment="1">
      <alignment horizontal="center" vertical="center"/>
    </xf>
    <xf numFmtId="0" fontId="175" fillId="51" borderId="1" xfId="0" applyFont="1" applyFill="1" applyBorder="1" applyAlignment="1">
      <alignment horizontal="center" vertical="center"/>
    </xf>
    <xf numFmtId="0" fontId="39" fillId="0" borderId="1" xfId="0" applyFont="1" applyBorder="1" applyAlignment="1">
      <alignment horizontal="center" vertical="center"/>
    </xf>
    <xf numFmtId="170" fontId="37" fillId="23" borderId="1" xfId="0" applyNumberFormat="1" applyFont="1" applyFill="1" applyBorder="1" applyAlignment="1">
      <alignment horizontal="center" vertical="center"/>
    </xf>
    <xf numFmtId="2" fontId="39" fillId="24" borderId="1" xfId="0" applyNumberFormat="1" applyFont="1" applyFill="1" applyBorder="1" applyAlignment="1">
      <alignment horizontal="center" vertical="center"/>
    </xf>
    <xf numFmtId="0" fontId="249" fillId="8" borderId="1" xfId="0" applyFont="1" applyFill="1" applyBorder="1" applyAlignment="1">
      <alignment horizontal="center" vertical="center"/>
    </xf>
    <xf numFmtId="0" fontId="56" fillId="25" borderId="1" xfId="0" applyFont="1" applyFill="1" applyBorder="1" applyAlignment="1">
      <alignment horizontal="left" vertical="center" wrapText="1"/>
    </xf>
    <xf numFmtId="167" fontId="84" fillId="25" borderId="1" xfId="0" applyNumberFormat="1" applyFont="1" applyFill="1" applyBorder="1" applyAlignment="1">
      <alignment horizontal="center" vertical="center"/>
    </xf>
    <xf numFmtId="0" fontId="250" fillId="25" borderId="1" xfId="0" applyFont="1" applyFill="1" applyBorder="1" applyAlignment="1">
      <alignment horizontal="center" vertical="center"/>
    </xf>
    <xf numFmtId="0" fontId="56" fillId="24" borderId="1" xfId="0" applyFont="1" applyFill="1" applyBorder="1" applyAlignment="1">
      <alignment horizontal="left" vertical="center" wrapText="1"/>
    </xf>
    <xf numFmtId="167" fontId="84" fillId="24" borderId="1" xfId="0" applyNumberFormat="1" applyFont="1" applyFill="1" applyBorder="1" applyAlignment="1">
      <alignment horizontal="center" vertical="center"/>
    </xf>
    <xf numFmtId="0" fontId="250" fillId="24" borderId="1" xfId="0" applyFont="1" applyFill="1" applyBorder="1" applyAlignment="1">
      <alignment horizontal="center" vertical="center"/>
    </xf>
    <xf numFmtId="166" fontId="41" fillId="25" borderId="1" xfId="0" applyNumberFormat="1" applyFont="1" applyFill="1" applyBorder="1" applyAlignment="1">
      <alignment horizontal="center" vertical="center"/>
    </xf>
    <xf numFmtId="167" fontId="118" fillId="25" borderId="1" xfId="0" applyNumberFormat="1" applyFont="1" applyFill="1" applyBorder="1" applyAlignment="1">
      <alignment horizontal="center" vertical="center"/>
    </xf>
    <xf numFmtId="0" fontId="239" fillId="25" borderId="1" xfId="0" applyFont="1" applyFill="1" applyBorder="1" applyAlignment="1">
      <alignment horizontal="center" vertical="center"/>
    </xf>
    <xf numFmtId="167" fontId="77" fillId="25" borderId="1" xfId="0" applyNumberFormat="1" applyFont="1" applyFill="1" applyBorder="1" applyAlignment="1">
      <alignment horizontal="center" vertical="center"/>
    </xf>
    <xf numFmtId="0" fontId="221" fillId="25" borderId="1" xfId="0" applyFont="1" applyFill="1" applyBorder="1" applyAlignment="1">
      <alignment horizontal="left" vertical="center"/>
    </xf>
    <xf numFmtId="166" fontId="41" fillId="24" borderId="1" xfId="0" applyNumberFormat="1" applyFont="1" applyFill="1" applyBorder="1" applyAlignment="1">
      <alignment horizontal="center" vertical="center"/>
    </xf>
    <xf numFmtId="167" fontId="118" fillId="24" borderId="1" xfId="0" applyNumberFormat="1" applyFont="1" applyFill="1" applyBorder="1" applyAlignment="1">
      <alignment horizontal="center" vertical="center"/>
    </xf>
    <xf numFmtId="0" fontId="239" fillId="24" borderId="1" xfId="0" applyFont="1" applyFill="1" applyBorder="1" applyAlignment="1">
      <alignment horizontal="center" vertical="center"/>
    </xf>
    <xf numFmtId="167" fontId="77" fillId="24" borderId="1" xfId="0" applyNumberFormat="1" applyFont="1" applyFill="1" applyBorder="1" applyAlignment="1">
      <alignment horizontal="center" vertical="center"/>
    </xf>
    <xf numFmtId="0" fontId="221" fillId="24" borderId="1" xfId="0" applyFont="1" applyFill="1" applyBorder="1" applyAlignment="1">
      <alignment horizontal="left" vertical="center"/>
    </xf>
    <xf numFmtId="0" fontId="46" fillId="33" borderId="1" xfId="0" applyFont="1" applyFill="1" applyBorder="1" applyAlignment="1">
      <alignment horizontal="left" vertical="center"/>
    </xf>
    <xf numFmtId="0" fontId="4" fillId="67" borderId="0" xfId="0" applyFont="1" applyFill="1" applyAlignment="1">
      <alignment horizontal="center" vertical="center"/>
    </xf>
    <xf numFmtId="0" fontId="184" fillId="29" borderId="5" xfId="0" applyFont="1" applyFill="1" applyBorder="1" applyAlignment="1">
      <alignment horizontal="center" vertical="center"/>
    </xf>
    <xf numFmtId="0" fontId="185" fillId="29" borderId="5" xfId="0" applyFont="1" applyFill="1" applyBorder="1" applyAlignment="1">
      <alignment horizontal="center" vertical="center"/>
    </xf>
    <xf numFmtId="0" fontId="253" fillId="66" borderId="0" xfId="0" applyFont="1" applyFill="1"/>
    <xf numFmtId="0" fontId="254" fillId="66" borderId="0" xfId="0" applyFont="1" applyFill="1"/>
    <xf numFmtId="0" fontId="255" fillId="66" borderId="0" xfId="0" applyFont="1" applyFill="1"/>
    <xf numFmtId="0" fontId="256" fillId="66" borderId="0" xfId="0" applyFont="1" applyFill="1"/>
    <xf numFmtId="2" fontId="190" fillId="60" borderId="5" xfId="0" applyNumberFormat="1" applyFont="1" applyFill="1" applyBorder="1" applyAlignment="1">
      <alignment horizontal="center" vertical="center"/>
    </xf>
    <xf numFmtId="2" fontId="185" fillId="60" borderId="5" xfId="0" applyNumberFormat="1" applyFont="1" applyFill="1" applyBorder="1" applyAlignment="1">
      <alignment horizontal="center" vertical="center"/>
    </xf>
    <xf numFmtId="0" fontId="253" fillId="68" borderId="0" xfId="0" applyFont="1" applyFill="1"/>
    <xf numFmtId="0" fontId="254" fillId="68" borderId="0" xfId="0" applyFont="1" applyFill="1"/>
    <xf numFmtId="0" fontId="255" fillId="68" borderId="0" xfId="0" applyFont="1" applyFill="1"/>
    <xf numFmtId="0" fontId="256" fillId="68" borderId="0" xfId="0" applyFont="1" applyFill="1"/>
    <xf numFmtId="2" fontId="190" fillId="58" borderId="5" xfId="0" applyNumberFormat="1" applyFont="1" applyFill="1" applyBorder="1" applyAlignment="1">
      <alignment horizontal="center" vertical="center"/>
    </xf>
    <xf numFmtId="2" fontId="185" fillId="58" borderId="5" xfId="0" applyNumberFormat="1" applyFont="1" applyFill="1" applyBorder="1" applyAlignment="1">
      <alignment horizontal="center" vertical="center"/>
    </xf>
    <xf numFmtId="167" fontId="183" fillId="29" borderId="5" xfId="0" applyNumberFormat="1" applyFont="1" applyFill="1" applyBorder="1" applyAlignment="1">
      <alignment horizontal="center" vertical="center"/>
    </xf>
    <xf numFmtId="0" fontId="200" fillId="58" borderId="5" xfId="0" applyFont="1" applyFill="1" applyBorder="1" applyAlignment="1">
      <alignment horizontal="center" vertical="center"/>
    </xf>
    <xf numFmtId="167" fontId="188" fillId="58" borderId="5" xfId="0" applyNumberFormat="1" applyFont="1" applyFill="1" applyBorder="1" applyAlignment="1">
      <alignment horizontal="center" vertical="center"/>
    </xf>
    <xf numFmtId="0" fontId="181" fillId="58" borderId="1" xfId="0" applyFont="1" applyFill="1" applyBorder="1" applyAlignment="1">
      <alignment horizontal="left" vertical="center"/>
    </xf>
    <xf numFmtId="0" fontId="200" fillId="60" borderId="5" xfId="0" applyFont="1" applyFill="1" applyBorder="1" applyAlignment="1">
      <alignment horizontal="center" vertical="center"/>
    </xf>
    <xf numFmtId="167" fontId="188" fillId="60" borderId="5" xfId="0" applyNumberFormat="1" applyFont="1" applyFill="1" applyBorder="1" applyAlignment="1">
      <alignment horizontal="center" vertical="center"/>
    </xf>
    <xf numFmtId="0" fontId="181" fillId="60" borderId="1" xfId="0" applyFont="1" applyFill="1" applyBorder="1" applyAlignment="1">
      <alignment horizontal="left" vertical="center"/>
    </xf>
    <xf numFmtId="0" fontId="181" fillId="58" borderId="0" xfId="0" applyFont="1" applyFill="1" applyAlignment="1">
      <alignment horizontal="left" vertical="center"/>
    </xf>
    <xf numFmtId="0" fontId="181" fillId="60" borderId="0" xfId="0" applyFont="1" applyFill="1" applyAlignment="1">
      <alignment horizontal="left" vertical="center"/>
    </xf>
    <xf numFmtId="0" fontId="185" fillId="57" borderId="5" xfId="0" applyFont="1" applyFill="1" applyBorder="1" applyAlignment="1">
      <alignment horizontal="left" vertical="center"/>
    </xf>
    <xf numFmtId="0" fontId="185" fillId="57" borderId="5" xfId="0" applyFont="1" applyFill="1" applyBorder="1" applyAlignment="1">
      <alignment horizontal="center" vertical="center"/>
    </xf>
    <xf numFmtId="0" fontId="183" fillId="63" borderId="5" xfId="0" applyFont="1" applyFill="1" applyBorder="1" applyAlignment="1">
      <alignment horizontal="left" vertical="center"/>
    </xf>
    <xf numFmtId="0" fontId="200" fillId="63" borderId="5" xfId="0" applyFont="1" applyFill="1" applyBorder="1" applyAlignment="1">
      <alignment horizontal="center" vertical="center"/>
    </xf>
    <xf numFmtId="0" fontId="196" fillId="58" borderId="0" xfId="0" applyFont="1" applyFill="1" applyAlignment="1">
      <alignment horizontal="left" vertical="top"/>
    </xf>
    <xf numFmtId="0" fontId="196" fillId="60" borderId="0" xfId="0" applyFont="1" applyFill="1" applyAlignment="1">
      <alignment horizontal="left" vertical="top"/>
    </xf>
    <xf numFmtId="0" fontId="189" fillId="7" borderId="0" xfId="0" applyFont="1" applyFill="1" applyAlignment="1">
      <alignment vertical="top" wrapText="1"/>
    </xf>
    <xf numFmtId="0" fontId="173" fillId="53" borderId="2" xfId="0" applyFont="1" applyFill="1" applyBorder="1" applyAlignment="1">
      <alignment vertical="top" wrapText="1"/>
    </xf>
    <xf numFmtId="0" fontId="173" fillId="65" borderId="2" xfId="0" applyFont="1" applyFill="1" applyBorder="1" applyAlignment="1">
      <alignment vertical="top" wrapText="1"/>
    </xf>
    <xf numFmtId="0" fontId="38" fillId="65" borderId="2" xfId="0" applyFont="1" applyFill="1" applyBorder="1" applyAlignment="1">
      <alignment vertical="top" wrapText="1"/>
    </xf>
    <xf numFmtId="0" fontId="38" fillId="0" borderId="2" xfId="0" applyFont="1" applyBorder="1" applyAlignment="1">
      <alignment vertical="top" wrapText="1"/>
    </xf>
    <xf numFmtId="0" fontId="173" fillId="7" borderId="2" xfId="0" applyFont="1" applyFill="1" applyBorder="1" applyAlignment="1">
      <alignment vertical="top" wrapText="1"/>
    </xf>
    <xf numFmtId="0" fontId="37" fillId="53" borderId="0" xfId="0" applyFont="1" applyFill="1"/>
    <xf numFmtId="0" fontId="257" fillId="0" borderId="0" xfId="0" applyFont="1"/>
    <xf numFmtId="0" fontId="258" fillId="3" borderId="0" xfId="0" applyFont="1" applyFill="1"/>
    <xf numFmtId="0" fontId="5" fillId="52" borderId="0" xfId="0" applyFont="1" applyFill="1"/>
    <xf numFmtId="0" fontId="0" fillId="0" borderId="7" xfId="0" applyBorder="1"/>
    <xf numFmtId="9" fontId="183" fillId="29" borderId="5" xfId="0" applyNumberFormat="1" applyFont="1" applyFill="1" applyBorder="1" applyAlignment="1">
      <alignment horizontal="center" vertical="center"/>
    </xf>
    <xf numFmtId="0" fontId="37" fillId="65" borderId="5" xfId="0" applyFont="1" applyFill="1" applyBorder="1" applyAlignment="1">
      <alignment vertical="top" wrapText="1"/>
    </xf>
    <xf numFmtId="2" fontId="2" fillId="58" borderId="5" xfId="0" applyNumberFormat="1" applyFont="1" applyFill="1" applyBorder="1" applyAlignment="1">
      <alignment horizontal="center" vertical="center"/>
    </xf>
    <xf numFmtId="2" fontId="193" fillId="58" borderId="5" xfId="0" applyNumberFormat="1" applyFont="1" applyFill="1" applyBorder="1" applyAlignment="1">
      <alignment horizontal="center" vertical="center"/>
    </xf>
    <xf numFmtId="2" fontId="202" fillId="58" borderId="5" xfId="0" applyNumberFormat="1" applyFont="1" applyFill="1" applyBorder="1" applyAlignment="1">
      <alignment horizontal="center" vertical="center"/>
    </xf>
    <xf numFmtId="167" fontId="2" fillId="58" borderId="5" xfId="0" applyNumberFormat="1" applyFont="1" applyFill="1" applyBorder="1" applyAlignment="1">
      <alignment horizontal="center" vertical="center"/>
    </xf>
    <xf numFmtId="0" fontId="2" fillId="58" borderId="5" xfId="0" applyFont="1" applyFill="1" applyBorder="1" applyAlignment="1">
      <alignment horizontal="left" vertical="center"/>
    </xf>
    <xf numFmtId="0" fontId="258" fillId="0" borderId="0" xfId="0" applyFont="1"/>
    <xf numFmtId="2" fontId="2" fillId="60" borderId="5" xfId="0" applyNumberFormat="1" applyFont="1" applyFill="1" applyBorder="1" applyAlignment="1">
      <alignment horizontal="center" vertical="center"/>
    </xf>
    <xf numFmtId="2" fontId="193" fillId="60" borderId="5" xfId="0" applyNumberFormat="1" applyFont="1" applyFill="1" applyBorder="1" applyAlignment="1">
      <alignment horizontal="center" vertical="center"/>
    </xf>
    <xf numFmtId="2" fontId="202" fillId="60" borderId="5" xfId="0" applyNumberFormat="1" applyFont="1" applyFill="1" applyBorder="1" applyAlignment="1">
      <alignment horizontal="center" vertical="center"/>
    </xf>
    <xf numFmtId="167" fontId="2" fillId="60" borderId="5" xfId="0" applyNumberFormat="1" applyFont="1" applyFill="1" applyBorder="1" applyAlignment="1">
      <alignment horizontal="center" vertical="center"/>
    </xf>
    <xf numFmtId="0" fontId="2" fillId="60" borderId="5" xfId="0" applyFont="1" applyFill="1" applyBorder="1" applyAlignment="1">
      <alignment horizontal="left" vertical="center"/>
    </xf>
    <xf numFmtId="0" fontId="259" fillId="16" borderId="0" xfId="0" applyFont="1" applyFill="1"/>
    <xf numFmtId="0" fontId="260" fillId="19" borderId="1" xfId="0" applyFont="1" applyFill="1" applyBorder="1" applyAlignment="1">
      <alignment horizontal="center" vertical="center"/>
    </xf>
    <xf numFmtId="167" fontId="261" fillId="19" borderId="1" xfId="0" applyNumberFormat="1" applyFont="1" applyFill="1" applyBorder="1" applyAlignment="1">
      <alignment horizontal="center" vertical="center"/>
    </xf>
    <xf numFmtId="0" fontId="261" fillId="19" borderId="1" xfId="0" applyFont="1" applyFill="1" applyBorder="1" applyAlignment="1">
      <alignment horizontal="center" vertical="center"/>
    </xf>
    <xf numFmtId="0" fontId="77" fillId="25" borderId="1" xfId="0" applyFont="1" applyFill="1" applyBorder="1" applyAlignment="1">
      <alignment horizontal="center" vertical="center"/>
    </xf>
    <xf numFmtId="0" fontId="262" fillId="25" borderId="1" xfId="0" applyFont="1" applyFill="1" applyBorder="1" applyAlignment="1">
      <alignment horizontal="left" vertical="center" wrapText="1"/>
    </xf>
    <xf numFmtId="0" fontId="77" fillId="24" borderId="1" xfId="0" applyFont="1" applyFill="1" applyBorder="1" applyAlignment="1">
      <alignment horizontal="center" vertical="center"/>
    </xf>
    <xf numFmtId="0" fontId="262" fillId="24" borderId="1" xfId="0" applyFont="1" applyFill="1" applyBorder="1" applyAlignment="1">
      <alignment horizontal="left" vertical="center" wrapText="1"/>
    </xf>
    <xf numFmtId="0" fontId="41" fillId="25" borderId="1" xfId="0" applyFont="1" applyFill="1" applyBorder="1" applyAlignment="1">
      <alignment horizontal="center" vertical="center"/>
    </xf>
    <xf numFmtId="167" fontId="41" fillId="25" borderId="1" xfId="0" applyNumberFormat="1" applyFont="1" applyFill="1" applyBorder="1" applyAlignment="1">
      <alignment horizontal="center" vertical="center"/>
    </xf>
    <xf numFmtId="0" fontId="263" fillId="25" borderId="1" xfId="0" applyFont="1" applyFill="1" applyBorder="1" applyAlignment="1">
      <alignment horizontal="center" vertical="center"/>
    </xf>
    <xf numFmtId="0" fontId="41" fillId="24" borderId="1" xfId="0" applyFont="1" applyFill="1" applyBorder="1" applyAlignment="1">
      <alignment horizontal="center" vertical="center"/>
    </xf>
    <xf numFmtId="167" fontId="41" fillId="24" borderId="1" xfId="0" applyNumberFormat="1" applyFont="1" applyFill="1" applyBorder="1" applyAlignment="1">
      <alignment horizontal="center" vertical="center"/>
    </xf>
    <xf numFmtId="0" fontId="263" fillId="24" borderId="1" xfId="0" applyFont="1" applyFill="1" applyBorder="1" applyAlignment="1">
      <alignment horizontal="center" vertical="center"/>
    </xf>
    <xf numFmtId="0" fontId="183" fillId="29" borderId="5" xfId="0" applyFont="1" applyFill="1" applyBorder="1"/>
    <xf numFmtId="0" fontId="265" fillId="0" borderId="0" xfId="0" applyFont="1"/>
    <xf numFmtId="0" fontId="266" fillId="44" borderId="1" xfId="0" applyFont="1" applyFill="1" applyBorder="1" applyAlignment="1">
      <alignment horizontal="center" vertical="center"/>
    </xf>
    <xf numFmtId="0" fontId="267" fillId="33" borderId="1" xfId="0" applyFont="1" applyFill="1" applyBorder="1" applyAlignment="1">
      <alignment horizontal="center" vertical="center"/>
    </xf>
    <xf numFmtId="0" fontId="136" fillId="25" borderId="1" xfId="0" applyFont="1" applyFill="1" applyBorder="1" applyAlignment="1">
      <alignment horizontal="center" vertical="center"/>
    </xf>
    <xf numFmtId="0" fontId="193" fillId="58" borderId="5" xfId="0" applyFont="1" applyFill="1" applyBorder="1" applyAlignment="1">
      <alignment horizontal="center" vertical="center"/>
    </xf>
    <xf numFmtId="0" fontId="136" fillId="24" borderId="1" xfId="0" applyFont="1" applyFill="1" applyBorder="1" applyAlignment="1">
      <alignment horizontal="center" vertical="center"/>
    </xf>
    <xf numFmtId="0" fontId="193" fillId="60" borderId="5" xfId="0" applyFont="1" applyFill="1" applyBorder="1" applyAlignment="1">
      <alignment horizontal="center" vertical="center"/>
    </xf>
    <xf numFmtId="0" fontId="184" fillId="29" borderId="0" xfId="0" applyFont="1" applyFill="1"/>
    <xf numFmtId="0" fontId="35" fillId="24" borderId="1" xfId="0" applyFont="1" applyFill="1" applyBorder="1" applyAlignment="1">
      <alignment horizontal="center" vertical="center"/>
    </xf>
    <xf numFmtId="0" fontId="43" fillId="24" borderId="1" xfId="0" applyFont="1" applyFill="1" applyBorder="1" applyAlignment="1">
      <alignment horizontal="center" vertical="center"/>
    </xf>
    <xf numFmtId="0" fontId="193" fillId="58" borderId="0" xfId="0" applyFont="1" applyFill="1"/>
    <xf numFmtId="0" fontId="80" fillId="24" borderId="1" xfId="0" applyFont="1" applyFill="1" applyBorder="1" applyAlignment="1">
      <alignment horizontal="center" vertical="center"/>
    </xf>
    <xf numFmtId="0" fontId="51" fillId="25" borderId="1" xfId="0" applyFont="1" applyFill="1" applyBorder="1" applyAlignment="1">
      <alignment horizontal="left" vertical="center"/>
    </xf>
    <xf numFmtId="0" fontId="35" fillId="25" borderId="1" xfId="0" applyFont="1" applyFill="1" applyBorder="1" applyAlignment="1">
      <alignment horizontal="center" vertical="center"/>
    </xf>
    <xf numFmtId="0" fontId="43" fillId="25" borderId="1" xfId="0" applyFont="1" applyFill="1" applyBorder="1" applyAlignment="1">
      <alignment horizontal="center" vertical="center"/>
    </xf>
    <xf numFmtId="0" fontId="193" fillId="60" borderId="0" xfId="0" applyFont="1" applyFill="1"/>
    <xf numFmtId="0" fontId="80" fillId="25" borderId="1" xfId="0" applyFont="1" applyFill="1" applyBorder="1" applyAlignment="1">
      <alignment horizontal="center" vertical="center"/>
    </xf>
    <xf numFmtId="0" fontId="268" fillId="24" borderId="1" xfId="0" applyFont="1" applyFill="1" applyBorder="1" applyAlignment="1">
      <alignment horizontal="center" vertical="center"/>
    </xf>
    <xf numFmtId="0" fontId="268" fillId="25" borderId="1" xfId="0" applyFont="1" applyFill="1" applyBorder="1" applyAlignment="1">
      <alignment horizontal="center" vertical="center"/>
    </xf>
    <xf numFmtId="0" fontId="184" fillId="58" borderId="5" xfId="0" applyFont="1" applyFill="1" applyBorder="1"/>
    <xf numFmtId="0" fontId="201" fillId="58" borderId="5" xfId="0" applyFont="1" applyFill="1" applyBorder="1"/>
    <xf numFmtId="0" fontId="181" fillId="58" borderId="5" xfId="0" applyFont="1" applyFill="1" applyBorder="1"/>
    <xf numFmtId="0" fontId="184" fillId="60" borderId="5" xfId="0" applyFont="1" applyFill="1" applyBorder="1"/>
    <xf numFmtId="0" fontId="185" fillId="60" borderId="5" xfId="0" applyFont="1" applyFill="1" applyBorder="1"/>
    <xf numFmtId="0" fontId="181" fillId="60" borderId="5" xfId="0" applyFont="1" applyFill="1" applyBorder="1"/>
    <xf numFmtId="0" fontId="187" fillId="60" borderId="5" xfId="0" applyFont="1" applyFill="1" applyBorder="1"/>
    <xf numFmtId="0" fontId="185" fillId="58" borderId="5" xfId="0" applyFont="1" applyFill="1" applyBorder="1"/>
    <xf numFmtId="0" fontId="187" fillId="58" borderId="5" xfId="0" applyFont="1" applyFill="1" applyBorder="1"/>
    <xf numFmtId="0" fontId="201" fillId="60" borderId="5" xfId="0" applyFont="1" applyFill="1" applyBorder="1"/>
    <xf numFmtId="0" fontId="185" fillId="59" borderId="5" xfId="0" applyFont="1" applyFill="1" applyBorder="1"/>
    <xf numFmtId="0" fontId="0" fillId="0" borderId="5" xfId="0" applyBorder="1"/>
    <xf numFmtId="0" fontId="0" fillId="58" borderId="5" xfId="0" applyFill="1" applyBorder="1" applyAlignment="1">
      <alignment horizontal="center" vertical="center"/>
    </xf>
    <xf numFmtId="0" fontId="192" fillId="58" borderId="5" xfId="0" applyFont="1" applyFill="1" applyBorder="1" applyAlignment="1">
      <alignment horizontal="center" vertical="center"/>
    </xf>
    <xf numFmtId="0" fontId="187" fillId="58" borderId="5" xfId="0" applyFont="1" applyFill="1" applyBorder="1" applyAlignment="1">
      <alignment horizontal="center" vertical="center"/>
    </xf>
    <xf numFmtId="0" fontId="195" fillId="58" borderId="5" xfId="0" applyFont="1" applyFill="1" applyBorder="1" applyAlignment="1">
      <alignment horizontal="center" vertical="center"/>
    </xf>
    <xf numFmtId="0" fontId="0" fillId="60" borderId="5" xfId="0" applyFill="1" applyBorder="1" applyAlignment="1">
      <alignment horizontal="center" vertical="center"/>
    </xf>
    <xf numFmtId="0" fontId="192" fillId="60" borderId="5" xfId="0" applyFont="1" applyFill="1" applyBorder="1" applyAlignment="1">
      <alignment horizontal="center" vertical="center"/>
    </xf>
    <xf numFmtId="0" fontId="187" fillId="60" borderId="5" xfId="0" applyFont="1" applyFill="1" applyBorder="1" applyAlignment="1">
      <alignment horizontal="center" vertical="center"/>
    </xf>
    <xf numFmtId="0" fontId="195" fillId="60" borderId="5" xfId="0" applyFont="1" applyFill="1" applyBorder="1" applyAlignment="1">
      <alignment horizontal="center" vertical="center"/>
    </xf>
    <xf numFmtId="0" fontId="201" fillId="58" borderId="5" xfId="0" applyFont="1" applyFill="1" applyBorder="1" applyAlignment="1">
      <alignment horizontal="center" vertical="center"/>
    </xf>
    <xf numFmtId="0" fontId="0" fillId="58" borderId="5" xfId="0" applyFill="1" applyBorder="1" applyAlignment="1">
      <alignment horizontal="left" vertical="center"/>
    </xf>
    <xf numFmtId="0" fontId="201" fillId="60" borderId="5" xfId="0" applyFont="1" applyFill="1" applyBorder="1" applyAlignment="1">
      <alignment horizontal="center" vertical="center"/>
    </xf>
    <xf numFmtId="0" fontId="0" fillId="60" borderId="5" xfId="0" applyFill="1" applyBorder="1" applyAlignment="1">
      <alignment horizontal="left" vertical="center"/>
    </xf>
    <xf numFmtId="0" fontId="207" fillId="60" borderId="5" xfId="0" applyFont="1" applyFill="1" applyBorder="1" applyAlignment="1">
      <alignment horizontal="left" vertical="center"/>
    </xf>
    <xf numFmtId="0" fontId="269" fillId="60" borderId="5" xfId="0" applyFont="1" applyFill="1" applyBorder="1" applyAlignment="1">
      <alignment horizontal="left" vertical="center"/>
    </xf>
    <xf numFmtId="0" fontId="207" fillId="58" borderId="5" xfId="0" applyFont="1" applyFill="1" applyBorder="1" applyAlignment="1">
      <alignment horizontal="left" vertical="center"/>
    </xf>
    <xf numFmtId="0" fontId="269" fillId="58" borderId="5" xfId="0" applyFont="1" applyFill="1" applyBorder="1" applyAlignment="1">
      <alignment horizontal="left" vertical="center"/>
    </xf>
    <xf numFmtId="0" fontId="270" fillId="0" borderId="0" xfId="0" applyFont="1"/>
    <xf numFmtId="170" fontId="0" fillId="0" borderId="0" xfId="0" applyNumberFormat="1"/>
    <xf numFmtId="0" fontId="0" fillId="30" borderId="0" xfId="0" applyFill="1"/>
    <xf numFmtId="170" fontId="0" fillId="30" borderId="0" xfId="0" applyNumberFormat="1" applyFill="1"/>
    <xf numFmtId="0" fontId="271" fillId="0" borderId="0" xfId="0" applyFont="1"/>
    <xf numFmtId="0" fontId="182" fillId="58" borderId="5" xfId="0" applyFont="1" applyFill="1" applyBorder="1"/>
    <xf numFmtId="0" fontId="193" fillId="58" borderId="5" xfId="0" applyFont="1" applyFill="1" applyBorder="1"/>
    <xf numFmtId="0" fontId="182" fillId="60" borderId="5" xfId="0" applyFont="1" applyFill="1" applyBorder="1"/>
    <xf numFmtId="0" fontId="193" fillId="60" borderId="5" xfId="0" applyFont="1" applyFill="1" applyBorder="1"/>
    <xf numFmtId="0" fontId="190" fillId="58" borderId="5" xfId="0" applyFont="1" applyFill="1" applyBorder="1"/>
    <xf numFmtId="0" fontId="190" fillId="60" borderId="5" xfId="0" applyFont="1" applyFill="1" applyBorder="1"/>
    <xf numFmtId="0" fontId="198" fillId="29" borderId="0" xfId="0" applyFont="1" applyFill="1"/>
    <xf numFmtId="0" fontId="183" fillId="58" borderId="5" xfId="0" applyFont="1" applyFill="1" applyBorder="1"/>
    <xf numFmtId="0" fontId="188" fillId="58" borderId="5" xfId="0" applyFont="1" applyFill="1" applyBorder="1" applyAlignment="1">
      <alignment horizontal="center" vertical="center"/>
    </xf>
    <xf numFmtId="0" fontId="197" fillId="58" borderId="5" xfId="0" applyFont="1" applyFill="1" applyBorder="1" applyAlignment="1">
      <alignment horizontal="center" vertical="center"/>
    </xf>
    <xf numFmtId="0" fontId="183" fillId="60" borderId="5" xfId="0" applyFont="1" applyFill="1" applyBorder="1"/>
    <xf numFmtId="0" fontId="188" fillId="60" borderId="5" xfId="0" applyFont="1" applyFill="1" applyBorder="1" applyAlignment="1">
      <alignment horizontal="center" vertical="center"/>
    </xf>
    <xf numFmtId="0" fontId="197" fillId="60" borderId="5" xfId="0" applyFont="1" applyFill="1" applyBorder="1" applyAlignment="1">
      <alignment horizontal="center" vertical="center"/>
    </xf>
    <xf numFmtId="0" fontId="0" fillId="65" borderId="0" xfId="0" applyFill="1"/>
    <xf numFmtId="167" fontId="193" fillId="58" borderId="5" xfId="0" applyNumberFormat="1" applyFont="1" applyFill="1" applyBorder="1" applyAlignment="1">
      <alignment horizontal="center" vertical="center"/>
    </xf>
    <xf numFmtId="167" fontId="193" fillId="60" borderId="5" xfId="0" applyNumberFormat="1" applyFont="1" applyFill="1" applyBorder="1" applyAlignment="1">
      <alignment horizontal="center" vertical="center"/>
    </xf>
    <xf numFmtId="167" fontId="193" fillId="58" borderId="5" xfId="0" applyNumberFormat="1" applyFont="1" applyFill="1" applyBorder="1"/>
    <xf numFmtId="0" fontId="187" fillId="59" borderId="5" xfId="0" applyFont="1" applyFill="1" applyBorder="1"/>
    <xf numFmtId="0" fontId="184" fillId="60" borderId="5" xfId="0" applyFont="1" applyFill="1" applyBorder="1" applyAlignment="1">
      <alignment horizontal="center" vertical="center"/>
    </xf>
    <xf numFmtId="0" fontId="184" fillId="58" borderId="5" xfId="0" applyFont="1" applyFill="1" applyBorder="1" applyAlignment="1">
      <alignment horizontal="center" vertical="center"/>
    </xf>
    <xf numFmtId="166" fontId="187" fillId="60" borderId="5" xfId="0" applyNumberFormat="1" applyFont="1" applyFill="1" applyBorder="1" applyAlignment="1">
      <alignment horizontal="left" vertical="center"/>
    </xf>
    <xf numFmtId="166" fontId="187" fillId="58" borderId="5" xfId="0" applyNumberFormat="1" applyFont="1" applyFill="1" applyBorder="1" applyAlignment="1">
      <alignment horizontal="left" vertical="center"/>
    </xf>
    <xf numFmtId="166" fontId="193" fillId="58" borderId="5" xfId="0" applyNumberFormat="1" applyFont="1" applyFill="1" applyBorder="1" applyAlignment="1">
      <alignment horizontal="left" vertical="center"/>
    </xf>
    <xf numFmtId="166" fontId="193" fillId="60" borderId="5" xfId="0" applyNumberFormat="1" applyFont="1" applyFill="1" applyBorder="1" applyAlignment="1">
      <alignment horizontal="left" vertical="center"/>
    </xf>
    <xf numFmtId="14" fontId="187" fillId="60" borderId="5" xfId="0" applyNumberFormat="1" applyFont="1" applyFill="1" applyBorder="1"/>
    <xf numFmtId="0" fontId="37" fillId="29" borderId="5" xfId="0" applyFont="1" applyFill="1" applyBorder="1" applyAlignment="1">
      <alignment horizontal="center" vertical="center"/>
    </xf>
    <xf numFmtId="0" fontId="37" fillId="58" borderId="5" xfId="0" applyFont="1" applyFill="1" applyBorder="1" applyAlignment="1">
      <alignment horizontal="center" vertical="center"/>
    </xf>
    <xf numFmtId="0" fontId="37" fillId="60" borderId="5" xfId="0" applyFont="1" applyFill="1" applyBorder="1" applyAlignment="1">
      <alignment horizontal="center" vertical="center"/>
    </xf>
    <xf numFmtId="0" fontId="181" fillId="61" borderId="5" xfId="0" applyFont="1" applyFill="1" applyBorder="1" applyAlignment="1">
      <alignment horizontal="center" vertical="center"/>
    </xf>
    <xf numFmtId="0" fontId="191" fillId="61" borderId="5" xfId="0" applyFont="1" applyFill="1" applyBorder="1" applyAlignment="1">
      <alignment horizontal="left" vertical="center"/>
    </xf>
    <xf numFmtId="0" fontId="182" fillId="61" borderId="5" xfId="0" applyFont="1" applyFill="1" applyBorder="1" applyAlignment="1">
      <alignment horizontal="center" vertical="center"/>
    </xf>
    <xf numFmtId="0" fontId="184" fillId="61" borderId="5" xfId="0" applyFont="1" applyFill="1" applyBorder="1" applyAlignment="1">
      <alignment horizontal="center" vertical="center"/>
    </xf>
    <xf numFmtId="172" fontId="193" fillId="61" borderId="5" xfId="0" applyNumberFormat="1" applyFont="1" applyFill="1" applyBorder="1" applyAlignment="1">
      <alignment horizontal="center" vertical="center"/>
    </xf>
    <xf numFmtId="166" fontId="188" fillId="61" borderId="5" xfId="0" applyNumberFormat="1" applyFont="1" applyFill="1" applyBorder="1" applyAlignment="1">
      <alignment horizontal="center" vertical="center"/>
    </xf>
    <xf numFmtId="0" fontId="191" fillId="61" borderId="5" xfId="0" applyFont="1" applyFill="1" applyBorder="1" applyAlignment="1">
      <alignment horizontal="center" vertical="center"/>
    </xf>
    <xf numFmtId="0" fontId="181" fillId="59" borderId="5" xfId="0" applyFont="1" applyFill="1" applyBorder="1" applyAlignment="1">
      <alignment horizontal="center" vertical="center"/>
    </xf>
    <xf numFmtId="0" fontId="191" fillId="59" borderId="5" xfId="0" applyFont="1" applyFill="1" applyBorder="1" applyAlignment="1">
      <alignment horizontal="left" vertical="center"/>
    </xf>
    <xf numFmtId="0" fontId="182" fillId="59" borderId="5" xfId="0" applyFont="1" applyFill="1" applyBorder="1" applyAlignment="1">
      <alignment horizontal="center" vertical="center"/>
    </xf>
    <xf numFmtId="0" fontId="184" fillId="59" borderId="5" xfId="0" applyFont="1" applyFill="1" applyBorder="1" applyAlignment="1">
      <alignment horizontal="center" vertical="center"/>
    </xf>
    <xf numFmtId="172" fontId="193" fillId="59" borderId="5" xfId="0" applyNumberFormat="1" applyFont="1" applyFill="1" applyBorder="1" applyAlignment="1">
      <alignment horizontal="center" vertical="center"/>
    </xf>
    <xf numFmtId="166" fontId="188" fillId="59" borderId="5" xfId="0" applyNumberFormat="1" applyFont="1" applyFill="1" applyBorder="1" applyAlignment="1">
      <alignment horizontal="center" vertical="center"/>
    </xf>
    <xf numFmtId="0" fontId="187" fillId="59" borderId="5" xfId="0" applyFont="1" applyFill="1" applyBorder="1" applyAlignment="1">
      <alignment horizontal="center" vertical="center"/>
    </xf>
    <xf numFmtId="0" fontId="191" fillId="59" borderId="5" xfId="0" applyFont="1" applyFill="1" applyBorder="1" applyAlignment="1">
      <alignment horizontal="center" vertical="center"/>
    </xf>
    <xf numFmtId="0" fontId="203" fillId="58" borderId="5" xfId="0" applyFont="1" applyFill="1" applyBorder="1"/>
    <xf numFmtId="0" fontId="191" fillId="58" borderId="5" xfId="0" applyFont="1" applyFill="1" applyBorder="1"/>
    <xf numFmtId="167" fontId="187" fillId="58" borderId="5" xfId="0" applyNumberFormat="1" applyFont="1" applyFill="1" applyBorder="1"/>
    <xf numFmtId="0" fontId="203" fillId="60" borderId="5" xfId="0" applyFont="1" applyFill="1" applyBorder="1"/>
    <xf numFmtId="0" fontId="191" fillId="60" borderId="5" xfId="0" applyFont="1" applyFill="1" applyBorder="1"/>
    <xf numFmtId="167" fontId="187" fillId="60" borderId="5" xfId="0" applyNumberFormat="1" applyFont="1" applyFill="1" applyBorder="1"/>
    <xf numFmtId="0" fontId="179" fillId="57" borderId="5" xfId="0" applyFont="1" applyFill="1" applyBorder="1"/>
    <xf numFmtId="0" fontId="272" fillId="57" borderId="5" xfId="0" applyFont="1" applyFill="1" applyBorder="1"/>
    <xf numFmtId="0" fontId="210" fillId="57" borderId="5" xfId="0" applyFont="1" applyFill="1" applyBorder="1"/>
    <xf numFmtId="0" fontId="273" fillId="58" borderId="5" xfId="0" applyFont="1" applyFill="1" applyBorder="1"/>
    <xf numFmtId="0" fontId="273" fillId="60" borderId="5" xfId="0" applyFont="1" applyFill="1" applyBorder="1"/>
    <xf numFmtId="167" fontId="0" fillId="58" borderId="5" xfId="0" applyNumberFormat="1" applyFill="1" applyBorder="1" applyAlignment="1">
      <alignment horizontal="center" vertical="center"/>
    </xf>
    <xf numFmtId="0" fontId="197" fillId="58" borderId="5" xfId="0" applyFont="1" applyFill="1" applyBorder="1" applyAlignment="1">
      <alignment horizontal="left" vertical="center"/>
    </xf>
    <xf numFmtId="167" fontId="0" fillId="60" borderId="5" xfId="0" applyNumberFormat="1" applyFill="1" applyBorder="1" applyAlignment="1">
      <alignment horizontal="center" vertical="center"/>
    </xf>
    <xf numFmtId="0" fontId="194" fillId="60" borderId="5" xfId="0" applyFont="1" applyFill="1" applyBorder="1" applyAlignment="1">
      <alignment horizontal="left" vertical="center"/>
    </xf>
    <xf numFmtId="0" fontId="194" fillId="58" borderId="5" xfId="0" applyFont="1" applyFill="1" applyBorder="1" applyAlignment="1">
      <alignment horizontal="left" vertical="center"/>
    </xf>
    <xf numFmtId="0" fontId="274" fillId="60" borderId="5" xfId="0" applyFont="1" applyFill="1" applyBorder="1" applyAlignment="1">
      <alignment horizontal="left" vertical="center"/>
    </xf>
    <xf numFmtId="0" fontId="195" fillId="58" borderId="5" xfId="0" applyFont="1" applyFill="1" applyBorder="1"/>
    <xf numFmtId="0" fontId="200" fillId="58" borderId="5" xfId="0" applyFont="1" applyFill="1" applyBorder="1"/>
    <xf numFmtId="0" fontId="192" fillId="60" borderId="5" xfId="0" applyFont="1" applyFill="1" applyBorder="1"/>
    <xf numFmtId="0" fontId="200" fillId="60" borderId="5" xfId="0" applyFont="1" applyFill="1" applyBorder="1"/>
    <xf numFmtId="0" fontId="192" fillId="58" borderId="5" xfId="0" applyFont="1" applyFill="1" applyBorder="1"/>
    <xf numFmtId="0" fontId="195" fillId="60" borderId="5" xfId="0" applyFont="1" applyFill="1" applyBorder="1"/>
    <xf numFmtId="0" fontId="173" fillId="0" borderId="0" xfId="0" applyFont="1" applyAlignment="1">
      <alignment vertical="top" wrapText="1"/>
    </xf>
    <xf numFmtId="0" fontId="173" fillId="51" borderId="0" xfId="0" applyFont="1" applyFill="1"/>
    <xf numFmtId="0" fontId="173" fillId="65" borderId="0" xfId="0" applyFont="1" applyFill="1"/>
    <xf numFmtId="0" fontId="173" fillId="53" borderId="0" xfId="0" applyFont="1" applyFill="1"/>
    <xf numFmtId="0" fontId="5" fillId="52" borderId="5" xfId="0" applyFont="1" applyFill="1" applyBorder="1" applyAlignment="1">
      <alignment horizontal="center" vertical="center"/>
    </xf>
    <xf numFmtId="0" fontId="2" fillId="60" borderId="5" xfId="0" applyFont="1" applyFill="1" applyBorder="1" applyAlignment="1">
      <alignment horizontal="center" vertical="center"/>
    </xf>
    <xf numFmtId="0" fontId="2" fillId="60" borderId="5" xfId="0" applyFont="1" applyFill="1" applyBorder="1" applyAlignment="1">
      <alignment horizontal="left" vertical="center" wrapText="1"/>
    </xf>
    <xf numFmtId="0" fontId="2" fillId="58" borderId="5" xfId="0" applyFont="1" applyFill="1" applyBorder="1" applyAlignment="1">
      <alignment horizontal="center" vertical="center"/>
    </xf>
    <xf numFmtId="0" fontId="2" fillId="58" borderId="5" xfId="0" applyFont="1" applyFill="1" applyBorder="1" applyAlignment="1">
      <alignment horizontal="left" vertical="center" wrapText="1"/>
    </xf>
    <xf numFmtId="2" fontId="184" fillId="60" borderId="5" xfId="0" applyNumberFormat="1" applyFont="1" applyFill="1" applyBorder="1" applyAlignment="1">
      <alignment horizontal="center" vertical="center"/>
    </xf>
    <xf numFmtId="2" fontId="276" fillId="60" borderId="5" xfId="0" applyNumberFormat="1" applyFont="1" applyFill="1" applyBorder="1" applyAlignment="1">
      <alignment horizontal="center" vertical="center"/>
    </xf>
    <xf numFmtId="2" fontId="184" fillId="58" borderId="5" xfId="0" applyNumberFormat="1" applyFont="1" applyFill="1" applyBorder="1" applyAlignment="1">
      <alignment horizontal="center" vertical="center"/>
    </xf>
    <xf numFmtId="2" fontId="276" fillId="58" borderId="5" xfId="0" applyNumberFormat="1" applyFont="1" applyFill="1" applyBorder="1" applyAlignment="1">
      <alignment horizontal="center" vertical="center"/>
    </xf>
    <xf numFmtId="0" fontId="265" fillId="29" borderId="5" xfId="0" applyFont="1" applyFill="1" applyBorder="1" applyAlignment="1">
      <alignment horizontal="center" vertical="center"/>
    </xf>
    <xf numFmtId="2" fontId="193" fillId="61" borderId="5" xfId="0" applyNumberFormat="1" applyFont="1" applyFill="1" applyBorder="1" applyAlignment="1">
      <alignment horizontal="center" vertical="center"/>
    </xf>
    <xf numFmtId="2" fontId="192" fillId="61" borderId="5" xfId="0" applyNumberFormat="1" applyFont="1" applyFill="1" applyBorder="1" applyAlignment="1">
      <alignment horizontal="center" vertical="center"/>
    </xf>
    <xf numFmtId="2" fontId="211" fillId="61" borderId="5" xfId="0" applyNumberFormat="1" applyFont="1" applyFill="1" applyBorder="1" applyAlignment="1">
      <alignment horizontal="center" vertical="center"/>
    </xf>
    <xf numFmtId="2" fontId="193" fillId="59" borderId="5" xfId="0" applyNumberFormat="1" applyFont="1" applyFill="1" applyBorder="1" applyAlignment="1">
      <alignment horizontal="center" vertical="center"/>
    </xf>
    <xf numFmtId="2" fontId="192" fillId="59" borderId="5" xfId="0" applyNumberFormat="1" applyFont="1" applyFill="1" applyBorder="1" applyAlignment="1">
      <alignment horizontal="center" vertical="center"/>
    </xf>
    <xf numFmtId="2" fontId="211" fillId="59" borderId="5" xfId="0" applyNumberFormat="1" applyFont="1" applyFill="1" applyBorder="1" applyAlignment="1">
      <alignment horizontal="center" vertical="center"/>
    </xf>
    <xf numFmtId="0" fontId="277" fillId="31" borderId="0" xfId="0" applyFont="1" applyFill="1" applyAlignment="1">
      <alignment horizontal="left" vertical="center"/>
    </xf>
    <xf numFmtId="0" fontId="32" fillId="0" borderId="0" xfId="0" applyFont="1" applyAlignment="1">
      <alignment horizontal="left" vertical="center" wrapText="1"/>
    </xf>
    <xf numFmtId="0" fontId="5" fillId="31" borderId="0" xfId="0" applyFont="1" applyFill="1" applyAlignment="1">
      <alignment horizontal="center" vertical="center"/>
    </xf>
    <xf numFmtId="0" fontId="5" fillId="52" borderId="0" xfId="0" applyFont="1" applyFill="1" applyAlignment="1">
      <alignment horizontal="center" vertical="center"/>
    </xf>
    <xf numFmtId="0" fontId="5" fillId="17" borderId="0" xfId="0" applyFont="1" applyFill="1" applyAlignment="1">
      <alignment horizontal="center" vertical="center"/>
    </xf>
    <xf numFmtId="0" fontId="5" fillId="14" borderId="0" xfId="0" applyFont="1" applyFill="1" applyAlignment="1">
      <alignment horizontal="center" vertical="center"/>
    </xf>
    <xf numFmtId="0" fontId="5" fillId="67" borderId="0" xfId="0" applyFont="1" applyFill="1" applyAlignment="1">
      <alignment horizontal="center" vertical="center"/>
    </xf>
    <xf numFmtId="0" fontId="2" fillId="0" borderId="0" xfId="0" applyFont="1" applyAlignment="1">
      <alignment horizontal="center" vertical="center" wrapText="1"/>
    </xf>
    <xf numFmtId="0" fontId="2" fillId="0" borderId="5" xfId="0" applyFont="1" applyBorder="1" applyAlignment="1">
      <alignment horizontal="center" vertical="center"/>
    </xf>
    <xf numFmtId="173" fontId="2" fillId="0" borderId="5" xfId="0" applyNumberFormat="1" applyFont="1" applyBorder="1" applyAlignment="1">
      <alignment horizontal="center" vertical="center"/>
    </xf>
    <xf numFmtId="0" fontId="2" fillId="33" borderId="5" xfId="0" applyFont="1" applyFill="1" applyBorder="1" applyAlignment="1">
      <alignment horizontal="center" vertical="center"/>
    </xf>
    <xf numFmtId="0" fontId="2" fillId="33" borderId="5" xfId="0" applyFont="1" applyFill="1" applyBorder="1" applyAlignment="1">
      <alignment horizontal="left" vertical="center"/>
    </xf>
    <xf numFmtId="2" fontId="2" fillId="33" borderId="5" xfId="0" applyNumberFormat="1" applyFont="1" applyFill="1" applyBorder="1" applyAlignment="1">
      <alignment horizontal="center" vertical="center"/>
    </xf>
    <xf numFmtId="2" fontId="2" fillId="0" borderId="5" xfId="0" applyNumberFormat="1" applyFont="1" applyBorder="1" applyAlignment="1">
      <alignment horizontal="center" vertical="center"/>
    </xf>
    <xf numFmtId="0" fontId="2" fillId="0" borderId="5" xfId="0" applyFont="1" applyBorder="1" applyAlignment="1">
      <alignment horizontal="left" vertical="center"/>
    </xf>
    <xf numFmtId="0" fontId="192" fillId="60" borderId="5" xfId="0" applyFont="1" applyFill="1" applyBorder="1" applyAlignment="1">
      <alignment horizontal="left" vertical="center"/>
    </xf>
    <xf numFmtId="167" fontId="276" fillId="60" borderId="5" xfId="0" applyNumberFormat="1" applyFont="1" applyFill="1" applyBorder="1" applyAlignment="1">
      <alignment horizontal="center" vertical="center"/>
    </xf>
    <xf numFmtId="0" fontId="192" fillId="58" borderId="5" xfId="0" applyFont="1" applyFill="1" applyBorder="1" applyAlignment="1">
      <alignment horizontal="left" vertical="center"/>
    </xf>
    <xf numFmtId="167" fontId="276" fillId="58" borderId="5" xfId="0" applyNumberFormat="1" applyFont="1" applyFill="1" applyBorder="1" applyAlignment="1">
      <alignment horizontal="center" vertical="center"/>
    </xf>
    <xf numFmtId="0" fontId="179" fillId="60" borderId="5" xfId="0" applyFont="1" applyFill="1" applyBorder="1" applyAlignment="1">
      <alignment horizontal="left" vertical="center"/>
    </xf>
    <xf numFmtId="0" fontId="179" fillId="58" borderId="5" xfId="0" applyFont="1" applyFill="1" applyBorder="1" applyAlignment="1">
      <alignment horizontal="left" vertical="center"/>
    </xf>
    <xf numFmtId="0" fontId="173" fillId="7" borderId="5" xfId="0" applyFont="1" applyFill="1" applyBorder="1" applyAlignment="1">
      <alignment vertical="top" wrapText="1"/>
    </xf>
    <xf numFmtId="0" fontId="185" fillId="29" borderId="5" xfId="0" applyFont="1" applyFill="1" applyBorder="1"/>
    <xf numFmtId="0" fontId="42" fillId="22" borderId="1" xfId="0" applyFont="1" applyFill="1" applyBorder="1" applyAlignment="1">
      <alignment horizontal="center" vertical="center" wrapText="1"/>
    </xf>
    <xf numFmtId="0" fontId="27" fillId="67" borderId="1" xfId="0" applyFont="1" applyFill="1" applyBorder="1" applyAlignment="1">
      <alignment horizontal="center" vertical="center"/>
    </xf>
    <xf numFmtId="0" fontId="280" fillId="54" borderId="1" xfId="0" applyFont="1" applyFill="1" applyBorder="1" applyAlignment="1">
      <alignment horizontal="center" vertical="center"/>
    </xf>
    <xf numFmtId="0" fontId="56" fillId="54" borderId="1" xfId="0" applyFont="1" applyFill="1" applyBorder="1"/>
    <xf numFmtId="0" fontId="44" fillId="54" borderId="1" xfId="0" applyFont="1" applyFill="1" applyBorder="1" applyAlignment="1">
      <alignment vertical="center" wrapText="1"/>
    </xf>
    <xf numFmtId="170" fontId="22" fillId="15" borderId="8" xfId="0" applyNumberFormat="1" applyFont="1" applyFill="1" applyBorder="1" applyAlignment="1">
      <alignment horizontal="center" vertical="center"/>
    </xf>
    <xf numFmtId="170" fontId="38" fillId="54" borderId="1" xfId="0" applyNumberFormat="1" applyFont="1" applyFill="1" applyBorder="1" applyAlignment="1">
      <alignment horizontal="center" vertical="center"/>
    </xf>
    <xf numFmtId="170" fontId="243" fillId="49" borderId="9" xfId="0" applyNumberFormat="1" applyFont="1" applyFill="1" applyBorder="1" applyAlignment="1">
      <alignment horizontal="center" vertical="center"/>
    </xf>
    <xf numFmtId="167" fontId="255" fillId="54" borderId="1" xfId="0" applyNumberFormat="1" applyFont="1" applyFill="1" applyBorder="1" applyAlignment="1">
      <alignment horizontal="center" vertical="center"/>
    </xf>
    <xf numFmtId="2" fontId="187" fillId="60" borderId="5" xfId="0" applyNumberFormat="1" applyFont="1" applyFill="1" applyBorder="1" applyAlignment="1">
      <alignment horizontal="center" vertical="center"/>
    </xf>
    <xf numFmtId="2" fontId="192" fillId="60" borderId="5" xfId="0" applyNumberFormat="1" applyFont="1" applyFill="1" applyBorder="1" applyAlignment="1">
      <alignment horizontal="center" vertical="center"/>
    </xf>
    <xf numFmtId="2" fontId="195" fillId="60" borderId="5" xfId="0" applyNumberFormat="1" applyFont="1" applyFill="1" applyBorder="1" applyAlignment="1">
      <alignment horizontal="center" vertical="center"/>
    </xf>
    <xf numFmtId="2" fontId="38" fillId="60" borderId="5" xfId="0" applyNumberFormat="1" applyFont="1" applyFill="1" applyBorder="1" applyAlignment="1">
      <alignment vertical="top" wrapText="1"/>
    </xf>
    <xf numFmtId="2" fontId="258" fillId="60" borderId="5" xfId="0" applyNumberFormat="1" applyFont="1" applyFill="1" applyBorder="1" applyAlignment="1">
      <alignment horizontal="center" vertical="center"/>
    </xf>
    <xf numFmtId="0" fontId="280" fillId="24" borderId="1" xfId="0" applyFont="1" applyFill="1" applyBorder="1" applyAlignment="1">
      <alignment horizontal="center" vertical="center"/>
    </xf>
    <xf numFmtId="0" fontId="44" fillId="24" borderId="1" xfId="0" applyFont="1" applyFill="1" applyBorder="1" applyAlignment="1">
      <alignment vertical="center" wrapText="1"/>
    </xf>
    <xf numFmtId="170" fontId="38" fillId="24" borderId="1" xfId="0" applyNumberFormat="1" applyFont="1" applyFill="1" applyBorder="1" applyAlignment="1">
      <alignment horizontal="center" vertical="center"/>
    </xf>
    <xf numFmtId="167" fontId="255" fillId="24" borderId="1" xfId="0" applyNumberFormat="1" applyFont="1" applyFill="1" applyBorder="1" applyAlignment="1">
      <alignment horizontal="center" vertical="center"/>
    </xf>
    <xf numFmtId="2" fontId="187" fillId="58" borderId="5" xfId="0" applyNumberFormat="1" applyFont="1" applyFill="1" applyBorder="1" applyAlignment="1">
      <alignment horizontal="center" vertical="center"/>
    </xf>
    <xf numFmtId="2" fontId="192" fillId="58" borderId="5" xfId="0" applyNumberFormat="1" applyFont="1" applyFill="1" applyBorder="1" applyAlignment="1">
      <alignment horizontal="center" vertical="center"/>
    </xf>
    <xf numFmtId="2" fontId="195" fillId="58" borderId="5" xfId="0" applyNumberFormat="1" applyFont="1" applyFill="1" applyBorder="1" applyAlignment="1">
      <alignment horizontal="center" vertical="center"/>
    </xf>
    <xf numFmtId="2" fontId="38" fillId="58" borderId="5" xfId="0" applyNumberFormat="1" applyFont="1" applyFill="1" applyBorder="1" applyAlignment="1">
      <alignment vertical="top" wrapText="1"/>
    </xf>
    <xf numFmtId="2" fontId="258" fillId="58" borderId="5" xfId="0" applyNumberFormat="1" applyFont="1" applyFill="1" applyBorder="1" applyAlignment="1">
      <alignment horizontal="center" vertical="center"/>
    </xf>
    <xf numFmtId="0" fontId="280" fillId="45" borderId="1" xfId="0" applyFont="1" applyFill="1" applyBorder="1" applyAlignment="1">
      <alignment horizontal="center" vertical="center"/>
    </xf>
    <xf numFmtId="0" fontId="56" fillId="45" borderId="1" xfId="0" applyFont="1" applyFill="1" applyBorder="1"/>
    <xf numFmtId="0" fontId="44" fillId="45" borderId="1" xfId="0" applyFont="1" applyFill="1" applyBorder="1" applyAlignment="1">
      <alignment vertical="center" wrapText="1"/>
    </xf>
    <xf numFmtId="170" fontId="38" fillId="45" borderId="1" xfId="0" applyNumberFormat="1" applyFont="1" applyFill="1" applyBorder="1" applyAlignment="1">
      <alignment horizontal="center" vertical="center"/>
    </xf>
    <xf numFmtId="0" fontId="44" fillId="45" borderId="1" xfId="0" applyFont="1" applyFill="1" applyBorder="1" applyAlignment="1">
      <alignment horizontal="center" vertical="center"/>
    </xf>
    <xf numFmtId="167" fontId="255" fillId="45" borderId="1" xfId="0" applyNumberFormat="1" applyFont="1" applyFill="1" applyBorder="1" applyAlignment="1">
      <alignment horizontal="center" vertical="center"/>
    </xf>
    <xf numFmtId="170" fontId="65" fillId="26" borderId="10" xfId="0" applyNumberFormat="1" applyFont="1" applyFill="1" applyBorder="1" applyAlignment="1">
      <alignment horizontal="center" vertical="center"/>
    </xf>
    <xf numFmtId="0" fontId="0" fillId="26" borderId="10" xfId="0" applyFill="1" applyBorder="1"/>
    <xf numFmtId="170" fontId="45" fillId="26" borderId="10" xfId="0" applyNumberFormat="1" applyFont="1" applyFill="1" applyBorder="1" applyAlignment="1">
      <alignment horizontal="center" vertical="center"/>
    </xf>
    <xf numFmtId="0" fontId="27" fillId="67" borderId="0" xfId="0" applyFont="1" applyFill="1"/>
    <xf numFmtId="0" fontId="282" fillId="67" borderId="0" xfId="0" applyFont="1" applyFill="1"/>
    <xf numFmtId="0" fontId="282" fillId="67" borderId="0" xfId="0" applyFont="1" applyFill="1" applyAlignment="1">
      <alignment horizontal="left" vertical="center" wrapText="1"/>
    </xf>
    <xf numFmtId="2" fontId="283" fillId="68" borderId="0" xfId="0" applyNumberFormat="1" applyFont="1" applyFill="1"/>
    <xf numFmtId="0" fontId="282" fillId="68" borderId="0" xfId="0" applyFont="1" applyFill="1"/>
    <xf numFmtId="0" fontId="282" fillId="68" borderId="0" xfId="0" applyFont="1" applyFill="1" applyAlignment="1">
      <alignment horizontal="left" vertical="center" wrapText="1"/>
    </xf>
    <xf numFmtId="0" fontId="256" fillId="70" borderId="0" xfId="0" applyFont="1" applyFill="1"/>
    <xf numFmtId="2" fontId="283" fillId="70" borderId="0" xfId="0" applyNumberFormat="1" applyFont="1" applyFill="1"/>
    <xf numFmtId="0" fontId="282" fillId="70" borderId="0" xfId="0" applyFont="1" applyFill="1"/>
    <xf numFmtId="0" fontId="282" fillId="70" borderId="0" xfId="0" applyFont="1" applyFill="1" applyAlignment="1">
      <alignment horizontal="left" vertical="center" wrapText="1"/>
    </xf>
    <xf numFmtId="0" fontId="27" fillId="70" borderId="0" xfId="0" applyFont="1" applyFill="1"/>
    <xf numFmtId="0" fontId="42" fillId="22" borderId="1" xfId="0" applyFont="1" applyFill="1" applyBorder="1" applyAlignment="1">
      <alignment horizontal="center" vertical="center"/>
    </xf>
    <xf numFmtId="0" fontId="25" fillId="18" borderId="1" xfId="0" applyFont="1" applyFill="1" applyBorder="1"/>
    <xf numFmtId="0" fontId="72" fillId="18" borderId="1" xfId="0" applyFont="1" applyFill="1" applyBorder="1"/>
    <xf numFmtId="0" fontId="22" fillId="15" borderId="8" xfId="0" applyFont="1" applyFill="1" applyBorder="1" applyAlignment="1">
      <alignment horizontal="center" vertical="center"/>
    </xf>
    <xf numFmtId="170" fontId="61" fillId="18" borderId="1" xfId="0" applyNumberFormat="1" applyFont="1" applyFill="1" applyBorder="1" applyAlignment="1">
      <alignment horizontal="center" vertical="center"/>
    </xf>
    <xf numFmtId="0" fontId="285" fillId="54" borderId="1" xfId="0" applyFont="1" applyFill="1" applyBorder="1"/>
    <xf numFmtId="0" fontId="41" fillId="3" borderId="1" xfId="0" applyFont="1" applyFill="1" applyBorder="1"/>
    <xf numFmtId="0" fontId="35" fillId="3" borderId="1" xfId="0" applyFont="1" applyFill="1" applyBorder="1"/>
    <xf numFmtId="170" fontId="62" fillId="3" borderId="1" xfId="0" applyNumberFormat="1" applyFont="1" applyFill="1" applyBorder="1" applyAlignment="1">
      <alignment horizontal="center" vertical="center"/>
    </xf>
    <xf numFmtId="0" fontId="80" fillId="8" borderId="1" xfId="0" applyFont="1" applyFill="1" applyBorder="1"/>
    <xf numFmtId="0" fontId="48" fillId="8" borderId="1" xfId="0" applyFont="1" applyFill="1" applyBorder="1"/>
    <xf numFmtId="170" fontId="60" fillId="8" borderId="1" xfId="0" applyNumberFormat="1" applyFont="1" applyFill="1" applyBorder="1" applyAlignment="1">
      <alignment horizontal="center" vertical="center"/>
    </xf>
    <xf numFmtId="0" fontId="77" fillId="8" borderId="1" xfId="0" applyFont="1" applyFill="1" applyBorder="1" applyAlignment="1">
      <alignment horizontal="center" vertical="center"/>
    </xf>
    <xf numFmtId="0" fontId="84" fillId="8" borderId="1" xfId="0" applyFont="1" applyFill="1" applyBorder="1"/>
    <xf numFmtId="0" fontId="84" fillId="8" borderId="1" xfId="0" applyFont="1" applyFill="1" applyBorder="1" applyAlignment="1">
      <alignment horizontal="center" vertical="center"/>
    </xf>
    <xf numFmtId="0" fontId="77" fillId="8" borderId="1" xfId="0" applyFont="1" applyFill="1" applyBorder="1"/>
    <xf numFmtId="0" fontId="67" fillId="8" borderId="1" xfId="0" applyFont="1" applyFill="1" applyBorder="1" applyAlignment="1">
      <alignment horizontal="center" vertical="center"/>
    </xf>
    <xf numFmtId="170" fontId="67" fillId="8" borderId="1" xfId="0" applyNumberFormat="1" applyFont="1" applyFill="1" applyBorder="1" applyAlignment="1">
      <alignment horizontal="center" vertical="center"/>
    </xf>
    <xf numFmtId="0" fontId="89" fillId="26" borderId="1" xfId="0" applyFont="1" applyFill="1" applyBorder="1" applyAlignment="1">
      <alignment horizontal="center" vertical="center"/>
    </xf>
    <xf numFmtId="0" fontId="286" fillId="26" borderId="1" xfId="0" applyFont="1" applyFill="1" applyBorder="1"/>
    <xf numFmtId="0" fontId="286" fillId="26" borderId="1" xfId="0" applyFont="1" applyFill="1" applyBorder="1" applyAlignment="1">
      <alignment horizontal="center" vertical="center"/>
    </xf>
    <xf numFmtId="0" fontId="89" fillId="26" borderId="1" xfId="0" applyFont="1" applyFill="1" applyBorder="1"/>
    <xf numFmtId="0" fontId="287" fillId="26" borderId="1" xfId="0" applyFont="1" applyFill="1" applyBorder="1" applyAlignment="1">
      <alignment horizontal="center" vertical="center"/>
    </xf>
    <xf numFmtId="168" fontId="22" fillId="15" borderId="8" xfId="0" applyNumberFormat="1" applyFont="1" applyFill="1" applyBorder="1" applyAlignment="1">
      <alignment horizontal="center" vertical="center"/>
    </xf>
    <xf numFmtId="170" fontId="287" fillId="26" borderId="1" xfId="0" applyNumberFormat="1" applyFont="1" applyFill="1" applyBorder="1" applyAlignment="1">
      <alignment horizontal="center" vertical="center"/>
    </xf>
    <xf numFmtId="170" fontId="243" fillId="26" borderId="1" xfId="0" applyNumberFormat="1" applyFont="1" applyFill="1" applyBorder="1" applyAlignment="1">
      <alignment horizontal="center" vertical="center"/>
    </xf>
    <xf numFmtId="0" fontId="281" fillId="26" borderId="1" xfId="0" applyFont="1" applyFill="1" applyBorder="1"/>
    <xf numFmtId="0" fontId="288" fillId="0" borderId="0" xfId="0" applyFont="1"/>
    <xf numFmtId="0" fontId="289" fillId="0" borderId="0" xfId="0" applyFont="1" applyAlignment="1">
      <alignment horizontal="left" vertical="center" wrapText="1"/>
    </xf>
    <xf numFmtId="0" fontId="42" fillId="64" borderId="1" xfId="0" applyFont="1" applyFill="1" applyBorder="1" applyAlignment="1">
      <alignment horizontal="center" vertical="center"/>
    </xf>
    <xf numFmtId="173" fontId="47" fillId="23" borderId="1" xfId="0" applyNumberFormat="1" applyFont="1" applyFill="1" applyBorder="1" applyAlignment="1">
      <alignment horizontal="center" vertical="center"/>
    </xf>
    <xf numFmtId="173" fontId="47" fillId="28" borderId="1" xfId="0" applyNumberFormat="1" applyFont="1" applyFill="1" applyBorder="1" applyAlignment="1">
      <alignment horizontal="center" vertical="center"/>
    </xf>
    <xf numFmtId="0" fontId="110" fillId="45" borderId="1" xfId="0" applyFont="1" applyFill="1" applyBorder="1" applyAlignment="1">
      <alignment horizontal="center" vertical="center" wrapText="1"/>
    </xf>
    <xf numFmtId="0" fontId="136" fillId="18" borderId="1" xfId="0" applyFont="1" applyFill="1" applyBorder="1" applyAlignment="1">
      <alignment horizontal="center" vertical="center" wrapText="1"/>
    </xf>
    <xf numFmtId="0" fontId="44" fillId="44" borderId="1" xfId="0" applyFont="1" applyFill="1" applyBorder="1" applyAlignment="1">
      <alignment horizontal="left" vertical="center"/>
    </xf>
    <xf numFmtId="170" fontId="114" fillId="19" borderId="1" xfId="0" applyNumberFormat="1" applyFont="1" applyFill="1" applyBorder="1" applyAlignment="1">
      <alignment horizontal="center" vertical="center"/>
    </xf>
    <xf numFmtId="0" fontId="58" fillId="44" borderId="1" xfId="0" applyFont="1" applyFill="1" applyBorder="1" applyAlignment="1">
      <alignment horizontal="left" vertical="center" wrapText="1"/>
    </xf>
    <xf numFmtId="0" fontId="254" fillId="0" borderId="0" xfId="0" applyFont="1"/>
    <xf numFmtId="0" fontId="290" fillId="0" borderId="0" xfId="0" applyFont="1"/>
    <xf numFmtId="0" fontId="282" fillId="0" borderId="0" xfId="0" applyFont="1"/>
    <xf numFmtId="0" fontId="52" fillId="33" borderId="1" xfId="0" applyFont="1" applyFill="1" applyBorder="1" applyAlignment="1">
      <alignment horizontal="left" vertical="center"/>
    </xf>
    <xf numFmtId="170" fontId="123" fillId="18" borderId="1" xfId="0" applyNumberFormat="1" applyFont="1" applyFill="1" applyBorder="1" applyAlignment="1">
      <alignment horizontal="center" vertical="center"/>
    </xf>
    <xf numFmtId="0" fontId="0" fillId="24" borderId="0" xfId="0" applyFill="1"/>
    <xf numFmtId="170" fontId="291" fillId="3" borderId="1" xfId="0" applyNumberFormat="1" applyFont="1" applyFill="1" applyBorder="1" applyAlignment="1">
      <alignment horizontal="center" vertical="center"/>
    </xf>
    <xf numFmtId="170" fontId="17" fillId="32" borderId="1" xfId="0" applyNumberFormat="1" applyFont="1" applyFill="1" applyBorder="1" applyAlignment="1">
      <alignment horizontal="center" vertical="center"/>
    </xf>
    <xf numFmtId="0" fontId="292" fillId="24" borderId="1" xfId="0" applyFont="1" applyFill="1" applyBorder="1" applyAlignment="1">
      <alignment horizontal="left" vertical="center" wrapText="1"/>
    </xf>
    <xf numFmtId="171" fontId="123" fillId="23" borderId="1" xfId="0" applyNumberFormat="1" applyFont="1" applyFill="1" applyBorder="1" applyAlignment="1">
      <alignment horizontal="center" vertical="center"/>
    </xf>
    <xf numFmtId="0" fontId="54" fillId="16" borderId="1" xfId="0" applyFont="1" applyFill="1" applyBorder="1" applyAlignment="1">
      <alignment horizontal="center" vertical="center"/>
    </xf>
    <xf numFmtId="170" fontId="278" fillId="16" borderId="1" xfId="0" applyNumberFormat="1" applyFont="1" applyFill="1" applyBorder="1" applyAlignment="1">
      <alignment horizontal="center" vertical="center"/>
    </xf>
    <xf numFmtId="0" fontId="292" fillId="16" borderId="1" xfId="0" applyFont="1" applyFill="1" applyBorder="1" applyAlignment="1">
      <alignment horizontal="left" vertical="center" wrapText="1"/>
    </xf>
    <xf numFmtId="0" fontId="54" fillId="17" borderId="1" xfId="0" applyFont="1" applyFill="1" applyBorder="1" applyAlignment="1">
      <alignment horizontal="center" vertical="center"/>
    </xf>
    <xf numFmtId="170" fontId="278" fillId="17" borderId="1" xfId="0" applyNumberFormat="1" applyFont="1" applyFill="1" applyBorder="1" applyAlignment="1">
      <alignment horizontal="center" vertical="center"/>
    </xf>
    <xf numFmtId="0" fontId="292" fillId="17" borderId="1" xfId="0" applyFont="1" applyFill="1" applyBorder="1" applyAlignment="1">
      <alignment horizontal="left" vertical="center" wrapText="1"/>
    </xf>
    <xf numFmtId="170" fontId="278" fillId="14" borderId="1" xfId="0" applyNumberFormat="1" applyFont="1" applyFill="1" applyBorder="1" applyAlignment="1">
      <alignment horizontal="center" vertical="center"/>
    </xf>
    <xf numFmtId="0" fontId="292" fillId="14" borderId="1" xfId="0" applyFont="1" applyFill="1" applyBorder="1" applyAlignment="1">
      <alignment horizontal="left" vertical="center" wrapText="1"/>
    </xf>
    <xf numFmtId="0" fontId="54" fillId="55" borderId="1" xfId="0" applyFont="1" applyFill="1" applyBorder="1" applyAlignment="1">
      <alignment horizontal="center" vertical="center"/>
    </xf>
    <xf numFmtId="170" fontId="278" fillId="55" borderId="1" xfId="0" applyNumberFormat="1" applyFont="1" applyFill="1" applyBorder="1" applyAlignment="1">
      <alignment horizontal="center" vertical="center"/>
    </xf>
    <xf numFmtId="0" fontId="292" fillId="55" borderId="1" xfId="0" applyFont="1" applyFill="1" applyBorder="1" applyAlignment="1">
      <alignment horizontal="left" vertical="center" wrapText="1"/>
    </xf>
    <xf numFmtId="0" fontId="54" fillId="50" borderId="1" xfId="0" applyFont="1" applyFill="1" applyBorder="1" applyAlignment="1">
      <alignment horizontal="center" vertical="center"/>
    </xf>
    <xf numFmtId="170" fontId="278" fillId="50" borderId="1" xfId="0" applyNumberFormat="1" applyFont="1" applyFill="1" applyBorder="1" applyAlignment="1">
      <alignment horizontal="center" vertical="center"/>
    </xf>
    <xf numFmtId="0" fontId="292" fillId="50" borderId="1" xfId="0" applyFont="1" applyFill="1" applyBorder="1" applyAlignment="1">
      <alignment horizontal="left" vertical="center" wrapText="1"/>
    </xf>
    <xf numFmtId="0" fontId="54" fillId="64" borderId="1" xfId="0" applyFont="1" applyFill="1" applyBorder="1" applyAlignment="1">
      <alignment horizontal="center" vertical="center"/>
    </xf>
    <xf numFmtId="170" fontId="278" fillId="64" borderId="1" xfId="0" applyNumberFormat="1" applyFont="1" applyFill="1" applyBorder="1" applyAlignment="1">
      <alignment horizontal="center" vertical="center"/>
    </xf>
    <xf numFmtId="0" fontId="292" fillId="64" borderId="1" xfId="0" applyFont="1" applyFill="1" applyBorder="1" applyAlignment="1">
      <alignment horizontal="left" vertical="center" wrapText="1"/>
    </xf>
    <xf numFmtId="0" fontId="293" fillId="43" borderId="1" xfId="0" applyFont="1" applyFill="1" applyBorder="1" applyAlignment="1">
      <alignment horizontal="center" vertical="center" wrapText="1"/>
    </xf>
    <xf numFmtId="0" fontId="54" fillId="71" borderId="1" xfId="0" applyFont="1" applyFill="1" applyBorder="1" applyAlignment="1">
      <alignment horizontal="center" vertical="center"/>
    </xf>
    <xf numFmtId="170" fontId="278" fillId="71" borderId="1" xfId="0" applyNumberFormat="1" applyFont="1" applyFill="1" applyBorder="1" applyAlignment="1">
      <alignment horizontal="center" vertical="center"/>
    </xf>
    <xf numFmtId="0" fontId="292" fillId="71" borderId="1" xfId="0" applyFont="1" applyFill="1" applyBorder="1" applyAlignment="1">
      <alignment horizontal="left" vertical="center" wrapText="1"/>
    </xf>
    <xf numFmtId="0" fontId="136" fillId="23" borderId="1" xfId="0" applyFont="1" applyFill="1" applyBorder="1" applyAlignment="1">
      <alignment horizontal="center" vertical="center" wrapText="1"/>
    </xf>
    <xf numFmtId="0" fontId="75" fillId="49" borderId="1" xfId="0" applyFont="1" applyFill="1" applyBorder="1" applyAlignment="1">
      <alignment horizontal="center" vertical="center" wrapText="1"/>
    </xf>
    <xf numFmtId="0" fontId="54" fillId="21" borderId="1" xfId="0" applyFont="1" applyFill="1" applyBorder="1" applyAlignment="1">
      <alignment horizontal="center" vertical="center"/>
    </xf>
    <xf numFmtId="170" fontId="278" fillId="21" borderId="1" xfId="0" applyNumberFormat="1" applyFont="1" applyFill="1" applyBorder="1" applyAlignment="1">
      <alignment horizontal="center" vertical="center"/>
    </xf>
    <xf numFmtId="0" fontId="292" fillId="21" borderId="1" xfId="0" applyFont="1" applyFill="1" applyBorder="1" applyAlignment="1">
      <alignment horizontal="left" vertical="center" wrapText="1"/>
    </xf>
    <xf numFmtId="2" fontId="204" fillId="58" borderId="5" xfId="0" applyNumberFormat="1" applyFont="1" applyFill="1" applyBorder="1" applyAlignment="1">
      <alignment horizontal="center" vertical="center"/>
    </xf>
    <xf numFmtId="0" fontId="273" fillId="60" borderId="5" xfId="0" applyFont="1" applyFill="1" applyBorder="1" applyAlignment="1">
      <alignment horizontal="left" vertical="center"/>
    </xf>
    <xf numFmtId="167" fontId="184" fillId="60" borderId="5" xfId="0" applyNumberFormat="1" applyFont="1" applyFill="1" applyBorder="1" applyAlignment="1">
      <alignment horizontal="center" vertical="center"/>
    </xf>
    <xf numFmtId="167" fontId="179" fillId="60" borderId="5" xfId="0" applyNumberFormat="1" applyFont="1" applyFill="1" applyBorder="1" applyAlignment="1">
      <alignment horizontal="center" vertical="center"/>
    </xf>
    <xf numFmtId="167" fontId="191" fillId="60" borderId="5" xfId="0" applyNumberFormat="1" applyFont="1" applyFill="1" applyBorder="1" applyAlignment="1">
      <alignment horizontal="center" vertical="center"/>
    </xf>
    <xf numFmtId="0" fontId="273" fillId="58" borderId="5" xfId="0" applyFont="1" applyFill="1" applyBorder="1" applyAlignment="1">
      <alignment horizontal="left" vertical="center"/>
    </xf>
    <xf numFmtId="167" fontId="184" fillId="58" borderId="5" xfId="0" applyNumberFormat="1" applyFont="1" applyFill="1" applyBorder="1" applyAlignment="1">
      <alignment horizontal="center" vertical="center"/>
    </xf>
    <xf numFmtId="167" fontId="179" fillId="58" borderId="5" xfId="0" applyNumberFormat="1" applyFont="1" applyFill="1" applyBorder="1" applyAlignment="1">
      <alignment horizontal="center" vertical="center"/>
    </xf>
    <xf numFmtId="167" fontId="191" fillId="58" borderId="5" xfId="0" applyNumberFormat="1" applyFont="1" applyFill="1" applyBorder="1" applyAlignment="1">
      <alignment horizontal="center" vertical="center"/>
    </xf>
    <xf numFmtId="167" fontId="294" fillId="57" borderId="0" xfId="0" applyNumberFormat="1" applyFont="1" applyFill="1"/>
    <xf numFmtId="167" fontId="276" fillId="57" borderId="0" xfId="0" applyNumberFormat="1" applyFont="1" applyFill="1"/>
    <xf numFmtId="0" fontId="231" fillId="25" borderId="1" xfId="0" applyFont="1" applyFill="1" applyBorder="1" applyAlignment="1">
      <alignment horizontal="left" vertical="center" wrapText="1"/>
    </xf>
    <xf numFmtId="173" fontId="123" fillId="28" borderId="1" xfId="0" applyNumberFormat="1" applyFont="1" applyFill="1" applyBorder="1" applyAlignment="1">
      <alignment horizontal="center" vertical="center"/>
    </xf>
    <xf numFmtId="0" fontId="295" fillId="53" borderId="1" xfId="0" applyFont="1" applyFill="1" applyBorder="1" applyAlignment="1">
      <alignment horizontal="left" vertical="center" wrapText="1"/>
    </xf>
    <xf numFmtId="0" fontId="231" fillId="24" borderId="1" xfId="0" applyFont="1" applyFill="1" applyBorder="1" applyAlignment="1">
      <alignment horizontal="left" vertical="center" wrapText="1"/>
    </xf>
    <xf numFmtId="173" fontId="123" fillId="23" borderId="1" xfId="0" applyNumberFormat="1" applyFont="1" applyFill="1" applyBorder="1" applyAlignment="1">
      <alignment horizontal="center" vertical="center"/>
    </xf>
    <xf numFmtId="0" fontId="175" fillId="51" borderId="1" xfId="0" applyFont="1" applyFill="1" applyBorder="1" applyAlignment="1">
      <alignment horizontal="left" vertical="center" wrapText="1"/>
    </xf>
    <xf numFmtId="170" fontId="17" fillId="27" borderId="1" xfId="0" applyNumberFormat="1" applyFont="1" applyFill="1" applyBorder="1" applyAlignment="1">
      <alignment horizontal="center" vertical="center"/>
    </xf>
    <xf numFmtId="0" fontId="20" fillId="27" borderId="1" xfId="0" applyFont="1" applyFill="1" applyBorder="1" applyAlignment="1">
      <alignment horizontal="right" vertical="center"/>
    </xf>
    <xf numFmtId="170" fontId="17" fillId="14" borderId="1" xfId="0" applyNumberFormat="1" applyFont="1" applyFill="1" applyBorder="1" applyAlignment="1">
      <alignment horizontal="center" vertical="center"/>
    </xf>
    <xf numFmtId="0" fontId="37" fillId="0" borderId="1" xfId="0" applyFont="1" applyBorder="1"/>
    <xf numFmtId="0" fontId="65" fillId="0" borderId="1" xfId="0" applyFont="1" applyBorder="1" applyAlignment="1">
      <alignment horizontal="center" vertical="center"/>
    </xf>
    <xf numFmtId="170" fontId="17" fillId="21" borderId="1" xfId="0" applyNumberFormat="1" applyFont="1" applyFill="1" applyBorder="1" applyAlignment="1">
      <alignment horizontal="center" vertical="center"/>
    </xf>
    <xf numFmtId="0" fontId="295" fillId="53" borderId="0" xfId="0" applyFont="1" applyFill="1" applyAlignment="1">
      <alignment wrapText="1"/>
    </xf>
    <xf numFmtId="0" fontId="296" fillId="0" borderId="0" xfId="0" applyFont="1" applyAlignment="1">
      <alignment horizontal="left" vertical="center"/>
    </xf>
    <xf numFmtId="0" fontId="169" fillId="33" borderId="1" xfId="0" applyFont="1" applyFill="1" applyBorder="1" applyAlignment="1">
      <alignment horizontal="center" vertical="center"/>
    </xf>
    <xf numFmtId="0" fontId="0" fillId="33" borderId="1" xfId="0" applyFill="1" applyBorder="1"/>
    <xf numFmtId="0" fontId="297" fillId="15" borderId="1" xfId="0" applyFont="1" applyFill="1" applyBorder="1" applyAlignment="1">
      <alignment horizontal="center" vertical="center"/>
    </xf>
    <xf numFmtId="0" fontId="0" fillId="24" borderId="1" xfId="0" applyFill="1" applyBorder="1"/>
    <xf numFmtId="0" fontId="230" fillId="26" borderId="1" xfId="0" applyFont="1" applyFill="1" applyBorder="1" applyAlignment="1">
      <alignment horizontal="center" vertical="center"/>
    </xf>
    <xf numFmtId="170" fontId="230" fillId="26" borderId="1" xfId="0" applyNumberFormat="1" applyFont="1" applyFill="1" applyBorder="1" applyAlignment="1">
      <alignment horizontal="center" vertical="center"/>
    </xf>
    <xf numFmtId="0" fontId="259" fillId="31" borderId="1" xfId="0" applyFont="1" applyFill="1" applyBorder="1" applyAlignment="1">
      <alignment horizontal="center" vertical="center"/>
    </xf>
    <xf numFmtId="0" fontId="298" fillId="31" borderId="1" xfId="0" applyFont="1" applyFill="1" applyBorder="1" applyAlignment="1">
      <alignment horizontal="center" vertical="center" wrapText="1"/>
    </xf>
    <xf numFmtId="0" fontId="298" fillId="16" borderId="1" xfId="0" applyFont="1" applyFill="1" applyBorder="1" applyAlignment="1">
      <alignment horizontal="center" vertical="center" wrapText="1"/>
    </xf>
    <xf numFmtId="0" fontId="298" fillId="17" borderId="1" xfId="0" applyFont="1" applyFill="1" applyBorder="1" applyAlignment="1">
      <alignment horizontal="center" vertical="center" wrapText="1"/>
    </xf>
    <xf numFmtId="0" fontId="298" fillId="14" borderId="1" xfId="0" applyFont="1" applyFill="1" applyBorder="1" applyAlignment="1">
      <alignment horizontal="center" vertical="center" wrapText="1"/>
    </xf>
    <xf numFmtId="0" fontId="298" fillId="14" borderId="0" xfId="0" applyFont="1" applyFill="1" applyAlignment="1">
      <alignment horizontal="center" vertical="center" wrapText="1"/>
    </xf>
    <xf numFmtId="0" fontId="298" fillId="70" borderId="0" xfId="0" applyFont="1" applyFill="1" applyAlignment="1">
      <alignment horizontal="center" vertical="center" wrapText="1"/>
    </xf>
    <xf numFmtId="0" fontId="298" fillId="22" borderId="0" xfId="0" applyFont="1" applyFill="1" applyAlignment="1">
      <alignment horizontal="center" vertical="center" wrapText="1"/>
    </xf>
    <xf numFmtId="0" fontId="298" fillId="27" borderId="0" xfId="0" applyFont="1" applyFill="1" applyAlignment="1">
      <alignment horizontal="center" vertical="center" wrapText="1"/>
    </xf>
    <xf numFmtId="170" fontId="44" fillId="24" borderId="1" xfId="0" applyNumberFormat="1" applyFont="1" applyFill="1" applyBorder="1" applyAlignment="1">
      <alignment horizontal="left" vertical="center" wrapText="1"/>
    </xf>
    <xf numFmtId="170" fontId="219" fillId="3" borderId="1" xfId="0" applyNumberFormat="1" applyFont="1" applyFill="1" applyBorder="1" applyAlignment="1">
      <alignment horizontal="center" vertical="center"/>
    </xf>
    <xf numFmtId="167" fontId="35" fillId="24" borderId="1" xfId="0" applyNumberFormat="1" applyFont="1" applyFill="1" applyBorder="1" applyAlignment="1">
      <alignment horizontal="center" vertical="center"/>
    </xf>
    <xf numFmtId="170" fontId="118" fillId="24" borderId="1" xfId="0" applyNumberFormat="1" applyFont="1" applyFill="1" applyBorder="1" applyAlignment="1">
      <alignment horizontal="center" vertical="center"/>
    </xf>
    <xf numFmtId="2" fontId="148" fillId="24" borderId="1" xfId="0" applyNumberFormat="1" applyFont="1" applyFill="1" applyBorder="1" applyAlignment="1">
      <alignment horizontal="left" vertical="center" wrapText="1"/>
    </xf>
    <xf numFmtId="167" fontId="255" fillId="0" borderId="0" xfId="0" applyNumberFormat="1" applyFont="1" applyAlignment="1">
      <alignment horizontal="center" vertical="center"/>
    </xf>
    <xf numFmtId="167" fontId="0" fillId="0" borderId="0" xfId="0" applyNumberFormat="1"/>
    <xf numFmtId="2" fontId="0" fillId="0" borderId="0" xfId="0" applyNumberFormat="1"/>
    <xf numFmtId="0" fontId="105" fillId="33" borderId="1" xfId="0" applyFont="1" applyFill="1" applyBorder="1" applyAlignment="1">
      <alignment horizontal="center" vertical="center"/>
    </xf>
    <xf numFmtId="0" fontId="61" fillId="33" borderId="1" xfId="0" applyFont="1" applyFill="1" applyBorder="1" applyAlignment="1">
      <alignment horizontal="left" vertical="center"/>
    </xf>
    <xf numFmtId="170" fontId="44" fillId="33" borderId="1" xfId="0" applyNumberFormat="1" applyFont="1" applyFill="1" applyBorder="1" applyAlignment="1">
      <alignment horizontal="left" vertical="center" wrapText="1"/>
    </xf>
    <xf numFmtId="170" fontId="222" fillId="33" borderId="1" xfId="0" applyNumberFormat="1" applyFont="1" applyFill="1" applyBorder="1" applyAlignment="1">
      <alignment horizontal="center" vertical="center"/>
    </xf>
    <xf numFmtId="167" fontId="72" fillId="33" borderId="1" xfId="0" applyNumberFormat="1" applyFont="1" applyFill="1" applyBorder="1" applyAlignment="1">
      <alignment horizontal="center" vertical="center"/>
    </xf>
    <xf numFmtId="170" fontId="118" fillId="33" borderId="1" xfId="0" applyNumberFormat="1" applyFont="1" applyFill="1" applyBorder="1" applyAlignment="1">
      <alignment horizontal="center" vertical="center"/>
    </xf>
    <xf numFmtId="2" fontId="148" fillId="33" borderId="1" xfId="0" applyNumberFormat="1" applyFont="1" applyFill="1" applyBorder="1" applyAlignment="1">
      <alignment horizontal="left" vertical="center" wrapText="1"/>
    </xf>
    <xf numFmtId="167" fontId="255" fillId="33" borderId="0" xfId="0" applyNumberFormat="1" applyFont="1" applyFill="1" applyAlignment="1">
      <alignment horizontal="center" vertical="center"/>
    </xf>
    <xf numFmtId="167" fontId="0" fillId="33" borderId="0" xfId="0" applyNumberFormat="1" applyFill="1"/>
    <xf numFmtId="0" fontId="0" fillId="33" borderId="0" xfId="0" applyFill="1"/>
    <xf numFmtId="2" fontId="0" fillId="33" borderId="0" xfId="0" applyNumberFormat="1" applyFill="1"/>
    <xf numFmtId="170" fontId="223" fillId="19" borderId="1" xfId="0" applyNumberFormat="1" applyFont="1" applyFill="1" applyBorder="1" applyAlignment="1">
      <alignment horizontal="center" vertical="center"/>
    </xf>
    <xf numFmtId="167" fontId="88" fillId="24" borderId="1" xfId="0" applyNumberFormat="1" applyFont="1" applyFill="1" applyBorder="1" applyAlignment="1">
      <alignment horizontal="center" vertical="center"/>
    </xf>
    <xf numFmtId="0" fontId="103" fillId="33" borderId="1" xfId="0" applyFont="1" applyFill="1" applyBorder="1" applyAlignment="1">
      <alignment horizontal="center" vertical="center"/>
    </xf>
    <xf numFmtId="0" fontId="63" fillId="33" borderId="1" xfId="0" applyFont="1" applyFill="1" applyBorder="1" applyAlignment="1">
      <alignment horizontal="left" vertical="center"/>
    </xf>
    <xf numFmtId="170" fontId="224" fillId="33" borderId="1" xfId="0" applyNumberFormat="1" applyFont="1" applyFill="1" applyBorder="1" applyAlignment="1">
      <alignment horizontal="center" vertical="center"/>
    </xf>
    <xf numFmtId="167" fontId="73" fillId="33" borderId="1" xfId="0" applyNumberFormat="1" applyFont="1" applyFill="1" applyBorder="1" applyAlignment="1">
      <alignment horizontal="center" vertical="center"/>
    </xf>
    <xf numFmtId="170" fontId="225" fillId="37" borderId="1" xfId="0" applyNumberFormat="1" applyFont="1" applyFill="1" applyBorder="1" applyAlignment="1">
      <alignment horizontal="center" vertical="center"/>
    </xf>
    <xf numFmtId="167" fontId="76" fillId="24" borderId="1" xfId="0" applyNumberFormat="1" applyFont="1" applyFill="1" applyBorder="1" applyAlignment="1">
      <alignment horizontal="center" vertical="center"/>
    </xf>
    <xf numFmtId="0" fontId="104" fillId="33" borderId="1" xfId="0" applyFont="1" applyFill="1" applyBorder="1" applyAlignment="1">
      <alignment horizontal="center" vertical="center"/>
    </xf>
    <xf numFmtId="0" fontId="60" fillId="33" borderId="1" xfId="0" applyFont="1" applyFill="1" applyBorder="1" applyAlignment="1">
      <alignment horizontal="left" vertical="center"/>
    </xf>
    <xf numFmtId="170" fontId="226" fillId="33" borderId="1" xfId="0" applyNumberFormat="1" applyFont="1" applyFill="1" applyBorder="1" applyAlignment="1">
      <alignment horizontal="center" vertical="center"/>
    </xf>
    <xf numFmtId="167" fontId="48" fillId="33" borderId="1" xfId="0" applyNumberFormat="1" applyFont="1" applyFill="1" applyBorder="1" applyAlignment="1">
      <alignment horizontal="center" vertical="center"/>
    </xf>
    <xf numFmtId="170" fontId="227" fillId="43" borderId="1" xfId="0" applyNumberFormat="1" applyFont="1" applyFill="1" applyBorder="1" applyAlignment="1">
      <alignment horizontal="center" vertical="center"/>
    </xf>
    <xf numFmtId="167" fontId="293" fillId="24" borderId="1" xfId="0" applyNumberFormat="1" applyFont="1" applyFill="1" applyBorder="1" applyAlignment="1">
      <alignment horizontal="center" vertical="center"/>
    </xf>
    <xf numFmtId="0" fontId="109" fillId="33" borderId="1" xfId="0" applyFont="1" applyFill="1" applyBorder="1" applyAlignment="1">
      <alignment horizontal="center" vertical="center"/>
    </xf>
    <xf numFmtId="0" fontId="144" fillId="33" borderId="1" xfId="0" applyFont="1" applyFill="1" applyBorder="1" applyAlignment="1">
      <alignment horizontal="left" vertical="center"/>
    </xf>
    <xf numFmtId="170" fontId="299" fillId="33" borderId="1" xfId="0" applyNumberFormat="1" applyFont="1" applyFill="1" applyBorder="1" applyAlignment="1">
      <alignment horizontal="center" vertical="center"/>
    </xf>
    <xf numFmtId="167" fontId="110" fillId="33" borderId="1" xfId="0" applyNumberFormat="1" applyFont="1" applyFill="1" applyBorder="1" applyAlignment="1">
      <alignment horizontal="center" vertical="center"/>
    </xf>
    <xf numFmtId="170" fontId="220" fillId="38" borderId="1" xfId="0" applyNumberFormat="1" applyFont="1" applyFill="1" applyBorder="1" applyAlignment="1">
      <alignment horizontal="center" vertical="center"/>
    </xf>
    <xf numFmtId="170" fontId="229" fillId="23" borderId="1" xfId="0" applyNumberFormat="1" applyFont="1" applyFill="1" applyBorder="1" applyAlignment="1">
      <alignment horizontal="center" vertical="center"/>
    </xf>
    <xf numFmtId="167" fontId="136" fillId="24" borderId="1" xfId="0" applyNumberFormat="1" applyFont="1" applyFill="1" applyBorder="1" applyAlignment="1">
      <alignment horizontal="center" vertical="center"/>
    </xf>
    <xf numFmtId="0" fontId="45" fillId="33" borderId="1" xfId="0" applyFont="1" applyFill="1" applyBorder="1" applyAlignment="1">
      <alignment horizontal="center" vertical="center"/>
    </xf>
    <xf numFmtId="0" fontId="65" fillId="33" borderId="1" xfId="0" applyFont="1" applyFill="1" applyBorder="1" applyAlignment="1">
      <alignment horizontal="left" vertical="center"/>
    </xf>
    <xf numFmtId="170" fontId="230" fillId="33" borderId="1" xfId="0" applyNumberFormat="1" applyFont="1" applyFill="1" applyBorder="1" applyAlignment="1">
      <alignment horizontal="center" vertical="center"/>
    </xf>
    <xf numFmtId="167" fontId="75" fillId="33" borderId="1" xfId="0" applyNumberFormat="1" applyFont="1" applyFill="1" applyBorder="1" applyAlignment="1">
      <alignment horizontal="center" vertical="center"/>
    </xf>
    <xf numFmtId="170" fontId="278" fillId="27" borderId="1" xfId="0" applyNumberFormat="1" applyFont="1" applyFill="1" applyBorder="1" applyAlignment="1">
      <alignment horizontal="center" vertical="center"/>
    </xf>
    <xf numFmtId="0" fontId="300" fillId="70" borderId="0" xfId="0" applyFont="1" applyFill="1" applyAlignment="1">
      <alignment horizontal="center" vertical="center"/>
    </xf>
    <xf numFmtId="0" fontId="290" fillId="0" borderId="0" xfId="0" applyFont="1" applyAlignment="1">
      <alignment horizontal="center" vertical="center"/>
    </xf>
    <xf numFmtId="166" fontId="290" fillId="0" borderId="0" xfId="0" applyNumberFormat="1" applyFont="1" applyAlignment="1">
      <alignment horizontal="center" vertical="center"/>
    </xf>
    <xf numFmtId="167" fontId="290" fillId="0" borderId="0" xfId="0" applyNumberFormat="1" applyFont="1" applyAlignment="1">
      <alignment horizontal="center" vertical="center"/>
    </xf>
    <xf numFmtId="0" fontId="288" fillId="0" borderId="0" xfId="0" applyFont="1" applyAlignment="1">
      <alignment horizontal="left" vertical="center"/>
    </xf>
    <xf numFmtId="0" fontId="301" fillId="0" borderId="0" xfId="0" applyFont="1"/>
    <xf numFmtId="170" fontId="301" fillId="0" borderId="0" xfId="0" applyNumberFormat="1" applyFont="1"/>
    <xf numFmtId="0" fontId="302" fillId="58" borderId="5" xfId="0" applyFont="1" applyFill="1" applyBorder="1"/>
    <xf numFmtId="0" fontId="302" fillId="60" borderId="5" xfId="0" applyFont="1" applyFill="1" applyBorder="1"/>
    <xf numFmtId="0" fontId="252" fillId="32" borderId="1" xfId="0" applyFont="1" applyFill="1" applyBorder="1" applyAlignment="1">
      <alignment horizontal="left" vertical="center" wrapText="1"/>
    </xf>
    <xf numFmtId="0" fontId="194" fillId="29" borderId="5" xfId="0" applyFont="1" applyFill="1" applyBorder="1"/>
    <xf numFmtId="0" fontId="303" fillId="29" borderId="5" xfId="0" applyFont="1" applyFill="1" applyBorder="1"/>
    <xf numFmtId="0" fontId="304" fillId="24" borderId="1" xfId="0" applyFont="1" applyFill="1" applyBorder="1" applyAlignment="1">
      <alignment horizontal="left" vertical="center"/>
    </xf>
    <xf numFmtId="0" fontId="84" fillId="24" borderId="1" xfId="0" applyFont="1" applyFill="1" applyBorder="1" applyAlignment="1">
      <alignment horizontal="left" vertical="center"/>
    </xf>
    <xf numFmtId="0" fontId="213" fillId="24" borderId="1" xfId="0" applyFont="1" applyFill="1" applyBorder="1" applyAlignment="1">
      <alignment horizontal="left" vertical="center"/>
    </xf>
    <xf numFmtId="171" fontId="88" fillId="7" borderId="1" xfId="0" applyNumberFormat="1" applyFont="1" applyFill="1" applyBorder="1" applyAlignment="1">
      <alignment horizontal="center" vertical="center"/>
    </xf>
    <xf numFmtId="0" fontId="252" fillId="24" borderId="1" xfId="0" applyFont="1" applyFill="1" applyBorder="1" applyAlignment="1">
      <alignment horizontal="left" vertical="center" wrapText="1"/>
    </xf>
    <xf numFmtId="170" fontId="222" fillId="18" borderId="1" xfId="0" applyNumberFormat="1" applyFont="1" applyFill="1" applyBorder="1" applyAlignment="1">
      <alignment horizontal="center" vertical="center"/>
    </xf>
    <xf numFmtId="0" fontId="304" fillId="25" borderId="1" xfId="0" applyFont="1" applyFill="1" applyBorder="1" applyAlignment="1">
      <alignment horizontal="left" vertical="center"/>
    </xf>
    <xf numFmtId="0" fontId="84" fillId="25" borderId="1" xfId="0" applyFont="1" applyFill="1" applyBorder="1" applyAlignment="1">
      <alignment horizontal="left" vertical="center"/>
    </xf>
    <xf numFmtId="0" fontId="213" fillId="25" borderId="1" xfId="0" applyFont="1" applyFill="1" applyBorder="1" applyAlignment="1">
      <alignment horizontal="left" vertical="center"/>
    </xf>
    <xf numFmtId="171" fontId="88" fillId="19" borderId="1" xfId="0" applyNumberFormat="1" applyFont="1" applyFill="1" applyBorder="1" applyAlignment="1">
      <alignment horizontal="center" vertical="center"/>
    </xf>
    <xf numFmtId="0" fontId="252" fillId="25" borderId="1" xfId="0" applyFont="1" applyFill="1" applyBorder="1" applyAlignment="1">
      <alignment horizontal="left" vertical="center" wrapText="1"/>
    </xf>
    <xf numFmtId="170" fontId="224" fillId="35" borderId="1" xfId="0" applyNumberFormat="1" applyFont="1" applyFill="1" applyBorder="1" applyAlignment="1">
      <alignment horizontal="center" vertical="center"/>
    </xf>
    <xf numFmtId="170" fontId="226" fillId="8" borderId="1" xfId="0" applyNumberFormat="1" applyFont="1" applyFill="1" applyBorder="1" applyAlignment="1">
      <alignment horizontal="center" vertical="center"/>
    </xf>
    <xf numFmtId="0" fontId="305" fillId="45" borderId="1" xfId="0" applyFont="1" applyFill="1" applyBorder="1" applyAlignment="1">
      <alignment horizontal="center" vertical="center"/>
    </xf>
    <xf numFmtId="170" fontId="299" fillId="45" borderId="1" xfId="0" applyNumberFormat="1" applyFont="1" applyFill="1" applyBorder="1" applyAlignment="1">
      <alignment horizontal="center" vertical="center"/>
    </xf>
    <xf numFmtId="170" fontId="222" fillId="36" borderId="1" xfId="0" applyNumberFormat="1" applyFont="1" applyFill="1" applyBorder="1" applyAlignment="1">
      <alignment horizontal="center" vertical="center"/>
    </xf>
    <xf numFmtId="170" fontId="230" fillId="49" borderId="1" xfId="0" applyNumberFormat="1" applyFont="1" applyFill="1" applyBorder="1" applyAlignment="1">
      <alignment horizontal="center" vertical="center"/>
    </xf>
    <xf numFmtId="0" fontId="306" fillId="31" borderId="1" xfId="0" applyFont="1" applyFill="1" applyBorder="1" applyAlignment="1">
      <alignment horizontal="right" vertical="center"/>
    </xf>
    <xf numFmtId="0" fontId="307" fillId="70" borderId="11" xfId="0" applyFont="1" applyFill="1" applyBorder="1" applyAlignment="1">
      <alignment horizontal="center" vertical="center"/>
    </xf>
    <xf numFmtId="170" fontId="308" fillId="15" borderId="1" xfId="0" applyNumberFormat="1" applyFont="1" applyFill="1" applyBorder="1" applyAlignment="1">
      <alignment horizontal="center" vertical="center"/>
    </xf>
    <xf numFmtId="170" fontId="123" fillId="25" borderId="1" xfId="0" applyNumberFormat="1" applyFont="1" applyFill="1" applyBorder="1" applyAlignment="1">
      <alignment horizontal="center" vertical="center"/>
    </xf>
    <xf numFmtId="0" fontId="309" fillId="44" borderId="1" xfId="0" applyFont="1" applyFill="1" applyBorder="1" applyAlignment="1">
      <alignment horizontal="center" vertical="center"/>
    </xf>
    <xf numFmtId="0" fontId="310" fillId="25" borderId="1" xfId="0" applyFont="1" applyFill="1" applyBorder="1" applyAlignment="1">
      <alignment horizontal="center" vertical="center"/>
    </xf>
    <xf numFmtId="0" fontId="0" fillId="25" borderId="1" xfId="0" applyFill="1" applyBorder="1"/>
    <xf numFmtId="170" fontId="123" fillId="24" borderId="1" xfId="0" applyNumberFormat="1" applyFont="1" applyFill="1" applyBorder="1" applyAlignment="1">
      <alignment horizontal="center" vertical="center"/>
    </xf>
    <xf numFmtId="0" fontId="310" fillId="24" borderId="1" xfId="0" applyFont="1" applyFill="1" applyBorder="1" applyAlignment="1">
      <alignment horizontal="center" vertical="center"/>
    </xf>
    <xf numFmtId="0" fontId="43" fillId="18" borderId="1" xfId="0" applyFont="1" applyFill="1" applyBorder="1" applyAlignment="1">
      <alignment horizontal="center" vertical="center"/>
    </xf>
    <xf numFmtId="0" fontId="111" fillId="45" borderId="1" xfId="0" applyFont="1" applyFill="1" applyBorder="1" applyAlignment="1">
      <alignment horizontal="center" vertical="center"/>
    </xf>
    <xf numFmtId="167" fontId="185" fillId="60" borderId="5" xfId="0" applyNumberFormat="1" applyFont="1" applyFill="1" applyBorder="1" applyAlignment="1">
      <alignment horizontal="center" vertical="center"/>
    </xf>
    <xf numFmtId="167" fontId="203" fillId="60" borderId="5" xfId="0" applyNumberFormat="1" applyFont="1" applyFill="1" applyBorder="1" applyAlignment="1">
      <alignment horizontal="center" vertical="center"/>
    </xf>
    <xf numFmtId="0" fontId="200" fillId="60" borderId="5" xfId="0" applyFont="1" applyFill="1" applyBorder="1" applyAlignment="1">
      <alignment horizontal="left" vertical="center"/>
    </xf>
    <xf numFmtId="167" fontId="185" fillId="58" borderId="5" xfId="0" applyNumberFormat="1" applyFont="1" applyFill="1" applyBorder="1" applyAlignment="1">
      <alignment horizontal="center" vertical="center"/>
    </xf>
    <xf numFmtId="167" fontId="203" fillId="58" borderId="5" xfId="0" applyNumberFormat="1" applyFont="1" applyFill="1" applyBorder="1" applyAlignment="1">
      <alignment horizontal="center" vertical="center"/>
    </xf>
    <xf numFmtId="0" fontId="200" fillId="58" borderId="5" xfId="0" applyFont="1" applyFill="1" applyBorder="1" applyAlignment="1">
      <alignment horizontal="left" vertical="center"/>
    </xf>
    <xf numFmtId="0" fontId="184" fillId="60" borderId="5" xfId="0" applyFont="1" applyFill="1" applyBorder="1" applyAlignment="1">
      <alignment horizontal="left" vertical="center" wrapText="1"/>
    </xf>
    <xf numFmtId="167" fontId="202" fillId="60" borderId="5" xfId="0" applyNumberFormat="1" applyFont="1" applyFill="1" applyBorder="1" applyAlignment="1">
      <alignment horizontal="center" vertical="center"/>
    </xf>
    <xf numFmtId="0" fontId="190" fillId="60" borderId="5" xfId="0" applyFont="1" applyFill="1" applyBorder="1" applyAlignment="1">
      <alignment horizontal="center" vertical="center"/>
    </xf>
    <xf numFmtId="0" fontId="184" fillId="58" borderId="5" xfId="0" applyFont="1" applyFill="1" applyBorder="1" applyAlignment="1">
      <alignment horizontal="left" vertical="center" wrapText="1"/>
    </xf>
    <xf numFmtId="167" fontId="202" fillId="58" borderId="5" xfId="0" applyNumberFormat="1" applyFont="1" applyFill="1" applyBorder="1" applyAlignment="1">
      <alignment horizontal="center" vertical="center"/>
    </xf>
    <xf numFmtId="0" fontId="190" fillId="58" borderId="5" xfId="0" applyFont="1" applyFill="1" applyBorder="1" applyAlignment="1">
      <alignment horizontal="center" vertical="center"/>
    </xf>
    <xf numFmtId="0" fontId="204" fillId="29" borderId="5" xfId="0" applyFont="1" applyFill="1" applyBorder="1" applyAlignment="1">
      <alignment horizontal="center" vertical="center"/>
    </xf>
    <xf numFmtId="0" fontId="192" fillId="29" borderId="5" xfId="0" applyFont="1" applyFill="1" applyBorder="1" applyAlignment="1">
      <alignment horizontal="center" vertical="center"/>
    </xf>
    <xf numFmtId="167" fontId="311" fillId="60" borderId="5" xfId="0" applyNumberFormat="1" applyFont="1" applyFill="1" applyBorder="1" applyAlignment="1">
      <alignment horizontal="center" vertical="center"/>
    </xf>
    <xf numFmtId="0" fontId="294" fillId="60" borderId="5" xfId="0" applyFont="1" applyFill="1" applyBorder="1" applyAlignment="1">
      <alignment horizontal="left" vertical="center"/>
    </xf>
    <xf numFmtId="167" fontId="313" fillId="60" borderId="5" xfId="0" applyNumberFormat="1" applyFont="1" applyFill="1" applyBorder="1" applyAlignment="1">
      <alignment horizontal="center" vertical="center"/>
    </xf>
    <xf numFmtId="0" fontId="202" fillId="60" borderId="5" xfId="0" applyFont="1" applyFill="1" applyBorder="1" applyAlignment="1">
      <alignment horizontal="left" vertical="center"/>
    </xf>
    <xf numFmtId="167" fontId="311" fillId="58" borderId="5" xfId="0" applyNumberFormat="1" applyFont="1" applyFill="1" applyBorder="1" applyAlignment="1">
      <alignment horizontal="center" vertical="center"/>
    </xf>
    <xf numFmtId="0" fontId="294" fillId="58" borderId="5" xfId="0" applyFont="1" applyFill="1" applyBorder="1" applyAlignment="1">
      <alignment horizontal="left" vertical="center"/>
    </xf>
    <xf numFmtId="167" fontId="313" fillId="58" borderId="5" xfId="0" applyNumberFormat="1" applyFont="1" applyFill="1" applyBorder="1" applyAlignment="1">
      <alignment horizontal="center" vertical="center"/>
    </xf>
    <xf numFmtId="0" fontId="202" fillId="58" borderId="5" xfId="0" applyFont="1" applyFill="1" applyBorder="1" applyAlignment="1">
      <alignment horizontal="left" vertical="center"/>
    </xf>
    <xf numFmtId="167" fontId="187" fillId="58" borderId="5" xfId="0" applyNumberFormat="1" applyFont="1" applyFill="1" applyBorder="1" applyAlignment="1">
      <alignment horizontal="center" vertical="center"/>
    </xf>
    <xf numFmtId="167" fontId="187" fillId="60" borderId="5" xfId="0" applyNumberFormat="1" applyFont="1" applyFill="1" applyBorder="1" applyAlignment="1">
      <alignment horizontal="center" vertical="center"/>
    </xf>
    <xf numFmtId="15" fontId="193" fillId="58" borderId="5" xfId="0" applyNumberFormat="1" applyFont="1" applyFill="1" applyBorder="1" applyAlignment="1">
      <alignment horizontal="left" vertical="center"/>
    </xf>
    <xf numFmtId="15" fontId="193" fillId="60" borderId="5" xfId="0" applyNumberFormat="1" applyFont="1" applyFill="1" applyBorder="1" applyAlignment="1">
      <alignment horizontal="left" vertical="center"/>
    </xf>
    <xf numFmtId="0" fontId="190" fillId="58" borderId="5" xfId="0" applyFont="1" applyFill="1" applyBorder="1" applyAlignment="1">
      <alignment horizontal="left" vertical="center"/>
    </xf>
    <xf numFmtId="0" fontId="190" fillId="60" borderId="5" xfId="0" applyFont="1" applyFill="1" applyBorder="1" applyAlignment="1">
      <alignment horizontal="left" vertical="center"/>
    </xf>
    <xf numFmtId="0" fontId="314" fillId="58" borderId="5" xfId="0" applyFont="1" applyFill="1" applyBorder="1" applyAlignment="1">
      <alignment horizontal="left" vertical="center" wrapText="1"/>
    </xf>
    <xf numFmtId="0" fontId="314" fillId="60" borderId="5" xfId="0" applyFont="1" applyFill="1" applyBorder="1" applyAlignment="1">
      <alignment horizontal="left" vertical="center" wrapText="1"/>
    </xf>
    <xf numFmtId="0" fontId="313" fillId="58" borderId="5" xfId="0" applyFont="1" applyFill="1" applyBorder="1" applyAlignment="1">
      <alignment horizontal="left" vertical="center"/>
    </xf>
    <xf numFmtId="0" fontId="313" fillId="60" borderId="5" xfId="0" applyFont="1" applyFill="1" applyBorder="1" applyAlignment="1">
      <alignment horizontal="left" vertical="center"/>
    </xf>
    <xf numFmtId="0" fontId="276" fillId="58" borderId="5" xfId="0" applyFont="1" applyFill="1" applyBorder="1" applyAlignment="1">
      <alignment horizontal="center" vertical="center"/>
    </xf>
    <xf numFmtId="0" fontId="276" fillId="60" borderId="5" xfId="0" applyFont="1" applyFill="1" applyBorder="1" applyAlignment="1">
      <alignment horizontal="center" vertical="center"/>
    </xf>
    <xf numFmtId="0" fontId="211" fillId="58" borderId="5" xfId="0" applyFont="1" applyFill="1" applyBorder="1"/>
    <xf numFmtId="0" fontId="211" fillId="60" borderId="5" xfId="0" applyFont="1" applyFill="1" applyBorder="1"/>
    <xf numFmtId="0" fontId="202" fillId="58" borderId="5" xfId="0" applyFont="1" applyFill="1" applyBorder="1"/>
    <xf numFmtId="0" fontId="202" fillId="60" borderId="5" xfId="0" applyFont="1" applyFill="1" applyBorder="1"/>
    <xf numFmtId="0" fontId="192" fillId="61" borderId="0" xfId="0" applyFont="1" applyFill="1" applyAlignment="1">
      <alignment horizontal="left" vertical="center"/>
    </xf>
    <xf numFmtId="0" fontId="185" fillId="59" borderId="5" xfId="0" applyFont="1" applyFill="1" applyBorder="1" applyAlignment="1">
      <alignment horizontal="left" vertical="center"/>
    </xf>
    <xf numFmtId="167" fontId="294" fillId="59" borderId="5" xfId="0" applyNumberFormat="1" applyFont="1" applyFill="1" applyBorder="1" applyAlignment="1">
      <alignment horizontal="center" vertical="center"/>
    </xf>
    <xf numFmtId="167" fontId="202" fillId="59" borderId="5" xfId="0" applyNumberFormat="1" applyFont="1" applyFill="1" applyBorder="1" applyAlignment="1">
      <alignment horizontal="center" vertical="center"/>
    </xf>
    <xf numFmtId="0" fontId="206" fillId="59" borderId="5" xfId="0" applyFont="1" applyFill="1" applyBorder="1" applyAlignment="1">
      <alignment horizontal="left" vertical="center" wrapText="1"/>
    </xf>
    <xf numFmtId="0" fontId="186" fillId="59" borderId="5" xfId="0" applyFont="1" applyFill="1" applyBorder="1" applyAlignment="1">
      <alignment horizontal="left" vertical="center" wrapText="1"/>
    </xf>
    <xf numFmtId="0" fontId="193" fillId="59" borderId="5" xfId="0" applyFont="1" applyFill="1" applyBorder="1" applyAlignment="1">
      <alignment vertical="top" wrapText="1"/>
    </xf>
    <xf numFmtId="167" fontId="294" fillId="61" borderId="5" xfId="0" applyNumberFormat="1" applyFont="1" applyFill="1" applyBorder="1" applyAlignment="1">
      <alignment horizontal="center" vertical="center"/>
    </xf>
    <xf numFmtId="167" fontId="202" fillId="61" borderId="5" xfId="0" applyNumberFormat="1" applyFont="1" applyFill="1" applyBorder="1" applyAlignment="1">
      <alignment horizontal="center" vertical="center"/>
    </xf>
    <xf numFmtId="0" fontId="206" fillId="61" borderId="5" xfId="0" applyFont="1" applyFill="1" applyBorder="1" applyAlignment="1">
      <alignment horizontal="left" vertical="center" wrapText="1"/>
    </xf>
    <xf numFmtId="0" fontId="186" fillId="61" borderId="5" xfId="0" applyFont="1" applyFill="1" applyBorder="1" applyAlignment="1">
      <alignment horizontal="left" vertical="center" wrapText="1"/>
    </xf>
    <xf numFmtId="0" fontId="193" fillId="61" borderId="5" xfId="0" applyFont="1" applyFill="1" applyBorder="1" applyAlignment="1">
      <alignment vertical="top" wrapText="1"/>
    </xf>
    <xf numFmtId="0" fontId="205" fillId="58" borderId="5" xfId="0" applyFont="1" applyFill="1" applyBorder="1"/>
    <xf numFmtId="0" fontId="205" fillId="60" borderId="5" xfId="0" applyFont="1" applyFill="1" applyBorder="1"/>
    <xf numFmtId="0" fontId="205" fillId="58" borderId="5" xfId="0" applyFont="1" applyFill="1" applyBorder="1" applyAlignment="1">
      <alignment horizontal="left" vertical="center"/>
    </xf>
    <xf numFmtId="0" fontId="210" fillId="58" borderId="5" xfId="0" applyFont="1" applyFill="1" applyBorder="1" applyAlignment="1">
      <alignment horizontal="left" vertical="center"/>
    </xf>
    <xf numFmtId="0" fontId="205" fillId="60" borderId="5" xfId="0" applyFont="1" applyFill="1" applyBorder="1" applyAlignment="1">
      <alignment horizontal="left" vertical="center"/>
    </xf>
    <xf numFmtId="0" fontId="210" fillId="60" borderId="5" xfId="0" applyFont="1" applyFill="1" applyBorder="1" applyAlignment="1">
      <alignment horizontal="left" vertical="center"/>
    </xf>
    <xf numFmtId="0" fontId="4" fillId="67" borderId="1" xfId="0" applyFont="1" applyFill="1" applyBorder="1" applyAlignment="1">
      <alignment horizontal="center" vertical="center"/>
    </xf>
    <xf numFmtId="0" fontId="302" fillId="18" borderId="1" xfId="0" applyFont="1" applyFill="1" applyBorder="1" applyAlignment="1">
      <alignment horizontal="left" vertical="center"/>
    </xf>
    <xf numFmtId="0" fontId="172" fillId="18" borderId="1" xfId="0" applyFont="1" applyFill="1" applyBorder="1" applyAlignment="1">
      <alignment horizontal="left" vertical="center"/>
    </xf>
    <xf numFmtId="0" fontId="316" fillId="18" borderId="1" xfId="0" applyFont="1" applyFill="1" applyBorder="1" applyAlignment="1">
      <alignment horizontal="center" vertical="center"/>
    </xf>
    <xf numFmtId="0" fontId="172" fillId="18" borderId="1" xfId="0" applyFont="1" applyFill="1" applyBorder="1" applyAlignment="1">
      <alignment horizontal="center" vertical="center"/>
    </xf>
    <xf numFmtId="0" fontId="317" fillId="18" borderId="1" xfId="0" applyFont="1" applyFill="1" applyBorder="1" applyAlignment="1">
      <alignment horizontal="left" vertical="center"/>
    </xf>
    <xf numFmtId="0" fontId="318" fillId="0" borderId="0" xfId="0" applyFont="1"/>
    <xf numFmtId="0" fontId="319" fillId="0" borderId="0" xfId="0" applyFont="1"/>
    <xf numFmtId="0" fontId="302" fillId="3" borderId="1" xfId="0" applyFont="1" applyFill="1" applyBorder="1" applyAlignment="1">
      <alignment horizontal="left" vertical="center"/>
    </xf>
    <xf numFmtId="0" fontId="53" fillId="3" borderId="1" xfId="0" applyFont="1" applyFill="1" applyBorder="1" applyAlignment="1">
      <alignment horizontal="left" vertical="center"/>
    </xf>
    <xf numFmtId="0" fontId="316" fillId="3" borderId="1" xfId="0" applyFont="1" applyFill="1" applyBorder="1" applyAlignment="1">
      <alignment horizontal="center" vertical="center"/>
    </xf>
    <xf numFmtId="0" fontId="53" fillId="3" borderId="1" xfId="0" applyFont="1" applyFill="1" applyBorder="1" applyAlignment="1">
      <alignment horizontal="center" vertical="center"/>
    </xf>
    <xf numFmtId="0" fontId="317" fillId="3" borderId="1" xfId="0" applyFont="1" applyFill="1" applyBorder="1" applyAlignment="1">
      <alignment horizontal="left" vertical="center"/>
    </xf>
    <xf numFmtId="0" fontId="302" fillId="8" borderId="1" xfId="0" applyFont="1" applyFill="1" applyBorder="1" applyAlignment="1">
      <alignment horizontal="left" vertical="center"/>
    </xf>
    <xf numFmtId="0" fontId="320" fillId="8" borderId="1" xfId="0" applyFont="1" applyFill="1" applyBorder="1" applyAlignment="1">
      <alignment horizontal="left" vertical="center"/>
    </xf>
    <xf numFmtId="0" fontId="316" fillId="8" borderId="1" xfId="0" applyFont="1" applyFill="1" applyBorder="1" applyAlignment="1">
      <alignment horizontal="center" vertical="center"/>
    </xf>
    <xf numFmtId="0" fontId="320" fillId="8" borderId="1" xfId="0" applyFont="1" applyFill="1" applyBorder="1" applyAlignment="1">
      <alignment horizontal="center" vertical="center"/>
    </xf>
    <xf numFmtId="0" fontId="317" fillId="8" borderId="1" xfId="0" applyFont="1" applyFill="1" applyBorder="1" applyAlignment="1">
      <alignment horizontal="left" vertical="center"/>
    </xf>
    <xf numFmtId="0" fontId="284" fillId="8" borderId="1" xfId="0" applyFont="1" applyFill="1" applyBorder="1" applyAlignment="1">
      <alignment horizontal="left" vertical="center"/>
    </xf>
    <xf numFmtId="0" fontId="284" fillId="8" borderId="1" xfId="0" applyFont="1" applyFill="1" applyBorder="1" applyAlignment="1">
      <alignment horizontal="center" vertical="center"/>
    </xf>
    <xf numFmtId="0" fontId="279" fillId="26" borderId="1" xfId="0" applyFont="1" applyFill="1" applyBorder="1" applyAlignment="1">
      <alignment horizontal="left" vertical="center"/>
    </xf>
    <xf numFmtId="0" fontId="316" fillId="26" borderId="1" xfId="0" applyFont="1" applyFill="1" applyBorder="1" applyAlignment="1">
      <alignment horizontal="center" vertical="center"/>
    </xf>
    <xf numFmtId="0" fontId="279" fillId="26" borderId="1" xfId="0" applyFont="1" applyFill="1" applyBorder="1" applyAlignment="1">
      <alignment horizontal="center" vertical="center"/>
    </xf>
    <xf numFmtId="0" fontId="317" fillId="26" borderId="1" xfId="0" applyFont="1" applyFill="1" applyBorder="1" applyAlignment="1">
      <alignment horizontal="left" vertical="center"/>
    </xf>
    <xf numFmtId="0" fontId="253" fillId="0" borderId="0" xfId="0" applyFont="1"/>
    <xf numFmtId="0" fontId="302" fillId="0" borderId="0" xfId="0" applyFont="1"/>
    <xf numFmtId="0" fontId="316" fillId="0" borderId="0" xfId="0" applyFont="1"/>
    <xf numFmtId="0" fontId="317" fillId="0" borderId="0" xfId="0" applyFont="1"/>
    <xf numFmtId="0" fontId="253" fillId="18" borderId="1" xfId="0" applyFont="1" applyFill="1" applyBorder="1" applyAlignment="1">
      <alignment horizontal="center" vertical="center"/>
    </xf>
    <xf numFmtId="0" fontId="254" fillId="18" borderId="1" xfId="0" applyFont="1" applyFill="1" applyBorder="1" applyAlignment="1">
      <alignment horizontal="left" vertical="center"/>
    </xf>
    <xf numFmtId="0" fontId="290" fillId="18" borderId="1" xfId="0" applyFont="1" applyFill="1" applyBorder="1" applyAlignment="1">
      <alignment horizontal="left" vertical="center"/>
    </xf>
    <xf numFmtId="0" fontId="321" fillId="0" borderId="0" xfId="0" applyFont="1"/>
    <xf numFmtId="0" fontId="304" fillId="28" borderId="1" xfId="0" applyFont="1" applyFill="1" applyBorder="1" applyAlignment="1">
      <alignment horizontal="left" vertical="center"/>
    </xf>
    <xf numFmtId="0" fontId="304" fillId="28" borderId="1" xfId="0" applyFont="1" applyFill="1" applyBorder="1" applyAlignment="1">
      <alignment horizontal="center" vertical="center"/>
    </xf>
    <xf numFmtId="0" fontId="322" fillId="19" borderId="1" xfId="0" applyFont="1" applyFill="1" applyBorder="1" applyAlignment="1">
      <alignment horizontal="left" vertical="center"/>
    </xf>
    <xf numFmtId="0" fontId="322" fillId="19" borderId="1" xfId="0" applyFont="1" applyFill="1" applyBorder="1" applyAlignment="1">
      <alignment horizontal="center" vertical="center"/>
    </xf>
    <xf numFmtId="0" fontId="21" fillId="54" borderId="1" xfId="0" applyFont="1" applyFill="1" applyBorder="1" applyAlignment="1">
      <alignment horizontal="center" vertical="center"/>
    </xf>
    <xf numFmtId="0" fontId="51" fillId="54" borderId="1" xfId="0" applyFont="1" applyFill="1" applyBorder="1" applyAlignment="1">
      <alignment horizontal="left" vertical="center"/>
    </xf>
    <xf numFmtId="0" fontId="21" fillId="54" borderId="1" xfId="0" applyFont="1" applyFill="1" applyBorder="1" applyAlignment="1">
      <alignment horizontal="left" vertical="center"/>
    </xf>
    <xf numFmtId="0" fontId="51" fillId="54" borderId="1" xfId="0" applyFont="1" applyFill="1" applyBorder="1" applyAlignment="1">
      <alignment horizontal="center" vertical="center"/>
    </xf>
    <xf numFmtId="0" fontId="67" fillId="8" borderId="1" xfId="0" applyFont="1" applyFill="1" applyBorder="1" applyAlignment="1">
      <alignment horizontal="left" vertical="center"/>
    </xf>
    <xf numFmtId="0" fontId="253" fillId="68" borderId="0" xfId="0" applyFont="1" applyFill="1" applyAlignment="1">
      <alignment horizontal="left" vertical="center"/>
    </xf>
    <xf numFmtId="0" fontId="254" fillId="68" borderId="0" xfId="0" applyFont="1" applyFill="1" applyAlignment="1">
      <alignment horizontal="left" vertical="center"/>
    </xf>
    <xf numFmtId="0" fontId="325" fillId="68" borderId="0" xfId="0" applyFont="1" applyFill="1" applyAlignment="1">
      <alignment horizontal="left" vertical="center"/>
    </xf>
    <xf numFmtId="0" fontId="27" fillId="68" borderId="0" xfId="0" applyFont="1" applyFill="1" applyAlignment="1">
      <alignment horizontal="left" vertical="center"/>
    </xf>
    <xf numFmtId="0" fontId="318" fillId="68" borderId="0" xfId="0" applyFont="1" applyFill="1" applyAlignment="1">
      <alignment horizontal="left" vertical="center"/>
    </xf>
    <xf numFmtId="0" fontId="289" fillId="68" borderId="0" xfId="0" applyFont="1" applyFill="1" applyAlignment="1">
      <alignment horizontal="left" vertical="center" wrapText="1"/>
    </xf>
    <xf numFmtId="0" fontId="253" fillId="66" borderId="0" xfId="0" applyFont="1" applyFill="1" applyAlignment="1">
      <alignment horizontal="left" vertical="center"/>
    </xf>
    <xf numFmtId="0" fontId="254" fillId="66" borderId="0" xfId="0" applyFont="1" applyFill="1" applyAlignment="1">
      <alignment horizontal="left" vertical="center"/>
    </xf>
    <xf numFmtId="0" fontId="326" fillId="66" borderId="0" xfId="0" applyFont="1" applyFill="1" applyAlignment="1">
      <alignment horizontal="left" vertical="center"/>
    </xf>
    <xf numFmtId="0" fontId="256" fillId="66" borderId="0" xfId="0" applyFont="1" applyFill="1" applyAlignment="1">
      <alignment horizontal="left" vertical="center"/>
    </xf>
    <xf numFmtId="0" fontId="319" fillId="66" borderId="0" xfId="0" applyFont="1" applyFill="1" applyAlignment="1">
      <alignment horizontal="left" vertical="center"/>
    </xf>
    <xf numFmtId="0" fontId="289" fillId="66" borderId="0" xfId="0" applyFont="1" applyFill="1" applyAlignment="1">
      <alignment horizontal="left" vertical="center" wrapText="1"/>
    </xf>
    <xf numFmtId="0" fontId="319" fillId="68" borderId="0" xfId="0" applyFont="1" applyFill="1" applyAlignment="1">
      <alignment horizontal="left" vertical="center"/>
    </xf>
    <xf numFmtId="0" fontId="326" fillId="68" borderId="0" xfId="0" applyFont="1" applyFill="1" applyAlignment="1">
      <alignment horizontal="left" vertical="center"/>
    </xf>
    <xf numFmtId="0" fontId="256" fillId="68" borderId="0" xfId="0" applyFont="1" applyFill="1" applyAlignment="1">
      <alignment horizontal="left" vertical="center"/>
    </xf>
    <xf numFmtId="0" fontId="325" fillId="66" borderId="0" xfId="0" applyFont="1" applyFill="1" applyAlignment="1">
      <alignment horizontal="left" vertical="center"/>
    </xf>
    <xf numFmtId="0" fontId="27" fillId="66" borderId="0" xfId="0" applyFont="1" applyFill="1" applyAlignment="1">
      <alignment horizontal="left" vertical="center"/>
    </xf>
    <xf numFmtId="0" fontId="288" fillId="66" borderId="0" xfId="0" applyFont="1" applyFill="1" applyAlignment="1">
      <alignment horizontal="left" vertical="center"/>
    </xf>
    <xf numFmtId="0" fontId="288" fillId="68" borderId="0" xfId="0" applyFont="1" applyFill="1" applyAlignment="1">
      <alignment horizontal="left" vertical="center"/>
    </xf>
    <xf numFmtId="0" fontId="321" fillId="66" borderId="0" xfId="0" applyFont="1" applyFill="1" applyAlignment="1">
      <alignment horizontal="left" vertical="center"/>
    </xf>
    <xf numFmtId="0" fontId="326" fillId="68" borderId="0" xfId="0" applyFont="1" applyFill="1"/>
    <xf numFmtId="0" fontId="316" fillId="68" borderId="0" xfId="0" applyFont="1" applyFill="1"/>
    <xf numFmtId="0" fontId="317" fillId="68" borderId="0" xfId="0" applyFont="1" applyFill="1"/>
    <xf numFmtId="0" fontId="319" fillId="68" borderId="0" xfId="0" applyFont="1" applyFill="1"/>
    <xf numFmtId="0" fontId="206" fillId="58" borderId="5" xfId="0" applyFont="1" applyFill="1" applyBorder="1" applyAlignment="1">
      <alignment horizontal="left" vertical="center" wrapText="1"/>
    </xf>
    <xf numFmtId="0" fontId="206" fillId="60" borderId="5" xfId="0" applyFont="1" applyFill="1" applyBorder="1" applyAlignment="1">
      <alignment horizontal="left" vertical="center" wrapText="1"/>
    </xf>
    <xf numFmtId="0" fontId="201" fillId="60" borderId="5" xfId="0" applyFont="1" applyFill="1" applyBorder="1" applyAlignment="1">
      <alignment horizontal="left" vertical="center"/>
    </xf>
    <xf numFmtId="0" fontId="253" fillId="70" borderId="1" xfId="0" applyFont="1" applyFill="1" applyBorder="1" applyAlignment="1">
      <alignment horizontal="left" vertical="center"/>
    </xf>
    <xf numFmtId="0" fontId="317" fillId="70" borderId="1" xfId="0" applyFont="1" applyFill="1" applyBorder="1" applyAlignment="1">
      <alignment horizontal="left" vertical="center"/>
    </xf>
    <xf numFmtId="0" fontId="256" fillId="70" borderId="1" xfId="0" applyFont="1" applyFill="1" applyBorder="1" applyAlignment="1">
      <alignment horizontal="left" vertical="center" wrapText="1"/>
    </xf>
    <xf numFmtId="0" fontId="253" fillId="68" borderId="1" xfId="0" applyFont="1" applyFill="1" applyBorder="1" applyAlignment="1">
      <alignment horizontal="left" vertical="center"/>
    </xf>
    <xf numFmtId="0" fontId="317" fillId="68" borderId="1" xfId="0" applyFont="1" applyFill="1" applyBorder="1" applyAlignment="1">
      <alignment horizontal="left" vertical="center"/>
    </xf>
    <xf numFmtId="0" fontId="256" fillId="68" borderId="1" xfId="0" applyFont="1" applyFill="1" applyBorder="1" applyAlignment="1">
      <alignment horizontal="left" vertical="center" wrapText="1"/>
    </xf>
    <xf numFmtId="0" fontId="253" fillId="70" borderId="0" xfId="0" applyFont="1" applyFill="1" applyAlignment="1">
      <alignment horizontal="left" vertical="center"/>
    </xf>
    <xf numFmtId="0" fontId="317" fillId="70" borderId="0" xfId="0" applyFont="1" applyFill="1" applyAlignment="1">
      <alignment horizontal="left" vertical="center"/>
    </xf>
    <xf numFmtId="0" fontId="256" fillId="70" borderId="0" xfId="0" applyFont="1" applyFill="1" applyAlignment="1">
      <alignment horizontal="left" vertical="center" wrapText="1"/>
    </xf>
    <xf numFmtId="0" fontId="317" fillId="68" borderId="0" xfId="0" applyFont="1" applyFill="1" applyAlignment="1">
      <alignment horizontal="left" vertical="center"/>
    </xf>
    <xf numFmtId="0" fontId="256" fillId="68" borderId="0" xfId="0" applyFont="1" applyFill="1" applyAlignment="1">
      <alignment horizontal="left" vertical="center" wrapText="1"/>
    </xf>
    <xf numFmtId="0" fontId="253" fillId="68" borderId="0" xfId="0" applyFont="1" applyFill="1" applyAlignment="1">
      <alignment horizontal="left" vertical="top"/>
    </xf>
    <xf numFmtId="0" fontId="256" fillId="68" borderId="0" xfId="0" applyFont="1" applyFill="1" applyAlignment="1">
      <alignment vertical="top" wrapText="1"/>
    </xf>
    <xf numFmtId="0" fontId="18" fillId="68" borderId="0" xfId="0" applyFont="1" applyFill="1"/>
    <xf numFmtId="0" fontId="253" fillId="70" borderId="0" xfId="0" applyFont="1" applyFill="1" applyAlignment="1">
      <alignment horizontal="left" vertical="top"/>
    </xf>
    <xf numFmtId="0" fontId="256" fillId="70" borderId="0" xfId="0" applyFont="1" applyFill="1" applyAlignment="1">
      <alignment vertical="top" wrapText="1"/>
    </xf>
    <xf numFmtId="0" fontId="18" fillId="70" borderId="0" xfId="0" applyFont="1" applyFill="1"/>
    <xf numFmtId="0" fontId="256" fillId="70" borderId="0" xfId="0" applyFont="1" applyFill="1" applyAlignment="1">
      <alignment horizontal="left" vertical="top" wrapText="1"/>
    </xf>
    <xf numFmtId="0" fontId="331" fillId="68" borderId="0" xfId="0" applyFont="1" applyFill="1" applyAlignment="1">
      <alignment horizontal="left" vertical="top"/>
    </xf>
    <xf numFmtId="0" fontId="256" fillId="68" borderId="0" xfId="0" applyFont="1" applyFill="1" applyAlignment="1">
      <alignment horizontal="left" vertical="top" wrapText="1"/>
    </xf>
    <xf numFmtId="0" fontId="331" fillId="0" borderId="0" xfId="0" applyFont="1"/>
    <xf numFmtId="0" fontId="331" fillId="70" borderId="0" xfId="0" applyFont="1" applyFill="1"/>
    <xf numFmtId="0" fontId="331" fillId="68" borderId="0" xfId="0" applyFont="1" applyFill="1"/>
    <xf numFmtId="0" fontId="332" fillId="61" borderId="5" xfId="0" applyFont="1" applyFill="1" applyBorder="1"/>
    <xf numFmtId="0" fontId="193" fillId="61" borderId="5" xfId="0" applyFont="1" applyFill="1" applyBorder="1"/>
    <xf numFmtId="0" fontId="181" fillId="61" borderId="5" xfId="0" applyFont="1" applyFill="1" applyBorder="1"/>
    <xf numFmtId="0" fontId="333" fillId="61" borderId="5" xfId="0" applyFont="1" applyFill="1" applyBorder="1"/>
    <xf numFmtId="0" fontId="208" fillId="61" borderId="5" xfId="0" applyFont="1" applyFill="1" applyBorder="1" applyAlignment="1">
      <alignment horizontal="center" vertical="center"/>
    </xf>
    <xf numFmtId="0" fontId="332" fillId="59" borderId="5" xfId="0" applyFont="1" applyFill="1" applyBorder="1"/>
    <xf numFmtId="0" fontId="193" fillId="59" borderId="5" xfId="0" applyFont="1" applyFill="1" applyBorder="1"/>
    <xf numFmtId="0" fontId="181" fillId="59" borderId="5" xfId="0" applyFont="1" applyFill="1" applyBorder="1"/>
    <xf numFmtId="0" fontId="333" fillId="59" borderId="5" xfId="0" applyFont="1" applyFill="1" applyBorder="1"/>
    <xf numFmtId="0" fontId="208" fillId="59" borderId="5" xfId="0" applyFont="1" applyFill="1" applyBorder="1" applyAlignment="1">
      <alignment horizontal="center" vertical="center"/>
    </xf>
    <xf numFmtId="0" fontId="273" fillId="59" borderId="5" xfId="0" applyFont="1" applyFill="1" applyBorder="1" applyAlignment="1">
      <alignment horizontal="left" vertical="center" wrapText="1"/>
    </xf>
    <xf numFmtId="0" fontId="273" fillId="61" borderId="5" xfId="0" applyFont="1" applyFill="1" applyBorder="1" applyAlignment="1">
      <alignment horizontal="left" vertical="center" wrapText="1"/>
    </xf>
    <xf numFmtId="0" fontId="196" fillId="61" borderId="5" xfId="0" applyFont="1" applyFill="1" applyBorder="1" applyAlignment="1">
      <alignment horizontal="center" vertical="center"/>
    </xf>
    <xf numFmtId="0" fontId="193" fillId="61" borderId="5" xfId="0" applyFont="1" applyFill="1" applyBorder="1" applyAlignment="1">
      <alignment horizontal="left" vertical="center"/>
    </xf>
    <xf numFmtId="170" fontId="205" fillId="61" borderId="5" xfId="0" applyNumberFormat="1" applyFont="1" applyFill="1" applyBorder="1" applyAlignment="1">
      <alignment horizontal="center" vertical="center"/>
    </xf>
    <xf numFmtId="0" fontId="196" fillId="59" borderId="5" xfId="0" applyFont="1" applyFill="1" applyBorder="1" applyAlignment="1">
      <alignment horizontal="center" vertical="center"/>
    </xf>
    <xf numFmtId="0" fontId="193" fillId="59" borderId="5" xfId="0" applyFont="1" applyFill="1" applyBorder="1" applyAlignment="1">
      <alignment horizontal="left" vertical="center"/>
    </xf>
    <xf numFmtId="170" fontId="205" fillId="59" borderId="5" xfId="0" applyNumberFormat="1" applyFont="1" applyFill="1" applyBorder="1" applyAlignment="1">
      <alignment horizontal="center" vertical="center"/>
    </xf>
    <xf numFmtId="0" fontId="185" fillId="0" borderId="0" xfId="0" applyFont="1"/>
    <xf numFmtId="0" fontId="193" fillId="0" borderId="0" xfId="0" applyFont="1" applyAlignment="1">
      <alignment horizontal="left" vertical="top" wrapText="1"/>
    </xf>
    <xf numFmtId="0" fontId="273" fillId="0" borderId="0" xfId="0" applyFont="1" applyAlignment="1">
      <alignment horizontal="left" vertical="top" wrapText="1"/>
    </xf>
    <xf numFmtId="0" fontId="17" fillId="12" borderId="0" xfId="0" applyFont="1" applyFill="1" applyAlignment="1">
      <alignment horizontal="center" vertical="center"/>
    </xf>
    <xf numFmtId="0" fontId="19" fillId="13" borderId="0" xfId="0" applyFont="1" applyFill="1" applyAlignment="1">
      <alignment horizontal="center" vertical="center"/>
    </xf>
    <xf numFmtId="0" fontId="20" fillId="14" borderId="0" xfId="0" applyFont="1" applyFill="1" applyAlignment="1">
      <alignment horizontal="center" vertical="center"/>
    </xf>
    <xf numFmtId="0" fontId="20" fillId="16" borderId="0" xfId="0" applyFont="1" applyFill="1" applyAlignment="1">
      <alignment horizontal="center" vertical="center"/>
    </xf>
    <xf numFmtId="0" fontId="20" fillId="17" borderId="0" xfId="0" applyFont="1" applyFill="1" applyAlignment="1">
      <alignment horizontal="center" vertical="center"/>
    </xf>
    <xf numFmtId="0" fontId="33" fillId="21" borderId="0" xfId="0" applyFont="1" applyFill="1" applyAlignment="1">
      <alignment horizontal="center" vertical="center"/>
    </xf>
    <xf numFmtId="0" fontId="20" fillId="21" borderId="0" xfId="0" applyFont="1" applyFill="1" applyAlignment="1">
      <alignment horizontal="center" vertical="center"/>
    </xf>
    <xf numFmtId="0" fontId="45" fillId="26" borderId="0" xfId="0" applyFont="1" applyFill="1"/>
    <xf numFmtId="0" fontId="20" fillId="27" borderId="1" xfId="0" applyFont="1" applyFill="1" applyBorder="1" applyAlignment="1">
      <alignment horizontal="left" vertical="center"/>
    </xf>
    <xf numFmtId="0" fontId="43" fillId="23" borderId="1" xfId="0" applyFont="1" applyFill="1" applyBorder="1"/>
    <xf numFmtId="0" fontId="50" fillId="23" borderId="0" xfId="0" applyFont="1" applyFill="1" applyAlignment="1">
      <alignment horizontal="left" vertical="center" wrapText="1"/>
    </xf>
    <xf numFmtId="0" fontId="53" fillId="3" borderId="0" xfId="0" applyFont="1" applyFill="1" applyAlignment="1">
      <alignment horizontal="center" vertical="center"/>
    </xf>
    <xf numFmtId="0" fontId="54" fillId="14" borderId="1" xfId="0" applyFont="1" applyFill="1" applyBorder="1" applyAlignment="1">
      <alignment horizontal="center" vertical="center"/>
    </xf>
    <xf numFmtId="0" fontId="55" fillId="19" borderId="1" xfId="0" applyFont="1" applyFill="1" applyBorder="1" applyAlignment="1">
      <alignment horizontal="center" vertical="center" wrapText="1"/>
    </xf>
    <xf numFmtId="0" fontId="17" fillId="16" borderId="0" xfId="0" applyFont="1" applyFill="1" applyAlignment="1">
      <alignment horizontal="center" vertical="center"/>
    </xf>
    <xf numFmtId="0" fontId="59" fillId="3" borderId="0" xfId="0" applyFont="1" applyFill="1" applyAlignment="1">
      <alignment horizontal="center" vertical="center"/>
    </xf>
    <xf numFmtId="0" fontId="99" fillId="33" borderId="0" xfId="0" applyFont="1" applyFill="1"/>
    <xf numFmtId="0" fontId="54" fillId="17" borderId="0" xfId="0" applyFont="1" applyFill="1" applyAlignment="1">
      <alignment horizontal="center" vertical="center"/>
    </xf>
    <xf numFmtId="0" fontId="25" fillId="18" borderId="0" xfId="0" applyFont="1" applyFill="1" applyAlignment="1">
      <alignment horizontal="center" vertical="center" wrapText="1"/>
    </xf>
    <xf numFmtId="0" fontId="37" fillId="0" borderId="0" xfId="0" applyFont="1"/>
    <xf numFmtId="0" fontId="101" fillId="15" borderId="0" xfId="0" applyFont="1" applyFill="1"/>
    <xf numFmtId="0" fontId="17" fillId="27" borderId="0" xfId="0" applyFont="1" applyFill="1" applyAlignment="1">
      <alignment horizontal="center" vertical="center"/>
    </xf>
    <xf numFmtId="0" fontId="59" fillId="3" borderId="0" xfId="0" applyFont="1" applyFill="1" applyAlignment="1">
      <alignment horizontal="center" vertical="center" wrapText="1"/>
    </xf>
    <xf numFmtId="0" fontId="54" fillId="27" borderId="0" xfId="0" applyFont="1" applyFill="1" applyAlignment="1">
      <alignment horizontal="center" vertical="center"/>
    </xf>
    <xf numFmtId="0" fontId="119" fillId="17" borderId="0" xfId="0" applyFont="1" applyFill="1" applyAlignment="1">
      <alignment horizontal="center" vertical="center"/>
    </xf>
    <xf numFmtId="0" fontId="42" fillId="31" borderId="1" xfId="0" applyFont="1" applyFill="1" applyBorder="1" applyAlignment="1">
      <alignment horizontal="center" vertical="center" wrapText="1"/>
    </xf>
    <xf numFmtId="0" fontId="44" fillId="25" borderId="1" xfId="0" applyFont="1" applyFill="1" applyBorder="1" applyAlignment="1">
      <alignment horizontal="left" vertical="center"/>
    </xf>
    <xf numFmtId="0" fontId="44" fillId="24" borderId="1" xfId="0" applyFont="1" applyFill="1" applyBorder="1" applyAlignment="1">
      <alignment horizontal="left" vertical="center"/>
    </xf>
    <xf numFmtId="0" fontId="119" fillId="27" borderId="0" xfId="0" applyFont="1" applyFill="1" applyAlignment="1">
      <alignment horizontal="center" vertical="center"/>
    </xf>
    <xf numFmtId="0" fontId="46" fillId="30" borderId="1" xfId="0" applyFont="1" applyFill="1" applyBorder="1" applyAlignment="1">
      <alignment horizontal="center" vertical="center"/>
    </xf>
    <xf numFmtId="0" fontId="35" fillId="15" borderId="1" xfId="0" applyFont="1" applyFill="1" applyBorder="1" applyAlignment="1">
      <alignment horizontal="center" vertical="center"/>
    </xf>
    <xf numFmtId="0" fontId="88" fillId="19" borderId="1" xfId="0" applyFont="1" applyFill="1" applyBorder="1" applyAlignment="1">
      <alignment horizontal="center" vertical="center"/>
    </xf>
    <xf numFmtId="0" fontId="75" fillId="26" borderId="1" xfId="0" applyFont="1" applyFill="1" applyBorder="1" applyAlignment="1">
      <alignment horizontal="center" vertical="center"/>
    </xf>
    <xf numFmtId="0" fontId="77" fillId="38" borderId="1" xfId="0" applyFont="1" applyFill="1" applyBorder="1" applyAlignment="1">
      <alignment horizontal="center" vertical="center"/>
    </xf>
    <xf numFmtId="0" fontId="136" fillId="23" borderId="1" xfId="0" applyFont="1" applyFill="1" applyBorder="1" applyAlignment="1">
      <alignment horizontal="center" vertical="center"/>
    </xf>
    <xf numFmtId="0" fontId="119" fillId="31" borderId="0" xfId="0" applyFont="1" applyFill="1" applyAlignment="1">
      <alignment horizontal="center" vertical="center"/>
    </xf>
    <xf numFmtId="0" fontId="42" fillId="31" borderId="1" xfId="0" applyFont="1" applyFill="1" applyBorder="1" applyAlignment="1">
      <alignment horizontal="center" vertical="center"/>
    </xf>
    <xf numFmtId="0" fontId="58" fillId="25" borderId="1" xfId="0" applyFont="1" applyFill="1" applyBorder="1" applyAlignment="1">
      <alignment horizontal="left" vertical="center" wrapText="1"/>
    </xf>
    <xf numFmtId="0" fontId="58" fillId="24" borderId="1" xfId="0" applyFont="1" applyFill="1" applyBorder="1" applyAlignment="1">
      <alignment horizontal="left" vertical="center" wrapText="1"/>
    </xf>
    <xf numFmtId="0" fontId="46" fillId="45" borderId="1" xfId="0" applyFont="1" applyFill="1" applyBorder="1" applyAlignment="1">
      <alignment horizontal="center" vertical="center"/>
    </xf>
    <xf numFmtId="0" fontId="46" fillId="38" borderId="1" xfId="0" applyFont="1" applyFill="1" applyBorder="1" applyAlignment="1">
      <alignment horizontal="center" vertical="center"/>
    </xf>
    <xf numFmtId="0" fontId="46" fillId="44" borderId="1" xfId="0" applyFont="1" applyFill="1" applyBorder="1" applyAlignment="1">
      <alignment horizontal="center" vertical="center"/>
    </xf>
    <xf numFmtId="0" fontId="46" fillId="36" borderId="1" xfId="0" applyFont="1" applyFill="1" applyBorder="1" applyAlignment="1">
      <alignment horizontal="center" vertical="center"/>
    </xf>
    <xf numFmtId="0" fontId="46" fillId="23" borderId="1" xfId="0" applyFont="1" applyFill="1" applyBorder="1" applyAlignment="1">
      <alignment horizontal="center" vertical="center"/>
    </xf>
    <xf numFmtId="0" fontId="46" fillId="15" borderId="1" xfId="0" applyFont="1" applyFill="1" applyBorder="1" applyAlignment="1">
      <alignment horizontal="center" vertical="center"/>
    </xf>
    <xf numFmtId="0" fontId="46" fillId="49" borderId="1" xfId="0" applyFont="1" applyFill="1" applyBorder="1" applyAlignment="1">
      <alignment horizontal="center" vertical="center"/>
    </xf>
    <xf numFmtId="0" fontId="46" fillId="43" borderId="1" xfId="0" applyFont="1" applyFill="1" applyBorder="1" applyAlignment="1">
      <alignment horizontal="center" vertical="center"/>
    </xf>
    <xf numFmtId="0" fontId="46" fillId="33" borderId="1" xfId="0" applyFont="1" applyFill="1" applyBorder="1" applyAlignment="1">
      <alignment horizontal="center" vertical="center"/>
    </xf>
    <xf numFmtId="0" fontId="119" fillId="32" borderId="0" xfId="0" applyFont="1" applyFill="1" applyAlignment="1">
      <alignment horizontal="center" vertical="center"/>
    </xf>
    <xf numFmtId="0" fontId="42" fillId="34" borderId="1" xfId="0" applyFont="1" applyFill="1" applyBorder="1" applyAlignment="1">
      <alignment horizontal="center" vertical="center"/>
    </xf>
    <xf numFmtId="0" fontId="100" fillId="15" borderId="1" xfId="0" applyFont="1" applyFill="1" applyBorder="1" applyAlignment="1">
      <alignment horizontal="left" vertical="center" wrapText="1"/>
    </xf>
    <xf numFmtId="0" fontId="52" fillId="15" borderId="1" xfId="0" applyFont="1" applyFill="1" applyBorder="1" applyAlignment="1">
      <alignment horizontal="left" vertical="center" wrapText="1"/>
    </xf>
    <xf numFmtId="0" fontId="52" fillId="24" borderId="1" xfId="0" applyFont="1" applyFill="1" applyBorder="1" applyAlignment="1">
      <alignment horizontal="left" vertical="center" wrapText="1"/>
    </xf>
    <xf numFmtId="0" fontId="99" fillId="33" borderId="1" xfId="0" applyFont="1" applyFill="1" applyBorder="1" applyAlignment="1">
      <alignment horizontal="center" vertical="center" wrapText="1"/>
    </xf>
    <xf numFmtId="0" fontId="17" fillId="27" borderId="1" xfId="0" applyFont="1" applyFill="1" applyBorder="1" applyAlignment="1">
      <alignment horizontal="center" vertical="center"/>
    </xf>
    <xf numFmtId="0" fontId="59" fillId="3" borderId="1" xfId="0" applyFont="1" applyFill="1" applyBorder="1" applyAlignment="1">
      <alignment horizontal="center" vertical="center" wrapText="1"/>
    </xf>
    <xf numFmtId="0" fontId="72" fillId="36" borderId="1" xfId="0" applyFont="1" applyFill="1" applyBorder="1" applyAlignment="1">
      <alignment horizontal="center" vertical="center"/>
    </xf>
    <xf numFmtId="0" fontId="20" fillId="32" borderId="0" xfId="0" applyFont="1" applyFill="1" applyAlignment="1">
      <alignment horizontal="center" vertical="center"/>
    </xf>
    <xf numFmtId="0" fontId="52" fillId="33" borderId="0" xfId="0" applyFont="1" applyFill="1" applyAlignment="1">
      <alignment horizontal="center" vertical="center"/>
    </xf>
    <xf numFmtId="0" fontId="43" fillId="23" borderId="0" xfId="0" applyFont="1" applyFill="1" applyAlignment="1">
      <alignment horizontal="center" vertical="center" wrapText="1"/>
    </xf>
    <xf numFmtId="0" fontId="167" fillId="23" borderId="0" xfId="0" applyFont="1" applyFill="1"/>
    <xf numFmtId="0" fontId="52" fillId="25" borderId="1" xfId="0" applyFont="1" applyFill="1" applyBorder="1" applyAlignment="1">
      <alignment horizontal="left" vertical="center" wrapText="1"/>
    </xf>
    <xf numFmtId="0" fontId="17" fillId="17" borderId="0" xfId="0" applyFont="1" applyFill="1" applyAlignment="1">
      <alignment horizontal="center" vertical="center"/>
    </xf>
    <xf numFmtId="0" fontId="172" fillId="18" borderId="0" xfId="0" applyFont="1" applyFill="1" applyAlignment="1">
      <alignment horizontal="left" vertical="center" wrapText="1"/>
    </xf>
    <xf numFmtId="0" fontId="135" fillId="7" borderId="0" xfId="0" applyFont="1" applyFill="1" applyAlignment="1">
      <alignment wrapText="1"/>
    </xf>
    <xf numFmtId="0" fontId="54" fillId="27" borderId="1" xfId="0" applyFont="1" applyFill="1" applyBorder="1" applyAlignment="1">
      <alignment horizontal="center" vertical="center"/>
    </xf>
    <xf numFmtId="0" fontId="42" fillId="32" borderId="0" xfId="0" applyFont="1" applyFill="1" applyAlignment="1">
      <alignment horizontal="center" vertical="center"/>
    </xf>
    <xf numFmtId="0" fontId="52" fillId="33" borderId="1" xfId="0" applyFont="1" applyFill="1" applyBorder="1" applyAlignment="1">
      <alignment horizontal="center" vertical="center" wrapText="1"/>
    </xf>
    <xf numFmtId="0" fontId="182" fillId="57" borderId="0" xfId="0" applyFont="1" applyFill="1"/>
    <xf numFmtId="0" fontId="179" fillId="56" borderId="0" xfId="0" applyFont="1" applyFill="1" applyAlignment="1">
      <alignment horizontal="left" vertical="center"/>
    </xf>
    <xf numFmtId="0" fontId="181" fillId="56" borderId="0" xfId="0" applyFont="1" applyFill="1" applyAlignment="1">
      <alignment horizontal="left" vertical="center" wrapText="1"/>
    </xf>
    <xf numFmtId="0" fontId="182" fillId="57" borderId="0" xfId="0" applyFont="1" applyFill="1" applyAlignment="1">
      <alignment horizontal="left" vertical="center"/>
    </xf>
    <xf numFmtId="0" fontId="181" fillId="60" borderId="0" xfId="0" applyFont="1" applyFill="1" applyAlignment="1">
      <alignment horizontal="left" vertical="center" wrapText="1"/>
    </xf>
    <xf numFmtId="0" fontId="193" fillId="60" borderId="0" xfId="0" applyFont="1" applyFill="1" applyAlignment="1">
      <alignment horizontal="left" vertical="top" wrapText="1"/>
    </xf>
    <xf numFmtId="0" fontId="189" fillId="0" borderId="0" xfId="0" applyFont="1" applyAlignment="1">
      <alignment vertical="top" wrapText="1"/>
    </xf>
    <xf numFmtId="0" fontId="206" fillId="57" borderId="0" xfId="0" applyFont="1" applyFill="1"/>
    <xf numFmtId="0" fontId="206" fillId="57" borderId="5" xfId="0" applyFont="1" applyFill="1" applyBorder="1" applyAlignment="1">
      <alignment horizontal="left" vertical="center" wrapText="1"/>
    </xf>
    <xf numFmtId="0" fontId="179" fillId="63" borderId="0" xfId="0" applyFont="1" applyFill="1" applyAlignment="1">
      <alignment horizontal="left" vertical="center"/>
    </xf>
    <xf numFmtId="0" fontId="181" fillId="63" borderId="0" xfId="0" applyFont="1" applyFill="1" applyAlignment="1">
      <alignment horizontal="left" vertical="center" wrapText="1"/>
    </xf>
    <xf numFmtId="0" fontId="181" fillId="57" borderId="0" xfId="0" applyFont="1" applyFill="1"/>
    <xf numFmtId="0" fontId="119" fillId="27"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49" fillId="30" borderId="1" xfId="0" applyFont="1" applyFill="1" applyBorder="1" applyAlignment="1">
      <alignment horizontal="left" vertical="center"/>
    </xf>
    <xf numFmtId="0" fontId="212" fillId="30" borderId="1" xfId="0" applyFont="1" applyFill="1" applyBorder="1" applyAlignment="1">
      <alignment horizontal="left" vertical="center"/>
    </xf>
    <xf numFmtId="0" fontId="140" fillId="19" borderId="1" xfId="0" applyFont="1" applyFill="1" applyBorder="1" applyAlignment="1">
      <alignment horizontal="left" vertical="center" wrapText="1"/>
    </xf>
    <xf numFmtId="0" fontId="20" fillId="14" borderId="1" xfId="0" applyFont="1" applyFill="1" applyBorder="1" applyAlignment="1">
      <alignment horizontal="center" vertical="center"/>
    </xf>
    <xf numFmtId="0" fontId="217" fillId="38" borderId="0" xfId="0" applyFont="1" applyFill="1" applyAlignment="1">
      <alignment horizontal="left" vertical="center" wrapText="1"/>
    </xf>
    <xf numFmtId="0" fontId="218" fillId="26" borderId="0" xfId="0" applyFont="1" applyFill="1" applyAlignment="1">
      <alignment horizontal="left" vertical="center" wrapText="1"/>
    </xf>
    <xf numFmtId="0" fontId="42" fillId="16" borderId="1" xfId="0" applyFont="1" applyFill="1" applyBorder="1" applyAlignment="1">
      <alignment horizontal="center" vertical="center"/>
    </xf>
    <xf numFmtId="0" fontId="42" fillId="21" borderId="1" xfId="0" applyFont="1" applyFill="1" applyBorder="1" applyAlignment="1">
      <alignment horizontal="center" vertical="center"/>
    </xf>
    <xf numFmtId="0" fontId="42" fillId="17" borderId="1" xfId="0" applyFont="1" applyFill="1" applyBorder="1" applyAlignment="1">
      <alignment horizontal="center" vertical="center"/>
    </xf>
    <xf numFmtId="0" fontId="42" fillId="14" borderId="1" xfId="0" applyFont="1" applyFill="1" applyBorder="1" applyAlignment="1">
      <alignment horizontal="center" vertical="center"/>
    </xf>
    <xf numFmtId="0" fontId="42" fillId="32" borderId="1" xfId="0" applyFont="1" applyFill="1" applyBorder="1" applyAlignment="1">
      <alignment horizontal="center" vertical="center"/>
    </xf>
    <xf numFmtId="0" fontId="57" fillId="19" borderId="1" xfId="0" applyFont="1" applyFill="1" applyBorder="1" applyAlignment="1">
      <alignment horizontal="center" vertical="center" wrapText="1"/>
    </xf>
    <xf numFmtId="0" fontId="231" fillId="33" borderId="1" xfId="0" applyFont="1" applyFill="1" applyBorder="1" applyAlignment="1">
      <alignment horizontal="center" vertical="center" wrapText="1"/>
    </xf>
    <xf numFmtId="0" fontId="20" fillId="32" borderId="1" xfId="0" applyFont="1" applyFill="1" applyBorder="1" applyAlignment="1">
      <alignment horizontal="center" vertical="center"/>
    </xf>
    <xf numFmtId="0" fontId="52" fillId="25" borderId="1" xfId="0" applyFont="1" applyFill="1" applyBorder="1" applyAlignment="1">
      <alignment horizontal="left" vertical="center"/>
    </xf>
    <xf numFmtId="0" fontId="52" fillId="24" borderId="1" xfId="0" applyFont="1" applyFill="1" applyBorder="1" applyAlignment="1">
      <alignment horizontal="left" vertical="center"/>
    </xf>
    <xf numFmtId="0" fontId="167" fillId="23" borderId="1" xfId="0" applyFont="1" applyFill="1" applyBorder="1" applyAlignment="1">
      <alignment horizontal="center" vertical="center" wrapText="1"/>
    </xf>
    <xf numFmtId="0" fontId="20" fillId="31" borderId="1" xfId="0" applyFont="1" applyFill="1" applyBorder="1" applyAlignment="1">
      <alignment horizontal="center" vertical="center"/>
    </xf>
    <xf numFmtId="0" fontId="20" fillId="17" borderId="1" xfId="0" applyFont="1" applyFill="1" applyBorder="1" applyAlignment="1">
      <alignment horizontal="center" vertical="center"/>
    </xf>
    <xf numFmtId="0" fontId="58" fillId="33" borderId="1" xfId="0" applyFont="1" applyFill="1" applyBorder="1" applyAlignment="1">
      <alignment horizontal="center" vertical="center"/>
    </xf>
    <xf numFmtId="0" fontId="20" fillId="27" borderId="1" xfId="0" applyFont="1" applyFill="1" applyBorder="1" applyAlignment="1">
      <alignment horizontal="center" vertical="center"/>
    </xf>
    <xf numFmtId="0" fontId="177" fillId="15" borderId="1" xfId="0" applyFont="1" applyFill="1" applyBorder="1" applyAlignment="1">
      <alignment horizontal="left" vertical="center" wrapText="1"/>
    </xf>
    <xf numFmtId="0" fontId="40" fillId="51" borderId="1" xfId="0" applyFont="1" applyFill="1" applyBorder="1" applyAlignment="1">
      <alignment vertical="top" wrapText="1"/>
    </xf>
    <xf numFmtId="0" fontId="231" fillId="33" borderId="1" xfId="0" applyFont="1" applyFill="1" applyBorder="1" applyAlignment="1">
      <alignment horizontal="left" vertical="center" wrapText="1"/>
    </xf>
    <xf numFmtId="0" fontId="47" fillId="23" borderId="1" xfId="0" applyFont="1" applyFill="1" applyBorder="1" applyAlignment="1">
      <alignment horizontal="left" vertical="center"/>
    </xf>
    <xf numFmtId="0" fontId="251" fillId="66" borderId="0" xfId="0" applyFont="1" applyFill="1" applyAlignment="1">
      <alignment horizontal="left" vertical="center"/>
    </xf>
    <xf numFmtId="0" fontId="252" fillId="66" borderId="0" xfId="0" applyFont="1" applyFill="1" applyAlignment="1">
      <alignment horizontal="left" vertical="top" wrapText="1"/>
    </xf>
    <xf numFmtId="0" fontId="181" fillId="58" borderId="0" xfId="0" applyFont="1" applyFill="1" applyAlignment="1">
      <alignment horizontal="left" vertical="center" wrapText="1"/>
    </xf>
    <xf numFmtId="0" fontId="179" fillId="56" borderId="1" xfId="0" applyFont="1" applyFill="1" applyBorder="1" applyAlignment="1">
      <alignment horizontal="left" vertical="center"/>
    </xf>
    <xf numFmtId="0" fontId="181" fillId="56" borderId="1" xfId="0" applyFont="1" applyFill="1" applyBorder="1" applyAlignment="1">
      <alignment horizontal="left" vertical="center" wrapText="1"/>
    </xf>
    <xf numFmtId="0" fontId="182" fillId="57" borderId="1" xfId="0" applyFont="1" applyFill="1" applyBorder="1" applyAlignment="1">
      <alignment horizontal="left" vertical="center"/>
    </xf>
    <xf numFmtId="0" fontId="179" fillId="56" borderId="6" xfId="0" applyFont="1" applyFill="1" applyBorder="1" applyAlignment="1">
      <alignment horizontal="left" vertical="center"/>
    </xf>
    <xf numFmtId="0" fontId="181" fillId="56" borderId="6" xfId="0" applyFont="1" applyFill="1" applyBorder="1" applyAlignment="1">
      <alignment horizontal="left" vertical="center" wrapText="1"/>
    </xf>
    <xf numFmtId="0" fontId="182" fillId="57" borderId="6" xfId="0" applyFont="1" applyFill="1" applyBorder="1" applyAlignment="1">
      <alignment horizontal="left" vertical="center"/>
    </xf>
    <xf numFmtId="0" fontId="181" fillId="63" borderId="0" xfId="0" applyFont="1" applyFill="1" applyAlignment="1">
      <alignment horizontal="left" vertical="center"/>
    </xf>
    <xf numFmtId="0" fontId="40" fillId="51" borderId="0" xfId="0" applyFont="1" applyFill="1" applyAlignment="1">
      <alignment vertical="top" wrapText="1"/>
    </xf>
    <xf numFmtId="0" fontId="54" fillId="32" borderId="1" xfId="0" applyFont="1" applyFill="1" applyBorder="1" applyAlignment="1">
      <alignment horizontal="center" vertical="center"/>
    </xf>
    <xf numFmtId="0" fontId="264" fillId="15" borderId="1" xfId="0" applyFont="1" applyFill="1" applyBorder="1" applyAlignment="1">
      <alignment horizontal="center" vertical="center" wrapText="1"/>
    </xf>
    <xf numFmtId="0" fontId="181" fillId="57" borderId="0" xfId="0" applyFont="1" applyFill="1" applyAlignment="1">
      <alignment horizontal="left" vertical="center" wrapText="1"/>
    </xf>
    <xf numFmtId="0" fontId="173" fillId="65" borderId="0" xfId="0" applyFont="1" applyFill="1" applyAlignment="1">
      <alignment vertical="top" wrapText="1"/>
    </xf>
    <xf numFmtId="0" fontId="193" fillId="58" borderId="5" xfId="0" applyFont="1" applyFill="1" applyBorder="1" applyAlignment="1">
      <alignment horizontal="left" vertical="center" wrapText="1"/>
    </xf>
    <xf numFmtId="0" fontId="193" fillId="60" borderId="5" xfId="0" applyFont="1" applyFill="1" applyBorder="1" applyAlignment="1">
      <alignment horizontal="left" vertical="center" wrapText="1"/>
    </xf>
    <xf numFmtId="0" fontId="191" fillId="60" borderId="0" xfId="0" applyFont="1" applyFill="1" applyAlignment="1">
      <alignment wrapText="1"/>
    </xf>
    <xf numFmtId="0" fontId="185" fillId="61" borderId="0" xfId="0" applyFont="1" applyFill="1" applyAlignment="1">
      <alignment horizontal="left" vertical="center"/>
    </xf>
    <xf numFmtId="0" fontId="193" fillId="60" borderId="0" xfId="0" applyFont="1" applyFill="1" applyAlignment="1">
      <alignment wrapText="1"/>
    </xf>
    <xf numFmtId="0" fontId="181" fillId="56" borderId="0" xfId="0" applyFont="1" applyFill="1" applyAlignment="1">
      <alignment wrapText="1"/>
    </xf>
    <xf numFmtId="0" fontId="134" fillId="51" borderId="0" xfId="0" applyFont="1" applyFill="1" applyAlignment="1">
      <alignment wrapText="1"/>
    </xf>
    <xf numFmtId="0" fontId="275" fillId="69" borderId="0" xfId="0" applyFont="1" applyFill="1" applyAlignment="1">
      <alignment horizontal="left" vertical="top" wrapText="1"/>
    </xf>
    <xf numFmtId="0" fontId="257" fillId="56" borderId="0" xfId="0" applyFont="1" applyFill="1" applyAlignment="1">
      <alignment horizontal="left" vertical="center"/>
    </xf>
    <xf numFmtId="0" fontId="181" fillId="63" borderId="0" xfId="0" applyFont="1" applyFill="1" applyAlignment="1">
      <alignment wrapText="1"/>
    </xf>
    <xf numFmtId="0" fontId="278" fillId="21" borderId="0" xfId="0" applyFont="1" applyFill="1" applyAlignment="1">
      <alignment horizontal="center" vertical="center"/>
    </xf>
    <xf numFmtId="0" fontId="279" fillId="26" borderId="0" xfId="0" applyFont="1" applyFill="1" applyAlignment="1">
      <alignment horizontal="center" vertical="center"/>
    </xf>
    <xf numFmtId="0" fontId="65" fillId="26" borderId="10" xfId="0" applyFont="1" applyFill="1" applyBorder="1" applyAlignment="1">
      <alignment horizontal="center" vertical="center"/>
    </xf>
    <xf numFmtId="0" fontId="281" fillId="26" borderId="10" xfId="0" applyFont="1" applyFill="1" applyBorder="1" applyAlignment="1">
      <alignment horizontal="center" vertical="center"/>
    </xf>
    <xf numFmtId="0" fontId="17" fillId="14" borderId="0" xfId="0" applyFont="1" applyFill="1" applyAlignment="1">
      <alignment horizontal="center" vertical="center"/>
    </xf>
    <xf numFmtId="0" fontId="284" fillId="8" borderId="0" xfId="0" applyFont="1" applyFill="1" applyAlignment="1">
      <alignment horizontal="center" vertical="center" wrapText="1"/>
    </xf>
    <xf numFmtId="0" fontId="119" fillId="21" borderId="0" xfId="0" applyFont="1" applyFill="1" applyAlignment="1">
      <alignment horizontal="left" vertical="center"/>
    </xf>
    <xf numFmtId="0" fontId="65" fillId="26" borderId="1" xfId="0" applyFont="1" applyFill="1" applyBorder="1" applyAlignment="1">
      <alignment horizontal="right" vertical="center"/>
    </xf>
    <xf numFmtId="0" fontId="119" fillId="50" borderId="0" xfId="0" applyFont="1" applyFill="1" applyAlignment="1">
      <alignment horizontal="left" vertical="center"/>
    </xf>
    <xf numFmtId="0" fontId="110" fillId="45" borderId="1" xfId="0" applyFont="1" applyFill="1" applyBorder="1" applyAlignment="1">
      <alignment horizontal="center" vertical="center"/>
    </xf>
    <xf numFmtId="0" fontId="47" fillId="23" borderId="1" xfId="0" applyFont="1" applyFill="1" applyBorder="1" applyAlignment="1">
      <alignment horizontal="center" vertical="center"/>
    </xf>
    <xf numFmtId="0" fontId="35" fillId="3" borderId="1" xfId="0" applyFont="1" applyFill="1" applyBorder="1" applyAlignment="1">
      <alignment horizontal="center" vertical="center"/>
    </xf>
    <xf numFmtId="0" fontId="136" fillId="18" borderId="1" xfId="0" applyFont="1" applyFill="1" applyBorder="1" applyAlignment="1">
      <alignment horizontal="center" vertical="center"/>
    </xf>
    <xf numFmtId="0" fontId="48" fillId="8" borderId="1" xfId="0" applyFont="1" applyFill="1" applyBorder="1" applyAlignment="1">
      <alignment horizontal="center" vertical="center"/>
    </xf>
    <xf numFmtId="0" fontId="273" fillId="56" borderId="0" xfId="0" applyFont="1" applyFill="1" applyAlignment="1">
      <alignment horizontal="left" vertical="center"/>
    </xf>
    <xf numFmtId="0" fontId="185" fillId="57" borderId="0" xfId="0" applyFont="1" applyFill="1"/>
    <xf numFmtId="0" fontId="42" fillId="72" borderId="1" xfId="0" applyFont="1" applyFill="1" applyBorder="1" applyAlignment="1">
      <alignment horizontal="center" vertical="center"/>
    </xf>
    <xf numFmtId="0" fontId="189" fillId="51" borderId="1" xfId="0" applyFont="1" applyFill="1" applyBorder="1" applyAlignment="1">
      <alignment vertical="top" wrapText="1"/>
    </xf>
    <xf numFmtId="0" fontId="20" fillId="27" borderId="1" xfId="0" applyFont="1" applyFill="1" applyBorder="1" applyAlignment="1">
      <alignment horizontal="right" vertical="center"/>
    </xf>
    <xf numFmtId="0" fontId="20" fillId="14" borderId="1" xfId="0" applyFont="1" applyFill="1" applyBorder="1" applyAlignment="1">
      <alignment horizontal="right" vertical="center"/>
    </xf>
    <xf numFmtId="0" fontId="20" fillId="21" borderId="1" xfId="0" applyFont="1" applyFill="1" applyBorder="1" applyAlignment="1">
      <alignment horizontal="right" vertical="center"/>
    </xf>
    <xf numFmtId="0" fontId="168" fillId="26" borderId="1" xfId="0" applyFont="1" applyFill="1" applyBorder="1" applyAlignment="1">
      <alignment horizontal="left" vertical="center" wrapText="1"/>
    </xf>
    <xf numFmtId="0" fontId="278" fillId="27" borderId="1" xfId="0" applyFont="1" applyFill="1" applyBorder="1" applyAlignment="1">
      <alignment horizontal="center" vertical="center"/>
    </xf>
    <xf numFmtId="0" fontId="123" fillId="23" borderId="1" xfId="0" applyFont="1" applyFill="1" applyBorder="1" applyAlignment="1">
      <alignment horizontal="center" vertical="center"/>
    </xf>
    <xf numFmtId="0" fontId="168" fillId="49" borderId="1" xfId="0" applyFont="1" applyFill="1" applyBorder="1" applyAlignment="1">
      <alignment horizontal="center" vertical="center"/>
    </xf>
    <xf numFmtId="0" fontId="246" fillId="3" borderId="1" xfId="0" applyFont="1" applyFill="1" applyBorder="1" applyAlignment="1">
      <alignment horizontal="center" vertical="center"/>
    </xf>
    <xf numFmtId="0" fontId="229" fillId="23" borderId="1" xfId="0" applyFont="1" applyFill="1" applyBorder="1" applyAlignment="1">
      <alignment horizontal="center" vertical="center"/>
    </xf>
    <xf numFmtId="0" fontId="311" fillId="56" borderId="0" xfId="0" applyFont="1" applyFill="1" applyAlignment="1">
      <alignment horizontal="left" vertical="center"/>
    </xf>
    <xf numFmtId="0" fontId="312" fillId="44" borderId="0" xfId="0" applyFont="1" applyFill="1" applyAlignment="1">
      <alignment horizontal="left" vertical="center" wrapText="1"/>
    </xf>
    <xf numFmtId="0" fontId="192" fillId="61" borderId="0" xfId="0" applyFont="1" applyFill="1" applyAlignment="1">
      <alignment horizontal="left" vertical="center"/>
    </xf>
    <xf numFmtId="0" fontId="0" fillId="59" borderId="5" xfId="0" applyFill="1" applyBorder="1"/>
    <xf numFmtId="0" fontId="0" fillId="61" borderId="5" xfId="0" applyFill="1" applyBorder="1"/>
    <xf numFmtId="0" fontId="315" fillId="34" borderId="0" xfId="0" applyFont="1" applyFill="1" applyAlignment="1">
      <alignment horizontal="center" vertical="center"/>
    </xf>
    <xf numFmtId="0" fontId="51" fillId="54" borderId="0" xfId="0" applyFont="1" applyFill="1" applyAlignment="1">
      <alignment horizontal="center" vertical="center"/>
    </xf>
    <xf numFmtId="0" fontId="253" fillId="34" borderId="0" xfId="0" applyFont="1" applyFill="1" applyAlignment="1">
      <alignment horizontal="center" vertical="center"/>
    </xf>
    <xf numFmtId="0" fontId="323" fillId="66" borderId="0" xfId="0" applyFont="1" applyFill="1" applyAlignment="1">
      <alignment horizontal="left" vertical="center"/>
    </xf>
    <xf numFmtId="0" fontId="324" fillId="66" borderId="0" xfId="0" applyFont="1" applyFill="1" applyAlignment="1">
      <alignment horizontal="left" vertical="center"/>
    </xf>
    <xf numFmtId="0" fontId="327" fillId="66" borderId="0" xfId="0" applyFont="1" applyFill="1" applyAlignment="1">
      <alignment horizontal="left" vertical="center"/>
    </xf>
    <xf numFmtId="0" fontId="328" fillId="67" borderId="0" xfId="0" applyFont="1" applyFill="1" applyAlignment="1">
      <alignment horizontal="left" vertical="center"/>
    </xf>
    <xf numFmtId="0" fontId="329" fillId="67" borderId="0" xfId="0" applyFont="1" applyFill="1" applyAlignment="1">
      <alignment horizontal="left" vertical="center"/>
    </xf>
    <xf numFmtId="0" fontId="330" fillId="67" borderId="0" xfId="0" applyFont="1" applyFill="1" applyAlignment="1">
      <alignment horizontal="left" vertical="center"/>
    </xf>
    <xf numFmtId="0" fontId="27" fillId="67" borderId="0" xfId="0" applyFont="1" applyFill="1" applyAlignment="1">
      <alignment horizontal="left" vertical="center"/>
    </xf>
    <xf numFmtId="0" fontId="54" fillId="32" borderId="0" xfId="0" applyFont="1" applyFill="1" applyAlignment="1">
      <alignment horizontal="center" vertical="center"/>
    </xf>
    <xf numFmtId="0" fontId="307" fillId="66" borderId="0" xfId="0" applyFont="1" applyFill="1" applyAlignment="1">
      <alignment horizontal="center" vertical="center"/>
    </xf>
    <xf numFmtId="0" fontId="334" fillId="15" borderId="0" xfId="0" applyFont="1" applyFill="1" applyAlignment="1">
      <alignment horizontal="left" vertical="center" wrapText="1"/>
    </xf>
    <xf numFmtId="0" fontId="181" fillId="61" borderId="5" xfId="0" applyFont="1" applyFill="1" applyBorder="1" applyAlignment="1">
      <alignment horizontal="left" vertical="center"/>
    </xf>
    <xf numFmtId="0" fontId="181" fillId="59" borderId="5" xfId="0" applyFont="1" applyFill="1" applyBorder="1" applyAlignment="1">
      <alignment horizontal="left" vertical="center"/>
    </xf>
    <xf numFmtId="0" fontId="182" fillId="57" borderId="0" xfId="0" applyFont="1" applyFill="1" applyAlignment="1">
      <alignment vertical="top" wrapText="1"/>
    </xf>
    <xf numFmtId="0" fontId="335" fillId="69"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AFAFA"/>
      <rgbColor rgb="FFF8FAFC"/>
      <rgbColor rgb="FF0000FF"/>
      <rgbColor rgb="FFFFFBEB"/>
      <rgbColor rgb="FFFEF2F8"/>
      <rgbColor rgb="FFF0FDF4"/>
      <rgbColor rgb="FF8E171E"/>
      <rgbColor rgb="FF08663F"/>
      <rgbColor rgb="FF0F172A"/>
      <rgbColor rgb="FF171719"/>
      <rgbColor rgb="FF6C1BA4"/>
      <rgbColor rgb="FF34444D"/>
      <rgbColor rgb="FFE2E9F1"/>
      <rgbColor rgb="FF0C0C0D"/>
      <rgbColor rgb="FFDFEEF3"/>
      <rgbColor rgb="FFB71B1B"/>
      <rgbColor rgb="FFFFF9C6"/>
      <rgbColor rgb="FFDCFCE7"/>
      <rgbColor rgb="FF591BA2"/>
      <rgbColor rgb="FFFFF1F4"/>
      <rgbColor rgb="FF066FB0"/>
      <rgbColor rgb="FFD0DEE8"/>
      <rgbColor rgb="FF0C0C19"/>
      <rgbColor rgb="FFFDF4FF"/>
      <rgbColor rgb="FFFFF7ED"/>
      <rgbColor rgb="FFF1F5F9"/>
      <rgbColor rgb="FF1B192D"/>
      <rgbColor rgb="FF1E1E22"/>
      <rgbColor rgb="FF1A3A5B"/>
      <rgbColor rgb="FF181820"/>
      <rgbColor rgb="FFF5F3FF"/>
      <rgbColor rgb="FFE0F2FE"/>
      <rgbColor rgb="FFCFFBE4"/>
      <rgbColor rgb="FFFEF9C1"/>
      <rgbColor rgb="FF87BBF5"/>
      <rgbColor rgb="FFFFE8E1"/>
      <rgbColor rgb="FFDBEAFE"/>
      <rgbColor rgb="FFFFDBAD"/>
      <rgbColor rgb="FF181819"/>
      <rgbColor rgb="FFEFF6FF"/>
      <rgbColor rgb="FFECFDF5"/>
      <rgbColor rgb="FFF2F2F2"/>
      <rgbColor rgb="FFF4B21F"/>
      <rgbColor rgb="FFD45107"/>
      <rgbColor rgb="FF53667F"/>
      <rgbColor rgb="FFEEE9FE"/>
      <rgbColor rgb="FF0F3D61"/>
      <rgbColor rgb="FF111119"/>
      <rgbColor rgb="FF1D2632"/>
      <rgbColor rgb="FF24262E"/>
      <rgbColor rgb="FF78310B"/>
      <rgbColor rgb="FF1C1C27"/>
      <rgbColor rgb="FF1C45CB"/>
      <rgbColor rgb="FF2A2D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 /><Relationship Id="rId117" Type="http://schemas.openxmlformats.org/officeDocument/2006/relationships/worksheet" Target="worksheets/sheet117.xml" /><Relationship Id="rId21" Type="http://schemas.openxmlformats.org/officeDocument/2006/relationships/worksheet" Target="worksheets/sheet21.xml" /><Relationship Id="rId42" Type="http://schemas.openxmlformats.org/officeDocument/2006/relationships/worksheet" Target="worksheets/sheet42.xml" /><Relationship Id="rId47" Type="http://schemas.openxmlformats.org/officeDocument/2006/relationships/worksheet" Target="worksheets/sheet47.xml" /><Relationship Id="rId63" Type="http://schemas.openxmlformats.org/officeDocument/2006/relationships/worksheet" Target="worksheets/sheet63.xml" /><Relationship Id="rId68" Type="http://schemas.openxmlformats.org/officeDocument/2006/relationships/worksheet" Target="worksheets/sheet68.xml" /><Relationship Id="rId84" Type="http://schemas.openxmlformats.org/officeDocument/2006/relationships/worksheet" Target="worksheets/sheet84.xml" /><Relationship Id="rId89" Type="http://schemas.openxmlformats.org/officeDocument/2006/relationships/worksheet" Target="worksheets/sheet89.xml" /><Relationship Id="rId112" Type="http://schemas.openxmlformats.org/officeDocument/2006/relationships/worksheet" Target="worksheets/sheet112.xml" /><Relationship Id="rId133" Type="http://schemas.openxmlformats.org/officeDocument/2006/relationships/worksheet" Target="worksheets/sheet133.xml" /><Relationship Id="rId138" Type="http://schemas.openxmlformats.org/officeDocument/2006/relationships/worksheet" Target="worksheets/sheet138.xml" /><Relationship Id="rId154" Type="http://schemas.openxmlformats.org/officeDocument/2006/relationships/worksheet" Target="worksheets/sheet154.xml" /><Relationship Id="rId159" Type="http://schemas.openxmlformats.org/officeDocument/2006/relationships/worksheet" Target="worksheets/sheet159.xml" /><Relationship Id="rId175" Type="http://schemas.openxmlformats.org/officeDocument/2006/relationships/worksheet" Target="worksheets/sheet175.xml" /><Relationship Id="rId170" Type="http://schemas.openxmlformats.org/officeDocument/2006/relationships/worksheet" Target="worksheets/sheet170.xml" /><Relationship Id="rId16" Type="http://schemas.openxmlformats.org/officeDocument/2006/relationships/worksheet" Target="worksheets/sheet16.xml" /><Relationship Id="rId107" Type="http://schemas.openxmlformats.org/officeDocument/2006/relationships/worksheet" Target="worksheets/sheet107.xml" /><Relationship Id="rId11" Type="http://schemas.openxmlformats.org/officeDocument/2006/relationships/worksheet" Target="worksheets/sheet11.xml" /><Relationship Id="rId32" Type="http://schemas.openxmlformats.org/officeDocument/2006/relationships/worksheet" Target="worksheets/sheet32.xml" /><Relationship Id="rId37" Type="http://schemas.openxmlformats.org/officeDocument/2006/relationships/worksheet" Target="worksheets/sheet37.xml" /><Relationship Id="rId53" Type="http://schemas.openxmlformats.org/officeDocument/2006/relationships/worksheet" Target="worksheets/sheet53.xml" /><Relationship Id="rId58" Type="http://schemas.openxmlformats.org/officeDocument/2006/relationships/worksheet" Target="worksheets/sheet58.xml" /><Relationship Id="rId74" Type="http://schemas.openxmlformats.org/officeDocument/2006/relationships/worksheet" Target="worksheets/sheet74.xml" /><Relationship Id="rId79" Type="http://schemas.openxmlformats.org/officeDocument/2006/relationships/worksheet" Target="worksheets/sheet79.xml" /><Relationship Id="rId102" Type="http://schemas.openxmlformats.org/officeDocument/2006/relationships/worksheet" Target="worksheets/sheet102.xml" /><Relationship Id="rId123" Type="http://schemas.openxmlformats.org/officeDocument/2006/relationships/worksheet" Target="worksheets/sheet123.xml" /><Relationship Id="rId128" Type="http://schemas.openxmlformats.org/officeDocument/2006/relationships/worksheet" Target="worksheets/sheet128.xml" /><Relationship Id="rId144" Type="http://schemas.openxmlformats.org/officeDocument/2006/relationships/worksheet" Target="worksheets/sheet144.xml" /><Relationship Id="rId149" Type="http://schemas.openxmlformats.org/officeDocument/2006/relationships/worksheet" Target="worksheets/sheet149.xml" /><Relationship Id="rId5" Type="http://schemas.openxmlformats.org/officeDocument/2006/relationships/worksheet" Target="worksheets/sheet5.xml" /><Relationship Id="rId90" Type="http://schemas.openxmlformats.org/officeDocument/2006/relationships/worksheet" Target="worksheets/sheet90.xml" /><Relationship Id="rId95" Type="http://schemas.openxmlformats.org/officeDocument/2006/relationships/worksheet" Target="worksheets/sheet95.xml" /><Relationship Id="rId160" Type="http://schemas.openxmlformats.org/officeDocument/2006/relationships/worksheet" Target="worksheets/sheet160.xml" /><Relationship Id="rId165" Type="http://schemas.openxmlformats.org/officeDocument/2006/relationships/worksheet" Target="worksheets/sheet165.xml" /><Relationship Id="rId181" Type="http://schemas.openxmlformats.org/officeDocument/2006/relationships/sharedStrings" Target="sharedStrings.xml" /><Relationship Id="rId22" Type="http://schemas.openxmlformats.org/officeDocument/2006/relationships/worksheet" Target="worksheets/sheet22.xml" /><Relationship Id="rId27" Type="http://schemas.openxmlformats.org/officeDocument/2006/relationships/worksheet" Target="worksheets/sheet27.xml" /><Relationship Id="rId43" Type="http://schemas.openxmlformats.org/officeDocument/2006/relationships/worksheet" Target="worksheets/sheet43.xml" /><Relationship Id="rId48" Type="http://schemas.openxmlformats.org/officeDocument/2006/relationships/worksheet" Target="worksheets/sheet48.xml" /><Relationship Id="rId64" Type="http://schemas.openxmlformats.org/officeDocument/2006/relationships/worksheet" Target="worksheets/sheet64.xml" /><Relationship Id="rId69" Type="http://schemas.openxmlformats.org/officeDocument/2006/relationships/worksheet" Target="worksheets/sheet69.xml" /><Relationship Id="rId113" Type="http://schemas.openxmlformats.org/officeDocument/2006/relationships/worksheet" Target="worksheets/sheet113.xml" /><Relationship Id="rId118" Type="http://schemas.openxmlformats.org/officeDocument/2006/relationships/worksheet" Target="worksheets/sheet118.xml" /><Relationship Id="rId134" Type="http://schemas.openxmlformats.org/officeDocument/2006/relationships/worksheet" Target="worksheets/sheet134.xml" /><Relationship Id="rId139" Type="http://schemas.openxmlformats.org/officeDocument/2006/relationships/worksheet" Target="worksheets/sheet139.xml" /><Relationship Id="rId80" Type="http://schemas.openxmlformats.org/officeDocument/2006/relationships/worksheet" Target="worksheets/sheet80.xml" /><Relationship Id="rId85" Type="http://schemas.openxmlformats.org/officeDocument/2006/relationships/worksheet" Target="worksheets/sheet85.xml" /><Relationship Id="rId150" Type="http://schemas.openxmlformats.org/officeDocument/2006/relationships/worksheet" Target="worksheets/sheet150.xml" /><Relationship Id="rId155" Type="http://schemas.openxmlformats.org/officeDocument/2006/relationships/worksheet" Target="worksheets/sheet155.xml" /><Relationship Id="rId171" Type="http://schemas.openxmlformats.org/officeDocument/2006/relationships/worksheet" Target="worksheets/sheet171.xml" /><Relationship Id="rId176" Type="http://schemas.openxmlformats.org/officeDocument/2006/relationships/worksheet" Target="worksheets/sheet176.xml" /><Relationship Id="rId12" Type="http://schemas.openxmlformats.org/officeDocument/2006/relationships/worksheet" Target="worksheets/sheet12.xml" /><Relationship Id="rId17" Type="http://schemas.openxmlformats.org/officeDocument/2006/relationships/worksheet" Target="worksheets/sheet17.xml" /><Relationship Id="rId33" Type="http://schemas.openxmlformats.org/officeDocument/2006/relationships/worksheet" Target="worksheets/sheet33.xml" /><Relationship Id="rId38" Type="http://schemas.openxmlformats.org/officeDocument/2006/relationships/worksheet" Target="worksheets/sheet38.xml" /><Relationship Id="rId59" Type="http://schemas.openxmlformats.org/officeDocument/2006/relationships/worksheet" Target="worksheets/sheet59.xml" /><Relationship Id="rId103" Type="http://schemas.openxmlformats.org/officeDocument/2006/relationships/worksheet" Target="worksheets/sheet103.xml" /><Relationship Id="rId108" Type="http://schemas.openxmlformats.org/officeDocument/2006/relationships/worksheet" Target="worksheets/sheet108.xml" /><Relationship Id="rId124" Type="http://schemas.openxmlformats.org/officeDocument/2006/relationships/worksheet" Target="worksheets/sheet124.xml" /><Relationship Id="rId129" Type="http://schemas.openxmlformats.org/officeDocument/2006/relationships/worksheet" Target="worksheets/sheet129.xml" /><Relationship Id="rId54" Type="http://schemas.openxmlformats.org/officeDocument/2006/relationships/worksheet" Target="worksheets/sheet54.xml" /><Relationship Id="rId70" Type="http://schemas.openxmlformats.org/officeDocument/2006/relationships/worksheet" Target="worksheets/sheet70.xml" /><Relationship Id="rId75" Type="http://schemas.openxmlformats.org/officeDocument/2006/relationships/worksheet" Target="worksheets/sheet75.xml" /><Relationship Id="rId91" Type="http://schemas.openxmlformats.org/officeDocument/2006/relationships/worksheet" Target="worksheets/sheet91.xml" /><Relationship Id="rId96" Type="http://schemas.openxmlformats.org/officeDocument/2006/relationships/worksheet" Target="worksheets/sheet96.xml" /><Relationship Id="rId140" Type="http://schemas.openxmlformats.org/officeDocument/2006/relationships/worksheet" Target="worksheets/sheet140.xml" /><Relationship Id="rId145" Type="http://schemas.openxmlformats.org/officeDocument/2006/relationships/worksheet" Target="worksheets/sheet145.xml" /><Relationship Id="rId161" Type="http://schemas.openxmlformats.org/officeDocument/2006/relationships/worksheet" Target="worksheets/sheet161.xml" /><Relationship Id="rId166" Type="http://schemas.openxmlformats.org/officeDocument/2006/relationships/worksheet" Target="worksheets/sheet166.xml" /><Relationship Id="rId182"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23" Type="http://schemas.openxmlformats.org/officeDocument/2006/relationships/worksheet" Target="worksheets/sheet23.xml" /><Relationship Id="rId28" Type="http://schemas.openxmlformats.org/officeDocument/2006/relationships/worksheet" Target="worksheets/sheet28.xml" /><Relationship Id="rId49" Type="http://schemas.openxmlformats.org/officeDocument/2006/relationships/worksheet" Target="worksheets/sheet49.xml" /><Relationship Id="rId114" Type="http://schemas.openxmlformats.org/officeDocument/2006/relationships/worksheet" Target="worksheets/sheet114.xml" /><Relationship Id="rId119" Type="http://schemas.openxmlformats.org/officeDocument/2006/relationships/worksheet" Target="worksheets/sheet119.xml" /><Relationship Id="rId44" Type="http://schemas.openxmlformats.org/officeDocument/2006/relationships/worksheet" Target="worksheets/sheet44.xml" /><Relationship Id="rId60" Type="http://schemas.openxmlformats.org/officeDocument/2006/relationships/worksheet" Target="worksheets/sheet60.xml" /><Relationship Id="rId65" Type="http://schemas.openxmlformats.org/officeDocument/2006/relationships/worksheet" Target="worksheets/sheet65.xml" /><Relationship Id="rId81" Type="http://schemas.openxmlformats.org/officeDocument/2006/relationships/worksheet" Target="worksheets/sheet81.xml" /><Relationship Id="rId86" Type="http://schemas.openxmlformats.org/officeDocument/2006/relationships/worksheet" Target="worksheets/sheet86.xml" /><Relationship Id="rId130" Type="http://schemas.openxmlformats.org/officeDocument/2006/relationships/worksheet" Target="worksheets/sheet130.xml" /><Relationship Id="rId135" Type="http://schemas.openxmlformats.org/officeDocument/2006/relationships/worksheet" Target="worksheets/sheet135.xml" /><Relationship Id="rId151" Type="http://schemas.openxmlformats.org/officeDocument/2006/relationships/worksheet" Target="worksheets/sheet151.xml" /><Relationship Id="rId156" Type="http://schemas.openxmlformats.org/officeDocument/2006/relationships/worksheet" Target="worksheets/sheet156.xml" /><Relationship Id="rId177" Type="http://schemas.openxmlformats.org/officeDocument/2006/relationships/worksheet" Target="worksheets/sheet177.xml" /><Relationship Id="rId4" Type="http://schemas.openxmlformats.org/officeDocument/2006/relationships/worksheet" Target="worksheets/sheet4.xml" /><Relationship Id="rId9" Type="http://schemas.openxmlformats.org/officeDocument/2006/relationships/worksheet" Target="worksheets/sheet9.xml" /><Relationship Id="rId172" Type="http://schemas.openxmlformats.org/officeDocument/2006/relationships/worksheet" Target="worksheets/sheet172.xml" /><Relationship Id="rId180" Type="http://schemas.openxmlformats.org/officeDocument/2006/relationships/styles" Target="styles.xml" /><Relationship Id="rId13" Type="http://schemas.openxmlformats.org/officeDocument/2006/relationships/worksheet" Target="worksheets/sheet13.xml" /><Relationship Id="rId18" Type="http://schemas.openxmlformats.org/officeDocument/2006/relationships/worksheet" Target="worksheets/sheet18.xml" /><Relationship Id="rId39" Type="http://schemas.openxmlformats.org/officeDocument/2006/relationships/worksheet" Target="worksheets/sheet39.xml" /><Relationship Id="rId109" Type="http://schemas.openxmlformats.org/officeDocument/2006/relationships/worksheet" Target="worksheets/sheet109.xml" /><Relationship Id="rId34" Type="http://schemas.openxmlformats.org/officeDocument/2006/relationships/worksheet" Target="worksheets/sheet34.xml" /><Relationship Id="rId50" Type="http://schemas.openxmlformats.org/officeDocument/2006/relationships/worksheet" Target="worksheets/sheet50.xml" /><Relationship Id="rId55" Type="http://schemas.openxmlformats.org/officeDocument/2006/relationships/worksheet" Target="worksheets/sheet55.xml" /><Relationship Id="rId76" Type="http://schemas.openxmlformats.org/officeDocument/2006/relationships/worksheet" Target="worksheets/sheet76.xml" /><Relationship Id="rId97" Type="http://schemas.openxmlformats.org/officeDocument/2006/relationships/worksheet" Target="worksheets/sheet97.xml" /><Relationship Id="rId104" Type="http://schemas.openxmlformats.org/officeDocument/2006/relationships/worksheet" Target="worksheets/sheet104.xml" /><Relationship Id="rId120" Type="http://schemas.openxmlformats.org/officeDocument/2006/relationships/worksheet" Target="worksheets/sheet120.xml" /><Relationship Id="rId125" Type="http://schemas.openxmlformats.org/officeDocument/2006/relationships/worksheet" Target="worksheets/sheet125.xml" /><Relationship Id="rId141" Type="http://schemas.openxmlformats.org/officeDocument/2006/relationships/worksheet" Target="worksheets/sheet141.xml" /><Relationship Id="rId146" Type="http://schemas.openxmlformats.org/officeDocument/2006/relationships/worksheet" Target="worksheets/sheet146.xml" /><Relationship Id="rId167" Type="http://schemas.openxmlformats.org/officeDocument/2006/relationships/worksheet" Target="worksheets/sheet167.xml" /><Relationship Id="rId7" Type="http://schemas.openxmlformats.org/officeDocument/2006/relationships/worksheet" Target="worksheets/sheet7.xml" /><Relationship Id="rId71" Type="http://schemas.openxmlformats.org/officeDocument/2006/relationships/worksheet" Target="worksheets/sheet71.xml" /><Relationship Id="rId92" Type="http://schemas.openxmlformats.org/officeDocument/2006/relationships/worksheet" Target="worksheets/sheet92.xml" /><Relationship Id="rId162" Type="http://schemas.openxmlformats.org/officeDocument/2006/relationships/worksheet" Target="worksheets/sheet162.xml" /><Relationship Id="rId2" Type="http://schemas.openxmlformats.org/officeDocument/2006/relationships/worksheet" Target="worksheets/sheet2.xml" /><Relationship Id="rId29" Type="http://schemas.openxmlformats.org/officeDocument/2006/relationships/worksheet" Target="worksheets/sheet29.xml" /><Relationship Id="rId24" Type="http://schemas.openxmlformats.org/officeDocument/2006/relationships/worksheet" Target="worksheets/sheet24.xml" /><Relationship Id="rId40" Type="http://schemas.openxmlformats.org/officeDocument/2006/relationships/worksheet" Target="worksheets/sheet40.xml" /><Relationship Id="rId45" Type="http://schemas.openxmlformats.org/officeDocument/2006/relationships/worksheet" Target="worksheets/sheet45.xml" /><Relationship Id="rId66" Type="http://schemas.openxmlformats.org/officeDocument/2006/relationships/worksheet" Target="worksheets/sheet66.xml" /><Relationship Id="rId87" Type="http://schemas.openxmlformats.org/officeDocument/2006/relationships/worksheet" Target="worksheets/sheet87.xml" /><Relationship Id="rId110" Type="http://schemas.openxmlformats.org/officeDocument/2006/relationships/worksheet" Target="worksheets/sheet110.xml" /><Relationship Id="rId115" Type="http://schemas.openxmlformats.org/officeDocument/2006/relationships/worksheet" Target="worksheets/sheet115.xml" /><Relationship Id="rId131" Type="http://schemas.openxmlformats.org/officeDocument/2006/relationships/worksheet" Target="worksheets/sheet131.xml" /><Relationship Id="rId136" Type="http://schemas.openxmlformats.org/officeDocument/2006/relationships/worksheet" Target="worksheets/sheet136.xml" /><Relationship Id="rId157" Type="http://schemas.openxmlformats.org/officeDocument/2006/relationships/worksheet" Target="worksheets/sheet157.xml" /><Relationship Id="rId178" Type="http://schemas.openxmlformats.org/officeDocument/2006/relationships/worksheet" Target="worksheets/sheet178.xml" /><Relationship Id="rId61" Type="http://schemas.openxmlformats.org/officeDocument/2006/relationships/worksheet" Target="worksheets/sheet61.xml" /><Relationship Id="rId82" Type="http://schemas.openxmlformats.org/officeDocument/2006/relationships/worksheet" Target="worksheets/sheet82.xml" /><Relationship Id="rId152" Type="http://schemas.openxmlformats.org/officeDocument/2006/relationships/worksheet" Target="worksheets/sheet152.xml" /><Relationship Id="rId173" Type="http://schemas.openxmlformats.org/officeDocument/2006/relationships/worksheet" Target="worksheets/sheet173.xml" /><Relationship Id="rId19" Type="http://schemas.openxmlformats.org/officeDocument/2006/relationships/worksheet" Target="worksheets/sheet19.xml" /><Relationship Id="rId14" Type="http://schemas.openxmlformats.org/officeDocument/2006/relationships/worksheet" Target="worksheets/sheet14.xml" /><Relationship Id="rId30" Type="http://schemas.openxmlformats.org/officeDocument/2006/relationships/worksheet" Target="worksheets/sheet30.xml" /><Relationship Id="rId35" Type="http://schemas.openxmlformats.org/officeDocument/2006/relationships/worksheet" Target="worksheets/sheet35.xml" /><Relationship Id="rId56" Type="http://schemas.openxmlformats.org/officeDocument/2006/relationships/worksheet" Target="worksheets/sheet56.xml" /><Relationship Id="rId77" Type="http://schemas.openxmlformats.org/officeDocument/2006/relationships/worksheet" Target="worksheets/sheet77.xml" /><Relationship Id="rId100" Type="http://schemas.openxmlformats.org/officeDocument/2006/relationships/worksheet" Target="worksheets/sheet100.xml" /><Relationship Id="rId105" Type="http://schemas.openxmlformats.org/officeDocument/2006/relationships/worksheet" Target="worksheets/sheet105.xml" /><Relationship Id="rId126" Type="http://schemas.openxmlformats.org/officeDocument/2006/relationships/worksheet" Target="worksheets/sheet126.xml" /><Relationship Id="rId147" Type="http://schemas.openxmlformats.org/officeDocument/2006/relationships/worksheet" Target="worksheets/sheet147.xml" /><Relationship Id="rId168" Type="http://schemas.openxmlformats.org/officeDocument/2006/relationships/worksheet" Target="worksheets/sheet168.xml" /><Relationship Id="rId8" Type="http://schemas.openxmlformats.org/officeDocument/2006/relationships/worksheet" Target="worksheets/sheet8.xml" /><Relationship Id="rId51" Type="http://schemas.openxmlformats.org/officeDocument/2006/relationships/worksheet" Target="worksheets/sheet51.xml" /><Relationship Id="rId72" Type="http://schemas.openxmlformats.org/officeDocument/2006/relationships/worksheet" Target="worksheets/sheet72.xml" /><Relationship Id="rId93" Type="http://schemas.openxmlformats.org/officeDocument/2006/relationships/worksheet" Target="worksheets/sheet93.xml" /><Relationship Id="rId98" Type="http://schemas.openxmlformats.org/officeDocument/2006/relationships/worksheet" Target="worksheets/sheet98.xml" /><Relationship Id="rId121" Type="http://schemas.openxmlformats.org/officeDocument/2006/relationships/worksheet" Target="worksheets/sheet121.xml" /><Relationship Id="rId142" Type="http://schemas.openxmlformats.org/officeDocument/2006/relationships/worksheet" Target="worksheets/sheet142.xml" /><Relationship Id="rId163" Type="http://schemas.openxmlformats.org/officeDocument/2006/relationships/worksheet" Target="worksheets/sheet163.xml" /><Relationship Id="rId3" Type="http://schemas.openxmlformats.org/officeDocument/2006/relationships/worksheet" Target="worksheets/sheet3.xml" /><Relationship Id="rId25" Type="http://schemas.openxmlformats.org/officeDocument/2006/relationships/worksheet" Target="worksheets/sheet25.xml" /><Relationship Id="rId46" Type="http://schemas.openxmlformats.org/officeDocument/2006/relationships/worksheet" Target="worksheets/sheet46.xml" /><Relationship Id="rId67" Type="http://schemas.openxmlformats.org/officeDocument/2006/relationships/worksheet" Target="worksheets/sheet67.xml" /><Relationship Id="rId116" Type="http://schemas.openxmlformats.org/officeDocument/2006/relationships/worksheet" Target="worksheets/sheet116.xml" /><Relationship Id="rId137" Type="http://schemas.openxmlformats.org/officeDocument/2006/relationships/worksheet" Target="worksheets/sheet137.xml" /><Relationship Id="rId158" Type="http://schemas.openxmlformats.org/officeDocument/2006/relationships/worksheet" Target="worksheets/sheet158.xml" /><Relationship Id="rId20" Type="http://schemas.openxmlformats.org/officeDocument/2006/relationships/worksheet" Target="worksheets/sheet20.xml" /><Relationship Id="rId41" Type="http://schemas.openxmlformats.org/officeDocument/2006/relationships/worksheet" Target="worksheets/sheet41.xml" /><Relationship Id="rId62" Type="http://schemas.openxmlformats.org/officeDocument/2006/relationships/worksheet" Target="worksheets/sheet62.xml" /><Relationship Id="rId83" Type="http://schemas.openxmlformats.org/officeDocument/2006/relationships/worksheet" Target="worksheets/sheet83.xml" /><Relationship Id="rId88" Type="http://schemas.openxmlformats.org/officeDocument/2006/relationships/worksheet" Target="worksheets/sheet88.xml" /><Relationship Id="rId111" Type="http://schemas.openxmlformats.org/officeDocument/2006/relationships/worksheet" Target="worksheets/sheet111.xml" /><Relationship Id="rId132" Type="http://schemas.openxmlformats.org/officeDocument/2006/relationships/worksheet" Target="worksheets/sheet132.xml" /><Relationship Id="rId153" Type="http://schemas.openxmlformats.org/officeDocument/2006/relationships/worksheet" Target="worksheets/sheet153.xml" /><Relationship Id="rId174" Type="http://schemas.openxmlformats.org/officeDocument/2006/relationships/worksheet" Target="worksheets/sheet174.xml" /><Relationship Id="rId179" Type="http://schemas.openxmlformats.org/officeDocument/2006/relationships/theme" Target="theme/theme1.xml" /><Relationship Id="rId15" Type="http://schemas.openxmlformats.org/officeDocument/2006/relationships/worksheet" Target="worksheets/sheet15.xml" /><Relationship Id="rId36" Type="http://schemas.openxmlformats.org/officeDocument/2006/relationships/worksheet" Target="worksheets/sheet36.xml" /><Relationship Id="rId57" Type="http://schemas.openxmlformats.org/officeDocument/2006/relationships/worksheet" Target="worksheets/sheet57.xml" /><Relationship Id="rId106" Type="http://schemas.openxmlformats.org/officeDocument/2006/relationships/worksheet" Target="worksheets/sheet106.xml" /><Relationship Id="rId127" Type="http://schemas.openxmlformats.org/officeDocument/2006/relationships/worksheet" Target="worksheets/sheet127.xml" /><Relationship Id="rId10" Type="http://schemas.openxmlformats.org/officeDocument/2006/relationships/worksheet" Target="worksheets/sheet10.xml" /><Relationship Id="rId31" Type="http://schemas.openxmlformats.org/officeDocument/2006/relationships/worksheet" Target="worksheets/sheet31.xml" /><Relationship Id="rId52" Type="http://schemas.openxmlformats.org/officeDocument/2006/relationships/worksheet" Target="worksheets/sheet52.xml" /><Relationship Id="rId73" Type="http://schemas.openxmlformats.org/officeDocument/2006/relationships/worksheet" Target="worksheets/sheet73.xml" /><Relationship Id="rId78" Type="http://schemas.openxmlformats.org/officeDocument/2006/relationships/worksheet" Target="worksheets/sheet78.xml" /><Relationship Id="rId94" Type="http://schemas.openxmlformats.org/officeDocument/2006/relationships/worksheet" Target="worksheets/sheet94.xml" /><Relationship Id="rId99" Type="http://schemas.openxmlformats.org/officeDocument/2006/relationships/worksheet" Target="worksheets/sheet99.xml" /><Relationship Id="rId101" Type="http://schemas.openxmlformats.org/officeDocument/2006/relationships/worksheet" Target="worksheets/sheet101.xml" /><Relationship Id="rId122" Type="http://schemas.openxmlformats.org/officeDocument/2006/relationships/worksheet" Target="worksheets/sheet122.xml" /><Relationship Id="rId143" Type="http://schemas.openxmlformats.org/officeDocument/2006/relationships/worksheet" Target="worksheets/sheet143.xml" /><Relationship Id="rId148" Type="http://schemas.openxmlformats.org/officeDocument/2006/relationships/worksheet" Target="worksheets/sheet148.xml" /><Relationship Id="rId164" Type="http://schemas.openxmlformats.org/officeDocument/2006/relationships/worksheet" Target="worksheets/sheet164.xml" /><Relationship Id="rId169" Type="http://schemas.openxmlformats.org/officeDocument/2006/relationships/worksheet" Target="worksheets/sheet169.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3A5F"/>
  </sheetPr>
  <dimension ref="A1:H195"/>
  <sheetViews>
    <sheetView showGridLines="0" tabSelected="1" zoomScaleNormal="100" workbookViewId="0">
      <pane ySplit="3" topLeftCell="A4" activePane="bottomLeft" state="frozen"/>
      <selection pane="bottomLeft"/>
    </sheetView>
  </sheetViews>
  <sheetFormatPr defaultColWidth="8.609375" defaultRowHeight="15" x14ac:dyDescent="0.2"/>
  <cols>
    <col min="1" max="1" width="4.03515625" customWidth="1"/>
    <col min="2" max="2" width="37.93359375" customWidth="1"/>
    <col min="3" max="3" width="43.98828125" customWidth="1"/>
    <col min="4" max="4" width="32.015625" customWidth="1"/>
    <col min="5" max="5" width="11.02734375" customWidth="1"/>
    <col min="6" max="6" width="48.0234375" customWidth="1"/>
    <col min="7" max="7" width="37.93359375" customWidth="1"/>
    <col min="8" max="8" width="4.03515625" customWidth="1"/>
  </cols>
  <sheetData>
    <row r="1" spans="1:8" ht="25.5" customHeight="1" x14ac:dyDescent="0.25">
      <c r="A1" s="2" t="s">
        <v>5541</v>
      </c>
      <c r="B1" s="3"/>
      <c r="C1" s="3"/>
      <c r="D1" s="3"/>
      <c r="E1" s="3"/>
      <c r="F1" s="3"/>
      <c r="G1" s="4"/>
      <c r="H1" s="4"/>
    </row>
    <row r="2" spans="1:8" ht="15" customHeight="1" x14ac:dyDescent="0.2">
      <c r="A2" s="5" t="s">
        <v>5542</v>
      </c>
      <c r="B2" s="6"/>
      <c r="C2" s="6"/>
      <c r="D2" s="6"/>
      <c r="E2" s="6"/>
      <c r="F2" s="6"/>
      <c r="G2" s="4"/>
      <c r="H2" s="4"/>
    </row>
    <row r="3" spans="1:8" ht="18" customHeight="1" x14ac:dyDescent="0.2">
      <c r="A3" s="7" t="s">
        <v>0</v>
      </c>
      <c r="B3" s="7" t="s">
        <v>1</v>
      </c>
      <c r="C3" s="7" t="s">
        <v>2</v>
      </c>
      <c r="D3" s="7" t="s">
        <v>3</v>
      </c>
      <c r="E3" s="7" t="s">
        <v>4</v>
      </c>
      <c r="F3" s="7" t="s">
        <v>5</v>
      </c>
      <c r="G3" s="4"/>
      <c r="H3" s="4"/>
    </row>
    <row r="4" spans="1:8" ht="19.5" customHeight="1" x14ac:dyDescent="0.2">
      <c r="A4" s="8" t="s">
        <v>6</v>
      </c>
      <c r="B4" s="8"/>
      <c r="C4" s="8"/>
      <c r="D4" s="8"/>
      <c r="E4" s="8"/>
      <c r="F4" s="8"/>
      <c r="G4" s="4"/>
      <c r="H4" s="4"/>
    </row>
    <row r="5" spans="1:8" ht="21.75" customHeight="1" x14ac:dyDescent="0.2">
      <c r="A5" s="9" t="s">
        <v>0</v>
      </c>
      <c r="B5" s="10" t="s">
        <v>7</v>
      </c>
      <c r="C5" s="11" t="s">
        <v>8</v>
      </c>
      <c r="D5" s="12" t="s">
        <v>9</v>
      </c>
      <c r="E5" s="13" t="s">
        <v>10</v>
      </c>
      <c r="F5" s="14" t="s">
        <v>11</v>
      </c>
      <c r="G5" s="4"/>
      <c r="H5" s="4"/>
    </row>
    <row r="6" spans="1:8" ht="15.75" customHeight="1" x14ac:dyDescent="0.2">
      <c r="A6" s="4"/>
      <c r="B6" s="15" t="s">
        <v>12</v>
      </c>
      <c r="C6" s="16" t="s">
        <v>13</v>
      </c>
      <c r="D6" s="4"/>
      <c r="E6" s="4"/>
      <c r="F6" s="4"/>
      <c r="G6" s="4"/>
      <c r="H6" s="4"/>
    </row>
    <row r="7" spans="1:8" ht="15.75" customHeight="1" x14ac:dyDescent="0.2">
      <c r="A7" s="4"/>
      <c r="B7" s="15" t="s">
        <v>14</v>
      </c>
      <c r="C7" s="16" t="s">
        <v>15</v>
      </c>
      <c r="D7" s="4"/>
      <c r="E7" s="4"/>
      <c r="F7" s="4"/>
      <c r="G7" s="4"/>
      <c r="H7" s="4"/>
    </row>
    <row r="8" spans="1:8" ht="15.75" customHeight="1" x14ac:dyDescent="0.2">
      <c r="A8" s="4"/>
      <c r="B8" s="15" t="s">
        <v>16</v>
      </c>
      <c r="C8" s="16" t="s">
        <v>17</v>
      </c>
      <c r="D8" s="4"/>
      <c r="E8" s="4"/>
      <c r="F8" s="4"/>
      <c r="G8" s="4"/>
      <c r="H8" s="4"/>
    </row>
    <row r="9" spans="1:8" ht="15.75" customHeight="1" x14ac:dyDescent="0.2">
      <c r="A9" s="4"/>
      <c r="B9" s="15" t="s">
        <v>18</v>
      </c>
      <c r="C9" s="16" t="s">
        <v>19</v>
      </c>
      <c r="D9" s="4"/>
      <c r="E9" s="4"/>
      <c r="F9" s="4"/>
      <c r="G9" s="4"/>
      <c r="H9" s="4"/>
    </row>
    <row r="10" spans="1:8" ht="19.5" customHeight="1" x14ac:dyDescent="0.2">
      <c r="A10" s="17" t="s">
        <v>20</v>
      </c>
      <c r="B10" s="17"/>
      <c r="C10" s="17"/>
      <c r="D10" s="17"/>
      <c r="E10" s="17"/>
      <c r="F10" s="17"/>
      <c r="G10" s="4"/>
      <c r="H10" s="4"/>
    </row>
    <row r="11" spans="1:8" ht="21.75" customHeight="1" x14ac:dyDescent="0.2">
      <c r="A11" s="9" t="s">
        <v>0</v>
      </c>
      <c r="B11" s="10" t="s">
        <v>21</v>
      </c>
      <c r="C11" s="11" t="s">
        <v>22</v>
      </c>
      <c r="D11" s="12" t="s">
        <v>23</v>
      </c>
      <c r="E11" s="13" t="s">
        <v>10</v>
      </c>
      <c r="F11" s="14" t="s">
        <v>24</v>
      </c>
      <c r="G11" s="4"/>
      <c r="H11" s="4"/>
    </row>
    <row r="12" spans="1:8" ht="21.75" customHeight="1" x14ac:dyDescent="0.2">
      <c r="A12" s="9" t="s">
        <v>0</v>
      </c>
      <c r="B12" s="10" t="s">
        <v>25</v>
      </c>
      <c r="C12" s="11" t="s">
        <v>26</v>
      </c>
      <c r="D12" s="12" t="s">
        <v>27</v>
      </c>
      <c r="E12" s="13" t="s">
        <v>10</v>
      </c>
      <c r="F12" s="14" t="s">
        <v>28</v>
      </c>
      <c r="G12" s="4"/>
      <c r="H12" s="4"/>
    </row>
    <row r="13" spans="1:8" ht="21.75" customHeight="1" x14ac:dyDescent="0.2">
      <c r="A13" s="9" t="s">
        <v>0</v>
      </c>
      <c r="B13" s="10" t="s">
        <v>29</v>
      </c>
      <c r="C13" s="11" t="s">
        <v>30</v>
      </c>
      <c r="D13" s="12" t="s">
        <v>31</v>
      </c>
      <c r="E13" s="13" t="s">
        <v>10</v>
      </c>
      <c r="F13" s="14" t="s">
        <v>32</v>
      </c>
      <c r="G13" s="4"/>
      <c r="H13" s="4"/>
    </row>
    <row r="14" spans="1:8" ht="21.75" customHeight="1" x14ac:dyDescent="0.2">
      <c r="A14" s="9" t="s">
        <v>0</v>
      </c>
      <c r="B14" s="10" t="s">
        <v>33</v>
      </c>
      <c r="C14" s="11" t="s">
        <v>34</v>
      </c>
      <c r="D14" s="12" t="s">
        <v>35</v>
      </c>
      <c r="E14" s="13" t="s">
        <v>10</v>
      </c>
      <c r="F14" s="14" t="s">
        <v>36</v>
      </c>
      <c r="G14" s="4"/>
      <c r="H14" s="4"/>
    </row>
    <row r="15" spans="1:8" ht="21.75" customHeight="1" x14ac:dyDescent="0.2">
      <c r="A15" s="9" t="s">
        <v>0</v>
      </c>
      <c r="B15" s="10" t="s">
        <v>37</v>
      </c>
      <c r="C15" s="11" t="s">
        <v>38</v>
      </c>
      <c r="D15" s="12" t="s">
        <v>39</v>
      </c>
      <c r="E15" s="13" t="s">
        <v>10</v>
      </c>
      <c r="F15" s="14" t="s">
        <v>40</v>
      </c>
      <c r="G15" s="4"/>
      <c r="H15" s="4"/>
    </row>
    <row r="16" spans="1:8" ht="21.75" customHeight="1" x14ac:dyDescent="0.2">
      <c r="A16" s="9" t="s">
        <v>0</v>
      </c>
      <c r="B16" s="10" t="s">
        <v>41</v>
      </c>
      <c r="C16" s="11" t="s">
        <v>42</v>
      </c>
      <c r="D16" s="12" t="s">
        <v>43</v>
      </c>
      <c r="E16" s="18" t="s">
        <v>10</v>
      </c>
      <c r="F16" s="14" t="s">
        <v>5564</v>
      </c>
      <c r="G16" s="4"/>
      <c r="H16" s="4"/>
    </row>
    <row r="17" spans="1:8" ht="21.75" customHeight="1" x14ac:dyDescent="0.2">
      <c r="A17" s="9" t="s">
        <v>0</v>
      </c>
      <c r="B17" s="10" t="s">
        <v>44</v>
      </c>
      <c r="C17" s="11" t="s">
        <v>45</v>
      </c>
      <c r="D17" s="12" t="s">
        <v>46</v>
      </c>
      <c r="E17" s="13" t="s">
        <v>10</v>
      </c>
      <c r="F17" s="14" t="s">
        <v>47</v>
      </c>
      <c r="G17" s="4"/>
      <c r="H17" s="4"/>
    </row>
    <row r="18" spans="1:8" ht="21.75" customHeight="1" x14ac:dyDescent="0.2">
      <c r="A18" s="9" t="s">
        <v>0</v>
      </c>
      <c r="B18" s="10" t="s">
        <v>48</v>
      </c>
      <c r="C18" s="11" t="s">
        <v>49</v>
      </c>
      <c r="D18" s="12" t="s">
        <v>50</v>
      </c>
      <c r="E18" s="13" t="s">
        <v>10</v>
      </c>
      <c r="F18" s="14" t="s">
        <v>51</v>
      </c>
      <c r="G18" s="4"/>
      <c r="H18" s="4"/>
    </row>
    <row r="19" spans="1:8" ht="21.75" customHeight="1" x14ac:dyDescent="0.2">
      <c r="A19" s="9" t="s">
        <v>0</v>
      </c>
      <c r="B19" s="10" t="s">
        <v>52</v>
      </c>
      <c r="C19" s="11" t="s">
        <v>53</v>
      </c>
      <c r="D19" s="12" t="s">
        <v>54</v>
      </c>
      <c r="E19" s="13" t="s">
        <v>10</v>
      </c>
      <c r="F19" s="14" t="s">
        <v>36</v>
      </c>
      <c r="G19" s="4"/>
      <c r="H19" s="4"/>
    </row>
    <row r="20" spans="1:8" ht="21.75" customHeight="1" x14ac:dyDescent="0.2">
      <c r="A20" s="9" t="s">
        <v>0</v>
      </c>
      <c r="B20" s="10" t="s">
        <v>55</v>
      </c>
      <c r="C20" s="11" t="s">
        <v>56</v>
      </c>
      <c r="D20" s="12" t="s">
        <v>57</v>
      </c>
      <c r="E20" s="13" t="s">
        <v>10</v>
      </c>
      <c r="F20" s="14" t="s">
        <v>58</v>
      </c>
      <c r="G20" s="4"/>
      <c r="H20" s="4"/>
    </row>
    <row r="21" spans="1:8" ht="21.75" customHeight="1" x14ac:dyDescent="0.2">
      <c r="A21" s="9" t="s">
        <v>0</v>
      </c>
      <c r="B21" s="10" t="s">
        <v>59</v>
      </c>
      <c r="C21" s="11" t="s">
        <v>60</v>
      </c>
      <c r="D21" s="12" t="s">
        <v>61</v>
      </c>
      <c r="E21" s="13" t="s">
        <v>10</v>
      </c>
      <c r="F21" s="14" t="s">
        <v>36</v>
      </c>
      <c r="G21" s="4"/>
      <c r="H21" s="4"/>
    </row>
    <row r="22" spans="1:8" ht="21.75" customHeight="1" x14ac:dyDescent="0.2">
      <c r="A22" s="9" t="s">
        <v>0</v>
      </c>
      <c r="B22" s="10" t="s">
        <v>62</v>
      </c>
      <c r="C22" s="11" t="s">
        <v>63</v>
      </c>
      <c r="D22" s="12" t="s">
        <v>64</v>
      </c>
      <c r="E22" s="13" t="s">
        <v>10</v>
      </c>
      <c r="F22" s="14" t="s">
        <v>65</v>
      </c>
      <c r="G22" s="4"/>
      <c r="H22" s="4"/>
    </row>
    <row r="23" spans="1:8" ht="21.75" customHeight="1" x14ac:dyDescent="0.2">
      <c r="A23" s="9" t="s">
        <v>0</v>
      </c>
      <c r="B23" s="10" t="s">
        <v>66</v>
      </c>
      <c r="C23" s="11" t="s">
        <v>67</v>
      </c>
      <c r="D23" s="12" t="s">
        <v>68</v>
      </c>
      <c r="E23" s="13" t="s">
        <v>10</v>
      </c>
      <c r="F23" s="14" t="s">
        <v>36</v>
      </c>
      <c r="G23" s="4"/>
      <c r="H23" s="4"/>
    </row>
    <row r="24" spans="1:8" ht="21.75" customHeight="1" x14ac:dyDescent="0.2">
      <c r="A24" s="9" t="s">
        <v>0</v>
      </c>
      <c r="B24" s="10" t="s">
        <v>69</v>
      </c>
      <c r="C24" s="11" t="s">
        <v>70</v>
      </c>
      <c r="D24" s="12" t="s">
        <v>71</v>
      </c>
      <c r="E24" s="13" t="s">
        <v>10</v>
      </c>
      <c r="F24" s="14" t="s">
        <v>36</v>
      </c>
      <c r="G24" s="4"/>
      <c r="H24" s="4"/>
    </row>
    <row r="25" spans="1:8" ht="21.75" customHeight="1" x14ac:dyDescent="0.2">
      <c r="A25" s="19" t="s">
        <v>72</v>
      </c>
      <c r="B25" s="10" t="s">
        <v>73</v>
      </c>
      <c r="C25" s="11" t="s">
        <v>74</v>
      </c>
      <c r="D25" s="12" t="s">
        <v>43</v>
      </c>
      <c r="E25" s="18" t="s">
        <v>10</v>
      </c>
      <c r="F25" s="14" t="s">
        <v>5563</v>
      </c>
      <c r="G25" s="4"/>
      <c r="H25" s="4"/>
    </row>
    <row r="26" spans="1:8" ht="19.5" customHeight="1" x14ac:dyDescent="0.2">
      <c r="A26" s="20" t="s">
        <v>75</v>
      </c>
      <c r="B26" s="20"/>
      <c r="C26" s="20"/>
      <c r="D26" s="20"/>
      <c r="E26" s="20"/>
      <c r="F26" s="20"/>
      <c r="G26" s="4"/>
      <c r="H26" s="4"/>
    </row>
    <row r="27" spans="1:8" ht="21.75" customHeight="1" x14ac:dyDescent="0.2">
      <c r="A27" s="9" t="s">
        <v>0</v>
      </c>
      <c r="B27" s="10" t="s">
        <v>76</v>
      </c>
      <c r="C27" s="11" t="s">
        <v>77</v>
      </c>
      <c r="D27" s="12" t="s">
        <v>78</v>
      </c>
      <c r="E27" s="13" t="s">
        <v>10</v>
      </c>
      <c r="F27" s="14" t="s">
        <v>36</v>
      </c>
      <c r="G27" s="4"/>
      <c r="H27" s="4"/>
    </row>
    <row r="28" spans="1:8" ht="21.75" customHeight="1" x14ac:dyDescent="0.2">
      <c r="A28" s="9" t="s">
        <v>0</v>
      </c>
      <c r="B28" s="10" t="s">
        <v>79</v>
      </c>
      <c r="C28" s="11" t="s">
        <v>80</v>
      </c>
      <c r="D28" s="12" t="s">
        <v>81</v>
      </c>
      <c r="E28" s="13" t="s">
        <v>10</v>
      </c>
      <c r="F28" s="14" t="s">
        <v>82</v>
      </c>
      <c r="G28" s="4"/>
      <c r="H28" s="4"/>
    </row>
    <row r="29" spans="1:8" ht="21.75" customHeight="1" x14ac:dyDescent="0.2">
      <c r="A29" s="9" t="s">
        <v>0</v>
      </c>
      <c r="B29" s="10" t="s">
        <v>83</v>
      </c>
      <c r="C29" s="11" t="s">
        <v>84</v>
      </c>
      <c r="D29" s="12" t="s">
        <v>85</v>
      </c>
      <c r="E29" s="13" t="s">
        <v>10</v>
      </c>
      <c r="F29" s="14" t="s">
        <v>36</v>
      </c>
      <c r="G29" s="4"/>
      <c r="H29" s="4"/>
    </row>
    <row r="30" spans="1:8" ht="21.75" customHeight="1" x14ac:dyDescent="0.2">
      <c r="A30" s="9" t="s">
        <v>0</v>
      </c>
      <c r="B30" s="10" t="s">
        <v>86</v>
      </c>
      <c r="C30" s="11" t="s">
        <v>87</v>
      </c>
      <c r="D30" s="12" t="s">
        <v>88</v>
      </c>
      <c r="E30" s="13" t="s">
        <v>10</v>
      </c>
      <c r="F30" s="14" t="s">
        <v>36</v>
      </c>
      <c r="G30" s="4"/>
      <c r="H30" s="4"/>
    </row>
    <row r="31" spans="1:8" ht="21.75" customHeight="1" x14ac:dyDescent="0.2">
      <c r="A31" s="9" t="s">
        <v>0</v>
      </c>
      <c r="B31" s="10" t="s">
        <v>89</v>
      </c>
      <c r="C31" s="11" t="s">
        <v>90</v>
      </c>
      <c r="D31" s="12" t="s">
        <v>91</v>
      </c>
      <c r="E31" s="13" t="s">
        <v>10</v>
      </c>
      <c r="F31" s="14" t="s">
        <v>92</v>
      </c>
      <c r="G31" s="4"/>
      <c r="H31" s="4"/>
    </row>
    <row r="32" spans="1:8" ht="21.75" customHeight="1" x14ac:dyDescent="0.2">
      <c r="A32" s="9" t="s">
        <v>0</v>
      </c>
      <c r="B32" s="10" t="s">
        <v>93</v>
      </c>
      <c r="C32" s="11" t="s">
        <v>94</v>
      </c>
      <c r="D32" s="12" t="s">
        <v>95</v>
      </c>
      <c r="E32" s="13" t="s">
        <v>10</v>
      </c>
      <c r="F32" s="14" t="s">
        <v>36</v>
      </c>
      <c r="G32" s="4"/>
      <c r="H32" s="4"/>
    </row>
    <row r="33" spans="1:8" ht="21.75" customHeight="1" x14ac:dyDescent="0.2">
      <c r="A33" s="9" t="s">
        <v>0</v>
      </c>
      <c r="B33" s="10" t="s">
        <v>96</v>
      </c>
      <c r="C33" s="11" t="s">
        <v>97</v>
      </c>
      <c r="D33" s="12" t="s">
        <v>98</v>
      </c>
      <c r="E33" s="13" t="s">
        <v>10</v>
      </c>
      <c r="F33" s="14" t="s">
        <v>36</v>
      </c>
      <c r="G33" s="4"/>
      <c r="H33" s="4"/>
    </row>
    <row r="34" spans="1:8" ht="21.75" customHeight="1" x14ac:dyDescent="0.2">
      <c r="A34" s="9" t="s">
        <v>0</v>
      </c>
      <c r="B34" s="10" t="s">
        <v>99</v>
      </c>
      <c r="C34" s="11" t="s">
        <v>100</v>
      </c>
      <c r="D34" s="12" t="s">
        <v>101</v>
      </c>
      <c r="E34" s="21" t="s">
        <v>102</v>
      </c>
      <c r="F34" s="14" t="s">
        <v>103</v>
      </c>
      <c r="G34" s="4"/>
      <c r="H34" s="4"/>
    </row>
    <row r="35" spans="1:8" ht="19.5" customHeight="1" x14ac:dyDescent="0.2">
      <c r="A35" s="22" t="s">
        <v>104</v>
      </c>
      <c r="B35" s="22"/>
      <c r="C35" s="22"/>
      <c r="D35" s="22"/>
      <c r="E35" s="22"/>
      <c r="F35" s="22"/>
      <c r="G35" s="4"/>
      <c r="H35" s="4"/>
    </row>
    <row r="36" spans="1:8" ht="21.75" customHeight="1" x14ac:dyDescent="0.2">
      <c r="A36" s="9" t="s">
        <v>0</v>
      </c>
      <c r="B36" s="10" t="s">
        <v>105</v>
      </c>
      <c r="C36" s="11" t="s">
        <v>106</v>
      </c>
      <c r="D36" s="12" t="s">
        <v>107</v>
      </c>
      <c r="E36" s="13" t="s">
        <v>10</v>
      </c>
      <c r="F36" s="14" t="s">
        <v>108</v>
      </c>
      <c r="G36" s="4"/>
      <c r="H36" s="4"/>
    </row>
    <row r="37" spans="1:8" ht="21.75" customHeight="1" x14ac:dyDescent="0.2">
      <c r="A37" s="9" t="s">
        <v>0</v>
      </c>
      <c r="B37" s="10" t="s">
        <v>109</v>
      </c>
      <c r="C37" s="11" t="s">
        <v>110</v>
      </c>
      <c r="D37" s="12" t="s">
        <v>111</v>
      </c>
      <c r="E37" s="13" t="s">
        <v>10</v>
      </c>
      <c r="F37" s="14" t="s">
        <v>112</v>
      </c>
      <c r="G37" s="4"/>
      <c r="H37" s="4"/>
    </row>
    <row r="38" spans="1:8" ht="21.75" customHeight="1" x14ac:dyDescent="0.2">
      <c r="A38" s="9" t="s">
        <v>0</v>
      </c>
      <c r="B38" s="10" t="s">
        <v>113</v>
      </c>
      <c r="C38" s="11" t="s">
        <v>114</v>
      </c>
      <c r="D38" s="12" t="s">
        <v>115</v>
      </c>
      <c r="E38" s="13" t="s">
        <v>10</v>
      </c>
      <c r="F38" s="14" t="s">
        <v>36</v>
      </c>
      <c r="G38" s="4"/>
      <c r="H38" s="4"/>
    </row>
    <row r="39" spans="1:8" ht="21.75" customHeight="1" x14ac:dyDescent="0.2">
      <c r="A39" s="9" t="s">
        <v>0</v>
      </c>
      <c r="B39" s="10" t="s">
        <v>116</v>
      </c>
      <c r="C39" s="11" t="s">
        <v>117</v>
      </c>
      <c r="D39" s="12" t="s">
        <v>115</v>
      </c>
      <c r="E39" s="13" t="s">
        <v>10</v>
      </c>
      <c r="F39" s="14" t="s">
        <v>36</v>
      </c>
      <c r="G39" s="4"/>
      <c r="H39" s="4"/>
    </row>
    <row r="40" spans="1:8" ht="21.75" customHeight="1" x14ac:dyDescent="0.2">
      <c r="A40" s="9" t="s">
        <v>0</v>
      </c>
      <c r="B40" s="10" t="s">
        <v>118</v>
      </c>
      <c r="C40" s="11" t="s">
        <v>119</v>
      </c>
      <c r="D40" s="12" t="s">
        <v>120</v>
      </c>
      <c r="E40" s="13" t="s">
        <v>10</v>
      </c>
      <c r="F40" s="14" t="s">
        <v>36</v>
      </c>
      <c r="G40" s="4"/>
      <c r="H40" s="4"/>
    </row>
    <row r="41" spans="1:8" ht="21.75" customHeight="1" x14ac:dyDescent="0.2">
      <c r="A41" s="9" t="s">
        <v>0</v>
      </c>
      <c r="B41" s="10" t="s">
        <v>121</v>
      </c>
      <c r="C41" s="11" t="s">
        <v>122</v>
      </c>
      <c r="D41" s="12" t="s">
        <v>120</v>
      </c>
      <c r="E41" s="13" t="s">
        <v>10</v>
      </c>
      <c r="F41" s="14" t="s">
        <v>36</v>
      </c>
      <c r="G41" s="4"/>
      <c r="H41" s="4"/>
    </row>
    <row r="42" spans="1:8" ht="21.75" customHeight="1" x14ac:dyDescent="0.2">
      <c r="A42" s="9" t="s">
        <v>0</v>
      </c>
      <c r="B42" s="10" t="s">
        <v>123</v>
      </c>
      <c r="C42" s="11" t="s">
        <v>124</v>
      </c>
      <c r="D42" s="12" t="s">
        <v>125</v>
      </c>
      <c r="E42" s="13" t="s">
        <v>10</v>
      </c>
      <c r="F42" s="14" t="s">
        <v>126</v>
      </c>
      <c r="G42" s="4"/>
      <c r="H42" s="4"/>
    </row>
    <row r="43" spans="1:8" ht="21.75" customHeight="1" x14ac:dyDescent="0.2">
      <c r="A43" s="9" t="s">
        <v>0</v>
      </c>
      <c r="B43" s="10" t="s">
        <v>127</v>
      </c>
      <c r="C43" s="11" t="s">
        <v>128</v>
      </c>
      <c r="D43" s="12" t="s">
        <v>129</v>
      </c>
      <c r="E43" s="13" t="s">
        <v>10</v>
      </c>
      <c r="F43" s="14" t="s">
        <v>36</v>
      </c>
      <c r="G43" s="4"/>
      <c r="H43" s="4"/>
    </row>
    <row r="44" spans="1:8" ht="19.5" customHeight="1" x14ac:dyDescent="0.2">
      <c r="A44" s="23" t="s">
        <v>130</v>
      </c>
      <c r="B44" s="23"/>
      <c r="C44" s="23"/>
      <c r="D44" s="23"/>
      <c r="E44" s="23"/>
      <c r="F44" s="23"/>
      <c r="G44" s="4"/>
      <c r="H44" s="4"/>
    </row>
    <row r="45" spans="1:8" ht="21.75" customHeight="1" x14ac:dyDescent="0.2">
      <c r="A45" s="9" t="s">
        <v>0</v>
      </c>
      <c r="B45" s="10" t="s">
        <v>131</v>
      </c>
      <c r="C45" s="11" t="s">
        <v>132</v>
      </c>
      <c r="D45" s="12" t="s">
        <v>133</v>
      </c>
      <c r="E45" s="13" t="s">
        <v>10</v>
      </c>
      <c r="F45" s="14" t="s">
        <v>36</v>
      </c>
      <c r="G45" s="4"/>
      <c r="H45" s="4"/>
    </row>
    <row r="46" spans="1:8" ht="21.75" customHeight="1" x14ac:dyDescent="0.2">
      <c r="A46" s="9" t="s">
        <v>0</v>
      </c>
      <c r="B46" s="10" t="s">
        <v>134</v>
      </c>
      <c r="C46" s="11" t="s">
        <v>135</v>
      </c>
      <c r="D46" s="12" t="s">
        <v>136</v>
      </c>
      <c r="E46" s="13" t="s">
        <v>10</v>
      </c>
      <c r="F46" s="14" t="s">
        <v>36</v>
      </c>
      <c r="G46" s="4"/>
      <c r="H46" s="4"/>
    </row>
    <row r="47" spans="1:8" ht="21.75" customHeight="1" x14ac:dyDescent="0.2">
      <c r="A47" s="9" t="s">
        <v>0</v>
      </c>
      <c r="B47" s="10" t="s">
        <v>137</v>
      </c>
      <c r="C47" s="11" t="s">
        <v>138</v>
      </c>
      <c r="D47" s="12" t="s">
        <v>139</v>
      </c>
      <c r="E47" s="13" t="s">
        <v>10</v>
      </c>
      <c r="F47" s="14" t="s">
        <v>36</v>
      </c>
      <c r="G47" s="4"/>
      <c r="H47" s="4"/>
    </row>
    <row r="48" spans="1:8" ht="21.75" customHeight="1" x14ac:dyDescent="0.2">
      <c r="A48" s="9" t="s">
        <v>0</v>
      </c>
      <c r="B48" s="10" t="s">
        <v>140</v>
      </c>
      <c r="C48" s="11" t="s">
        <v>141</v>
      </c>
      <c r="D48" s="12" t="s">
        <v>142</v>
      </c>
      <c r="E48" s="13" t="s">
        <v>10</v>
      </c>
      <c r="F48" s="14" t="s">
        <v>36</v>
      </c>
      <c r="G48" s="4"/>
      <c r="H48" s="4"/>
    </row>
    <row r="49" spans="1:8" ht="21.75" customHeight="1" x14ac:dyDescent="0.2">
      <c r="A49" s="9" t="s">
        <v>0</v>
      </c>
      <c r="B49" s="10" t="s">
        <v>143</v>
      </c>
      <c r="C49" s="11" t="s">
        <v>144</v>
      </c>
      <c r="D49" s="12" t="s">
        <v>145</v>
      </c>
      <c r="E49" s="13" t="s">
        <v>10</v>
      </c>
      <c r="F49" s="14" t="s">
        <v>36</v>
      </c>
      <c r="G49" s="4"/>
      <c r="H49" s="4"/>
    </row>
    <row r="50" spans="1:8" ht="19.5" customHeight="1" x14ac:dyDescent="0.2">
      <c r="A50" s="24" t="s">
        <v>146</v>
      </c>
      <c r="B50" s="24"/>
      <c r="C50" s="24"/>
      <c r="D50" s="24"/>
      <c r="E50" s="24"/>
      <c r="F50" s="24"/>
      <c r="G50" s="4"/>
      <c r="H50" s="4"/>
    </row>
    <row r="51" spans="1:8" ht="21.75" customHeight="1" x14ac:dyDescent="0.2">
      <c r="A51" s="9" t="s">
        <v>0</v>
      </c>
      <c r="B51" s="10" t="s">
        <v>147</v>
      </c>
      <c r="C51" s="11" t="s">
        <v>148</v>
      </c>
      <c r="D51" s="12" t="s">
        <v>149</v>
      </c>
      <c r="E51" s="13" t="s">
        <v>10</v>
      </c>
      <c r="F51" s="14" t="s">
        <v>150</v>
      </c>
      <c r="G51" s="4"/>
      <c r="H51" s="4"/>
    </row>
    <row r="52" spans="1:8" ht="21.75" customHeight="1" x14ac:dyDescent="0.2">
      <c r="A52" s="9" t="s">
        <v>0</v>
      </c>
      <c r="B52" s="10" t="s">
        <v>151</v>
      </c>
      <c r="C52" s="11" t="s">
        <v>152</v>
      </c>
      <c r="D52" s="12" t="s">
        <v>149</v>
      </c>
      <c r="E52" s="13" t="s">
        <v>10</v>
      </c>
      <c r="F52" s="14" t="s">
        <v>153</v>
      </c>
      <c r="G52" s="4"/>
      <c r="H52" s="4"/>
    </row>
    <row r="53" spans="1:8" ht="21.75" customHeight="1" x14ac:dyDescent="0.2">
      <c r="A53" s="9" t="s">
        <v>0</v>
      </c>
      <c r="B53" s="10" t="s">
        <v>154</v>
      </c>
      <c r="C53" s="11" t="s">
        <v>155</v>
      </c>
      <c r="D53" s="12" t="s">
        <v>156</v>
      </c>
      <c r="E53" s="13" t="s">
        <v>10</v>
      </c>
      <c r="F53" s="14" t="s">
        <v>36</v>
      </c>
      <c r="G53" s="4"/>
      <c r="H53" s="4"/>
    </row>
    <row r="54" spans="1:8" ht="21.75" customHeight="1" x14ac:dyDescent="0.2">
      <c r="A54" s="9" t="s">
        <v>0</v>
      </c>
      <c r="B54" s="10" t="s">
        <v>157</v>
      </c>
      <c r="C54" s="11" t="s">
        <v>158</v>
      </c>
      <c r="D54" s="12" t="s">
        <v>159</v>
      </c>
      <c r="E54" s="13" t="s">
        <v>10</v>
      </c>
      <c r="F54" s="14" t="s">
        <v>160</v>
      </c>
      <c r="G54" s="4"/>
      <c r="H54" s="4"/>
    </row>
    <row r="55" spans="1:8" ht="21.75" customHeight="1" x14ac:dyDescent="0.2">
      <c r="A55" s="9" t="s">
        <v>0</v>
      </c>
      <c r="B55" s="10" t="s">
        <v>161</v>
      </c>
      <c r="C55" s="11" t="s">
        <v>162</v>
      </c>
      <c r="D55" s="12" t="s">
        <v>163</v>
      </c>
      <c r="E55" s="13" t="s">
        <v>10</v>
      </c>
      <c r="F55" s="14" t="s">
        <v>36</v>
      </c>
      <c r="G55" s="4"/>
      <c r="H55" s="4"/>
    </row>
    <row r="56" spans="1:8" ht="21.75" customHeight="1" x14ac:dyDescent="0.2">
      <c r="A56" s="9" t="s">
        <v>0</v>
      </c>
      <c r="B56" s="10" t="s">
        <v>164</v>
      </c>
      <c r="C56" s="11" t="s">
        <v>165</v>
      </c>
      <c r="D56" s="12" t="s">
        <v>127</v>
      </c>
      <c r="E56" s="13" t="s">
        <v>10</v>
      </c>
      <c r="F56" s="14" t="s">
        <v>36</v>
      </c>
      <c r="G56" s="4"/>
      <c r="H56" s="4"/>
    </row>
    <row r="57" spans="1:8" ht="21.75" customHeight="1" x14ac:dyDescent="0.2">
      <c r="A57" s="9" t="s">
        <v>0</v>
      </c>
      <c r="B57" s="10" t="s">
        <v>166</v>
      </c>
      <c r="C57" s="11" t="s">
        <v>167</v>
      </c>
      <c r="D57" s="12" t="s">
        <v>168</v>
      </c>
      <c r="E57" s="13" t="s">
        <v>10</v>
      </c>
      <c r="F57" s="14" t="s">
        <v>36</v>
      </c>
      <c r="G57" s="4"/>
      <c r="H57" s="4"/>
    </row>
    <row r="58" spans="1:8" ht="21.75" customHeight="1" x14ac:dyDescent="0.2">
      <c r="A58" s="9" t="s">
        <v>0</v>
      </c>
      <c r="B58" s="10" t="s">
        <v>169</v>
      </c>
      <c r="C58" s="11" t="s">
        <v>170</v>
      </c>
      <c r="D58" s="12" t="s">
        <v>171</v>
      </c>
      <c r="E58" s="13" t="s">
        <v>10</v>
      </c>
      <c r="F58" s="14" t="s">
        <v>36</v>
      </c>
      <c r="G58" s="4"/>
      <c r="H58" s="4"/>
    </row>
    <row r="59" spans="1:8" ht="21.75" customHeight="1" x14ac:dyDescent="0.2">
      <c r="A59" s="9" t="s">
        <v>0</v>
      </c>
      <c r="B59" s="10" t="s">
        <v>172</v>
      </c>
      <c r="C59" s="11" t="s">
        <v>173</v>
      </c>
      <c r="D59" s="12" t="s">
        <v>174</v>
      </c>
      <c r="E59" s="13" t="s">
        <v>10</v>
      </c>
      <c r="F59" s="14" t="s">
        <v>36</v>
      </c>
      <c r="G59" s="4"/>
      <c r="H59" s="4"/>
    </row>
    <row r="60" spans="1:8" ht="21.75" customHeight="1" x14ac:dyDescent="0.2">
      <c r="A60" s="9" t="s">
        <v>0</v>
      </c>
      <c r="B60" s="10" t="s">
        <v>175</v>
      </c>
      <c r="C60" s="11" t="s">
        <v>176</v>
      </c>
      <c r="D60" s="12" t="s">
        <v>149</v>
      </c>
      <c r="E60" s="13" t="s">
        <v>10</v>
      </c>
      <c r="F60" s="14" t="s">
        <v>36</v>
      </c>
      <c r="G60" s="4"/>
      <c r="H60" s="4"/>
    </row>
    <row r="61" spans="1:8" ht="21.75" customHeight="1" x14ac:dyDescent="0.2">
      <c r="A61" s="19" t="s">
        <v>72</v>
      </c>
      <c r="B61" s="10" t="s">
        <v>177</v>
      </c>
      <c r="C61" s="11" t="s">
        <v>178</v>
      </c>
      <c r="D61" s="12" t="s">
        <v>149</v>
      </c>
      <c r="E61" s="18" t="s">
        <v>179</v>
      </c>
      <c r="F61" s="14" t="s">
        <v>180</v>
      </c>
      <c r="G61" s="4"/>
      <c r="H61" s="4"/>
    </row>
    <row r="62" spans="1:8" ht="21.75" customHeight="1" x14ac:dyDescent="0.2">
      <c r="A62" s="19" t="s">
        <v>72</v>
      </c>
      <c r="B62" s="10" t="s">
        <v>181</v>
      </c>
      <c r="C62" s="11" t="s">
        <v>182</v>
      </c>
      <c r="D62" s="12" t="s">
        <v>99</v>
      </c>
      <c r="E62" s="21" t="s">
        <v>102</v>
      </c>
      <c r="F62" s="14" t="s">
        <v>183</v>
      </c>
      <c r="G62" s="4"/>
      <c r="H62" s="4"/>
    </row>
    <row r="63" spans="1:8" ht="19.5" customHeight="1" x14ac:dyDescent="0.2">
      <c r="A63" s="20" t="s">
        <v>184</v>
      </c>
      <c r="B63" s="20"/>
      <c r="C63" s="20"/>
      <c r="D63" s="20"/>
      <c r="E63" s="20"/>
      <c r="F63" s="20"/>
      <c r="G63" s="4"/>
      <c r="H63" s="4"/>
    </row>
    <row r="64" spans="1:8" ht="19.5" customHeight="1" x14ac:dyDescent="0.2">
      <c r="A64" s="25" t="s">
        <v>185</v>
      </c>
      <c r="B64" s="18" t="s">
        <v>186</v>
      </c>
      <c r="C64" s="26" t="s">
        <v>187</v>
      </c>
      <c r="D64" s="27"/>
      <c r="E64" s="27"/>
      <c r="F64" s="27"/>
      <c r="G64" s="4"/>
      <c r="H64" s="4"/>
    </row>
    <row r="65" spans="1:8" ht="19.5" customHeight="1" x14ac:dyDescent="0.2">
      <c r="A65" s="25" t="s">
        <v>185</v>
      </c>
      <c r="B65" s="18" t="s">
        <v>188</v>
      </c>
      <c r="C65" s="26" t="s">
        <v>189</v>
      </c>
      <c r="D65" s="27"/>
      <c r="E65" s="27"/>
      <c r="F65" s="27"/>
      <c r="G65" s="4"/>
      <c r="H65" s="4"/>
    </row>
    <row r="66" spans="1:8" ht="19.5" customHeight="1" x14ac:dyDescent="0.2">
      <c r="A66" s="25" t="s">
        <v>185</v>
      </c>
      <c r="B66" s="18" t="s">
        <v>190</v>
      </c>
      <c r="C66" s="26" t="s">
        <v>191</v>
      </c>
      <c r="D66" s="27"/>
      <c r="E66" s="27"/>
      <c r="F66" s="27"/>
      <c r="G66" s="4"/>
      <c r="H66" s="4"/>
    </row>
    <row r="67" spans="1:8" ht="19.5" customHeight="1" x14ac:dyDescent="0.2">
      <c r="A67" s="25" t="s">
        <v>185</v>
      </c>
      <c r="B67" s="18" t="s">
        <v>192</v>
      </c>
      <c r="C67" s="26" t="s">
        <v>193</v>
      </c>
      <c r="D67" s="27"/>
      <c r="E67" s="27"/>
      <c r="F67" s="27"/>
      <c r="G67" s="4"/>
      <c r="H67" s="4"/>
    </row>
    <row r="68" spans="1:8" ht="19.5" customHeight="1" x14ac:dyDescent="0.2">
      <c r="A68" s="25" t="s">
        <v>185</v>
      </c>
      <c r="B68" s="18" t="s">
        <v>194</v>
      </c>
      <c r="C68" s="26" t="s">
        <v>195</v>
      </c>
      <c r="D68" s="27"/>
      <c r="E68" s="27"/>
      <c r="F68" s="27"/>
      <c r="G68" s="4"/>
      <c r="H68" s="4"/>
    </row>
    <row r="69" spans="1:8" ht="19.5" customHeight="1" x14ac:dyDescent="0.2">
      <c r="A69" s="25" t="s">
        <v>185</v>
      </c>
      <c r="B69" s="18" t="s">
        <v>196</v>
      </c>
      <c r="C69" s="26" t="s">
        <v>197</v>
      </c>
      <c r="D69" s="27"/>
      <c r="E69" s="27"/>
      <c r="F69" s="27"/>
      <c r="G69" s="4"/>
      <c r="H69" s="4"/>
    </row>
    <row r="70" spans="1:8" ht="15.75" customHeight="1" x14ac:dyDescent="0.2">
      <c r="A70" s="4"/>
      <c r="B70" s="28" t="s">
        <v>198</v>
      </c>
      <c r="C70" s="4"/>
      <c r="D70" s="4"/>
      <c r="E70" s="4"/>
      <c r="F70" s="4"/>
      <c r="G70" s="4"/>
      <c r="H70" s="4"/>
    </row>
    <row r="71" spans="1:8" ht="15.75" customHeight="1" x14ac:dyDescent="0.2">
      <c r="A71" s="4"/>
      <c r="B71" s="28" t="s">
        <v>198</v>
      </c>
      <c r="C71" s="4"/>
      <c r="D71" s="4"/>
      <c r="E71" s="4"/>
      <c r="F71" s="4"/>
      <c r="G71" s="4"/>
      <c r="H71" s="4"/>
    </row>
    <row r="72" spans="1:8" ht="15.75" customHeight="1" x14ac:dyDescent="0.2">
      <c r="A72" s="4"/>
      <c r="B72" s="28" t="s">
        <v>198</v>
      </c>
      <c r="C72" s="4"/>
      <c r="D72" s="4"/>
      <c r="E72" s="4"/>
      <c r="F72" s="4"/>
      <c r="G72" s="4"/>
      <c r="H72" s="4"/>
    </row>
    <row r="73" spans="1:8" ht="15.75" customHeight="1" x14ac:dyDescent="0.2">
      <c r="A73" s="4"/>
      <c r="B73" s="28" t="s">
        <v>198</v>
      </c>
      <c r="C73" s="4"/>
      <c r="D73" s="4"/>
      <c r="E73" s="4"/>
      <c r="F73" s="4"/>
      <c r="G73" s="4"/>
      <c r="H73" s="4"/>
    </row>
    <row r="74" spans="1:8" ht="15.75" customHeight="1" x14ac:dyDescent="0.2">
      <c r="A74" s="4"/>
      <c r="B74" s="28" t="s">
        <v>198</v>
      </c>
      <c r="C74" s="4"/>
      <c r="D74" s="4"/>
      <c r="E74" s="4"/>
      <c r="F74" s="4"/>
      <c r="G74" s="4"/>
      <c r="H74" s="4"/>
    </row>
    <row r="75" spans="1:8" ht="15.75" customHeight="1" x14ac:dyDescent="0.2">
      <c r="A75" s="4"/>
      <c r="B75" s="28" t="s">
        <v>198</v>
      </c>
      <c r="C75" s="4"/>
      <c r="D75" s="4"/>
      <c r="E75" s="4"/>
      <c r="F75" s="4"/>
      <c r="G75" s="4"/>
      <c r="H75" s="4"/>
    </row>
    <row r="76" spans="1:8" ht="15.75" customHeight="1" x14ac:dyDescent="0.2">
      <c r="A76" s="4"/>
      <c r="B76" s="28" t="s">
        <v>198</v>
      </c>
      <c r="C76" s="4"/>
      <c r="D76" s="4"/>
      <c r="E76" s="4"/>
      <c r="F76" s="4"/>
      <c r="G76" s="4"/>
      <c r="H76" s="4"/>
    </row>
    <row r="77" spans="1:8" ht="15.75" customHeight="1" x14ac:dyDescent="0.2">
      <c r="A77" s="4"/>
      <c r="B77" s="28" t="s">
        <v>198</v>
      </c>
      <c r="C77" s="4"/>
      <c r="D77" s="4"/>
      <c r="E77" s="4"/>
      <c r="F77" s="4"/>
      <c r="G77" s="4"/>
      <c r="H77" s="4"/>
    </row>
    <row r="78" spans="1:8" ht="15.75" customHeight="1" x14ac:dyDescent="0.2">
      <c r="A78" s="4"/>
      <c r="B78" s="28" t="s">
        <v>198</v>
      </c>
      <c r="C78" s="4"/>
      <c r="D78" s="4"/>
      <c r="E78" s="4"/>
      <c r="F78" s="4"/>
      <c r="G78" s="4"/>
      <c r="H78" s="4"/>
    </row>
    <row r="79" spans="1:8" ht="15.75" customHeight="1" x14ac:dyDescent="0.2">
      <c r="A79" s="4"/>
      <c r="B79" s="28" t="s">
        <v>198</v>
      </c>
      <c r="C79" s="4"/>
      <c r="D79" s="4"/>
      <c r="E79" s="4"/>
      <c r="F79" s="4"/>
      <c r="G79" s="4"/>
      <c r="H79" s="4"/>
    </row>
    <row r="80" spans="1:8" ht="15.75" customHeight="1" x14ac:dyDescent="0.2">
      <c r="A80" s="4"/>
      <c r="B80" s="28" t="s">
        <v>198</v>
      </c>
      <c r="C80" s="4"/>
      <c r="D80" s="4"/>
      <c r="E80" s="4"/>
      <c r="F80" s="4"/>
      <c r="G80" s="4"/>
      <c r="H80" s="4"/>
    </row>
    <row r="81" spans="1:8" ht="15.75" customHeight="1" x14ac:dyDescent="0.2">
      <c r="A81" s="4"/>
      <c r="B81" s="28" t="s">
        <v>198</v>
      </c>
      <c r="C81" s="4"/>
      <c r="D81" s="4"/>
      <c r="E81" s="4"/>
      <c r="F81" s="4"/>
      <c r="G81" s="4"/>
      <c r="H81" s="4"/>
    </row>
    <row r="82" spans="1:8" ht="15.75" customHeight="1" x14ac:dyDescent="0.2">
      <c r="A82" s="4"/>
      <c r="B82" s="28" t="s">
        <v>198</v>
      </c>
      <c r="C82" s="4"/>
      <c r="D82" s="4"/>
      <c r="E82" s="4"/>
      <c r="F82" s="4"/>
      <c r="G82" s="4"/>
      <c r="H82" s="4"/>
    </row>
    <row r="83" spans="1:8" ht="15.75" customHeight="1" x14ac:dyDescent="0.2">
      <c r="A83" s="4"/>
      <c r="B83" s="28" t="s">
        <v>198</v>
      </c>
      <c r="C83" s="4"/>
      <c r="D83" s="4"/>
      <c r="E83" s="4"/>
      <c r="F83" s="4"/>
      <c r="G83" s="4"/>
      <c r="H83" s="4"/>
    </row>
    <row r="84" spans="1:8" ht="15.75" customHeight="1" x14ac:dyDescent="0.2">
      <c r="A84" s="4"/>
      <c r="B84" s="28" t="s">
        <v>198</v>
      </c>
      <c r="C84" s="4"/>
      <c r="D84" s="4"/>
      <c r="E84" s="4"/>
      <c r="F84" s="4"/>
      <c r="G84" s="4"/>
      <c r="H84" s="4"/>
    </row>
    <row r="85" spans="1:8" ht="15.75" customHeight="1" x14ac:dyDescent="0.2">
      <c r="A85" s="4"/>
      <c r="B85" s="28" t="s">
        <v>198</v>
      </c>
      <c r="C85" s="4"/>
      <c r="D85" s="4"/>
      <c r="E85" s="4"/>
      <c r="F85" s="4"/>
      <c r="G85" s="4"/>
      <c r="H85" s="4"/>
    </row>
    <row r="86" spans="1:8" ht="15.75" customHeight="1" x14ac:dyDescent="0.2">
      <c r="A86" s="4"/>
      <c r="B86" s="28" t="s">
        <v>198</v>
      </c>
      <c r="C86" s="4"/>
      <c r="D86" s="4"/>
      <c r="E86" s="4"/>
      <c r="F86" s="4"/>
      <c r="G86" s="4"/>
      <c r="H86" s="4"/>
    </row>
    <row r="87" spans="1:8" ht="15.75" customHeight="1" x14ac:dyDescent="0.2">
      <c r="A87" s="4"/>
      <c r="B87" s="28" t="s">
        <v>198</v>
      </c>
      <c r="C87" s="4"/>
      <c r="D87" s="4"/>
      <c r="E87" s="4"/>
      <c r="F87" s="4"/>
      <c r="G87" s="4"/>
      <c r="H87" s="4"/>
    </row>
    <row r="88" spans="1:8" ht="15.75" customHeight="1" x14ac:dyDescent="0.2">
      <c r="A88" s="4"/>
      <c r="B88" s="28" t="s">
        <v>198</v>
      </c>
      <c r="C88" s="4"/>
      <c r="D88" s="4"/>
      <c r="E88" s="4"/>
      <c r="F88" s="4"/>
      <c r="G88" s="4"/>
      <c r="H88" s="4"/>
    </row>
    <row r="89" spans="1:8" ht="15.75" customHeight="1" x14ac:dyDescent="0.2">
      <c r="A89" s="4"/>
      <c r="B89" s="28" t="s">
        <v>198</v>
      </c>
      <c r="C89" s="4"/>
      <c r="D89" s="4"/>
      <c r="E89" s="4"/>
      <c r="F89" s="4"/>
      <c r="G89" s="4"/>
      <c r="H89" s="4"/>
    </row>
    <row r="90" spans="1:8" ht="15.75" customHeight="1" x14ac:dyDescent="0.2">
      <c r="A90" s="4"/>
      <c r="B90" s="28" t="s">
        <v>198</v>
      </c>
      <c r="C90" s="4"/>
      <c r="D90" s="4"/>
      <c r="E90" s="4"/>
      <c r="F90" s="4"/>
      <c r="G90" s="4"/>
      <c r="H90" s="4"/>
    </row>
    <row r="91" spans="1:8" ht="15.75" customHeight="1" x14ac:dyDescent="0.2">
      <c r="A91" s="4"/>
      <c r="B91" s="28" t="s">
        <v>198</v>
      </c>
      <c r="C91" s="4"/>
      <c r="D91" s="4"/>
      <c r="E91" s="4"/>
      <c r="F91" s="4"/>
      <c r="G91" s="4"/>
      <c r="H91" s="4"/>
    </row>
    <row r="92" spans="1:8" ht="15.75" customHeight="1" x14ac:dyDescent="0.2">
      <c r="A92" s="4"/>
      <c r="B92" s="28" t="s">
        <v>198</v>
      </c>
      <c r="C92" s="4"/>
      <c r="D92" s="4"/>
      <c r="E92" s="4"/>
      <c r="F92" s="4"/>
      <c r="G92" s="4"/>
      <c r="H92" s="4"/>
    </row>
    <row r="93" spans="1:8" ht="15.75" customHeight="1" x14ac:dyDescent="0.2">
      <c r="A93" s="4"/>
      <c r="B93" s="28" t="s">
        <v>198</v>
      </c>
      <c r="C93" s="4"/>
      <c r="D93" s="4"/>
      <c r="E93" s="4"/>
      <c r="F93" s="4"/>
      <c r="G93" s="4"/>
      <c r="H93" s="4"/>
    </row>
    <row r="94" spans="1:8" ht="15.75" customHeight="1" x14ac:dyDescent="0.2">
      <c r="A94" s="4"/>
      <c r="B94" s="28" t="s">
        <v>198</v>
      </c>
      <c r="C94" s="4"/>
      <c r="D94" s="4"/>
      <c r="E94" s="4"/>
      <c r="F94" s="4"/>
      <c r="G94" s="4"/>
      <c r="H94" s="4"/>
    </row>
    <row r="95" spans="1:8" ht="15.75" customHeight="1" x14ac:dyDescent="0.2">
      <c r="A95" s="4"/>
      <c r="B95" s="28" t="s">
        <v>198</v>
      </c>
      <c r="C95" s="4"/>
      <c r="D95" s="4"/>
      <c r="E95" s="4"/>
      <c r="F95" s="4"/>
      <c r="G95" s="4"/>
      <c r="H95" s="4"/>
    </row>
    <row r="96" spans="1:8" ht="15.75" customHeight="1" x14ac:dyDescent="0.2">
      <c r="A96" s="4"/>
      <c r="B96" s="28" t="s">
        <v>198</v>
      </c>
      <c r="C96" s="4"/>
      <c r="D96" s="4"/>
      <c r="E96" s="4"/>
      <c r="F96" s="4"/>
      <c r="G96" s="4"/>
      <c r="H96" s="4"/>
    </row>
    <row r="97" spans="1:8" ht="15.75" customHeight="1" x14ac:dyDescent="0.2">
      <c r="A97" s="4"/>
      <c r="B97" s="28" t="s">
        <v>198</v>
      </c>
      <c r="C97" s="4"/>
      <c r="D97" s="4"/>
      <c r="E97" s="4"/>
      <c r="F97" s="4"/>
      <c r="G97" s="4"/>
      <c r="H97" s="4"/>
    </row>
    <row r="98" spans="1:8" ht="15.75" customHeight="1" x14ac:dyDescent="0.2">
      <c r="A98" s="4"/>
      <c r="B98" s="28" t="s">
        <v>198</v>
      </c>
      <c r="C98" s="4"/>
      <c r="D98" s="4"/>
      <c r="E98" s="4"/>
      <c r="F98" s="4"/>
      <c r="G98" s="4"/>
      <c r="H98" s="4"/>
    </row>
    <row r="99" spans="1:8" ht="15.75" customHeight="1" x14ac:dyDescent="0.2">
      <c r="A99" s="4"/>
      <c r="B99" s="28" t="s">
        <v>198</v>
      </c>
      <c r="C99" s="4"/>
      <c r="D99" s="4"/>
      <c r="E99" s="4"/>
      <c r="F99" s="4"/>
      <c r="G99" s="4"/>
      <c r="H99" s="4"/>
    </row>
    <row r="100" spans="1:8" ht="15.75" customHeight="1" x14ac:dyDescent="0.2">
      <c r="A100" s="4"/>
      <c r="B100" s="28" t="s">
        <v>198</v>
      </c>
      <c r="C100" s="4"/>
      <c r="D100" s="4"/>
      <c r="E100" s="4"/>
      <c r="F100" s="4"/>
      <c r="G100" s="4"/>
      <c r="H100" s="4"/>
    </row>
    <row r="101" spans="1:8" ht="15.75" customHeight="1" x14ac:dyDescent="0.2">
      <c r="A101" s="4"/>
      <c r="B101" s="28" t="s">
        <v>198</v>
      </c>
      <c r="C101" s="4"/>
      <c r="D101" s="4"/>
      <c r="E101" s="4"/>
      <c r="F101" s="4"/>
      <c r="G101" s="4"/>
      <c r="H101" s="4"/>
    </row>
    <row r="102" spans="1:8" ht="19.5" customHeight="1" x14ac:dyDescent="0.2">
      <c r="A102" s="4"/>
      <c r="B102" s="4"/>
      <c r="C102" s="4"/>
      <c r="D102" s="4"/>
      <c r="E102" s="4"/>
      <c r="F102" s="4"/>
      <c r="G102" s="4"/>
      <c r="H102" s="4"/>
    </row>
    <row r="103" spans="1:8" ht="15.75" customHeight="1" x14ac:dyDescent="0.2">
      <c r="A103" s="4"/>
      <c r="B103" s="4"/>
      <c r="C103" s="4"/>
      <c r="D103" s="4"/>
      <c r="E103" s="4"/>
      <c r="F103" s="4"/>
      <c r="G103" s="4"/>
      <c r="H103" s="4"/>
    </row>
    <row r="104" spans="1:8" ht="15.75" customHeight="1" x14ac:dyDescent="0.2">
      <c r="A104" s="4"/>
      <c r="B104" s="28" t="s">
        <v>198</v>
      </c>
      <c r="C104" s="4"/>
      <c r="D104" s="4"/>
      <c r="E104" s="4"/>
      <c r="F104" s="4"/>
      <c r="G104" s="4"/>
      <c r="H104" s="4"/>
    </row>
    <row r="105" spans="1:8" ht="15.75" customHeight="1" x14ac:dyDescent="0.2">
      <c r="A105" s="4"/>
      <c r="B105" s="28" t="s">
        <v>198</v>
      </c>
      <c r="C105" s="4"/>
      <c r="D105" s="4"/>
      <c r="E105" s="4"/>
      <c r="F105" s="4"/>
      <c r="G105" s="4"/>
      <c r="H105" s="4"/>
    </row>
    <row r="106" spans="1:8" ht="15.75" customHeight="1" x14ac:dyDescent="0.2">
      <c r="A106" s="4"/>
      <c r="B106" s="28" t="s">
        <v>198</v>
      </c>
      <c r="C106" s="4"/>
      <c r="D106" s="4"/>
      <c r="E106" s="4"/>
      <c r="F106" s="4"/>
      <c r="G106" s="4"/>
      <c r="H106" s="4"/>
    </row>
    <row r="107" spans="1:8" ht="15.75" customHeight="1" x14ac:dyDescent="0.2">
      <c r="A107" s="4"/>
      <c r="B107" s="28" t="s">
        <v>198</v>
      </c>
      <c r="C107" s="4"/>
      <c r="D107" s="4"/>
      <c r="E107" s="4"/>
      <c r="F107" s="4"/>
      <c r="G107" s="4"/>
      <c r="H107" s="4"/>
    </row>
    <row r="108" spans="1:8" ht="15.75" customHeight="1" x14ac:dyDescent="0.2">
      <c r="A108" s="4"/>
      <c r="B108" s="28" t="s">
        <v>198</v>
      </c>
      <c r="C108" s="4"/>
      <c r="D108" s="4"/>
      <c r="E108" s="4"/>
      <c r="F108" s="4"/>
      <c r="G108" s="4"/>
      <c r="H108" s="4"/>
    </row>
    <row r="109" spans="1:8" ht="15.75" customHeight="1" x14ac:dyDescent="0.2">
      <c r="A109" s="4"/>
      <c r="B109" s="28" t="s">
        <v>198</v>
      </c>
      <c r="C109" s="4"/>
      <c r="D109" s="4"/>
      <c r="E109" s="4"/>
      <c r="F109" s="4"/>
      <c r="G109" s="4"/>
      <c r="H109" s="4"/>
    </row>
    <row r="110" spans="1:8" ht="15.75" customHeight="1" x14ac:dyDescent="0.2">
      <c r="A110" s="4"/>
      <c r="B110" s="28" t="s">
        <v>198</v>
      </c>
      <c r="C110" s="4"/>
      <c r="D110" s="4"/>
      <c r="E110" s="4"/>
      <c r="F110" s="4"/>
      <c r="G110" s="4"/>
      <c r="H110" s="4"/>
    </row>
    <row r="111" spans="1:8" ht="15.75" customHeight="1" x14ac:dyDescent="0.2">
      <c r="A111" s="4"/>
      <c r="B111" s="28" t="s">
        <v>198</v>
      </c>
      <c r="C111" s="4"/>
      <c r="D111" s="4"/>
      <c r="E111" s="4"/>
      <c r="F111" s="4"/>
      <c r="G111" s="4"/>
      <c r="H111" s="4"/>
    </row>
    <row r="112" spans="1:8" ht="19.5" customHeight="1" x14ac:dyDescent="0.2">
      <c r="A112" s="4"/>
      <c r="B112" s="4"/>
      <c r="C112" s="4"/>
      <c r="D112" s="4"/>
      <c r="E112" s="4"/>
      <c r="F112" s="4"/>
      <c r="G112" s="4"/>
      <c r="H112" s="4"/>
    </row>
    <row r="113" spans="1:8" ht="15.75" customHeight="1" x14ac:dyDescent="0.2">
      <c r="A113" s="4"/>
      <c r="B113" s="28" t="s">
        <v>198</v>
      </c>
      <c r="C113" s="4"/>
      <c r="D113" s="4"/>
      <c r="E113" s="4"/>
      <c r="F113" s="4"/>
      <c r="G113" s="4"/>
      <c r="H113" s="4"/>
    </row>
    <row r="114" spans="1:8" ht="15.75" customHeight="1" x14ac:dyDescent="0.2">
      <c r="A114" s="4"/>
      <c r="B114" s="4"/>
      <c r="C114" s="4"/>
      <c r="D114" s="4"/>
      <c r="E114" s="4"/>
      <c r="F114" s="4"/>
      <c r="G114" s="4"/>
      <c r="H114" s="4"/>
    </row>
    <row r="115" spans="1:8" ht="15.75" customHeight="1" x14ac:dyDescent="0.2">
      <c r="A115" s="4"/>
      <c r="B115" s="28" t="s">
        <v>198</v>
      </c>
      <c r="C115" s="4"/>
      <c r="D115" s="4"/>
      <c r="E115" s="4"/>
      <c r="F115" s="4"/>
      <c r="G115" s="4"/>
      <c r="H115" s="4"/>
    </row>
    <row r="116" spans="1:8" ht="15.75" customHeight="1" x14ac:dyDescent="0.2">
      <c r="A116" s="4"/>
      <c r="B116" s="28" t="s">
        <v>198</v>
      </c>
      <c r="C116" s="4"/>
      <c r="D116" s="4"/>
      <c r="E116" s="4"/>
      <c r="F116" s="4"/>
      <c r="G116" s="4"/>
      <c r="H116" s="4"/>
    </row>
    <row r="117" spans="1:8" ht="15.75" customHeight="1" x14ac:dyDescent="0.2">
      <c r="A117" s="4"/>
      <c r="B117" s="28" t="s">
        <v>198</v>
      </c>
      <c r="C117" s="4"/>
      <c r="D117" s="4"/>
      <c r="E117" s="4"/>
      <c r="F117" s="4"/>
      <c r="G117" s="4"/>
      <c r="H117" s="4"/>
    </row>
    <row r="118" spans="1:8" ht="19.5" customHeight="1" x14ac:dyDescent="0.2">
      <c r="A118" s="4"/>
      <c r="B118" s="4"/>
      <c r="C118" s="4"/>
      <c r="D118" s="4"/>
      <c r="E118" s="4"/>
      <c r="F118" s="4"/>
      <c r="G118" s="4"/>
      <c r="H118" s="4"/>
    </row>
    <row r="119" spans="1:8" ht="15.75" customHeight="1" x14ac:dyDescent="0.2">
      <c r="A119" s="4"/>
      <c r="B119" s="28" t="s">
        <v>198</v>
      </c>
      <c r="C119" s="4"/>
      <c r="D119" s="4"/>
      <c r="E119" s="4"/>
      <c r="F119" s="4"/>
      <c r="G119" s="4"/>
      <c r="H119" s="4"/>
    </row>
    <row r="120" spans="1:8" ht="15.75" customHeight="1" x14ac:dyDescent="0.2">
      <c r="A120" s="4"/>
      <c r="B120" s="4"/>
      <c r="C120" s="4"/>
      <c r="D120" s="4"/>
      <c r="E120" s="4"/>
      <c r="F120" s="4"/>
      <c r="G120" s="4"/>
      <c r="H120" s="4"/>
    </row>
    <row r="121" spans="1:8" ht="15.75" customHeight="1" x14ac:dyDescent="0.2">
      <c r="A121" s="4"/>
      <c r="B121" s="28" t="s">
        <v>198</v>
      </c>
      <c r="C121" s="4"/>
      <c r="D121" s="4"/>
      <c r="E121" s="4"/>
      <c r="F121" s="4"/>
      <c r="G121" s="4"/>
      <c r="H121" s="4"/>
    </row>
    <row r="122" spans="1:8" ht="15.75" customHeight="1" x14ac:dyDescent="0.2">
      <c r="A122" s="4"/>
      <c r="B122" s="28" t="s">
        <v>198</v>
      </c>
      <c r="C122" s="4"/>
      <c r="D122" s="4"/>
      <c r="E122" s="4"/>
      <c r="F122" s="4"/>
      <c r="G122" s="4"/>
      <c r="H122" s="4"/>
    </row>
    <row r="123" spans="1:8" ht="15.75" customHeight="1" x14ac:dyDescent="0.2">
      <c r="A123" s="4"/>
      <c r="B123" s="28" t="s">
        <v>198</v>
      </c>
      <c r="C123" s="4"/>
      <c r="D123" s="4"/>
      <c r="E123" s="4"/>
      <c r="F123" s="4"/>
      <c r="G123" s="4"/>
      <c r="H123" s="4"/>
    </row>
    <row r="124" spans="1:8" ht="15.75" customHeight="1" x14ac:dyDescent="0.2">
      <c r="A124" s="4"/>
      <c r="B124" s="28" t="s">
        <v>198</v>
      </c>
      <c r="C124" s="4"/>
      <c r="D124" s="4"/>
      <c r="E124" s="4"/>
      <c r="F124" s="4"/>
      <c r="G124" s="4"/>
      <c r="H124" s="4"/>
    </row>
    <row r="125" spans="1:8" ht="15.75" customHeight="1" x14ac:dyDescent="0.2">
      <c r="A125" s="4"/>
      <c r="B125" s="28" t="s">
        <v>198</v>
      </c>
      <c r="C125" s="4"/>
      <c r="D125" s="4"/>
      <c r="E125" s="4"/>
      <c r="F125" s="4"/>
      <c r="G125" s="4"/>
      <c r="H125" s="4"/>
    </row>
    <row r="126" spans="1:8" ht="15.75" customHeight="1" x14ac:dyDescent="0.2">
      <c r="A126" s="4"/>
      <c r="B126" s="28" t="s">
        <v>198</v>
      </c>
      <c r="C126" s="4"/>
      <c r="D126" s="4"/>
      <c r="E126" s="4"/>
      <c r="F126" s="4"/>
      <c r="G126" s="4"/>
      <c r="H126" s="4"/>
    </row>
    <row r="127" spans="1:8" ht="15.75" customHeight="1" x14ac:dyDescent="0.2">
      <c r="A127" s="4"/>
      <c r="B127" s="28" t="s">
        <v>198</v>
      </c>
      <c r="C127" s="4"/>
      <c r="D127" s="4"/>
      <c r="E127" s="4"/>
      <c r="F127" s="4"/>
      <c r="G127" s="4"/>
      <c r="H127" s="4"/>
    </row>
    <row r="128" spans="1:8" ht="15.75" customHeight="1" x14ac:dyDescent="0.2">
      <c r="A128" s="4"/>
      <c r="B128" s="28" t="s">
        <v>198</v>
      </c>
      <c r="C128" s="4"/>
      <c r="D128" s="4"/>
      <c r="E128" s="4"/>
      <c r="F128" s="4"/>
      <c r="G128" s="4"/>
      <c r="H128" s="4"/>
    </row>
    <row r="129" spans="1:8" ht="15.75" customHeight="1" x14ac:dyDescent="0.2">
      <c r="A129" s="4"/>
      <c r="B129" s="28" t="s">
        <v>198</v>
      </c>
      <c r="C129" s="4"/>
      <c r="D129" s="4"/>
      <c r="E129" s="4"/>
      <c r="F129" s="4"/>
      <c r="G129" s="4"/>
      <c r="H129" s="4"/>
    </row>
    <row r="130" spans="1:8" ht="15.75" customHeight="1" x14ac:dyDescent="0.2">
      <c r="A130" s="4"/>
      <c r="B130" s="28" t="s">
        <v>198</v>
      </c>
      <c r="C130" s="4"/>
      <c r="D130" s="4"/>
      <c r="E130" s="4"/>
      <c r="F130" s="4"/>
      <c r="G130" s="4"/>
      <c r="H130" s="4"/>
    </row>
    <row r="131" spans="1:8" ht="15.75" customHeight="1" x14ac:dyDescent="0.2">
      <c r="A131" s="4"/>
      <c r="B131" s="28" t="s">
        <v>198</v>
      </c>
      <c r="C131" s="4"/>
      <c r="D131" s="4"/>
      <c r="E131" s="4"/>
      <c r="F131" s="4"/>
      <c r="G131" s="4"/>
      <c r="H131" s="4"/>
    </row>
    <row r="132" spans="1:8" ht="19.5" customHeight="1" x14ac:dyDescent="0.2">
      <c r="A132" s="4"/>
      <c r="B132" s="4"/>
      <c r="C132" s="4"/>
      <c r="D132" s="4"/>
      <c r="E132" s="4"/>
      <c r="F132" s="4"/>
      <c r="G132" s="4"/>
      <c r="H132" s="4"/>
    </row>
    <row r="133" spans="1:8" ht="15.75" customHeight="1" x14ac:dyDescent="0.2">
      <c r="A133" s="4"/>
      <c r="B133" s="28" t="s">
        <v>198</v>
      </c>
      <c r="C133" s="4"/>
      <c r="D133" s="4"/>
      <c r="E133" s="4"/>
      <c r="F133" s="4"/>
      <c r="G133" s="4"/>
      <c r="H133" s="4"/>
    </row>
    <row r="134" spans="1:8" ht="15.75" customHeight="1" x14ac:dyDescent="0.2">
      <c r="A134" s="4"/>
      <c r="B134" s="4"/>
      <c r="C134" s="4"/>
      <c r="D134" s="4"/>
      <c r="E134" s="4"/>
      <c r="F134" s="4"/>
      <c r="G134" s="4"/>
      <c r="H134" s="4"/>
    </row>
    <row r="135" spans="1:8" ht="15.75" customHeight="1" x14ac:dyDescent="0.2">
      <c r="A135" s="4"/>
      <c r="B135" s="28" t="s">
        <v>198</v>
      </c>
      <c r="C135" s="4"/>
      <c r="D135" s="4"/>
      <c r="E135" s="4"/>
      <c r="F135" s="4"/>
      <c r="G135" s="4"/>
      <c r="H135" s="4"/>
    </row>
    <row r="136" spans="1:8" ht="15.75" customHeight="1" x14ac:dyDescent="0.2">
      <c r="A136" s="4"/>
      <c r="B136" s="28" t="s">
        <v>198</v>
      </c>
      <c r="C136" s="4"/>
      <c r="D136" s="4"/>
      <c r="E136" s="4"/>
      <c r="F136" s="4"/>
      <c r="G136" s="4"/>
      <c r="H136" s="4"/>
    </row>
    <row r="137" spans="1:8" ht="15.75" customHeight="1" x14ac:dyDescent="0.2">
      <c r="A137" s="4"/>
      <c r="B137" s="28" t="s">
        <v>198</v>
      </c>
      <c r="C137" s="4"/>
      <c r="D137" s="4"/>
      <c r="E137" s="4"/>
      <c r="F137" s="4"/>
      <c r="G137" s="4"/>
      <c r="H137" s="4"/>
    </row>
    <row r="138" spans="1:8" ht="15.75" customHeight="1" x14ac:dyDescent="0.2">
      <c r="A138" s="4"/>
      <c r="B138" s="28" t="s">
        <v>198</v>
      </c>
      <c r="C138" s="4"/>
      <c r="D138" s="4"/>
      <c r="E138" s="4"/>
      <c r="F138" s="4"/>
      <c r="G138" s="4"/>
      <c r="H138" s="4"/>
    </row>
    <row r="139" spans="1:8" ht="15.75" customHeight="1" x14ac:dyDescent="0.2">
      <c r="A139" s="4"/>
      <c r="B139" s="28" t="s">
        <v>198</v>
      </c>
      <c r="C139" s="4"/>
      <c r="D139" s="4"/>
      <c r="E139" s="4"/>
      <c r="F139" s="4"/>
      <c r="G139" s="4"/>
      <c r="H139" s="4"/>
    </row>
    <row r="140" spans="1:8" ht="15.75" customHeight="1" x14ac:dyDescent="0.2">
      <c r="A140" s="4"/>
      <c r="B140" s="28" t="s">
        <v>198</v>
      </c>
      <c r="C140" s="4"/>
      <c r="D140" s="4"/>
      <c r="E140" s="4"/>
      <c r="F140" s="4"/>
      <c r="G140" s="4"/>
      <c r="H140" s="4"/>
    </row>
    <row r="141" spans="1:8" ht="15.75" customHeight="1" x14ac:dyDescent="0.2">
      <c r="A141" s="4"/>
      <c r="B141" s="28" t="s">
        <v>198</v>
      </c>
      <c r="C141" s="4"/>
      <c r="D141" s="4"/>
      <c r="E141" s="4"/>
      <c r="F141" s="4"/>
      <c r="G141" s="4"/>
      <c r="H141" s="4"/>
    </row>
    <row r="142" spans="1:8" ht="15.75" customHeight="1" x14ac:dyDescent="0.2">
      <c r="A142" s="4"/>
      <c r="B142" s="28" t="s">
        <v>198</v>
      </c>
      <c r="C142" s="4"/>
      <c r="D142" s="4"/>
      <c r="E142" s="4"/>
      <c r="F142" s="4"/>
      <c r="G142" s="4"/>
      <c r="H142" s="4"/>
    </row>
    <row r="143" spans="1:8" ht="15.75" customHeight="1" x14ac:dyDescent="0.2">
      <c r="A143" s="4"/>
      <c r="B143" s="4"/>
      <c r="C143" s="4"/>
      <c r="D143" s="4"/>
      <c r="E143" s="4"/>
      <c r="F143" s="4"/>
      <c r="G143" s="4"/>
      <c r="H143" s="4"/>
    </row>
    <row r="144" spans="1:8" ht="21.75" customHeight="1" x14ac:dyDescent="0.2">
      <c r="A144" s="4"/>
      <c r="B144" s="4"/>
      <c r="C144" s="4"/>
      <c r="D144" s="4"/>
      <c r="E144" s="4"/>
      <c r="F144" s="4"/>
      <c r="G144" s="4"/>
      <c r="H144" s="4"/>
    </row>
    <row r="145" spans="1:8" ht="19.5" customHeight="1" x14ac:dyDescent="0.2">
      <c r="A145" s="4"/>
      <c r="B145" s="4"/>
      <c r="C145" s="4"/>
      <c r="D145" s="4"/>
      <c r="E145" s="4"/>
      <c r="F145" s="4"/>
      <c r="G145" s="4"/>
      <c r="H145" s="4"/>
    </row>
    <row r="146" spans="1:8" ht="19.5" customHeight="1" x14ac:dyDescent="0.2">
      <c r="A146" s="4"/>
      <c r="B146" s="4"/>
      <c r="C146" s="4"/>
      <c r="D146" s="4"/>
      <c r="E146" s="4"/>
      <c r="F146" s="4"/>
      <c r="G146" s="4"/>
      <c r="H146" s="4"/>
    </row>
    <row r="147" spans="1:8" ht="15.75" customHeight="1" x14ac:dyDescent="0.2">
      <c r="A147" s="4"/>
      <c r="B147" s="4"/>
      <c r="C147" s="4"/>
      <c r="D147" s="4"/>
      <c r="E147" s="4"/>
      <c r="F147" s="4"/>
      <c r="G147" s="4"/>
      <c r="H147" s="4"/>
    </row>
    <row r="148" spans="1:8" ht="15.75" customHeight="1" x14ac:dyDescent="0.2">
      <c r="A148" s="4"/>
      <c r="B148" s="4"/>
      <c r="C148" s="4"/>
      <c r="D148" s="4"/>
      <c r="E148" s="4"/>
      <c r="F148" s="4"/>
      <c r="G148" s="4"/>
      <c r="H148" s="4"/>
    </row>
    <row r="149" spans="1:8" ht="15.75" customHeight="1" x14ac:dyDescent="0.2">
      <c r="A149" s="4"/>
      <c r="B149" s="28" t="s">
        <v>198</v>
      </c>
      <c r="C149" s="4"/>
      <c r="D149" s="4"/>
      <c r="E149" s="4"/>
      <c r="F149" s="4"/>
      <c r="G149" s="4"/>
      <c r="H149" s="4"/>
    </row>
    <row r="150" spans="1:8" ht="15.75" customHeight="1" x14ac:dyDescent="0.2">
      <c r="A150" s="4"/>
      <c r="B150" s="28" t="s">
        <v>198</v>
      </c>
      <c r="C150" s="4"/>
      <c r="D150" s="4"/>
      <c r="E150" s="4"/>
      <c r="F150" s="4"/>
      <c r="G150" s="4"/>
      <c r="H150" s="4"/>
    </row>
    <row r="151" spans="1:8" ht="19.5" customHeight="1" x14ac:dyDescent="0.2">
      <c r="A151" s="4"/>
      <c r="B151" s="4"/>
      <c r="C151" s="4"/>
      <c r="D151" s="4"/>
      <c r="E151" s="4"/>
      <c r="F151" s="4"/>
      <c r="G151" s="4"/>
      <c r="H151" s="4"/>
    </row>
    <row r="152" spans="1:8" ht="15.75" customHeight="1" x14ac:dyDescent="0.2">
      <c r="A152" s="4"/>
      <c r="B152" s="4"/>
      <c r="C152" s="4"/>
      <c r="D152" s="4"/>
      <c r="E152" s="4"/>
      <c r="F152" s="4"/>
      <c r="G152" s="4"/>
      <c r="H152" s="4"/>
    </row>
    <row r="153" spans="1:8" ht="15.75" customHeight="1" x14ac:dyDescent="0.2">
      <c r="A153" s="4"/>
      <c r="B153" s="4"/>
      <c r="C153" s="4"/>
      <c r="D153" s="4"/>
      <c r="E153" s="4"/>
      <c r="F153" s="4"/>
      <c r="G153" s="4"/>
      <c r="H153" s="4"/>
    </row>
    <row r="154" spans="1:8" ht="15.75" customHeight="1" x14ac:dyDescent="0.2">
      <c r="A154" s="4"/>
      <c r="B154" s="4"/>
      <c r="C154" s="4"/>
      <c r="D154" s="4"/>
      <c r="E154" s="4"/>
      <c r="F154" s="4"/>
      <c r="G154" s="4"/>
      <c r="H154" s="4"/>
    </row>
    <row r="155" spans="1:8" ht="15.75" customHeight="1" x14ac:dyDescent="0.2">
      <c r="A155" s="4"/>
      <c r="B155" s="4"/>
      <c r="C155" s="4"/>
      <c r="D155" s="4"/>
      <c r="E155" s="4"/>
      <c r="F155" s="4"/>
      <c r="G155" s="4"/>
      <c r="H155" s="4"/>
    </row>
    <row r="156" spans="1:8" ht="15.75" customHeight="1" x14ac:dyDescent="0.2">
      <c r="A156" s="4"/>
      <c r="B156" s="4"/>
      <c r="C156" s="4"/>
      <c r="D156" s="4"/>
      <c r="E156" s="4"/>
      <c r="F156" s="4"/>
      <c r="G156" s="4"/>
      <c r="H156" s="4"/>
    </row>
    <row r="157" spans="1:8" ht="15.75" customHeight="1" x14ac:dyDescent="0.2">
      <c r="A157" s="4"/>
      <c r="B157" s="4"/>
      <c r="C157" s="4"/>
      <c r="D157" s="4"/>
      <c r="E157" s="4"/>
      <c r="F157" s="4"/>
      <c r="G157" s="4"/>
      <c r="H157" s="4"/>
    </row>
    <row r="158" spans="1:8" ht="15.75" customHeight="1" x14ac:dyDescent="0.2">
      <c r="A158" s="4"/>
      <c r="B158" s="4"/>
      <c r="C158" s="4"/>
      <c r="D158" s="4"/>
      <c r="E158" s="4"/>
      <c r="F158" s="4"/>
      <c r="G158" s="4"/>
      <c r="H158" s="4"/>
    </row>
    <row r="159" spans="1:8" ht="18" customHeight="1" x14ac:dyDescent="0.2">
      <c r="A159" s="4"/>
      <c r="B159" s="4"/>
      <c r="C159" s="4"/>
      <c r="D159" s="4"/>
      <c r="E159" s="4"/>
      <c r="F159" s="4"/>
      <c r="G159" s="4"/>
      <c r="H159" s="4"/>
    </row>
    <row r="160" spans="1:8" ht="18" customHeight="1" x14ac:dyDescent="0.2">
      <c r="A160" s="4"/>
      <c r="B160" s="4"/>
      <c r="C160" s="4"/>
      <c r="D160" s="4"/>
      <c r="E160" s="4"/>
      <c r="F160" s="4"/>
      <c r="G160" s="4"/>
      <c r="H160" s="4"/>
    </row>
    <row r="161" spans="1:8" ht="18" customHeight="1" x14ac:dyDescent="0.2">
      <c r="A161" s="4"/>
      <c r="B161" s="4"/>
      <c r="C161" s="4"/>
      <c r="D161" s="4"/>
      <c r="E161" s="4"/>
      <c r="F161" s="4"/>
      <c r="G161" s="4"/>
      <c r="H161" s="4"/>
    </row>
    <row r="162" spans="1:8" ht="18" customHeight="1" x14ac:dyDescent="0.2">
      <c r="A162" s="4"/>
      <c r="B162" s="4"/>
      <c r="C162" s="4"/>
      <c r="D162" s="4"/>
      <c r="E162" s="4"/>
      <c r="F162" s="4"/>
      <c r="G162" s="4"/>
      <c r="H162" s="4"/>
    </row>
    <row r="163" spans="1:8" ht="12" customHeight="1" x14ac:dyDescent="0.2">
      <c r="A163" s="4"/>
      <c r="B163" s="4"/>
      <c r="C163" s="4"/>
      <c r="D163" s="4"/>
      <c r="E163" s="4"/>
      <c r="F163" s="4"/>
      <c r="G163" s="4"/>
      <c r="H163" s="4"/>
    </row>
    <row r="164" spans="1:8" ht="7.5" customHeight="1" x14ac:dyDescent="0.2">
      <c r="A164" s="4"/>
      <c r="B164" s="4"/>
      <c r="C164" s="4"/>
      <c r="D164" s="4"/>
      <c r="E164" s="4"/>
      <c r="F164" s="4"/>
      <c r="G164" s="4"/>
      <c r="H164" s="4"/>
    </row>
    <row r="165" spans="1:8" ht="18" customHeight="1" x14ac:dyDescent="0.2">
      <c r="A165" s="4"/>
      <c r="B165" s="4"/>
      <c r="C165" s="4"/>
      <c r="D165" s="4"/>
      <c r="E165" s="4"/>
      <c r="F165" s="4"/>
      <c r="G165" s="4"/>
      <c r="H165" s="4"/>
    </row>
    <row r="166" spans="1:8" ht="21.75" customHeight="1" x14ac:dyDescent="0.2">
      <c r="A166" s="4"/>
      <c r="B166" s="4"/>
      <c r="C166" s="4"/>
      <c r="D166" s="4"/>
      <c r="E166" s="4"/>
      <c r="F166" s="4"/>
      <c r="G166" s="4"/>
      <c r="H166" s="4"/>
    </row>
    <row r="167" spans="1:8" ht="18" customHeight="1" x14ac:dyDescent="0.2">
      <c r="A167" s="4"/>
      <c r="B167" s="4"/>
      <c r="C167" s="4"/>
      <c r="D167" s="4"/>
      <c r="E167" s="4"/>
      <c r="F167" s="4"/>
      <c r="G167" s="4"/>
      <c r="H167" s="4"/>
    </row>
    <row r="168" spans="1:8" ht="18" customHeight="1" x14ac:dyDescent="0.2">
      <c r="A168" s="4"/>
      <c r="B168" s="4"/>
      <c r="C168" s="4"/>
      <c r="D168" s="4"/>
      <c r="E168" s="4"/>
      <c r="F168" s="4"/>
      <c r="G168" s="4"/>
      <c r="H168" s="4"/>
    </row>
    <row r="169" spans="1:8" ht="18" customHeight="1" x14ac:dyDescent="0.2">
      <c r="A169" s="4"/>
      <c r="B169" s="4"/>
      <c r="C169" s="4"/>
      <c r="D169" s="4"/>
      <c r="E169" s="4"/>
      <c r="F169" s="4"/>
      <c r="G169" s="4"/>
      <c r="H169" s="4"/>
    </row>
    <row r="170" spans="1:8" ht="18" customHeight="1" x14ac:dyDescent="0.2">
      <c r="A170" s="4"/>
      <c r="B170" s="4"/>
      <c r="C170" s="4"/>
      <c r="D170" s="4"/>
      <c r="E170" s="4"/>
      <c r="F170" s="4"/>
      <c r="G170" s="4"/>
      <c r="H170" s="4"/>
    </row>
    <row r="171" spans="1:8" ht="18" customHeight="1" x14ac:dyDescent="0.2">
      <c r="A171" s="4"/>
      <c r="B171" s="4"/>
      <c r="C171" s="4"/>
      <c r="D171" s="4"/>
      <c r="E171" s="4"/>
      <c r="F171" s="4"/>
      <c r="G171" s="4"/>
      <c r="H171" s="4"/>
    </row>
    <row r="172" spans="1:8" ht="18" customHeight="1" x14ac:dyDescent="0.2">
      <c r="A172" s="4"/>
      <c r="B172" s="4"/>
      <c r="C172" s="4"/>
      <c r="D172" s="4"/>
      <c r="E172" s="4"/>
      <c r="F172" s="4"/>
      <c r="G172" s="4"/>
      <c r="H172" s="4"/>
    </row>
    <row r="173" spans="1:8" ht="15" customHeight="1" x14ac:dyDescent="0.2">
      <c r="A173" s="4"/>
      <c r="B173" s="4"/>
      <c r="C173" s="4"/>
      <c r="D173" s="4"/>
      <c r="E173" s="4"/>
      <c r="F173" s="4"/>
      <c r="G173" s="4"/>
      <c r="H173" s="4"/>
    </row>
    <row r="174" spans="1:8" ht="15" customHeight="1" x14ac:dyDescent="0.2">
      <c r="A174" s="4"/>
      <c r="B174" s="4"/>
      <c r="C174" s="4"/>
      <c r="D174" s="4"/>
      <c r="E174" s="4"/>
      <c r="F174" s="4"/>
      <c r="G174" s="4"/>
      <c r="H174" s="4"/>
    </row>
    <row r="175" spans="1:8" ht="15" customHeight="1" x14ac:dyDescent="0.2">
      <c r="A175" s="4"/>
      <c r="B175" s="4"/>
      <c r="C175" s="4"/>
      <c r="D175" s="4"/>
      <c r="E175" s="4"/>
      <c r="F175" s="4"/>
      <c r="G175" s="4"/>
      <c r="H175" s="4"/>
    </row>
    <row r="176" spans="1:8" ht="15" customHeight="1" x14ac:dyDescent="0.2">
      <c r="A176" s="4"/>
      <c r="B176" s="4"/>
      <c r="C176" s="4"/>
      <c r="D176" s="4"/>
      <c r="E176" s="4"/>
      <c r="F176" s="4"/>
      <c r="G176" s="4"/>
      <c r="H176" s="4"/>
    </row>
    <row r="177" spans="1:8" ht="15" customHeight="1" x14ac:dyDescent="0.2">
      <c r="A177" s="4"/>
      <c r="B177" s="4"/>
      <c r="C177" s="4"/>
      <c r="D177" s="4"/>
      <c r="E177" s="4"/>
      <c r="F177" s="4"/>
      <c r="G177" s="4"/>
      <c r="H177" s="4"/>
    </row>
    <row r="178" spans="1:8" ht="15" customHeight="1" x14ac:dyDescent="0.2">
      <c r="A178" s="4"/>
      <c r="B178" s="4"/>
      <c r="C178" s="4"/>
      <c r="D178" s="4"/>
      <c r="E178" s="4"/>
      <c r="F178" s="4"/>
      <c r="G178" s="4"/>
      <c r="H178" s="4"/>
    </row>
    <row r="179" spans="1:8" ht="39.75" customHeight="1" x14ac:dyDescent="0.2">
      <c r="A179" s="4"/>
      <c r="B179" s="4"/>
      <c r="C179" s="4"/>
      <c r="D179" s="4"/>
      <c r="E179" s="4"/>
      <c r="F179" s="4"/>
      <c r="G179" s="4"/>
      <c r="H179" s="4"/>
    </row>
    <row r="180" spans="1:8" ht="39.75" customHeight="1" x14ac:dyDescent="0.2">
      <c r="A180" s="4"/>
      <c r="B180" s="4"/>
      <c r="C180" s="4"/>
      <c r="D180" s="4"/>
      <c r="E180" s="4"/>
      <c r="F180" s="4"/>
      <c r="G180" s="4"/>
      <c r="H180" s="4"/>
    </row>
    <row r="181" spans="1:8" ht="39.75" customHeight="1" x14ac:dyDescent="0.2">
      <c r="A181" s="4"/>
      <c r="B181" s="4"/>
      <c r="C181" s="4"/>
      <c r="D181" s="4"/>
      <c r="E181" s="4"/>
      <c r="F181" s="4"/>
      <c r="G181" s="4"/>
      <c r="H181" s="4"/>
    </row>
    <row r="182" spans="1:8" ht="15" customHeight="1" x14ac:dyDescent="0.2">
      <c r="A182" s="4"/>
      <c r="B182" s="4"/>
      <c r="C182" s="4"/>
      <c r="D182" s="4"/>
      <c r="E182" s="4"/>
      <c r="F182" s="4"/>
      <c r="G182" s="4"/>
      <c r="H182" s="4"/>
    </row>
    <row r="183" spans="1:8" ht="15" customHeight="1" x14ac:dyDescent="0.2">
      <c r="A183" s="4"/>
      <c r="B183" s="4"/>
      <c r="C183" s="4"/>
      <c r="D183" s="4"/>
      <c r="E183" s="4"/>
      <c r="F183" s="4"/>
      <c r="G183" s="4"/>
      <c r="H183" s="4"/>
    </row>
    <row r="184" spans="1:8" ht="15" customHeight="1" x14ac:dyDescent="0.2">
      <c r="A184" s="4"/>
      <c r="B184" s="4"/>
      <c r="C184" s="4"/>
      <c r="D184" s="4"/>
      <c r="E184" s="4"/>
      <c r="F184" s="4"/>
      <c r="G184" s="4"/>
      <c r="H184" s="4"/>
    </row>
    <row r="185" spans="1:8" ht="15" customHeight="1" x14ac:dyDescent="0.2">
      <c r="A185" s="4"/>
      <c r="B185" s="4"/>
      <c r="C185" s="4"/>
      <c r="D185" s="4"/>
      <c r="E185" s="4"/>
      <c r="F185" s="4"/>
      <c r="G185" s="4"/>
      <c r="H185" s="4"/>
    </row>
    <row r="187" spans="1:8" ht="147" x14ac:dyDescent="0.2">
      <c r="A187" s="9" t="s">
        <v>5546</v>
      </c>
    </row>
    <row r="188" spans="1:8" ht="23.25" x14ac:dyDescent="0.2">
      <c r="A188" s="9" t="s">
        <v>185</v>
      </c>
      <c r="B188" s="10" t="s">
        <v>5547</v>
      </c>
      <c r="C188" s="11" t="s">
        <v>5548</v>
      </c>
    </row>
    <row r="189" spans="1:8" ht="23.25" x14ac:dyDescent="0.2">
      <c r="A189" s="9" t="s">
        <v>185</v>
      </c>
      <c r="B189" s="10" t="s">
        <v>5549</v>
      </c>
      <c r="C189" s="11" t="s">
        <v>5550</v>
      </c>
    </row>
    <row r="190" spans="1:8" x14ac:dyDescent="0.2">
      <c r="A190" s="9" t="s">
        <v>185</v>
      </c>
      <c r="B190" s="10" t="s">
        <v>5551</v>
      </c>
      <c r="C190" s="11" t="s">
        <v>5552</v>
      </c>
    </row>
    <row r="191" spans="1:8" ht="23.25" x14ac:dyDescent="0.2">
      <c r="A191" s="9" t="s">
        <v>185</v>
      </c>
      <c r="B191" s="10" t="s">
        <v>5553</v>
      </c>
      <c r="C191" s="11" t="s">
        <v>5554</v>
      </c>
    </row>
    <row r="192" spans="1:8" ht="23.25" x14ac:dyDescent="0.2">
      <c r="A192" s="9" t="s">
        <v>185</v>
      </c>
      <c r="B192" s="10" t="s">
        <v>5555</v>
      </c>
      <c r="C192" s="11" t="s">
        <v>5556</v>
      </c>
    </row>
    <row r="193" spans="1:3" ht="23.25" x14ac:dyDescent="0.2">
      <c r="A193" s="9" t="s">
        <v>185</v>
      </c>
      <c r="B193" s="10" t="s">
        <v>5557</v>
      </c>
      <c r="C193" s="11" t="s">
        <v>5558</v>
      </c>
    </row>
    <row r="194" spans="1:3" ht="23.25" x14ac:dyDescent="0.2">
      <c r="A194" s="9" t="s">
        <v>185</v>
      </c>
      <c r="B194" s="10" t="s">
        <v>5559</v>
      </c>
      <c r="C194" s="11" t="s">
        <v>5560</v>
      </c>
    </row>
    <row r="195" spans="1:3" ht="23.25" x14ac:dyDescent="0.2">
      <c r="A195" s="9" t="s">
        <v>185</v>
      </c>
      <c r="B195" s="10" t="s">
        <v>5561</v>
      </c>
      <c r="C195" s="11" t="s">
        <v>5562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32"/>
  </sheetPr>
  <dimension ref="A1:L58"/>
  <sheetViews>
    <sheetView zoomScaleNormal="100" workbookViewId="0"/>
  </sheetViews>
  <sheetFormatPr defaultColWidth="8.609375" defaultRowHeight="15" x14ac:dyDescent="0.2"/>
  <cols>
    <col min="1" max="1" width="27.98046875" customWidth="1"/>
    <col min="2" max="2" width="25.9609375" customWidth="1"/>
    <col min="3" max="3" width="16.0078125" customWidth="1"/>
    <col min="4" max="4" width="39.953125" customWidth="1"/>
  </cols>
  <sheetData>
    <row r="1" spans="1:12" ht="30" customHeight="1" x14ac:dyDescent="0.2">
      <c r="A1" s="1453" t="s">
        <v>199</v>
      </c>
      <c r="B1" s="1453"/>
      <c r="C1" s="1453"/>
      <c r="D1" s="1453"/>
      <c r="L1" s="29" t="str">
        <f>HYPERLINK("#'00_INDEX'!A1","&lt;- Index")</f>
        <v>&lt;- Index</v>
      </c>
    </row>
    <row r="2" spans="1:12" ht="15.75" customHeight="1" x14ac:dyDescent="0.2">
      <c r="A2" s="1454" t="s">
        <v>200</v>
      </c>
      <c r="B2" s="1454"/>
      <c r="C2" s="1454"/>
      <c r="D2" s="1454"/>
    </row>
    <row r="4" spans="1:12" ht="21.75" customHeight="1" x14ac:dyDescent="0.2">
      <c r="A4" s="1455" t="s">
        <v>201</v>
      </c>
      <c r="B4" s="1455"/>
      <c r="C4" s="1455"/>
      <c r="D4" s="1455"/>
      <c r="E4" s="1455"/>
      <c r="F4" s="1455"/>
    </row>
    <row r="5" spans="1:12" ht="19.5" customHeight="1" x14ac:dyDescent="0.2">
      <c r="A5" s="30" t="s">
        <v>202</v>
      </c>
      <c r="B5" s="31">
        <v>17394</v>
      </c>
      <c r="C5" s="32" t="s">
        <v>203</v>
      </c>
      <c r="D5" s="33" t="s">
        <v>204</v>
      </c>
    </row>
    <row r="6" spans="1:12" ht="19.5" customHeight="1" x14ac:dyDescent="0.2">
      <c r="A6" s="30" t="s">
        <v>205</v>
      </c>
      <c r="B6" s="34">
        <v>0</v>
      </c>
      <c r="C6" s="32" t="s">
        <v>203</v>
      </c>
      <c r="D6" s="33" t="s">
        <v>206</v>
      </c>
    </row>
    <row r="7" spans="1:12" ht="19.5" customHeight="1" x14ac:dyDescent="0.2">
      <c r="A7" s="30" t="s">
        <v>207</v>
      </c>
      <c r="B7" s="35" t="s">
        <v>208</v>
      </c>
      <c r="C7" s="32" t="s">
        <v>203</v>
      </c>
      <c r="D7" s="33" t="s">
        <v>209</v>
      </c>
    </row>
    <row r="8" spans="1:12" ht="19.5" customHeight="1" x14ac:dyDescent="0.2">
      <c r="A8" s="30" t="s">
        <v>210</v>
      </c>
      <c r="B8" s="35" t="s">
        <v>211</v>
      </c>
      <c r="C8" s="32" t="s">
        <v>203</v>
      </c>
      <c r="D8" s="33" t="s">
        <v>212</v>
      </c>
    </row>
    <row r="9" spans="1:12" ht="19.5" customHeight="1" x14ac:dyDescent="0.2">
      <c r="A9" s="30" t="s">
        <v>213</v>
      </c>
      <c r="B9" s="35">
        <v>5.5</v>
      </c>
      <c r="C9" s="32" t="s">
        <v>203</v>
      </c>
      <c r="D9" s="33" t="s">
        <v>214</v>
      </c>
    </row>
    <row r="10" spans="1:12" ht="19.5" customHeight="1" x14ac:dyDescent="0.2">
      <c r="A10" s="30" t="s">
        <v>215</v>
      </c>
      <c r="B10" s="35" t="s">
        <v>216</v>
      </c>
      <c r="C10" s="32" t="s">
        <v>203</v>
      </c>
      <c r="D10" s="33" t="s">
        <v>217</v>
      </c>
    </row>
    <row r="11" spans="1:12" ht="19.5" customHeight="1" x14ac:dyDescent="0.2">
      <c r="A11" s="30" t="s">
        <v>218</v>
      </c>
      <c r="B11" s="35" t="s">
        <v>219</v>
      </c>
      <c r="C11" s="32" t="s">
        <v>203</v>
      </c>
      <c r="D11" s="33" t="s">
        <v>220</v>
      </c>
    </row>
    <row r="13" spans="1:12" ht="21.75" customHeight="1" x14ac:dyDescent="0.2">
      <c r="A13" s="1456" t="s">
        <v>221</v>
      </c>
      <c r="B13" s="1456"/>
      <c r="C13" s="1456"/>
      <c r="D13" s="1456"/>
      <c r="E13" s="1456"/>
      <c r="F13" s="1456"/>
    </row>
    <row r="14" spans="1:12" ht="19.5" customHeight="1" x14ac:dyDescent="0.2">
      <c r="A14" s="30" t="s">
        <v>222</v>
      </c>
      <c r="B14" s="35">
        <v>28.613900000000001</v>
      </c>
      <c r="C14" s="32" t="s">
        <v>203</v>
      </c>
      <c r="D14" s="33" t="s">
        <v>223</v>
      </c>
    </row>
    <row r="15" spans="1:12" ht="19.5" customHeight="1" x14ac:dyDescent="0.2">
      <c r="A15" s="30" t="s">
        <v>224</v>
      </c>
      <c r="B15" s="35">
        <v>77.209000000000003</v>
      </c>
      <c r="C15" s="32" t="s">
        <v>203</v>
      </c>
      <c r="D15" s="33" t="s">
        <v>225</v>
      </c>
    </row>
    <row r="17" spans="1:6" ht="21.75" customHeight="1" x14ac:dyDescent="0.2">
      <c r="A17" s="1457" t="s">
        <v>226</v>
      </c>
      <c r="B17" s="1457"/>
      <c r="C17" s="1457"/>
      <c r="D17" s="1457"/>
      <c r="E17" s="1457"/>
      <c r="F17" s="1457"/>
    </row>
    <row r="18" spans="1:6" ht="19.5" customHeight="1" x14ac:dyDescent="0.2">
      <c r="A18" s="30" t="s">
        <v>227</v>
      </c>
      <c r="B18" s="36" t="str">
        <f>IFERROR(IF(B5="← Enter","← Enter date first",TEXT(B5+IF(B6="← Enter",0,TIMEVALUE(TEXT(B6,"HH:MM")))-B9/24,"DD-MMM-YYYY HH:MM")),"Check date format")</f>
        <v>14-Aug-1947 18:30</v>
      </c>
      <c r="C18" s="37" t="s">
        <v>228</v>
      </c>
      <c r="D18" s="33" t="s">
        <v>229</v>
      </c>
    </row>
    <row r="19" spans="1:6" ht="19.5" customHeight="1" x14ac:dyDescent="0.2">
      <c r="A19" s="30" t="s">
        <v>230</v>
      </c>
      <c r="B19" s="38">
        <f>IFERROR(IF(B5="← Enter","← Enter date",INT(365.25*(IF(MONTH(B5)&lt;=2,YEAR(B5)-1,YEAR(B5))+4716))+INT(30.6001*(IF(MONTH(B5)&lt;=2,MONTH(B5)+13,MONTH(B5)+1)))+DAY(B5)-1524.5),"—")</f>
        <v>2432425.5</v>
      </c>
      <c r="C19" s="37" t="s">
        <v>228</v>
      </c>
      <c r="D19" s="33" t="s">
        <v>231</v>
      </c>
    </row>
    <row r="20" spans="1:6" ht="19.5" customHeight="1" x14ac:dyDescent="0.2">
      <c r="A20" s="30" t="s">
        <v>232</v>
      </c>
      <c r="B20" s="39">
        <v>23.125451000000002</v>
      </c>
      <c r="C20" s="37" t="s">
        <v>228</v>
      </c>
      <c r="D20" s="33" t="s">
        <v>233</v>
      </c>
    </row>
    <row r="21" spans="1:6" ht="19.5" customHeight="1" x14ac:dyDescent="0.2">
      <c r="A21" s="40" t="s">
        <v>234</v>
      </c>
      <c r="B21" s="41" t="str">
        <f>IFERROR(IF(AND(B11="Exact",COUNTIF(CALC_PlanetLongitudes!$H$7:$H$16,"&lt;&gt;")=0),"GREEN - High confidence",IF(OR(B11="Unknown",COUNTIF(CALC_PlanetLongitudes!$H$7:$H$16,"&lt;&gt;")&gt;=3),"RED - Low confidence","AMBER - Verify boundary planets")),"—")</f>
        <v>RED - Low confidence</v>
      </c>
      <c r="C21" s="42" t="str">
        <f>IFERROR(IF(E24="API","← API (ephemeris API ±0.0001°)","← Manual entry"),"← Manual entry")</f>
        <v>← Manual entry</v>
      </c>
      <c r="D21" s="43" t="s">
        <v>235</v>
      </c>
    </row>
    <row r="22" spans="1:6" x14ac:dyDescent="0.2">
      <c r="A22" s="44" t="s">
        <v>5577</v>
      </c>
      <c r="B22" s="45" t="s">
        <v>5543</v>
      </c>
      <c r="C22" t="s">
        <v>5545</v>
      </c>
      <c r="D22" s="46" t="s">
        <v>5544</v>
      </c>
    </row>
    <row r="23" spans="1:6" ht="13.5" customHeight="1" x14ac:dyDescent="0.2">
      <c r="A23" s="1458" t="s">
        <v>236</v>
      </c>
      <c r="B23" s="1458"/>
      <c r="C23" s="1458"/>
      <c r="D23" s="1458"/>
      <c r="E23" s="1458"/>
      <c r="F23" s="1458"/>
    </row>
    <row r="24" spans="1:6" ht="19.5" customHeight="1" x14ac:dyDescent="0.2">
      <c r="A24" s="30" t="s">
        <v>237</v>
      </c>
      <c r="B24" s="35">
        <f>IFERROR((MATCH(INPUT_Chart!$C$7,{"Aries","Taurus","Gemini","Cancer","Leo","Virgo","Libra","Scorpio","Sagittarius","Capricorn","Aquarius","Pisces"},0)-1)*30+INPUT_Chart!$D$7,0)</f>
        <v>93.983500000000006</v>
      </c>
      <c r="C24" s="42" t="s">
        <v>238</v>
      </c>
      <c r="D24" s="33" t="s">
        <v>239</v>
      </c>
      <c r="E24" s="47" t="s">
        <v>240</v>
      </c>
    </row>
    <row r="25" spans="1:6" ht="19.5" customHeight="1" x14ac:dyDescent="0.2">
      <c r="A25" s="30" t="s">
        <v>241</v>
      </c>
      <c r="B25" s="48" t="str">
        <f>IFERROR(INDEX(REF_Nakshatra!$B$6:$B$32,MATCH((MATCH(INPUT_Chart!$C$7,{"Aries","Taurus","Gemini","Cancer","Leo","Virgo","Libra","Scorpio","Sagittarius","Capricorn","Aquarius","Pisces"},0)-1)*30+INPUT_Chart!$D$7,REF_Nakshatra!$H$6:$H$32,1)),"Enter Moon sign+degree in INPUT_Chart")</f>
        <v>Pushya</v>
      </c>
      <c r="C25" s="49" t="s">
        <v>228</v>
      </c>
      <c r="D25" s="33" t="s">
        <v>242</v>
      </c>
      <c r="E25" s="47" t="s">
        <v>243</v>
      </c>
    </row>
    <row r="26" spans="1:6" ht="19.5" customHeight="1" x14ac:dyDescent="0.2">
      <c r="A26" s="30" t="s">
        <v>244</v>
      </c>
      <c r="B26" s="48">
        <f>IFERROR(MIN(4,INT(((MATCH(INPUT_Chart!$C$7,{"Aries","Taurus","Gemini","Cancer","Leo","Virgo","Libra","Scorpio","Sagittarius","Capricorn","Aquarius","Pisces"},0)-1)*30+INPUT_Chart!$D$7-INDEX(REF_Nakshatra!$H$6:$H$32,MATCH((MATCH(INPUT_Chart!$C$7,{"Aries","Taurus","Gemini","Cancer","Leo","Virgo","Libra","Scorpio","Sagittarius","Capricorn","Aquarius","Pisces"},0)-1)*30+INPUT_Chart!$D$7,REF_Nakshatra!$H$6:$H$32,1)))/(40/12))+1),"Enter Moon sign+degree in INPUT_Chart")</f>
        <v>1</v>
      </c>
      <c r="C26" s="49" t="s">
        <v>228</v>
      </c>
      <c r="D26" s="33" t="s">
        <v>245</v>
      </c>
    </row>
    <row r="27" spans="1:6" ht="39.75" customHeight="1" x14ac:dyDescent="0.2">
      <c r="A27" s="50" t="s">
        <v>246</v>
      </c>
      <c r="B27" s="51" t="str">
        <f ca="1">IFERROR(_xludf.let(moon_lon,B24,nak_pos,MOD(moon_lon,(40/3)),pada_pos,MOD(nak_pos,(40/12)),IF(OR(pada_pos&lt;0.5,(40/12)-pada_pos&lt;0.5),"⚠ VERIFY: Moon within 0.5° of pada boundary (ephemeris formulae ±0.3° risk)","✓ Moon pada clear of boundary")),"Enter Moon position")</f>
        <v>Enter Moon position</v>
      </c>
      <c r="C27" s="52" t="s">
        <v>247</v>
      </c>
      <c r="D27" s="53" t="s">
        <v>248</v>
      </c>
    </row>
    <row r="28" spans="1:6" ht="19.5" customHeight="1" x14ac:dyDescent="0.2">
      <c r="A28" s="30" t="s">
        <v>249</v>
      </c>
      <c r="B28" s="54">
        <f>IFERROR(ROUND(1-((MATCH(INPUT_Chart!$C$7,{"Aries","Taurus","Gemini","Cancer","Leo","Virgo","Libra","Scorpio","Sagittarius","Capricorn","Aquarius","Pisces"},0)-1)*30+INPUT_Chart!$D$7-INDEX(REF_Nakshatra!$H$6:$H$32,MATCH((MATCH(INPUT_Chart!$C$7,{"Aries","Taurus","Gemini","Cancer","Leo","Virgo","Libra","Scorpio","Sagittarius","Capricorn","Aquarius","Pisces"},0)-1)*30+INPUT_Chart!$D$7,REF_Nakshatra!$H$6:$H$32,1)))/(40/3),4),"—")</f>
        <v>0.95120000000000005</v>
      </c>
      <c r="D28" s="33" t="s">
        <v>250</v>
      </c>
    </row>
    <row r="29" spans="1:6" ht="19.5" customHeight="1" x14ac:dyDescent="0.2">
      <c r="A29" s="30" t="s">
        <v>251</v>
      </c>
      <c r="B29" s="55">
        <f>IFERROR(INDEX(REF_Nakshatra!$M$6:$M$32,MATCH((MATCH(INPUT_Chart!$C$7,{"Aries","Taurus","Gemini","Cancer","Leo","Virgo","Libra","Scorpio","Sagittarius","Capricorn","Aquarius","Pisces"},0)-1)*30+INPUT_Chart!$D$7,REF_Nakshatra!$H$6:$H$32,1)),"—")</f>
        <v>19</v>
      </c>
      <c r="D29" s="33" t="s">
        <v>252</v>
      </c>
    </row>
    <row r="30" spans="1:6" ht="19.5" customHeight="1" x14ac:dyDescent="0.2">
      <c r="A30" s="30" t="s">
        <v>253</v>
      </c>
      <c r="B30" s="56">
        <f>IFERROR(ROUND(B28*B29,2),"—")</f>
        <v>18.07</v>
      </c>
      <c r="D30" s="33" t="s">
        <v>254</v>
      </c>
    </row>
    <row r="31" spans="1:6" ht="15" customHeight="1" x14ac:dyDescent="0.2">
      <c r="A31" s="4" t="s">
        <v>255</v>
      </c>
      <c r="B31" s="4" t="str">
        <f>IFERROR(INDEX(REF_Nakshatra!$L$6:$L$32,MATCH($B$25,REF_Nakshatra!$B$6:$B$32,0)),"—")</f>
        <v>Saturn</v>
      </c>
      <c r="C31" s="4" t="s">
        <v>256</v>
      </c>
      <c r="D31" s="4" t="s">
        <v>257</v>
      </c>
    </row>
    <row r="32" spans="1:6" ht="21.75" customHeight="1" x14ac:dyDescent="0.2">
      <c r="A32" s="1459" t="s">
        <v>258</v>
      </c>
      <c r="B32" s="1459"/>
      <c r="C32" s="1459"/>
      <c r="D32" s="1459"/>
      <c r="E32" s="1459"/>
      <c r="F32" s="1459"/>
    </row>
    <row r="33" spans="1:6" ht="18" customHeight="1" x14ac:dyDescent="0.2">
      <c r="A33" s="57" t="s">
        <v>259</v>
      </c>
      <c r="B33" s="57" t="s">
        <v>260</v>
      </c>
      <c r="C33" s="57" t="s">
        <v>261</v>
      </c>
      <c r="D33" s="57" t="s">
        <v>262</v>
      </c>
    </row>
    <row r="34" spans="1:6" ht="18" customHeight="1" x14ac:dyDescent="0.2">
      <c r="A34" s="58" t="str">
        <f>IFERROR(INDEX({"Ketu","Venus","Sun","Moon","Mars","Rahu","Jupiter","Saturn","Mercury"},MOD(MATCH(B$31,{"Ketu","Venus","Sun","Moon","Mars","Rahu","Jupiter","Saturn","Mercury"},0)-1+0,9)+1),"—")</f>
        <v>Saturn</v>
      </c>
      <c r="B34" s="59">
        <f>IFERROR(IF(ISNUMBER(B5),B5,DATEVALUE(TEXT(B5,"DD/MM/YYYY"))),"—")</f>
        <v>17394</v>
      </c>
      <c r="C34" s="59">
        <f t="shared" ref="C34:C42" si="0">IFERROR(B34+D34*365.25,"—")</f>
        <v>23994.067500000001</v>
      </c>
      <c r="D34" s="60">
        <f>IFERROR(B30,"—")</f>
        <v>18.07</v>
      </c>
    </row>
    <row r="35" spans="1:6" ht="18" customHeight="1" x14ac:dyDescent="0.2">
      <c r="A35" s="61" t="str">
        <f>IFERROR(INDEX({"Ketu","Venus","Sun","Moon","Mars","Rahu","Jupiter","Saturn","Mercury"},MOD(MATCH(B$31,{"Ketu","Venus","Sun","Moon","Mars","Rahu","Jupiter","Saturn","Mercury"},0)-1+1,9)+1),"—")</f>
        <v>Mercury</v>
      </c>
      <c r="B35" s="62">
        <f t="shared" ref="B35:B42" si="1">IFERROR(C34,"—")</f>
        <v>23994.067500000001</v>
      </c>
      <c r="C35" s="59">
        <f t="shared" si="0"/>
        <v>30203.317500000001</v>
      </c>
      <c r="D35" s="63">
        <f>IFERROR(INDEX({7,20,6,10,7,18,16,19,17},MATCH(A35,{"Ketu","Venus","Sun","Moon","Mars","Rahu","Jupiter","Saturn","Mercury"},0)),"—")</f>
        <v>17</v>
      </c>
    </row>
    <row r="36" spans="1:6" ht="18" customHeight="1" x14ac:dyDescent="0.2">
      <c r="A36" s="64" t="str">
        <f>IFERROR(INDEX({"Ketu","Venus","Sun","Moon","Mars","Rahu","Jupiter","Saturn","Mercury"},MOD(MATCH(B$31,{"Ketu","Venus","Sun","Moon","Mars","Rahu","Jupiter","Saturn","Mercury"},0)-1+2,9)+1),"—")</f>
        <v>Ketu</v>
      </c>
      <c r="B36" s="65">
        <f t="shared" si="1"/>
        <v>30203.317500000001</v>
      </c>
      <c r="C36" s="59">
        <f t="shared" si="0"/>
        <v>32760.067500000001</v>
      </c>
      <c r="D36" s="66">
        <f>IFERROR(INDEX({7,20,6,10,7,18,16,19,17},MATCH(A36,{"Ketu","Venus","Sun","Moon","Mars","Rahu","Jupiter","Saturn","Mercury"},0)),"—")</f>
        <v>7</v>
      </c>
    </row>
    <row r="37" spans="1:6" ht="18" customHeight="1" x14ac:dyDescent="0.2">
      <c r="A37" s="61" t="str">
        <f>IFERROR(INDEX({"Ketu","Venus","Sun","Moon","Mars","Rahu","Jupiter","Saturn","Mercury"},MOD(MATCH(B$31,{"Ketu","Venus","Sun","Moon","Mars","Rahu","Jupiter","Saturn","Mercury"},0)-1+3,9)+1),"—")</f>
        <v>Venus</v>
      </c>
      <c r="B37" s="67">
        <f t="shared" si="1"/>
        <v>32760.067500000001</v>
      </c>
      <c r="C37" s="59">
        <f t="shared" si="0"/>
        <v>40065.067500000005</v>
      </c>
      <c r="D37" s="63">
        <f>IFERROR(INDEX({7,20,6,10,7,18,16,19,17},MATCH(A37,{"Ketu","Venus","Sun","Moon","Mars","Rahu","Jupiter","Saturn","Mercury"},0)),"—")</f>
        <v>20</v>
      </c>
    </row>
    <row r="38" spans="1:6" ht="18" customHeight="1" x14ac:dyDescent="0.2">
      <c r="A38" s="64" t="str">
        <f>IFERROR(INDEX({"Ketu","Venus","Sun","Moon","Mars","Rahu","Jupiter","Saturn","Mercury"},MOD(MATCH(B$31,{"Ketu","Venus","Sun","Moon","Mars","Rahu","Jupiter","Saturn","Mercury"},0)-1+4,9)+1),"—")</f>
        <v>Sun</v>
      </c>
      <c r="B38" s="65">
        <f t="shared" si="1"/>
        <v>40065.067500000005</v>
      </c>
      <c r="C38" s="59">
        <f t="shared" si="0"/>
        <v>42256.567500000005</v>
      </c>
      <c r="D38" s="66">
        <f>IFERROR(INDEX({7,20,6,10,7,18,16,19,17},MATCH(A38,{"Ketu","Venus","Sun","Moon","Mars","Rahu","Jupiter","Saturn","Mercury"},0)),"—")</f>
        <v>6</v>
      </c>
    </row>
    <row r="39" spans="1:6" ht="18" customHeight="1" x14ac:dyDescent="0.2">
      <c r="A39" s="61" t="str">
        <f>IFERROR(INDEX({"Ketu","Venus","Sun","Moon","Mars","Rahu","Jupiter","Saturn","Mercury"},MOD(MATCH(B$31,{"Ketu","Venus","Sun","Moon","Mars","Rahu","Jupiter","Saturn","Mercury"},0)-1+5,9)+1),"—")</f>
        <v>Moon</v>
      </c>
      <c r="B39" s="67">
        <f t="shared" si="1"/>
        <v>42256.567500000005</v>
      </c>
      <c r="C39" s="59">
        <f t="shared" si="0"/>
        <v>45909.067500000005</v>
      </c>
      <c r="D39" s="63">
        <f>IFERROR(INDEX({7,20,6,10,7,18,16,19,17},MATCH(A39,{"Ketu","Venus","Sun","Moon","Mars","Rahu","Jupiter","Saturn","Mercury"},0)),"—")</f>
        <v>10</v>
      </c>
    </row>
    <row r="40" spans="1:6" ht="18" customHeight="1" x14ac:dyDescent="0.2">
      <c r="A40" s="64" t="str">
        <f>IFERROR(INDEX({"Ketu","Venus","Sun","Moon","Mars","Rahu","Jupiter","Saturn","Mercury"},MOD(MATCH(B$31,{"Ketu","Venus","Sun","Moon","Mars","Rahu","Jupiter","Saturn","Mercury"},0)-1+6,9)+1),"—")</f>
        <v>Mars</v>
      </c>
      <c r="B40" s="65">
        <f t="shared" si="1"/>
        <v>45909.067500000005</v>
      </c>
      <c r="C40" s="59">
        <f t="shared" si="0"/>
        <v>48465.817500000005</v>
      </c>
      <c r="D40" s="66">
        <f>IFERROR(INDEX({7,20,6,10,7,18,16,19,17},MATCH(A40,{"Ketu","Venus","Sun","Moon","Mars","Rahu","Jupiter","Saturn","Mercury"},0)),"—")</f>
        <v>7</v>
      </c>
    </row>
    <row r="41" spans="1:6" ht="18" customHeight="1" x14ac:dyDescent="0.2">
      <c r="A41" s="61" t="str">
        <f>IFERROR(INDEX({"Ketu","Venus","Sun","Moon","Mars","Rahu","Jupiter","Saturn","Mercury"},MOD(MATCH(B$31,{"Ketu","Venus","Sun","Moon","Mars","Rahu","Jupiter","Saturn","Mercury"},0)-1+7,9)+1),"—")</f>
        <v>Rahu</v>
      </c>
      <c r="B41" s="67">
        <f t="shared" si="1"/>
        <v>48465.817500000005</v>
      </c>
      <c r="C41" s="59">
        <f t="shared" si="0"/>
        <v>55040.317500000005</v>
      </c>
      <c r="D41" s="63">
        <f>IFERROR(INDEX({7,20,6,10,7,18,16,19,17},MATCH(A41,{"Ketu","Venus","Sun","Moon","Mars","Rahu","Jupiter","Saturn","Mercury"},0)),"—")</f>
        <v>18</v>
      </c>
    </row>
    <row r="42" spans="1:6" ht="18" customHeight="1" x14ac:dyDescent="0.2">
      <c r="A42" s="64" t="str">
        <f>IFERROR(INDEX({"Ketu","Venus","Sun","Moon","Mars","Rahu","Jupiter","Saturn","Mercury"},MOD(MATCH(B$31,{"Ketu","Venus","Sun","Moon","Mars","Rahu","Jupiter","Saturn","Mercury"},0)-1+8,9)+1),"—")</f>
        <v>Jupiter</v>
      </c>
      <c r="B42" s="65">
        <f t="shared" si="1"/>
        <v>55040.317500000005</v>
      </c>
      <c r="C42" s="59">
        <f t="shared" si="0"/>
        <v>60884.317500000005</v>
      </c>
      <c r="D42" s="66">
        <f>IFERROR(INDEX({7,20,6,10,7,18,16,19,17},MATCH(A42,{"Ketu","Venus","Sun","Moon","Mars","Rahu","Jupiter","Saturn","Mercury"},0)),"—")</f>
        <v>16</v>
      </c>
    </row>
    <row r="45" spans="1:6" ht="24" customHeight="1" x14ac:dyDescent="0.2">
      <c r="A45" s="1460"/>
      <c r="B45" s="1460"/>
      <c r="C45" s="1460"/>
      <c r="D45" s="1460"/>
    </row>
    <row r="47" spans="1:6" ht="19.5" customHeight="1" x14ac:dyDescent="0.2">
      <c r="A47" s="1461" t="s">
        <v>263</v>
      </c>
      <c r="B47" s="1461"/>
      <c r="C47" s="1461"/>
      <c r="D47" s="1461"/>
      <c r="E47" s="1461"/>
      <c r="F47" s="1461"/>
    </row>
    <row r="48" spans="1:6" ht="15.75" customHeight="1" x14ac:dyDescent="0.2">
      <c r="A48" s="1462" t="s">
        <v>264</v>
      </c>
      <c r="B48" s="1462"/>
      <c r="C48" s="1462"/>
      <c r="D48" s="1462"/>
      <c r="E48" s="1462"/>
      <c r="F48" s="1462"/>
    </row>
    <row r="49" spans="1:5" ht="19.5" customHeight="1" x14ac:dyDescent="0.2">
      <c r="A49" s="68" t="s">
        <v>265</v>
      </c>
      <c r="B49" s="69" t="str">
        <f>IFERROR(CALC_PlanetLongitudes!$E$7,"—")</f>
        <v>Taurus</v>
      </c>
      <c r="C49" s="70">
        <f>IFERROR(ROUND(CALC_PlanetLongitudes!$F$7,1),0)</f>
        <v>7.7</v>
      </c>
      <c r="D49" s="71" t="str">
        <f>IFERROR(CALC_PlanetLongitudes!$H$7,"·")</f>
        <v>·</v>
      </c>
      <c r="E49" s="72" t="str">
        <f>IFERROR(CALC_PlanetLongitudes!$I$7,"")</f>
        <v>Ascendant from GMST + longitude + latitude. Requires accurate birth TIME. Error &lt;0.5° with exact time; each 4 minutes = 1° error.</v>
      </c>
    </row>
    <row r="50" spans="1:5" ht="19.5" customHeight="1" x14ac:dyDescent="0.2">
      <c r="A50" s="73" t="s">
        <v>266</v>
      </c>
      <c r="B50" s="69" t="str">
        <f>IFERROR(CALC_PlanetLongitudes!$E$8,"—")</f>
        <v>Cancer</v>
      </c>
      <c r="C50" s="70">
        <f>IFERROR(ROUND(CALC_PlanetLongitudes!$F$8,1),0)</f>
        <v>28</v>
      </c>
      <c r="D50" s="74" t="str">
        <f>IFERROR(CALC_PlanetLongitudes!$H$8,"·")</f>
        <v>·</v>
      </c>
      <c r="E50" s="75" t="str">
        <f>IFERROR(CALC_PlanetLongitudes!$I$8,"")</f>
        <v>Meeus Ch.25. Accuracy ±0.01°. Equation of centre (2 terms). Very reliable.</v>
      </c>
    </row>
    <row r="51" spans="1:5" ht="19.5" customHeight="1" x14ac:dyDescent="0.2">
      <c r="A51" s="68" t="s">
        <v>267</v>
      </c>
      <c r="B51" s="69" t="str">
        <f>IFERROR(CALC_PlanetLongitudes!$E$9,"—")</f>
        <v>Cancer</v>
      </c>
      <c r="C51" s="70">
        <f>IFERROR(ROUND(CALC_PlanetLongitudes!$F$9,1),0)</f>
        <v>4</v>
      </c>
      <c r="D51" s="71" t="str">
        <f>IFERROR(CALC_PlanetLongitudes!$H$9,"·")</f>
        <v>·</v>
      </c>
      <c r="E51" s="72" t="str">
        <f>IFERROR(CALC_PlanetLongitudes!$I$9,"")</f>
        <v>Meeus Ch.47 (abridged, 12 terms). Accuracy ±0.3°. Moon moves ~13°/day — time accuracy critical.</v>
      </c>
    </row>
    <row r="52" spans="1:5" ht="19.5" customHeight="1" x14ac:dyDescent="0.2">
      <c r="A52" s="73" t="s">
        <v>268</v>
      </c>
      <c r="B52" s="69" t="str">
        <f>IFERROR(CALC_PlanetLongitudes!$E$10,"—")</f>
        <v>Gemini</v>
      </c>
      <c r="C52" s="70">
        <f>IFERROR(ROUND(CALC_PlanetLongitudes!$F$10,1),0)</f>
        <v>7.5</v>
      </c>
      <c r="D52" s="74" t="str">
        <f>IFERROR(CALC_PlanetLongitudes!$H$10,"·")</f>
        <v>·</v>
      </c>
      <c r="E52" s="75" t="str">
        <f>IFERROR(CALC_PlanetLongitudes!$I$10,"")</f>
        <v>Meeus Ch.33 (5 terms + Jupiter perturbation). Accuracy ±1°.</v>
      </c>
    </row>
    <row r="53" spans="1:5" ht="19.5" customHeight="1" x14ac:dyDescent="0.2">
      <c r="A53" s="68" t="s">
        <v>269</v>
      </c>
      <c r="B53" s="69" t="str">
        <f>IFERROR(CALC_PlanetLongitudes!$E$11,"—")</f>
        <v>Cancer</v>
      </c>
      <c r="C53" s="70">
        <f>IFERROR(ROUND(CALC_PlanetLongitudes!$F$11,1),0)</f>
        <v>13.7</v>
      </c>
      <c r="D53" s="71" t="str">
        <f>IFERROR(CALC_PlanetLongitudes!$H$11,"·")</f>
        <v>·</v>
      </c>
      <c r="E53" s="72" t="str">
        <f>IFERROR(CALC_PlanetLongitudes!$I$11,"")</f>
        <v>Meeus Ch.33 (6 terms + Venus perturbation). Accuracy ±2°. Verify if ⚠ near boundary.</v>
      </c>
    </row>
    <row r="54" spans="1:5" ht="19.5" customHeight="1" x14ac:dyDescent="0.2">
      <c r="A54" s="73" t="s">
        <v>270</v>
      </c>
      <c r="B54" s="69" t="str">
        <f>IFERROR(CALC_PlanetLongitudes!$E$12,"—")</f>
        <v>Libra</v>
      </c>
      <c r="C54" s="70">
        <f>IFERROR(ROUND(CALC_PlanetLongitudes!$F$12,1),0)</f>
        <v>25.9</v>
      </c>
      <c r="D54" s="74" t="str">
        <f>IFERROR(CALC_PlanetLongitudes!$H$12,"·")</f>
        <v>·</v>
      </c>
      <c r="E54" s="75" t="str">
        <f>IFERROR(CALC_PlanetLongitudes!$I$12,"")</f>
        <v>Meeus Ch.33 (4 terms + Saturn perturbation). Accuracy ±0.5°.</v>
      </c>
    </row>
    <row r="55" spans="1:5" ht="19.5" customHeight="1" x14ac:dyDescent="0.2">
      <c r="A55" s="68" t="s">
        <v>271</v>
      </c>
      <c r="B55" s="69" t="str">
        <f>IFERROR(CALC_PlanetLongitudes!$E$13,"—")</f>
        <v>Cancer</v>
      </c>
      <c r="C55" s="70">
        <f>IFERROR(ROUND(CALC_PlanetLongitudes!$F$13,1),0)</f>
        <v>22.6</v>
      </c>
      <c r="D55" s="71" t="str">
        <f>IFERROR(CALC_PlanetLongitudes!$H$13,"·")</f>
        <v>·</v>
      </c>
      <c r="E55" s="72" t="str">
        <f>IFERROR(CALC_PlanetLongitudes!$I$13,"")</f>
        <v>Meeus Ch.33 (4 terms + Mercury perturbation). Accuracy ±2°. Verify if ⚠ near boundary.</v>
      </c>
    </row>
    <row r="56" spans="1:5" ht="19.5" customHeight="1" x14ac:dyDescent="0.2">
      <c r="A56" s="73" t="s">
        <v>272</v>
      </c>
      <c r="B56" s="69" t="str">
        <f>IFERROR(CALC_PlanetLongitudes!$E$14,"—")</f>
        <v>Cancer</v>
      </c>
      <c r="C56" s="70">
        <f>IFERROR(ROUND(CALC_PlanetLongitudes!$F$14,1),0)</f>
        <v>20.5</v>
      </c>
      <c r="D56" s="74" t="str">
        <f>IFERROR(CALC_PlanetLongitudes!$H$14,"·")</f>
        <v>·</v>
      </c>
      <c r="E56" s="75" t="str">
        <f>IFERROR(CALC_PlanetLongitudes!$I$14,"")</f>
        <v>Meeus Ch.33 (5 terms + Jupiter perturbation). Accuracy ±0.5°.</v>
      </c>
    </row>
    <row r="57" spans="1:5" ht="19.5" customHeight="1" x14ac:dyDescent="0.2">
      <c r="A57" s="68" t="s">
        <v>273</v>
      </c>
      <c r="B57" s="69" t="str">
        <f>IFERROR(CALC_PlanetLongitudes!$E$15,"—")</f>
        <v>Taurus</v>
      </c>
      <c r="C57" s="70">
        <f>IFERROR(ROUND(CALC_PlanetLongitudes!$F$15,1),0)</f>
        <v>5.0999999999999996</v>
      </c>
      <c r="D57" s="71" t="str">
        <f>IFERROR(CALC_PlanetLongitudes!$H$15,"·")</f>
        <v>·</v>
      </c>
      <c r="E57" s="72" t="str">
        <f>IFERROR(CALC_PlanetLongitudes!$I$15,"")</f>
        <v>Mean node + 4 correction terms. True node ±0.5°. Always retrograde (counter-clockwise).</v>
      </c>
    </row>
    <row r="58" spans="1:5" ht="19.5" customHeight="1" x14ac:dyDescent="0.2">
      <c r="A58" s="73" t="s">
        <v>274</v>
      </c>
      <c r="B58" s="69" t="str">
        <f>IFERROR(CALC_PlanetLongitudes!$E$16,"—")</f>
        <v>Scorpio</v>
      </c>
      <c r="C58" s="70">
        <f>IFERROR(ROUND(CALC_PlanetLongitudes!$F$16,1),0)</f>
        <v>5.0999999999999996</v>
      </c>
      <c r="D58" s="74" t="str">
        <f>IFERROR(CALC_PlanetLongitudes!$H$16,"·")</f>
        <v>·</v>
      </c>
      <c r="E58" s="75" t="str">
        <f>IFERROR(CALC_PlanetLongitudes!$I$16,"")</f>
        <v>Always exactly opposite Rahu (South Node = Rahu + 180°).</v>
      </c>
    </row>
  </sheetData>
  <mergeCells count="10">
    <mergeCell ref="A23:F23"/>
    <mergeCell ref="A32:F32"/>
    <mergeCell ref="A45:D45"/>
    <mergeCell ref="A47:F47"/>
    <mergeCell ref="A48:F48"/>
    <mergeCell ref="A1:D1"/>
    <mergeCell ref="A2:D2"/>
    <mergeCell ref="A4:F4"/>
    <mergeCell ref="A13:F13"/>
    <mergeCell ref="A17:F17"/>
  </mergeCells>
  <dataValidations count="2">
    <dataValidation type="list" showErrorMessage="1" error="Choose from the dropdown" sqref="B10" xr:uid="{00000000-0002-0000-0100-000000000000}">
      <formula1>"Lahiri,Raman,KP (Krishnamurti)"</formula1>
      <formula2>0</formula2>
    </dataValidation>
    <dataValidation type="list" sqref="B11" xr:uid="{00000000-0002-0000-0100-000001000000}">
      <formula1>"Exact,±15min,±1hr,Unknown"</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32"/>
  </sheetPr>
  <dimension ref="A1:L17"/>
  <sheetViews>
    <sheetView zoomScaleNormal="100" workbookViewId="0"/>
  </sheetViews>
  <sheetFormatPr defaultColWidth="8.609375" defaultRowHeight="15" x14ac:dyDescent="0.2"/>
  <cols>
    <col min="1" max="1" width="22.05859375" customWidth="1"/>
    <col min="2" max="2" width="25.9609375" customWidth="1"/>
    <col min="3" max="4" width="16.0078125" customWidth="1"/>
    <col min="5" max="5" width="18.0234375" customWidth="1"/>
    <col min="6" max="6" width="22.05859375" customWidth="1"/>
  </cols>
  <sheetData>
    <row r="1" spans="1:12" ht="27.75" customHeight="1" x14ac:dyDescent="0.2">
      <c r="A1" s="1453" t="s">
        <v>275</v>
      </c>
      <c r="B1" s="1453"/>
      <c r="C1" s="1453"/>
      <c r="D1" s="1453"/>
      <c r="E1" s="1453"/>
      <c r="F1" s="1453"/>
      <c r="L1" s="29" t="str">
        <f>HYPERLINK("#'00_INDEX'!A1","&lt;- Index")</f>
        <v>&lt;- Index</v>
      </c>
    </row>
    <row r="2" spans="1:12" ht="21.75" customHeight="1" x14ac:dyDescent="0.2">
      <c r="A2" s="1463" t="s">
        <v>276</v>
      </c>
      <c r="B2" s="1463"/>
      <c r="C2" s="1463"/>
      <c r="D2" s="1463"/>
      <c r="E2" s="1463"/>
      <c r="F2" s="1463"/>
    </row>
    <row r="3" spans="1:12" ht="15.75" customHeight="1" x14ac:dyDescent="0.2">
      <c r="A3" s="76" t="str">
        <f>IFERROR(IF(COUNTIF(CALC_PlanetLongitudes!$H$7:$H$16,"&lt;&gt;")&gt;0,"BOUNDARY ALERT: "&amp;COUNTIF(CALC_PlanetLongitudes!$H$7:$H$16,"&lt;&gt;")&amp;" planet(s) near sign boundary - verify with third-party software",""),"")</f>
        <v>BOUNDARY ALERT: 10 planet(s) near sign boundary - verify with third-party software</v>
      </c>
    </row>
    <row r="4" spans="1:12" ht="19.5" customHeight="1" x14ac:dyDescent="0.2">
      <c r="A4" s="77" t="s">
        <v>277</v>
      </c>
      <c r="B4" s="77" t="s">
        <v>278</v>
      </c>
      <c r="C4" s="78" t="s">
        <v>279</v>
      </c>
      <c r="D4" s="78" t="s">
        <v>280</v>
      </c>
      <c r="E4" s="77" t="s">
        <v>281</v>
      </c>
      <c r="F4" s="77" t="s">
        <v>282</v>
      </c>
    </row>
    <row r="5" spans="1:12" ht="18" customHeight="1" x14ac:dyDescent="0.2">
      <c r="A5" s="79" t="s">
        <v>283</v>
      </c>
      <c r="B5" s="80" t="s">
        <v>284</v>
      </c>
      <c r="C5" s="81" t="str">
        <f>IFERROR(CALC_PlanetLongitudes!$E$7,"—")</f>
        <v>Taurus</v>
      </c>
      <c r="D5" s="82">
        <f>IFERROR(CALC_PlanetLongitudes!$F$7,"—")</f>
        <v>7.7286000000000001</v>
      </c>
      <c r="E5" s="80" t="s">
        <v>285</v>
      </c>
      <c r="F5" s="80" t="s">
        <v>286</v>
      </c>
    </row>
    <row r="6" spans="1:12" ht="18" customHeight="1" x14ac:dyDescent="0.2">
      <c r="A6" s="83" t="s">
        <v>287</v>
      </c>
      <c r="B6" s="84" t="s">
        <v>284</v>
      </c>
      <c r="C6" s="81" t="str">
        <f>IFERROR(CALC_PlanetLongitudes!$E$8,"—")</f>
        <v>Cancer</v>
      </c>
      <c r="D6" s="82">
        <f>IFERROR(CALC_PlanetLongitudes!$F$8,"—")</f>
        <v>27.989000000000004</v>
      </c>
      <c r="E6" s="84" t="s">
        <v>288</v>
      </c>
      <c r="F6" s="84" t="s">
        <v>289</v>
      </c>
    </row>
    <row r="7" spans="1:12" ht="18" customHeight="1" x14ac:dyDescent="0.2">
      <c r="A7" s="79" t="s">
        <v>290</v>
      </c>
      <c r="B7" s="80" t="s">
        <v>284</v>
      </c>
      <c r="C7" s="81" t="str">
        <f>IFERROR(CALC_PlanetLongitudes!$E$9,"—")</f>
        <v>Cancer</v>
      </c>
      <c r="D7" s="82">
        <f>IFERROR(CALC_PlanetLongitudes!$F$9,"—")</f>
        <v>3.9835000000000065</v>
      </c>
      <c r="E7" s="80" t="s">
        <v>291</v>
      </c>
      <c r="F7" s="80" t="s">
        <v>292</v>
      </c>
    </row>
    <row r="8" spans="1:12" ht="18" customHeight="1" x14ac:dyDescent="0.2">
      <c r="A8" s="83" t="s">
        <v>293</v>
      </c>
      <c r="B8" s="84" t="s">
        <v>284</v>
      </c>
      <c r="C8" s="81" t="str">
        <f>IFERROR(CALC_PlanetLongitudes!$E$10,"—")</f>
        <v>Gemini</v>
      </c>
      <c r="D8" s="82">
        <f>IFERROR(CALC_PlanetLongitudes!$F$10,"—")</f>
        <v>7.4561999999999955</v>
      </c>
      <c r="E8" s="84" t="s">
        <v>294</v>
      </c>
      <c r="F8" s="84" t="s">
        <v>295</v>
      </c>
    </row>
    <row r="9" spans="1:12" ht="18" customHeight="1" x14ac:dyDescent="0.2">
      <c r="A9" s="79" t="s">
        <v>296</v>
      </c>
      <c r="B9" s="80" t="s">
        <v>284</v>
      </c>
      <c r="C9" s="81" t="str">
        <f>IFERROR(CALC_PlanetLongitudes!$E$11,"—")</f>
        <v>Cancer</v>
      </c>
      <c r="D9" s="82">
        <f>IFERROR(CALC_PlanetLongitudes!$F$11,"—")</f>
        <v>13.674300000000002</v>
      </c>
      <c r="E9" s="80" t="s">
        <v>297</v>
      </c>
      <c r="F9" s="80" t="s">
        <v>298</v>
      </c>
    </row>
    <row r="10" spans="1:12" ht="18" customHeight="1" x14ac:dyDescent="0.2">
      <c r="A10" s="83" t="s">
        <v>299</v>
      </c>
      <c r="B10" s="84" t="s">
        <v>284</v>
      </c>
      <c r="C10" s="81" t="str">
        <f>IFERROR(CALC_PlanetLongitudes!$E$12,"—")</f>
        <v>Libra</v>
      </c>
      <c r="D10" s="82">
        <f>IFERROR(CALC_PlanetLongitudes!$F$12,"—")</f>
        <v>25.877700000000004</v>
      </c>
      <c r="E10" s="84" t="s">
        <v>300</v>
      </c>
      <c r="F10" s="84" t="s">
        <v>301</v>
      </c>
    </row>
    <row r="11" spans="1:12" ht="18" customHeight="1" x14ac:dyDescent="0.2">
      <c r="A11" s="79" t="s">
        <v>302</v>
      </c>
      <c r="B11" s="80" t="s">
        <v>284</v>
      </c>
      <c r="C11" s="81" t="str">
        <f>IFERROR(CALC_PlanetLongitudes!$E$13,"—")</f>
        <v>Cancer</v>
      </c>
      <c r="D11" s="82">
        <f>IFERROR(CALC_PlanetLongitudes!$F$13,"—")</f>
        <v>22.561199999999999</v>
      </c>
      <c r="E11" s="80" t="s">
        <v>303</v>
      </c>
      <c r="F11" s="80" t="s">
        <v>304</v>
      </c>
    </row>
    <row r="12" spans="1:12" ht="18" customHeight="1" x14ac:dyDescent="0.2">
      <c r="A12" s="83" t="s">
        <v>305</v>
      </c>
      <c r="B12" s="84" t="s">
        <v>284</v>
      </c>
      <c r="C12" s="81" t="str">
        <f>IFERROR(CALC_PlanetLongitudes!$E$14,"—")</f>
        <v>Cancer</v>
      </c>
      <c r="D12" s="82">
        <f>IFERROR(CALC_PlanetLongitudes!$F$14,"—")</f>
        <v>20.472999999999999</v>
      </c>
      <c r="E12" s="84" t="s">
        <v>306</v>
      </c>
      <c r="F12" s="84" t="s">
        <v>307</v>
      </c>
    </row>
    <row r="13" spans="1:12" ht="18" customHeight="1" x14ac:dyDescent="0.2">
      <c r="A13" s="79" t="s">
        <v>308</v>
      </c>
      <c r="B13" s="80" t="s">
        <v>284</v>
      </c>
      <c r="C13" s="81" t="str">
        <f>IFERROR(CALC_PlanetLongitudes!$E$15,"—")</f>
        <v>Taurus</v>
      </c>
      <c r="D13" s="82">
        <f>IFERROR(CALC_PlanetLongitudes!$F$15,"—")</f>
        <v>5.0696999999999974</v>
      </c>
      <c r="E13" s="80" t="s">
        <v>273</v>
      </c>
      <c r="F13" s="80" t="s">
        <v>309</v>
      </c>
    </row>
    <row r="14" spans="1:12" ht="18" customHeight="1" x14ac:dyDescent="0.2">
      <c r="A14" s="83" t="s">
        <v>310</v>
      </c>
      <c r="B14" s="84" t="s">
        <v>284</v>
      </c>
      <c r="C14" s="81" t="str">
        <f>IFERROR(CALC_PlanetLongitudes!$E$16,"—")</f>
        <v>Scorpio</v>
      </c>
      <c r="D14" s="82">
        <f>IFERROR(CALC_PlanetLongitudes!$F$16,"—")</f>
        <v>5.0697000000000116</v>
      </c>
      <c r="E14" s="84" t="s">
        <v>274</v>
      </c>
      <c r="F14" s="84" t="s">
        <v>311</v>
      </c>
    </row>
    <row r="16" spans="1:12" ht="15" customHeight="1" x14ac:dyDescent="0.2">
      <c r="A16" s="85" t="s">
        <v>312</v>
      </c>
      <c r="B16" s="86" t="s">
        <v>313</v>
      </c>
      <c r="C16" s="86" t="str">
        <f>IFERROR("≈ "&amp;TEXT((MATCH(C7,{"Aries","Taurus","Gemini","Cancer","Leo","Virgo","Libra","Scorpio","Sagittarius","Capricorn","Aquarius","Pisces"},0)-1)*30+D7,"0.00")&amp;"° abs","Enter Moon sign+degree above")</f>
        <v>≈ 93.98° abs</v>
      </c>
      <c r="D16" s="86" t="s">
        <v>314</v>
      </c>
      <c r="E16" s="86" t="s">
        <v>291</v>
      </c>
      <c r="F16" s="86" t="s">
        <v>315</v>
      </c>
    </row>
    <row r="17" spans="1:6" ht="15" customHeight="1" x14ac:dyDescent="0.2">
      <c r="A17" s="1464" t="s">
        <v>316</v>
      </c>
      <c r="B17" s="1464"/>
      <c r="C17" s="1464"/>
      <c r="D17" s="1464"/>
      <c r="E17" s="1464"/>
      <c r="F17" s="1464"/>
    </row>
  </sheetData>
  <mergeCells count="3">
    <mergeCell ref="A1:F1"/>
    <mergeCell ref="A2:F2"/>
    <mergeCell ref="A17:F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sheetPr>
  <dimension ref="A1:L15"/>
  <sheetViews>
    <sheetView zoomScaleNormal="100" workbookViewId="0"/>
  </sheetViews>
  <sheetFormatPr defaultColWidth="8.609375" defaultRowHeight="15" x14ac:dyDescent="0.2"/>
  <cols>
    <col min="1" max="1" width="22.05859375" customWidth="1"/>
    <col min="2" max="2" width="18.0234375" customWidth="1"/>
    <col min="3" max="3" width="11.97265625" customWidth="1"/>
    <col min="4" max="4" width="36.05078125" customWidth="1"/>
  </cols>
  <sheetData>
    <row r="1" spans="1:12" ht="27.75" customHeight="1" x14ac:dyDescent="0.2">
      <c r="A1" s="1465" t="s">
        <v>317</v>
      </c>
      <c r="B1" s="1465"/>
      <c r="C1" s="1465"/>
      <c r="D1" s="1465"/>
      <c r="L1" s="29" t="str">
        <f>HYPERLINK("#'00_INDEX'!A1","&lt;- Index")</f>
        <v>&lt;- Index</v>
      </c>
    </row>
    <row r="2" spans="1:12" ht="24" customHeight="1" x14ac:dyDescent="0.2">
      <c r="A2" s="1466" t="s">
        <v>318</v>
      </c>
      <c r="B2" s="1466"/>
      <c r="C2" s="1466"/>
      <c r="D2" s="1466"/>
    </row>
    <row r="3" spans="1:12" ht="19.5" customHeight="1" x14ac:dyDescent="0.2">
      <c r="A3" s="87" t="s">
        <v>319</v>
      </c>
      <c r="B3" s="88" t="s">
        <v>320</v>
      </c>
      <c r="C3" s="88" t="s">
        <v>321</v>
      </c>
      <c r="D3" s="89" t="s">
        <v>322</v>
      </c>
    </row>
    <row r="4" spans="1:12" ht="21.75" customHeight="1" x14ac:dyDescent="0.2">
      <c r="A4" s="90" t="s">
        <v>266</v>
      </c>
      <c r="B4" s="91" t="s">
        <v>323</v>
      </c>
      <c r="C4" s="92">
        <v>2.4176000000000002</v>
      </c>
      <c r="D4" s="93" t="s">
        <v>324</v>
      </c>
    </row>
    <row r="5" spans="1:12" ht="21.75" customHeight="1" x14ac:dyDescent="0.2">
      <c r="A5" s="94" t="s">
        <v>267</v>
      </c>
      <c r="B5" s="91" t="s">
        <v>325</v>
      </c>
      <c r="C5" s="92">
        <v>9.3650000000000002</v>
      </c>
      <c r="D5" s="95" t="s">
        <v>326</v>
      </c>
    </row>
    <row r="6" spans="1:12" ht="21.75" customHeight="1" x14ac:dyDescent="0.2">
      <c r="A6" s="90" t="s">
        <v>268</v>
      </c>
      <c r="B6" s="91" t="s">
        <v>325</v>
      </c>
      <c r="C6" s="92">
        <v>17.310700000000001</v>
      </c>
      <c r="D6" s="93" t="s">
        <v>327</v>
      </c>
    </row>
    <row r="7" spans="1:12" ht="21.75" customHeight="1" x14ac:dyDescent="0.2">
      <c r="A7" s="94" t="s">
        <v>269</v>
      </c>
      <c r="B7" s="91" t="s">
        <v>325</v>
      </c>
      <c r="C7" s="92">
        <v>14.921900000000001</v>
      </c>
      <c r="D7" s="95" t="s">
        <v>328</v>
      </c>
    </row>
    <row r="8" spans="1:12" ht="21.75" customHeight="1" x14ac:dyDescent="0.2">
      <c r="A8" s="90" t="s">
        <v>270</v>
      </c>
      <c r="B8" s="91" t="s">
        <v>329</v>
      </c>
      <c r="C8" s="92">
        <v>20.924399999999999</v>
      </c>
      <c r="D8" s="93" t="s">
        <v>330</v>
      </c>
    </row>
    <row r="9" spans="1:12" ht="21.75" customHeight="1" x14ac:dyDescent="0.2">
      <c r="A9" s="94" t="s">
        <v>271</v>
      </c>
      <c r="B9" s="91" t="s">
        <v>323</v>
      </c>
      <c r="C9" s="92">
        <v>19.178999999999998</v>
      </c>
      <c r="D9" s="95" t="s">
        <v>331</v>
      </c>
    </row>
    <row r="10" spans="1:12" ht="21.75" customHeight="1" x14ac:dyDescent="0.2">
      <c r="A10" s="90" t="s">
        <v>272</v>
      </c>
      <c r="B10" s="91" t="s">
        <v>323</v>
      </c>
      <c r="C10" s="92">
        <v>9.484</v>
      </c>
      <c r="D10" s="93" t="s">
        <v>332</v>
      </c>
    </row>
    <row r="11" spans="1:12" ht="21.75" customHeight="1" x14ac:dyDescent="0.2">
      <c r="A11" s="94" t="s">
        <v>273</v>
      </c>
      <c r="B11" s="91" t="s">
        <v>325</v>
      </c>
      <c r="C11" s="92">
        <v>13.963699999999999</v>
      </c>
      <c r="D11" s="95" t="s">
        <v>333</v>
      </c>
    </row>
    <row r="12" spans="1:12" ht="21.75" customHeight="1" x14ac:dyDescent="0.2">
      <c r="A12" s="90" t="s">
        <v>274</v>
      </c>
      <c r="B12" s="91" t="s">
        <v>334</v>
      </c>
      <c r="C12" s="92">
        <v>13.963699999999999</v>
      </c>
      <c r="D12" s="93" t="s">
        <v>335</v>
      </c>
    </row>
    <row r="14" spans="1:12" ht="19.5" customHeight="1" x14ac:dyDescent="0.2">
      <c r="A14" s="96" t="s">
        <v>336</v>
      </c>
      <c r="B14" s="59">
        <f ca="1">TODAY()</f>
        <v>46100</v>
      </c>
    </row>
    <row r="15" spans="1:12" ht="15" customHeight="1" x14ac:dyDescent="0.2">
      <c r="B15" t="s">
        <v>337</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L17"/>
  <sheetViews>
    <sheetView zoomScaleNormal="100" workbookViewId="0"/>
  </sheetViews>
  <sheetFormatPr defaultColWidth="8.609375" defaultRowHeight="15" x14ac:dyDescent="0.2"/>
  <cols>
    <col min="1" max="1" width="22.05859375" customWidth="1"/>
    <col min="2" max="2" width="25.9609375" customWidth="1"/>
    <col min="3" max="4" width="16.0078125" customWidth="1"/>
    <col min="5" max="5" width="18.0234375" customWidth="1"/>
    <col min="6" max="6" width="22.05859375" customWidth="1"/>
  </cols>
  <sheetData>
    <row r="1" spans="1:12" ht="21.75" customHeight="1" x14ac:dyDescent="0.2">
      <c r="A1" t="s">
        <v>338</v>
      </c>
      <c r="L1" t="str">
        <f>HYPERLINK("#'00_INDEX'!A1","&lt;- Index")</f>
        <v>&lt;- Index</v>
      </c>
    </row>
    <row r="2" spans="1:12" ht="21.75" customHeight="1" x14ac:dyDescent="0.2">
      <c r="A2" t="s">
        <v>339</v>
      </c>
    </row>
    <row r="3" spans="1:12" ht="15" customHeight="1" x14ac:dyDescent="0.2">
      <c r="A3" t="str">
        <f>IFERROR(IF(COUNTIF(CALC_PlanetLongitudes!$H$7:$H$16,"&lt;&gt;")&gt;0,"BOUNDARY ALERT: "&amp;COUNTIF(CALC_PlanetLongitudes!$H$7:$H$16,"&lt;&gt;")&amp;" planet(s) near sign boundary - verify with third-party software",""),"")</f>
        <v>BOUNDARY ALERT: 10 planet(s) near sign boundary - verify with third-party software</v>
      </c>
    </row>
    <row r="4" spans="1:12" ht="15" customHeight="1" x14ac:dyDescent="0.2">
      <c r="A4" t="s">
        <v>277</v>
      </c>
      <c r="B4" t="s">
        <v>278</v>
      </c>
      <c r="C4" t="s">
        <v>279</v>
      </c>
      <c r="D4" t="s">
        <v>280</v>
      </c>
      <c r="E4" t="s">
        <v>281</v>
      </c>
      <c r="F4" t="s">
        <v>282</v>
      </c>
    </row>
    <row r="5" spans="1:12" ht="15" customHeight="1" x14ac:dyDescent="0.2">
      <c r="A5" t="s">
        <v>283</v>
      </c>
      <c r="B5" t="s">
        <v>284</v>
      </c>
      <c r="C5" s="4" t="str">
        <f>INPUT_Chart!C5</f>
        <v>Taurus</v>
      </c>
      <c r="D5" s="97">
        <f>INPUT_Chart!D5</f>
        <v>7.7286000000000001</v>
      </c>
      <c r="E5" t="s">
        <v>285</v>
      </c>
      <c r="F5" t="s">
        <v>286</v>
      </c>
    </row>
    <row r="6" spans="1:12" ht="15" customHeight="1" x14ac:dyDescent="0.2">
      <c r="A6" t="s">
        <v>287</v>
      </c>
      <c r="B6" t="s">
        <v>284</v>
      </c>
      <c r="C6" s="4" t="str">
        <f>INPUT_Chart!C6</f>
        <v>Cancer</v>
      </c>
      <c r="D6" s="97">
        <f>INPUT_Chart!D6</f>
        <v>27.989000000000004</v>
      </c>
      <c r="E6" t="s">
        <v>288</v>
      </c>
      <c r="F6" t="s">
        <v>289</v>
      </c>
    </row>
    <row r="7" spans="1:12" ht="15" customHeight="1" x14ac:dyDescent="0.2">
      <c r="A7" t="s">
        <v>290</v>
      </c>
      <c r="B7" t="s">
        <v>284</v>
      </c>
      <c r="C7" s="4" t="str">
        <f>INPUT_Chart!C7</f>
        <v>Cancer</v>
      </c>
      <c r="D7" s="97">
        <f>INPUT_Chart!D7</f>
        <v>3.9835000000000065</v>
      </c>
      <c r="E7" t="s">
        <v>291</v>
      </c>
      <c r="F7" t="s">
        <v>292</v>
      </c>
    </row>
    <row r="8" spans="1:12" ht="15" customHeight="1" x14ac:dyDescent="0.2">
      <c r="A8" t="s">
        <v>293</v>
      </c>
      <c r="B8" t="s">
        <v>284</v>
      </c>
      <c r="C8" s="4" t="str">
        <f>INPUT_Chart!C8</f>
        <v>Gemini</v>
      </c>
      <c r="D8" s="97">
        <f>INPUT_Chart!D8</f>
        <v>7.4561999999999955</v>
      </c>
      <c r="E8" t="s">
        <v>294</v>
      </c>
      <c r="F8" t="s">
        <v>295</v>
      </c>
    </row>
    <row r="9" spans="1:12" ht="15" customHeight="1" x14ac:dyDescent="0.2">
      <c r="A9" t="s">
        <v>296</v>
      </c>
      <c r="B9" t="s">
        <v>284</v>
      </c>
      <c r="C9" s="4" t="str">
        <f>INPUT_Chart!C9</f>
        <v>Cancer</v>
      </c>
      <c r="D9" s="97">
        <f>INPUT_Chart!D9</f>
        <v>13.674300000000002</v>
      </c>
      <c r="E9" t="s">
        <v>297</v>
      </c>
      <c r="F9" t="s">
        <v>298</v>
      </c>
    </row>
    <row r="10" spans="1:12" ht="15" customHeight="1" x14ac:dyDescent="0.2">
      <c r="A10" t="s">
        <v>299</v>
      </c>
      <c r="B10" t="s">
        <v>284</v>
      </c>
      <c r="C10" s="4" t="str">
        <f>INPUT_Chart!C10</f>
        <v>Libra</v>
      </c>
      <c r="D10" s="97">
        <f>INPUT_Chart!D10</f>
        <v>25.877700000000004</v>
      </c>
      <c r="E10" t="s">
        <v>300</v>
      </c>
      <c r="F10" t="s">
        <v>301</v>
      </c>
    </row>
    <row r="11" spans="1:12" ht="15" customHeight="1" x14ac:dyDescent="0.2">
      <c r="A11" t="s">
        <v>302</v>
      </c>
      <c r="B11" t="s">
        <v>284</v>
      </c>
      <c r="C11" s="4" t="str">
        <f>INPUT_Chart!C11</f>
        <v>Cancer</v>
      </c>
      <c r="D11" s="97">
        <f>INPUT_Chart!D11</f>
        <v>22.561199999999999</v>
      </c>
      <c r="E11" t="s">
        <v>303</v>
      </c>
      <c r="F11" t="s">
        <v>304</v>
      </c>
    </row>
    <row r="12" spans="1:12" ht="15" customHeight="1" x14ac:dyDescent="0.2">
      <c r="A12" t="s">
        <v>305</v>
      </c>
      <c r="B12" t="s">
        <v>284</v>
      </c>
      <c r="C12" s="4" t="str">
        <f>INPUT_Chart!C12</f>
        <v>Cancer</v>
      </c>
      <c r="D12" s="97">
        <f>INPUT_Chart!D12</f>
        <v>20.472999999999999</v>
      </c>
      <c r="E12" t="s">
        <v>306</v>
      </c>
      <c r="F12" t="s">
        <v>307</v>
      </c>
    </row>
    <row r="13" spans="1:12" ht="15" customHeight="1" x14ac:dyDescent="0.2">
      <c r="A13" t="s">
        <v>308</v>
      </c>
      <c r="B13" t="s">
        <v>284</v>
      </c>
      <c r="C13" s="4" t="str">
        <f>INPUT_Chart!C13</f>
        <v>Taurus</v>
      </c>
      <c r="D13" s="97">
        <f>INPUT_Chart!D13</f>
        <v>5.0696999999999974</v>
      </c>
      <c r="E13" t="s">
        <v>273</v>
      </c>
      <c r="F13" t="s">
        <v>309</v>
      </c>
    </row>
    <row r="14" spans="1:12" ht="15" customHeight="1" x14ac:dyDescent="0.2">
      <c r="A14" t="s">
        <v>310</v>
      </c>
      <c r="B14" t="s">
        <v>284</v>
      </c>
      <c r="C14" s="4" t="str">
        <f>INPUT_Chart!C14</f>
        <v>Scorpio</v>
      </c>
      <c r="D14" s="97">
        <f>INPUT_Chart!D14</f>
        <v>5.0697000000000116</v>
      </c>
      <c r="E14" t="s">
        <v>274</v>
      </c>
      <c r="F14" t="s">
        <v>311</v>
      </c>
    </row>
    <row r="16" spans="1:12" ht="15" customHeight="1" x14ac:dyDescent="0.2">
      <c r="A16" t="s">
        <v>312</v>
      </c>
      <c r="B16" t="s">
        <v>313</v>
      </c>
      <c r="C16" t="str">
        <f>IFERROR("≈ "&amp;TEXT((MATCH(C7,{"Aries","Taurus","Gemini","Cancer","Leo","Virgo","Libra","Scorpio","Sagittarius","Capricorn","Aquarius","Pisces"},0)-1)*30+D7,"0.00")&amp;"° abs","Enter Moon sign+degree above")</f>
        <v>≈ 93.98° abs</v>
      </c>
      <c r="D16" t="s">
        <v>314</v>
      </c>
      <c r="E16" t="s">
        <v>291</v>
      </c>
      <c r="F16" t="s">
        <v>315</v>
      </c>
    </row>
    <row r="17" spans="1:1" ht="15" customHeight="1" x14ac:dyDescent="0.2">
      <c r="A17" t="s">
        <v>316</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565C0"/>
  </sheetPr>
  <dimension ref="A1:Q39"/>
  <sheetViews>
    <sheetView zoomScaleNormal="100" workbookViewId="0">
      <pane xSplit="2" ySplit="3" topLeftCell="C4" activePane="bottomRight" state="frozen"/>
      <selection pane="bottomLeft" activeCell="A4" sqref="A4"/>
      <selection pane="topRight" activeCell="C1" sqref="C1"/>
      <selection pane="bottomRight"/>
    </sheetView>
  </sheetViews>
  <sheetFormatPr defaultColWidth="8.609375" defaultRowHeight="15" x14ac:dyDescent="0.2"/>
  <cols>
    <col min="1" max="1" width="4.9765625" customWidth="1"/>
    <col min="2" max="2" width="25.9609375" customWidth="1"/>
    <col min="3" max="3" width="13.98828125" customWidth="1"/>
    <col min="4" max="15" width="20.04296875" customWidth="1"/>
  </cols>
  <sheetData>
    <row r="1" spans="1:17" ht="27.75" customHeight="1" x14ac:dyDescent="0.2">
      <c r="A1" s="1467" t="s">
        <v>340</v>
      </c>
      <c r="B1" s="1467"/>
      <c r="C1" s="1467"/>
      <c r="D1" s="1467"/>
      <c r="E1" s="1467"/>
      <c r="F1" s="1467"/>
      <c r="G1" s="1467"/>
      <c r="H1" s="1467"/>
      <c r="I1" s="1467"/>
      <c r="J1" s="1467"/>
      <c r="K1" s="1467"/>
      <c r="L1" s="1467"/>
      <c r="M1" s="1467"/>
      <c r="N1" s="1467"/>
      <c r="O1" s="1467"/>
      <c r="P1" s="1467"/>
      <c r="Q1" s="29" t="str">
        <f>HYPERLINK("#'00_INDEX'!A1","&lt;- Index")</f>
        <v>&lt;- Index</v>
      </c>
    </row>
    <row r="2" spans="1:17" ht="15.75" customHeight="1" x14ac:dyDescent="0.2">
      <c r="A2" s="1468" t="s">
        <v>341</v>
      </c>
      <c r="B2" s="1468"/>
      <c r="C2" s="1468"/>
      <c r="D2" s="1468"/>
      <c r="E2" s="1468"/>
      <c r="F2" s="1468"/>
      <c r="G2" s="1468"/>
      <c r="H2" s="1468"/>
      <c r="I2" s="1468"/>
      <c r="J2" s="1468"/>
      <c r="K2" s="1468"/>
      <c r="L2" s="1468"/>
      <c r="M2" s="1468"/>
      <c r="N2" s="1468"/>
      <c r="O2" s="1468"/>
      <c r="P2" s="1468"/>
    </row>
    <row r="3" spans="1:17" ht="21.75" customHeight="1" x14ac:dyDescent="0.2">
      <c r="A3" s="98" t="s">
        <v>342</v>
      </c>
      <c r="B3" s="98" t="s">
        <v>343</v>
      </c>
      <c r="C3" s="98" t="s">
        <v>344</v>
      </c>
      <c r="D3" s="99" t="s">
        <v>345</v>
      </c>
      <c r="E3" s="100" t="s">
        <v>346</v>
      </c>
      <c r="F3" s="101" t="s">
        <v>329</v>
      </c>
      <c r="G3" s="102" t="s">
        <v>347</v>
      </c>
      <c r="H3" s="103" t="s">
        <v>334</v>
      </c>
      <c r="I3" s="104" t="s">
        <v>348</v>
      </c>
      <c r="J3" s="105" t="s">
        <v>349</v>
      </c>
      <c r="K3" s="106" t="s">
        <v>350</v>
      </c>
      <c r="L3" s="107" t="s">
        <v>351</v>
      </c>
      <c r="M3" s="108" t="s">
        <v>352</v>
      </c>
      <c r="N3" s="109" t="s">
        <v>325</v>
      </c>
      <c r="O3" s="110" t="s">
        <v>323</v>
      </c>
    </row>
    <row r="4" spans="1:17" ht="21.75" customHeight="1" x14ac:dyDescent="0.2">
      <c r="A4" s="111" t="s">
        <v>353</v>
      </c>
      <c r="B4" s="112" t="s">
        <v>354</v>
      </c>
      <c r="C4" s="113" t="s">
        <v>355</v>
      </c>
      <c r="D4" s="114" t="s">
        <v>285</v>
      </c>
      <c r="E4" s="114" t="s">
        <v>356</v>
      </c>
      <c r="F4" s="114" t="s">
        <v>357</v>
      </c>
      <c r="G4" s="114" t="s">
        <v>358</v>
      </c>
      <c r="H4" s="114" t="s">
        <v>359</v>
      </c>
      <c r="I4" s="114" t="s">
        <v>360</v>
      </c>
      <c r="J4" s="114" t="s">
        <v>361</v>
      </c>
      <c r="K4" s="114" t="s">
        <v>362</v>
      </c>
      <c r="L4" s="114" t="s">
        <v>363</v>
      </c>
      <c r="M4" s="114" t="s">
        <v>364</v>
      </c>
      <c r="N4" s="114" t="s">
        <v>365</v>
      </c>
      <c r="O4" s="114" t="s">
        <v>366</v>
      </c>
    </row>
    <row r="5" spans="1:17" ht="21.75" customHeight="1" x14ac:dyDescent="0.2">
      <c r="A5" s="111"/>
      <c r="B5" s="112" t="s">
        <v>367</v>
      </c>
      <c r="C5" s="113" t="s">
        <v>368</v>
      </c>
      <c r="D5" s="115">
        <v>1</v>
      </c>
      <c r="E5" s="115">
        <v>2</v>
      </c>
      <c r="F5" s="115">
        <v>3</v>
      </c>
      <c r="G5" s="115">
        <v>4</v>
      </c>
      <c r="H5" s="115">
        <v>5</v>
      </c>
      <c r="I5" s="115">
        <v>6</v>
      </c>
      <c r="J5" s="115">
        <v>7</v>
      </c>
      <c r="K5" s="115">
        <v>8</v>
      </c>
      <c r="L5" s="115">
        <v>9</v>
      </c>
      <c r="M5" s="115">
        <v>10</v>
      </c>
      <c r="N5" s="115">
        <v>11</v>
      </c>
      <c r="O5" s="115">
        <v>12</v>
      </c>
    </row>
    <row r="6" spans="1:17" ht="21.75" customHeight="1" x14ac:dyDescent="0.2">
      <c r="A6" s="111"/>
      <c r="B6" s="112" t="s">
        <v>369</v>
      </c>
      <c r="C6" s="113" t="s">
        <v>370</v>
      </c>
      <c r="D6" s="114" t="s">
        <v>371</v>
      </c>
      <c r="E6" s="114" t="s">
        <v>372</v>
      </c>
      <c r="F6" s="114" t="s">
        <v>373</v>
      </c>
      <c r="G6" s="114" t="s">
        <v>374</v>
      </c>
      <c r="H6" s="114" t="s">
        <v>375</v>
      </c>
      <c r="I6" s="114" t="s">
        <v>376</v>
      </c>
      <c r="J6" s="114" t="s">
        <v>377</v>
      </c>
      <c r="K6" s="114" t="s">
        <v>378</v>
      </c>
      <c r="L6" s="114" t="s">
        <v>379</v>
      </c>
      <c r="M6" s="114" t="s">
        <v>380</v>
      </c>
      <c r="N6" s="114" t="s">
        <v>381</v>
      </c>
      <c r="O6" s="114" t="s">
        <v>382</v>
      </c>
    </row>
    <row r="7" spans="1:17" ht="21.75" customHeight="1" x14ac:dyDescent="0.2">
      <c r="A7" s="116" t="s">
        <v>383</v>
      </c>
      <c r="B7" s="117" t="s">
        <v>384</v>
      </c>
      <c r="C7" s="118" t="s">
        <v>385</v>
      </c>
      <c r="D7" s="119" t="s">
        <v>268</v>
      </c>
      <c r="E7" s="120" t="s">
        <v>271</v>
      </c>
      <c r="F7" s="121" t="s">
        <v>269</v>
      </c>
      <c r="G7" s="122" t="s">
        <v>267</v>
      </c>
      <c r="H7" s="123" t="s">
        <v>266</v>
      </c>
      <c r="I7" s="124" t="s">
        <v>269</v>
      </c>
      <c r="J7" s="125" t="s">
        <v>271</v>
      </c>
      <c r="K7" s="126" t="s">
        <v>268</v>
      </c>
      <c r="L7" s="127" t="s">
        <v>270</v>
      </c>
      <c r="M7" s="128" t="s">
        <v>272</v>
      </c>
      <c r="N7" s="129" t="s">
        <v>272</v>
      </c>
      <c r="O7" s="130" t="s">
        <v>270</v>
      </c>
    </row>
    <row r="8" spans="1:17" ht="21.75" customHeight="1" x14ac:dyDescent="0.2">
      <c r="A8" s="116"/>
      <c r="B8" s="117" t="s">
        <v>386</v>
      </c>
      <c r="C8" s="118" t="s">
        <v>387</v>
      </c>
      <c r="D8" s="131" t="s">
        <v>294</v>
      </c>
      <c r="E8" s="131" t="s">
        <v>303</v>
      </c>
      <c r="F8" s="131" t="s">
        <v>297</v>
      </c>
      <c r="G8" s="131" t="s">
        <v>291</v>
      </c>
      <c r="H8" s="131" t="s">
        <v>288</v>
      </c>
      <c r="I8" s="131" t="s">
        <v>297</v>
      </c>
      <c r="J8" s="131" t="s">
        <v>303</v>
      </c>
      <c r="K8" s="131" t="s">
        <v>294</v>
      </c>
      <c r="L8" s="131" t="s">
        <v>300</v>
      </c>
      <c r="M8" s="131" t="s">
        <v>306</v>
      </c>
      <c r="N8" s="131" t="s">
        <v>306</v>
      </c>
      <c r="O8" s="131" t="s">
        <v>300</v>
      </c>
    </row>
    <row r="9" spans="1:17" ht="21.75" customHeight="1" x14ac:dyDescent="0.2">
      <c r="A9" s="116"/>
      <c r="B9" s="117" t="s">
        <v>388</v>
      </c>
      <c r="C9" s="118" t="s">
        <v>389</v>
      </c>
      <c r="D9" s="132" t="s">
        <v>266</v>
      </c>
      <c r="E9" s="133" t="s">
        <v>267</v>
      </c>
      <c r="F9" s="134" t="s">
        <v>36</v>
      </c>
      <c r="G9" s="135" t="s">
        <v>270</v>
      </c>
      <c r="H9" s="136" t="s">
        <v>36</v>
      </c>
      <c r="I9" s="137" t="s">
        <v>269</v>
      </c>
      <c r="J9" s="138" t="s">
        <v>272</v>
      </c>
      <c r="K9" s="139" t="s">
        <v>36</v>
      </c>
      <c r="L9" s="140" t="s">
        <v>36</v>
      </c>
      <c r="M9" s="141" t="s">
        <v>268</v>
      </c>
      <c r="N9" s="142" t="s">
        <v>36</v>
      </c>
      <c r="O9" s="143" t="s">
        <v>271</v>
      </c>
    </row>
    <row r="10" spans="1:17" ht="21.75" customHeight="1" x14ac:dyDescent="0.2">
      <c r="A10" s="116"/>
      <c r="B10" s="117" t="s">
        <v>390</v>
      </c>
      <c r="C10" s="118" t="s">
        <v>391</v>
      </c>
      <c r="D10" s="131" t="s">
        <v>392</v>
      </c>
      <c r="E10" s="131" t="s">
        <v>393</v>
      </c>
      <c r="F10" s="131" t="s">
        <v>36</v>
      </c>
      <c r="G10" s="131" t="s">
        <v>394</v>
      </c>
      <c r="H10" s="131" t="s">
        <v>36</v>
      </c>
      <c r="I10" s="131" t="s">
        <v>395</v>
      </c>
      <c r="J10" s="131" t="s">
        <v>396</v>
      </c>
      <c r="K10" s="131" t="s">
        <v>36</v>
      </c>
      <c r="L10" s="131" t="s">
        <v>36</v>
      </c>
      <c r="M10" s="131" t="s">
        <v>397</v>
      </c>
      <c r="N10" s="131" t="s">
        <v>36</v>
      </c>
      <c r="O10" s="131" t="s">
        <v>398</v>
      </c>
    </row>
    <row r="11" spans="1:17" ht="21.75" customHeight="1" x14ac:dyDescent="0.2">
      <c r="A11" s="116"/>
      <c r="B11" s="117" t="s">
        <v>399</v>
      </c>
      <c r="C11" s="118" t="s">
        <v>400</v>
      </c>
      <c r="D11" s="132" t="s">
        <v>272</v>
      </c>
      <c r="E11" s="133" t="s">
        <v>36</v>
      </c>
      <c r="F11" s="134" t="s">
        <v>36</v>
      </c>
      <c r="G11" s="135" t="s">
        <v>268</v>
      </c>
      <c r="H11" s="136" t="s">
        <v>36</v>
      </c>
      <c r="I11" s="137" t="s">
        <v>271</v>
      </c>
      <c r="J11" s="138" t="s">
        <v>266</v>
      </c>
      <c r="K11" s="139" t="s">
        <v>36</v>
      </c>
      <c r="L11" s="140" t="s">
        <v>36</v>
      </c>
      <c r="M11" s="141" t="s">
        <v>270</v>
      </c>
      <c r="N11" s="142" t="s">
        <v>36</v>
      </c>
      <c r="O11" s="143" t="s">
        <v>269</v>
      </c>
    </row>
    <row r="12" spans="1:17" ht="21.75" customHeight="1" x14ac:dyDescent="0.2">
      <c r="A12" s="116"/>
      <c r="B12" s="117" t="s">
        <v>401</v>
      </c>
      <c r="C12" s="118" t="s">
        <v>402</v>
      </c>
      <c r="D12" s="131" t="s">
        <v>403</v>
      </c>
      <c r="E12" s="131" t="s">
        <v>404</v>
      </c>
      <c r="F12" s="131" t="s">
        <v>405</v>
      </c>
      <c r="G12" s="131" t="s">
        <v>36</v>
      </c>
      <c r="H12" s="131" t="s">
        <v>406</v>
      </c>
      <c r="I12" s="131" t="s">
        <v>407</v>
      </c>
      <c r="J12" s="131" t="s">
        <v>408</v>
      </c>
      <c r="K12" s="131" t="s">
        <v>36</v>
      </c>
      <c r="L12" s="131" t="s">
        <v>409</v>
      </c>
      <c r="M12" s="131" t="s">
        <v>36</v>
      </c>
      <c r="N12" s="131" t="s">
        <v>36</v>
      </c>
      <c r="O12" s="131" t="s">
        <v>36</v>
      </c>
    </row>
    <row r="13" spans="1:17" ht="21.75" customHeight="1" x14ac:dyDescent="0.2">
      <c r="A13" s="144" t="s">
        <v>410</v>
      </c>
      <c r="B13" s="145" t="s">
        <v>411</v>
      </c>
      <c r="C13" s="146" t="s">
        <v>412</v>
      </c>
      <c r="D13" s="119" t="s">
        <v>413</v>
      </c>
      <c r="E13" s="120" t="s">
        <v>414</v>
      </c>
      <c r="F13" s="121" t="s">
        <v>415</v>
      </c>
      <c r="G13" s="122" t="s">
        <v>416</v>
      </c>
      <c r="H13" s="119" t="s">
        <v>413</v>
      </c>
      <c r="I13" s="120" t="s">
        <v>414</v>
      </c>
      <c r="J13" s="121" t="s">
        <v>415</v>
      </c>
      <c r="K13" s="122" t="s">
        <v>416</v>
      </c>
      <c r="L13" s="119" t="s">
        <v>413</v>
      </c>
      <c r="M13" s="120" t="s">
        <v>414</v>
      </c>
      <c r="N13" s="121" t="s">
        <v>415</v>
      </c>
      <c r="O13" s="122" t="s">
        <v>416</v>
      </c>
    </row>
    <row r="14" spans="1:17" ht="21.75" customHeight="1" x14ac:dyDescent="0.2">
      <c r="A14" s="144"/>
      <c r="B14" s="145" t="s">
        <v>417</v>
      </c>
      <c r="C14" s="146" t="s">
        <v>418</v>
      </c>
      <c r="D14" s="147" t="s">
        <v>419</v>
      </c>
      <c r="E14" s="148" t="s">
        <v>420</v>
      </c>
      <c r="F14" s="149" t="s">
        <v>421</v>
      </c>
      <c r="G14" s="147" t="s">
        <v>419</v>
      </c>
      <c r="H14" s="148" t="s">
        <v>420</v>
      </c>
      <c r="I14" s="149" t="s">
        <v>421</v>
      </c>
      <c r="J14" s="147" t="s">
        <v>419</v>
      </c>
      <c r="K14" s="148" t="s">
        <v>420</v>
      </c>
      <c r="L14" s="149" t="s">
        <v>421</v>
      </c>
      <c r="M14" s="147" t="s">
        <v>419</v>
      </c>
      <c r="N14" s="148" t="s">
        <v>420</v>
      </c>
      <c r="O14" s="149" t="s">
        <v>421</v>
      </c>
    </row>
    <row r="15" spans="1:17" ht="21.75" customHeight="1" x14ac:dyDescent="0.2">
      <c r="A15" s="144"/>
      <c r="B15" s="145" t="s">
        <v>422</v>
      </c>
      <c r="C15" s="146" t="s">
        <v>423</v>
      </c>
      <c r="D15" s="150" t="s">
        <v>424</v>
      </c>
      <c r="E15" s="150" t="s">
        <v>425</v>
      </c>
      <c r="F15" s="150" t="s">
        <v>424</v>
      </c>
      <c r="G15" s="150" t="s">
        <v>425</v>
      </c>
      <c r="H15" s="150" t="s">
        <v>424</v>
      </c>
      <c r="I15" s="150" t="s">
        <v>425</v>
      </c>
      <c r="J15" s="150" t="s">
        <v>424</v>
      </c>
      <c r="K15" s="150" t="s">
        <v>425</v>
      </c>
      <c r="L15" s="150" t="s">
        <v>424</v>
      </c>
      <c r="M15" s="150" t="s">
        <v>425</v>
      </c>
      <c r="N15" s="150" t="s">
        <v>424</v>
      </c>
      <c r="O15" s="150" t="s">
        <v>425</v>
      </c>
    </row>
    <row r="16" spans="1:17" ht="21.75" customHeight="1" x14ac:dyDescent="0.2">
      <c r="A16" s="144"/>
      <c r="B16" s="145" t="s">
        <v>426</v>
      </c>
      <c r="C16" s="146" t="s">
        <v>427</v>
      </c>
      <c r="D16" s="151" t="s">
        <v>428</v>
      </c>
      <c r="E16" s="151" t="s">
        <v>429</v>
      </c>
      <c r="F16" s="151" t="s">
        <v>428</v>
      </c>
      <c r="G16" s="151" t="s">
        <v>429</v>
      </c>
      <c r="H16" s="151" t="s">
        <v>428</v>
      </c>
      <c r="I16" s="151" t="s">
        <v>429</v>
      </c>
      <c r="J16" s="151" t="s">
        <v>428</v>
      </c>
      <c r="K16" s="151" t="s">
        <v>429</v>
      </c>
      <c r="L16" s="151" t="s">
        <v>428</v>
      </c>
      <c r="M16" s="151" t="s">
        <v>429</v>
      </c>
      <c r="N16" s="151" t="s">
        <v>428</v>
      </c>
      <c r="O16" s="151" t="s">
        <v>429</v>
      </c>
    </row>
    <row r="17" spans="1:15" ht="21.75" customHeight="1" x14ac:dyDescent="0.2">
      <c r="A17" s="152" t="s">
        <v>430</v>
      </c>
      <c r="B17" s="153" t="s">
        <v>430</v>
      </c>
      <c r="C17" s="154" t="s">
        <v>431</v>
      </c>
      <c r="D17" s="132" t="s">
        <v>432</v>
      </c>
      <c r="E17" s="133" t="s">
        <v>433</v>
      </c>
      <c r="F17" s="133" t="s">
        <v>433</v>
      </c>
      <c r="G17" s="133" t="s">
        <v>433</v>
      </c>
      <c r="H17" s="132" t="s">
        <v>432</v>
      </c>
      <c r="I17" s="133" t="s">
        <v>433</v>
      </c>
      <c r="J17" s="133" t="s">
        <v>433</v>
      </c>
      <c r="K17" s="132" t="s">
        <v>432</v>
      </c>
      <c r="L17" s="133" t="s">
        <v>433</v>
      </c>
      <c r="M17" s="132" t="s">
        <v>432</v>
      </c>
      <c r="N17" s="132" t="s">
        <v>432</v>
      </c>
      <c r="O17" s="133" t="s">
        <v>433</v>
      </c>
    </row>
    <row r="18" spans="1:15" ht="21.75" customHeight="1" x14ac:dyDescent="0.2">
      <c r="A18" s="152"/>
      <c r="B18" s="153" t="s">
        <v>434</v>
      </c>
      <c r="C18" s="154" t="s">
        <v>435</v>
      </c>
      <c r="D18" s="155" t="s">
        <v>436</v>
      </c>
      <c r="E18" s="155" t="s">
        <v>437</v>
      </c>
      <c r="F18" s="155" t="s">
        <v>436</v>
      </c>
      <c r="G18" s="155" t="s">
        <v>438</v>
      </c>
      <c r="H18" s="155" t="s">
        <v>437</v>
      </c>
      <c r="I18" s="155" t="s">
        <v>436</v>
      </c>
      <c r="J18" s="155" t="s">
        <v>436</v>
      </c>
      <c r="K18" s="155" t="s">
        <v>439</v>
      </c>
      <c r="L18" s="155" t="s">
        <v>440</v>
      </c>
      <c r="M18" s="155" t="s">
        <v>441</v>
      </c>
      <c r="N18" s="155" t="s">
        <v>436</v>
      </c>
      <c r="O18" s="155" t="s">
        <v>438</v>
      </c>
    </row>
    <row r="19" spans="1:15" ht="21.75" customHeight="1" x14ac:dyDescent="0.2">
      <c r="A19" s="152"/>
      <c r="B19" s="153" t="s">
        <v>442</v>
      </c>
      <c r="C19" s="154" t="s">
        <v>443</v>
      </c>
      <c r="D19" s="150" t="s">
        <v>444</v>
      </c>
      <c r="E19" s="150" t="s">
        <v>445</v>
      </c>
      <c r="F19" s="150" t="s">
        <v>444</v>
      </c>
      <c r="G19" s="150" t="s">
        <v>445</v>
      </c>
      <c r="H19" s="150" t="s">
        <v>444</v>
      </c>
      <c r="I19" s="150" t="s">
        <v>444</v>
      </c>
      <c r="J19" s="150" t="s">
        <v>446</v>
      </c>
      <c r="K19" s="150" t="s">
        <v>445</v>
      </c>
      <c r="L19" s="150" t="s">
        <v>446</v>
      </c>
      <c r="M19" s="150" t="s">
        <v>446</v>
      </c>
      <c r="N19" s="150" t="s">
        <v>444</v>
      </c>
      <c r="O19" s="150" t="s">
        <v>445</v>
      </c>
    </row>
    <row r="20" spans="1:15" ht="21.75" customHeight="1" x14ac:dyDescent="0.2">
      <c r="A20" s="152"/>
      <c r="B20" s="153" t="s">
        <v>447</v>
      </c>
      <c r="C20" s="154" t="s">
        <v>448</v>
      </c>
      <c r="D20" s="155" t="s">
        <v>449</v>
      </c>
      <c r="E20" s="155" t="s">
        <v>449</v>
      </c>
      <c r="F20" s="155" t="s">
        <v>450</v>
      </c>
      <c r="G20" s="155" t="s">
        <v>451</v>
      </c>
      <c r="H20" s="155" t="s">
        <v>449</v>
      </c>
      <c r="I20" s="155" t="s">
        <v>450</v>
      </c>
      <c r="J20" s="155" t="s">
        <v>450</v>
      </c>
      <c r="K20" s="155" t="s">
        <v>451</v>
      </c>
      <c r="L20" s="155" t="s">
        <v>449</v>
      </c>
      <c r="M20" s="155" t="s">
        <v>451</v>
      </c>
      <c r="N20" s="155" t="s">
        <v>449</v>
      </c>
      <c r="O20" s="155" t="s">
        <v>451</v>
      </c>
    </row>
    <row r="21" spans="1:15" ht="21.75" customHeight="1" x14ac:dyDescent="0.2">
      <c r="A21" s="156" t="s">
        <v>452</v>
      </c>
      <c r="B21" s="157" t="s">
        <v>453</v>
      </c>
      <c r="C21" s="158" t="s">
        <v>454</v>
      </c>
      <c r="D21" s="150" t="s">
        <v>455</v>
      </c>
      <c r="E21" s="150" t="s">
        <v>456</v>
      </c>
      <c r="F21" s="150" t="s">
        <v>457</v>
      </c>
      <c r="G21" s="150" t="s">
        <v>458</v>
      </c>
      <c r="H21" s="150" t="s">
        <v>459</v>
      </c>
      <c r="I21" s="150" t="s">
        <v>457</v>
      </c>
      <c r="J21" s="150" t="s">
        <v>456</v>
      </c>
      <c r="K21" s="150" t="s">
        <v>460</v>
      </c>
      <c r="L21" s="150" t="s">
        <v>461</v>
      </c>
      <c r="M21" s="150" t="s">
        <v>456</v>
      </c>
      <c r="N21" s="150" t="s">
        <v>462</v>
      </c>
      <c r="O21" s="150" t="s">
        <v>458</v>
      </c>
    </row>
    <row r="22" spans="1:15" ht="21.75" customHeight="1" x14ac:dyDescent="0.2">
      <c r="A22" s="156"/>
      <c r="B22" s="157" t="s">
        <v>463</v>
      </c>
      <c r="C22" s="158" t="s">
        <v>464</v>
      </c>
      <c r="D22" s="159" t="s">
        <v>465</v>
      </c>
      <c r="E22" s="159" t="s">
        <v>466</v>
      </c>
      <c r="F22" s="159" t="s">
        <v>465</v>
      </c>
      <c r="G22" s="159" t="s">
        <v>467</v>
      </c>
      <c r="H22" s="159" t="s">
        <v>467</v>
      </c>
      <c r="I22" s="159" t="s">
        <v>466</v>
      </c>
      <c r="J22" s="159" t="s">
        <v>465</v>
      </c>
      <c r="K22" s="159" t="s">
        <v>466</v>
      </c>
      <c r="L22" s="159" t="s">
        <v>467</v>
      </c>
      <c r="M22" s="159" t="s">
        <v>466</v>
      </c>
      <c r="N22" s="159" t="s">
        <v>466</v>
      </c>
      <c r="O22" s="159" t="s">
        <v>467</v>
      </c>
    </row>
    <row r="23" spans="1:15" ht="21.75" customHeight="1" x14ac:dyDescent="0.2">
      <c r="A23" s="156"/>
      <c r="B23" s="157" t="s">
        <v>468</v>
      </c>
      <c r="C23" s="158" t="s">
        <v>469</v>
      </c>
      <c r="D23" s="150" t="s">
        <v>470</v>
      </c>
      <c r="E23" s="150" t="s">
        <v>470</v>
      </c>
      <c r="F23" s="150" t="s">
        <v>471</v>
      </c>
      <c r="G23" s="150" t="s">
        <v>471</v>
      </c>
      <c r="H23" s="150" t="s">
        <v>471</v>
      </c>
      <c r="I23" s="150" t="s">
        <v>471</v>
      </c>
      <c r="J23" s="150" t="s">
        <v>471</v>
      </c>
      <c r="K23" s="150" t="s">
        <v>471</v>
      </c>
      <c r="L23" s="150" t="s">
        <v>471</v>
      </c>
      <c r="M23" s="150" t="s">
        <v>471</v>
      </c>
      <c r="N23" s="150" t="s">
        <v>470</v>
      </c>
      <c r="O23" s="150" t="s">
        <v>472</v>
      </c>
    </row>
    <row r="24" spans="1:15" ht="21.75" customHeight="1" x14ac:dyDescent="0.2">
      <c r="A24" s="160" t="s">
        <v>473</v>
      </c>
      <c r="B24" s="161" t="s">
        <v>474</v>
      </c>
      <c r="C24" s="162" t="s">
        <v>475</v>
      </c>
      <c r="D24" s="163" t="s">
        <v>476</v>
      </c>
      <c r="E24" s="163" t="s">
        <v>477</v>
      </c>
      <c r="F24" s="163" t="s">
        <v>478</v>
      </c>
      <c r="G24" s="163" t="s">
        <v>479</v>
      </c>
      <c r="H24" s="163" t="s">
        <v>476</v>
      </c>
      <c r="I24" s="163" t="s">
        <v>477</v>
      </c>
      <c r="J24" s="163" t="s">
        <v>478</v>
      </c>
      <c r="K24" s="163" t="s">
        <v>479</v>
      </c>
      <c r="L24" s="163" t="s">
        <v>476</v>
      </c>
      <c r="M24" s="163" t="s">
        <v>477</v>
      </c>
      <c r="N24" s="163" t="s">
        <v>478</v>
      </c>
      <c r="O24" s="163" t="s">
        <v>479</v>
      </c>
    </row>
    <row r="25" spans="1:15" ht="21.75" customHeight="1" x14ac:dyDescent="0.2">
      <c r="A25" s="164" t="s">
        <v>480</v>
      </c>
      <c r="B25" s="117" t="s">
        <v>481</v>
      </c>
      <c r="C25" s="118" t="s">
        <v>482</v>
      </c>
      <c r="D25" s="150" t="s">
        <v>483</v>
      </c>
      <c r="E25" s="150" t="s">
        <v>484</v>
      </c>
      <c r="F25" s="150" t="s">
        <v>485</v>
      </c>
      <c r="G25" s="150" t="s">
        <v>486</v>
      </c>
      <c r="H25" s="150" t="s">
        <v>483</v>
      </c>
      <c r="I25" s="150" t="s">
        <v>484</v>
      </c>
      <c r="J25" s="150" t="s">
        <v>485</v>
      </c>
      <c r="K25" s="150" t="s">
        <v>486</v>
      </c>
      <c r="L25" s="150" t="s">
        <v>483</v>
      </c>
      <c r="M25" s="150" t="s">
        <v>484</v>
      </c>
      <c r="N25" s="150" t="s">
        <v>485</v>
      </c>
      <c r="O25" s="150" t="s">
        <v>486</v>
      </c>
    </row>
    <row r="26" spans="1:15" ht="21.75" customHeight="1" x14ac:dyDescent="0.2">
      <c r="A26" s="165" t="s">
        <v>487</v>
      </c>
      <c r="B26" s="153" t="s">
        <v>488</v>
      </c>
      <c r="C26" s="154" t="s">
        <v>489</v>
      </c>
      <c r="D26" s="166" t="s">
        <v>490</v>
      </c>
      <c r="E26" s="166" t="s">
        <v>491</v>
      </c>
      <c r="F26" s="166" t="s">
        <v>492</v>
      </c>
      <c r="G26" s="166" t="s">
        <v>493</v>
      </c>
      <c r="H26" s="166" t="s">
        <v>494</v>
      </c>
      <c r="I26" s="166" t="s">
        <v>495</v>
      </c>
      <c r="J26" s="166" t="s">
        <v>496</v>
      </c>
      <c r="K26" s="166" t="s">
        <v>497</v>
      </c>
      <c r="L26" s="166" t="s">
        <v>498</v>
      </c>
      <c r="M26" s="166" t="s">
        <v>499</v>
      </c>
      <c r="N26" s="166" t="s">
        <v>500</v>
      </c>
      <c r="O26" s="166" t="s">
        <v>501</v>
      </c>
    </row>
    <row r="27" spans="1:15" ht="30" customHeight="1" x14ac:dyDescent="0.2">
      <c r="A27" s="165"/>
      <c r="B27" s="153" t="s">
        <v>502</v>
      </c>
      <c r="C27" s="154" t="s">
        <v>503</v>
      </c>
      <c r="D27" s="150" t="s">
        <v>504</v>
      </c>
      <c r="E27" s="150" t="s">
        <v>505</v>
      </c>
      <c r="F27" s="150" t="s">
        <v>506</v>
      </c>
      <c r="G27" s="150" t="s">
        <v>507</v>
      </c>
      <c r="H27" s="150" t="s">
        <v>508</v>
      </c>
      <c r="I27" s="150" t="s">
        <v>509</v>
      </c>
      <c r="J27" s="150" t="s">
        <v>510</v>
      </c>
      <c r="K27" s="150" t="s">
        <v>511</v>
      </c>
      <c r="L27" s="150" t="s">
        <v>512</v>
      </c>
      <c r="M27" s="150" t="s">
        <v>513</v>
      </c>
      <c r="N27" s="150" t="s">
        <v>514</v>
      </c>
      <c r="O27" s="150" t="s">
        <v>515</v>
      </c>
    </row>
    <row r="28" spans="1:15" ht="21.75" customHeight="1" x14ac:dyDescent="0.2">
      <c r="A28" s="167" t="s">
        <v>516</v>
      </c>
      <c r="B28" s="168" t="s">
        <v>517</v>
      </c>
      <c r="C28" s="169" t="s">
        <v>518</v>
      </c>
      <c r="D28" s="114" t="s">
        <v>519</v>
      </c>
      <c r="E28" s="114" t="s">
        <v>520</v>
      </c>
      <c r="F28" s="114" t="s">
        <v>521</v>
      </c>
      <c r="G28" s="114" t="s">
        <v>522</v>
      </c>
      <c r="H28" s="114" t="s">
        <v>521</v>
      </c>
      <c r="I28" s="114" t="s">
        <v>521</v>
      </c>
      <c r="J28" s="114" t="s">
        <v>521</v>
      </c>
      <c r="K28" s="114" t="s">
        <v>522</v>
      </c>
      <c r="L28" s="114" t="s">
        <v>521</v>
      </c>
      <c r="M28" s="114" t="s">
        <v>522</v>
      </c>
      <c r="N28" s="114" t="s">
        <v>521</v>
      </c>
      <c r="O28" s="114" t="s">
        <v>523</v>
      </c>
    </row>
    <row r="29" spans="1:15" ht="21.75" customHeight="1" x14ac:dyDescent="0.2">
      <c r="A29" s="167"/>
      <c r="B29" s="168" t="s">
        <v>524</v>
      </c>
      <c r="C29" s="169" t="s">
        <v>525</v>
      </c>
      <c r="D29" s="150" t="s">
        <v>526</v>
      </c>
      <c r="E29" s="150" t="s">
        <v>527</v>
      </c>
      <c r="F29" s="150" t="s">
        <v>526</v>
      </c>
      <c r="G29" s="150" t="s">
        <v>526</v>
      </c>
      <c r="H29" s="150" t="s">
        <v>527</v>
      </c>
      <c r="I29" s="150" t="s">
        <v>527</v>
      </c>
      <c r="J29" s="150" t="s">
        <v>527</v>
      </c>
      <c r="K29" s="150" t="s">
        <v>526</v>
      </c>
      <c r="L29" s="150" t="s">
        <v>527</v>
      </c>
      <c r="M29" s="150" t="s">
        <v>526</v>
      </c>
      <c r="N29" s="150" t="s">
        <v>527</v>
      </c>
      <c r="O29" s="150" t="s">
        <v>526</v>
      </c>
    </row>
    <row r="30" spans="1:15" ht="21.75" customHeight="1" x14ac:dyDescent="0.2">
      <c r="A30" s="167"/>
      <c r="B30" s="168" t="s">
        <v>528</v>
      </c>
      <c r="C30" s="169" t="s">
        <v>529</v>
      </c>
      <c r="D30" s="114" t="s">
        <v>530</v>
      </c>
      <c r="E30" s="114" t="s">
        <v>531</v>
      </c>
      <c r="F30" s="114" t="s">
        <v>531</v>
      </c>
      <c r="G30" s="114" t="s">
        <v>532</v>
      </c>
      <c r="H30" s="114" t="s">
        <v>532</v>
      </c>
      <c r="I30" s="114" t="s">
        <v>533</v>
      </c>
      <c r="J30" s="114" t="s">
        <v>533</v>
      </c>
      <c r="K30" s="114" t="s">
        <v>534</v>
      </c>
      <c r="L30" s="114" t="s">
        <v>534</v>
      </c>
      <c r="M30" s="114" t="s">
        <v>535</v>
      </c>
      <c r="N30" s="114" t="s">
        <v>535</v>
      </c>
      <c r="O30" s="114" t="s">
        <v>530</v>
      </c>
    </row>
    <row r="31" spans="1:15" ht="21.75" customHeight="1" x14ac:dyDescent="0.2">
      <c r="A31" s="170" t="s">
        <v>536</v>
      </c>
      <c r="B31" s="171" t="s">
        <v>537</v>
      </c>
      <c r="C31" s="172" t="s">
        <v>538</v>
      </c>
      <c r="D31" s="150" t="s">
        <v>539</v>
      </c>
      <c r="E31" s="150" t="s">
        <v>540</v>
      </c>
      <c r="F31" s="150" t="s">
        <v>541</v>
      </c>
      <c r="G31" s="150" t="s">
        <v>542</v>
      </c>
      <c r="H31" s="150" t="s">
        <v>543</v>
      </c>
      <c r="I31" s="150" t="s">
        <v>544</v>
      </c>
      <c r="J31" s="150" t="s">
        <v>545</v>
      </c>
      <c r="K31" s="150" t="s">
        <v>546</v>
      </c>
      <c r="L31" s="150" t="s">
        <v>547</v>
      </c>
      <c r="M31" s="150" t="s">
        <v>548</v>
      </c>
      <c r="N31" s="150" t="s">
        <v>549</v>
      </c>
      <c r="O31" s="150" t="s">
        <v>550</v>
      </c>
    </row>
    <row r="32" spans="1:15" ht="21.75" customHeight="1" x14ac:dyDescent="0.2">
      <c r="A32" s="170"/>
      <c r="B32" s="171" t="s">
        <v>551</v>
      </c>
      <c r="C32" s="172" t="s">
        <v>552</v>
      </c>
      <c r="D32" s="173" t="s">
        <v>553</v>
      </c>
      <c r="E32" s="173" t="s">
        <v>554</v>
      </c>
      <c r="F32" s="173" t="s">
        <v>555</v>
      </c>
      <c r="G32" s="173" t="s">
        <v>553</v>
      </c>
      <c r="H32" s="173" t="s">
        <v>554</v>
      </c>
      <c r="I32" s="173" t="s">
        <v>555</v>
      </c>
      <c r="J32" s="173" t="s">
        <v>553</v>
      </c>
      <c r="K32" s="173" t="s">
        <v>554</v>
      </c>
      <c r="L32" s="173" t="s">
        <v>555</v>
      </c>
      <c r="M32" s="173" t="s">
        <v>553</v>
      </c>
      <c r="N32" s="173" t="s">
        <v>554</v>
      </c>
      <c r="O32" s="173" t="s">
        <v>555</v>
      </c>
    </row>
    <row r="33" spans="1:16" ht="21.75" customHeight="1" x14ac:dyDescent="0.2">
      <c r="A33" s="167" t="s">
        <v>516</v>
      </c>
      <c r="B33" s="168" t="s">
        <v>556</v>
      </c>
      <c r="C33" s="169" t="s">
        <v>557</v>
      </c>
      <c r="D33" s="150" t="s">
        <v>558</v>
      </c>
      <c r="E33" s="150" t="s">
        <v>559</v>
      </c>
      <c r="F33" s="150" t="s">
        <v>560</v>
      </c>
      <c r="G33" s="150" t="s">
        <v>561</v>
      </c>
      <c r="H33" s="150" t="s">
        <v>562</v>
      </c>
      <c r="I33" s="150" t="s">
        <v>563</v>
      </c>
      <c r="J33" s="150" t="s">
        <v>564</v>
      </c>
      <c r="K33" s="150" t="s">
        <v>565</v>
      </c>
      <c r="L33" s="150" t="s">
        <v>566</v>
      </c>
      <c r="M33" s="150" t="s">
        <v>567</v>
      </c>
      <c r="N33" s="150" t="s">
        <v>568</v>
      </c>
      <c r="O33" s="150" t="s">
        <v>569</v>
      </c>
    </row>
    <row r="34" spans="1:16" ht="21.75" customHeight="1" x14ac:dyDescent="0.2">
      <c r="A34" s="174" t="s">
        <v>570</v>
      </c>
      <c r="B34" s="145" t="s">
        <v>571</v>
      </c>
      <c r="C34" s="146" t="s">
        <v>572</v>
      </c>
      <c r="D34" s="175" t="s">
        <v>573</v>
      </c>
      <c r="E34" s="175" t="s">
        <v>574</v>
      </c>
      <c r="F34" s="175" t="s">
        <v>575</v>
      </c>
      <c r="G34" s="175" t="s">
        <v>576</v>
      </c>
      <c r="H34" s="175" t="s">
        <v>577</v>
      </c>
      <c r="I34" s="175" t="s">
        <v>578</v>
      </c>
      <c r="J34" s="175" t="s">
        <v>579</v>
      </c>
      <c r="K34" s="175" t="s">
        <v>580</v>
      </c>
      <c r="L34" s="175" t="s">
        <v>581</v>
      </c>
      <c r="M34" s="175" t="s">
        <v>582</v>
      </c>
      <c r="N34" s="175" t="s">
        <v>583</v>
      </c>
      <c r="O34" s="175" t="s">
        <v>584</v>
      </c>
    </row>
    <row r="35" spans="1:16" ht="21.75" customHeight="1" x14ac:dyDescent="0.2">
      <c r="A35" s="176" t="s">
        <v>585</v>
      </c>
      <c r="B35" s="177" t="s">
        <v>586</v>
      </c>
      <c r="C35" s="178" t="s">
        <v>587</v>
      </c>
      <c r="D35" s="179" t="s">
        <v>588</v>
      </c>
      <c r="E35" s="179" t="s">
        <v>588</v>
      </c>
      <c r="F35" s="179" t="s">
        <v>588</v>
      </c>
      <c r="G35" s="179" t="s">
        <v>588</v>
      </c>
      <c r="H35" s="179" t="s">
        <v>588</v>
      </c>
      <c r="I35" s="120" t="s">
        <v>589</v>
      </c>
      <c r="J35" s="179" t="s">
        <v>588</v>
      </c>
      <c r="K35" s="120" t="s">
        <v>590</v>
      </c>
      <c r="L35" s="179" t="s">
        <v>588</v>
      </c>
      <c r="M35" s="179" t="s">
        <v>588</v>
      </c>
      <c r="N35" s="179" t="s">
        <v>588</v>
      </c>
      <c r="O35" s="120" t="s">
        <v>591</v>
      </c>
    </row>
    <row r="36" spans="1:16" ht="21.75" customHeight="1" x14ac:dyDescent="0.2">
      <c r="A36" s="176"/>
      <c r="B36" s="177" t="s">
        <v>592</v>
      </c>
      <c r="C36" s="178" t="s">
        <v>539</v>
      </c>
      <c r="D36" s="120" t="s">
        <v>593</v>
      </c>
      <c r="E36" s="179" t="s">
        <v>588</v>
      </c>
      <c r="F36" s="179" t="s">
        <v>588</v>
      </c>
      <c r="G36" s="120" t="s">
        <v>594</v>
      </c>
      <c r="H36" s="179" t="s">
        <v>588</v>
      </c>
      <c r="I36" s="179" t="s">
        <v>588</v>
      </c>
      <c r="J36" s="120" t="s">
        <v>595</v>
      </c>
      <c r="K36" s="179" t="s">
        <v>588</v>
      </c>
      <c r="L36" s="179" t="s">
        <v>588</v>
      </c>
      <c r="M36" s="120" t="s">
        <v>596</v>
      </c>
      <c r="N36" s="179" t="s">
        <v>588</v>
      </c>
      <c r="O36" s="179" t="s">
        <v>588</v>
      </c>
    </row>
    <row r="37" spans="1:16" ht="21.75" customHeight="1" x14ac:dyDescent="0.2">
      <c r="A37" s="176"/>
      <c r="B37" s="177" t="s">
        <v>597</v>
      </c>
      <c r="C37" s="178" t="s">
        <v>543</v>
      </c>
      <c r="D37" s="120" t="s">
        <v>593</v>
      </c>
      <c r="E37" s="179" t="s">
        <v>588</v>
      </c>
      <c r="F37" s="179" t="s">
        <v>588</v>
      </c>
      <c r="G37" s="179" t="s">
        <v>588</v>
      </c>
      <c r="H37" s="120" t="s">
        <v>598</v>
      </c>
      <c r="I37" s="179" t="s">
        <v>588</v>
      </c>
      <c r="J37" s="179" t="s">
        <v>588</v>
      </c>
      <c r="K37" s="179" t="s">
        <v>588</v>
      </c>
      <c r="L37" s="120" t="s">
        <v>599</v>
      </c>
      <c r="M37" s="179" t="s">
        <v>588</v>
      </c>
      <c r="N37" s="179" t="s">
        <v>588</v>
      </c>
      <c r="O37" s="179" t="s">
        <v>588</v>
      </c>
    </row>
    <row r="38" spans="1:16" ht="30" customHeight="1" x14ac:dyDescent="0.2">
      <c r="A38" s="176"/>
      <c r="B38" s="177" t="s">
        <v>600</v>
      </c>
      <c r="C38" s="178" t="s">
        <v>541</v>
      </c>
      <c r="D38" s="179" t="s">
        <v>588</v>
      </c>
      <c r="E38" s="179" t="s">
        <v>588</v>
      </c>
      <c r="F38" s="120" t="s">
        <v>601</v>
      </c>
      <c r="G38" s="179" t="s">
        <v>588</v>
      </c>
      <c r="H38" s="179" t="s">
        <v>588</v>
      </c>
      <c r="I38" s="120" t="s">
        <v>589</v>
      </c>
      <c r="J38" s="179" t="s">
        <v>588</v>
      </c>
      <c r="K38" s="179" t="s">
        <v>588</v>
      </c>
      <c r="L38" s="179" t="s">
        <v>588</v>
      </c>
      <c r="M38" s="120" t="s">
        <v>596</v>
      </c>
      <c r="N38" s="120" t="s">
        <v>602</v>
      </c>
      <c r="O38" s="179" t="s">
        <v>588</v>
      </c>
    </row>
    <row r="39" spans="1:16" ht="15.75" customHeight="1" x14ac:dyDescent="0.2">
      <c r="A39" s="1469" t="s">
        <v>603</v>
      </c>
      <c r="B39" s="1469"/>
      <c r="C39" s="1469"/>
      <c r="D39" s="1469"/>
      <c r="E39" s="1469"/>
      <c r="F39" s="1469"/>
      <c r="G39" s="1469"/>
      <c r="H39" s="1469"/>
      <c r="I39" s="1469"/>
      <c r="J39" s="1469"/>
      <c r="K39" s="1469"/>
      <c r="L39" s="1469"/>
      <c r="M39" s="1469"/>
      <c r="N39" s="1469"/>
      <c r="O39" s="1469"/>
      <c r="P39" s="1469"/>
    </row>
  </sheetData>
  <mergeCells count="3">
    <mergeCell ref="A1:P1"/>
    <mergeCell ref="A2:P2"/>
    <mergeCell ref="A39:P3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565C0"/>
  </sheetPr>
  <dimension ref="A1:L20"/>
  <sheetViews>
    <sheetView zoomScaleNormal="100" workbookViewId="0"/>
  </sheetViews>
  <sheetFormatPr defaultColWidth="8.609375" defaultRowHeight="15" x14ac:dyDescent="0.2"/>
  <cols>
    <col min="1" max="1" width="27.98046875" customWidth="1"/>
    <col min="2" max="2" width="34.03125" customWidth="1"/>
    <col min="3" max="3" width="18.0234375" customWidth="1"/>
    <col min="4" max="4" width="50.04296875" customWidth="1"/>
  </cols>
  <sheetData>
    <row r="1" spans="1:12" ht="25.5" customHeight="1" x14ac:dyDescent="0.2">
      <c r="A1" s="1470" t="s">
        <v>604</v>
      </c>
      <c r="B1" s="1470"/>
      <c r="C1" s="1470"/>
      <c r="D1" s="1470"/>
      <c r="L1" s="29" t="str">
        <f>HYPERLINK("#'00_INDEX'!A1","&lt;- Index")</f>
        <v>&lt;- Index</v>
      </c>
    </row>
    <row r="2" spans="1:12" ht="27.75" customHeight="1" x14ac:dyDescent="0.2">
      <c r="A2" s="1471" t="s">
        <v>605</v>
      </c>
      <c r="B2" s="1471"/>
      <c r="C2" s="1471"/>
      <c r="D2" s="1471"/>
    </row>
    <row r="4" spans="1:12" ht="19.5" customHeight="1" x14ac:dyDescent="0.2">
      <c r="A4" s="180" t="s">
        <v>606</v>
      </c>
      <c r="B4" s="180" t="s">
        <v>607</v>
      </c>
      <c r="C4" s="180" t="s">
        <v>608</v>
      </c>
      <c r="D4" s="180" t="s">
        <v>282</v>
      </c>
    </row>
    <row r="5" spans="1:12" ht="19.5" customHeight="1" x14ac:dyDescent="0.2">
      <c r="A5" s="181" t="s">
        <v>411</v>
      </c>
      <c r="B5" s="182" t="s">
        <v>345</v>
      </c>
      <c r="C5" s="183" t="s">
        <v>609</v>
      </c>
      <c r="D5" s="184" t="s">
        <v>610</v>
      </c>
    </row>
    <row r="6" spans="1:12" ht="19.5" customHeight="1" x14ac:dyDescent="0.2">
      <c r="A6" s="185" t="s">
        <v>384</v>
      </c>
      <c r="B6" s="182" t="str">
        <f>IFERROR(INDEX(REF_Zodiac!$D$7:$O$7,MATCH(B5,REF_Zodiac!$D$3:$O$3,0)),"")</f>
        <v>Mars</v>
      </c>
      <c r="C6" s="186" t="s">
        <v>611</v>
      </c>
      <c r="D6" s="187" t="s">
        <v>612</v>
      </c>
    </row>
    <row r="7" spans="1:12" ht="19.5" customHeight="1" x14ac:dyDescent="0.2">
      <c r="A7" s="181" t="s">
        <v>417</v>
      </c>
      <c r="B7" s="182" t="str">
        <f>IFERROR(INDEX(REF_Zodiac!$D$14:$O$14,MATCH(B5,REF_Zodiac!$D$3:$O$3,0)),"")</f>
        <v>Movable / Char</v>
      </c>
      <c r="C7" s="183" t="s">
        <v>613</v>
      </c>
      <c r="D7" s="184" t="s">
        <v>614</v>
      </c>
    </row>
    <row r="8" spans="1:12" ht="19.5" customHeight="1" x14ac:dyDescent="0.2">
      <c r="A8" s="185" t="s">
        <v>388</v>
      </c>
      <c r="B8" s="182" t="str">
        <f>IFERROR(INDEX(REF_Zodiac!$D$9:$O$9,MATCH(B5,REF_Zodiac!$D$3:$O$3,0)),"")</f>
        <v>Sun</v>
      </c>
      <c r="C8" s="186" t="s">
        <v>615</v>
      </c>
      <c r="D8" s="187" t="s">
        <v>616</v>
      </c>
    </row>
    <row r="9" spans="1:12" ht="19.5" customHeight="1" x14ac:dyDescent="0.2">
      <c r="A9" s="181" t="s">
        <v>430</v>
      </c>
      <c r="B9" s="182" t="str">
        <f>IFERROR(INDEX(REF_Zodiac!$D$17:$O$17,MATCH(B5,REF_Zodiac!$D$3:$O$3,0)),"")</f>
        <v>Cruel</v>
      </c>
      <c r="C9" s="183" t="s">
        <v>617</v>
      </c>
      <c r="D9" s="184" t="s">
        <v>618</v>
      </c>
    </row>
    <row r="10" spans="1:12" ht="19.5" customHeight="1" x14ac:dyDescent="0.2">
      <c r="A10" s="185" t="s">
        <v>619</v>
      </c>
      <c r="B10" s="182" t="str">
        <f>IFERROR(INDEX(REF_Zodiac!$D$35:$O$35,MATCH(B5,REF_Zodiac!$D$3:$O$3,0)),"")</f>
        <v>No</v>
      </c>
      <c r="C10" s="186" t="s">
        <v>620</v>
      </c>
      <c r="D10" s="187" t="s">
        <v>621</v>
      </c>
    </row>
    <row r="11" spans="1:12" ht="19.5" customHeight="1" x14ac:dyDescent="0.2">
      <c r="A11" s="181" t="s">
        <v>622</v>
      </c>
      <c r="B11" s="182" t="str">
        <f>IFERROR(INDEX(REF_Zodiac!$D$36:$O$36,MATCH(B5,REF_Zodiac!$D$3:$O$3,0)),"")</f>
        <v>Yes (1st)</v>
      </c>
      <c r="C11" s="183" t="s">
        <v>623</v>
      </c>
      <c r="D11" s="184" t="s">
        <v>624</v>
      </c>
    </row>
    <row r="12" spans="1:12" ht="19.5" customHeight="1" x14ac:dyDescent="0.2">
      <c r="A12" s="185" t="s">
        <v>625</v>
      </c>
      <c r="B12" s="182" t="str">
        <f>IFERROR(INDEX(REF_Zodiac!$D$37:$O$37,MATCH(B5,REF_Zodiac!$D$3:$O$3,0)),"")</f>
        <v>Yes (1st)</v>
      </c>
      <c r="C12" s="186" t="s">
        <v>626</v>
      </c>
      <c r="D12" s="187" t="s">
        <v>627</v>
      </c>
    </row>
    <row r="13" spans="1:12" ht="19.5" customHeight="1" x14ac:dyDescent="0.2">
      <c r="A13" s="181" t="s">
        <v>475</v>
      </c>
      <c r="B13" s="182" t="str">
        <f>IFERROR(INDEX(REF_Zodiac!$D$24:$O$24,MATCH(B5,REF_Zodiac!$D$3:$O$3,0)),"")</f>
        <v>Kshatriya</v>
      </c>
      <c r="C13" s="183" t="s">
        <v>628</v>
      </c>
      <c r="D13" s="184" t="s">
        <v>629</v>
      </c>
    </row>
    <row r="14" spans="1:12" ht="19.5" customHeight="1" x14ac:dyDescent="0.2">
      <c r="A14" s="185" t="s">
        <v>481</v>
      </c>
      <c r="B14" s="182" t="str">
        <f>IFERROR(INDEX(REF_Zodiac!$D$25:$O$25,MATCH(B5,REF_Zodiac!$D$3:$O$3,0)),"")</f>
        <v>East / Purva</v>
      </c>
      <c r="C14" s="186" t="s">
        <v>630</v>
      </c>
      <c r="D14" s="187" t="s">
        <v>631</v>
      </c>
    </row>
    <row r="15" spans="1:12" ht="19.5" customHeight="1" x14ac:dyDescent="0.2">
      <c r="A15" s="181" t="s">
        <v>632</v>
      </c>
      <c r="B15" s="182" t="str">
        <f>IFERROR(INDEX(REF_Zodiac!$D$27:$O$27,MATCH(B5,REF_Zodiac!$D$3:$O$3,0)),"")</f>
        <v>Head / Skull</v>
      </c>
      <c r="C15" s="183" t="s">
        <v>633</v>
      </c>
      <c r="D15" s="184" t="s">
        <v>634</v>
      </c>
    </row>
    <row r="16" spans="1:12" ht="19.5" customHeight="1" x14ac:dyDescent="0.2">
      <c r="A16" s="185" t="s">
        <v>556</v>
      </c>
      <c r="B16" s="182" t="str">
        <f>IFERROR(INDEX(REF_Zodiac!$D$33:$O$33,MATCH(B5,REF_Zodiac!$D$3:$O$3,0)),"")</f>
        <v>Ashwini, Bharani, Krittika (1)</v>
      </c>
      <c r="C16" s="186" t="s">
        <v>558</v>
      </c>
      <c r="D16" s="187" t="s">
        <v>635</v>
      </c>
    </row>
    <row r="19" spans="1:4" ht="19.5" customHeight="1" x14ac:dyDescent="0.2">
      <c r="A19" s="1472" t="s">
        <v>636</v>
      </c>
      <c r="B19" s="1472"/>
      <c r="C19" s="1472"/>
      <c r="D19" s="1472"/>
    </row>
    <row r="20" spans="1:4" ht="19.5" customHeight="1" x14ac:dyDescent="0.2">
      <c r="A20" s="1473"/>
      <c r="B20" s="1473"/>
      <c r="C20" s="1473"/>
      <c r="D20" s="1473"/>
    </row>
  </sheetData>
  <mergeCells count="4">
    <mergeCell ref="A1:D1"/>
    <mergeCell ref="A2:D2"/>
    <mergeCell ref="A19:D19"/>
    <mergeCell ref="A20:D2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565C0"/>
  </sheetPr>
  <dimension ref="A1:M56"/>
  <sheetViews>
    <sheetView zoomScaleNormal="100" workbookViewId="0">
      <pane xSplit="3" ySplit="3" topLeftCell="D4" activePane="bottomRight" state="frozen"/>
      <selection pane="bottomLeft" activeCell="A4" sqref="A4"/>
      <selection pane="topRight" activeCell="D1" sqref="D1"/>
      <selection pane="bottomRight"/>
    </sheetView>
  </sheetViews>
  <sheetFormatPr defaultColWidth="8.609375" defaultRowHeight="15" x14ac:dyDescent="0.2"/>
  <cols>
    <col min="1" max="1" width="13.98828125" customWidth="1"/>
    <col min="2" max="2" width="27.98046875" customWidth="1"/>
    <col min="3" max="3" width="20.04296875" customWidth="1"/>
    <col min="4" max="12" width="22.05859375" customWidth="1"/>
  </cols>
  <sheetData>
    <row r="1" spans="1:13" ht="27.75" customHeight="1" x14ac:dyDescent="0.2">
      <c r="A1" s="1474" t="s">
        <v>637</v>
      </c>
      <c r="B1" s="1474"/>
      <c r="C1" s="1474"/>
      <c r="D1" s="1474"/>
      <c r="E1" s="1474"/>
      <c r="F1" s="1474"/>
      <c r="G1" s="1474"/>
      <c r="H1" s="1474"/>
      <c r="I1" s="1474"/>
      <c r="J1" s="1474"/>
      <c r="K1" s="1474"/>
      <c r="L1" s="1474"/>
      <c r="M1" s="29" t="str">
        <f>HYPERLINK("#'00_INDEX'!A1","&lt;- Index")</f>
        <v>&lt;- Index</v>
      </c>
    </row>
    <row r="2" spans="1:13" ht="21.75" customHeight="1" x14ac:dyDescent="0.2">
      <c r="A2" s="1475" t="s">
        <v>638</v>
      </c>
      <c r="B2" s="1475"/>
      <c r="C2" s="1475"/>
      <c r="D2" s="1475"/>
      <c r="E2" s="1475"/>
      <c r="F2" s="1475"/>
      <c r="G2" s="1475"/>
      <c r="H2" s="1475"/>
      <c r="I2" s="1475"/>
      <c r="J2" s="1475"/>
      <c r="K2" s="1475"/>
      <c r="L2" s="1475"/>
    </row>
    <row r="3" spans="1:13" ht="24" customHeight="1" x14ac:dyDescent="0.2">
      <c r="A3" s="189" t="s">
        <v>639</v>
      </c>
      <c r="B3" s="189" t="s">
        <v>343</v>
      </c>
      <c r="C3" s="189" t="s">
        <v>344</v>
      </c>
      <c r="D3" s="190" t="s">
        <v>266</v>
      </c>
      <c r="E3" s="191" t="s">
        <v>267</v>
      </c>
      <c r="F3" s="192" t="s">
        <v>268</v>
      </c>
      <c r="G3" s="193" t="s">
        <v>269</v>
      </c>
      <c r="H3" s="194" t="s">
        <v>270</v>
      </c>
      <c r="I3" s="195" t="s">
        <v>271</v>
      </c>
      <c r="J3" s="196" t="s">
        <v>272</v>
      </c>
      <c r="K3" s="197" t="s">
        <v>273</v>
      </c>
      <c r="L3" s="198" t="s">
        <v>274</v>
      </c>
    </row>
    <row r="4" spans="1:13" ht="21.75" customHeight="1" x14ac:dyDescent="0.2">
      <c r="A4" s="199" t="s">
        <v>353</v>
      </c>
      <c r="B4" s="200" t="s">
        <v>640</v>
      </c>
      <c r="C4" s="201" t="s">
        <v>641</v>
      </c>
      <c r="D4" s="202" t="s">
        <v>266</v>
      </c>
      <c r="E4" s="202" t="s">
        <v>267</v>
      </c>
      <c r="F4" s="202" t="s">
        <v>268</v>
      </c>
      <c r="G4" s="202" t="s">
        <v>269</v>
      </c>
      <c r="H4" s="202" t="s">
        <v>270</v>
      </c>
      <c r="I4" s="202" t="s">
        <v>271</v>
      </c>
      <c r="J4" s="202" t="s">
        <v>272</v>
      </c>
      <c r="K4" s="202" t="s">
        <v>273</v>
      </c>
      <c r="L4" s="202" t="s">
        <v>274</v>
      </c>
    </row>
    <row r="5" spans="1:13" ht="21.75" customHeight="1" x14ac:dyDescent="0.2">
      <c r="A5" s="199"/>
      <c r="B5" s="200" t="s">
        <v>642</v>
      </c>
      <c r="C5" s="201" t="s">
        <v>344</v>
      </c>
      <c r="D5" s="203" t="s">
        <v>288</v>
      </c>
      <c r="E5" s="203" t="s">
        <v>291</v>
      </c>
      <c r="F5" s="203" t="s">
        <v>294</v>
      </c>
      <c r="G5" s="203" t="s">
        <v>297</v>
      </c>
      <c r="H5" s="203" t="s">
        <v>300</v>
      </c>
      <c r="I5" s="203" t="s">
        <v>303</v>
      </c>
      <c r="J5" s="203" t="s">
        <v>306</v>
      </c>
      <c r="K5" s="203" t="s">
        <v>273</v>
      </c>
      <c r="L5" s="203" t="s">
        <v>274</v>
      </c>
    </row>
    <row r="6" spans="1:13" ht="21.75" customHeight="1" x14ac:dyDescent="0.2">
      <c r="A6" s="199"/>
      <c r="B6" s="200" t="s">
        <v>643</v>
      </c>
      <c r="C6" s="201" t="s">
        <v>644</v>
      </c>
      <c r="D6" s="202" t="s">
        <v>645</v>
      </c>
      <c r="E6" s="202" t="s">
        <v>646</v>
      </c>
      <c r="F6" s="202" t="s">
        <v>647</v>
      </c>
      <c r="G6" s="202" t="s">
        <v>648</v>
      </c>
      <c r="H6" s="202" t="s">
        <v>649</v>
      </c>
      <c r="I6" s="202" t="s">
        <v>650</v>
      </c>
      <c r="J6" s="202" t="s">
        <v>651</v>
      </c>
      <c r="K6" s="202" t="s">
        <v>652</v>
      </c>
      <c r="L6" s="202" t="s">
        <v>653</v>
      </c>
    </row>
    <row r="7" spans="1:13" ht="21.75" customHeight="1" x14ac:dyDescent="0.2">
      <c r="A7" s="199"/>
      <c r="B7" s="200" t="s">
        <v>654</v>
      </c>
      <c r="C7" s="201" t="s">
        <v>655</v>
      </c>
      <c r="D7" s="203" t="s">
        <v>656</v>
      </c>
      <c r="E7" s="203" t="s">
        <v>656</v>
      </c>
      <c r="F7" s="203" t="s">
        <v>657</v>
      </c>
      <c r="G7" s="203" t="s">
        <v>657</v>
      </c>
      <c r="H7" s="203" t="s">
        <v>658</v>
      </c>
      <c r="I7" s="203" t="s">
        <v>657</v>
      </c>
      <c r="J7" s="203" t="s">
        <v>658</v>
      </c>
      <c r="K7" s="203" t="s">
        <v>659</v>
      </c>
      <c r="L7" s="203" t="s">
        <v>659</v>
      </c>
    </row>
    <row r="8" spans="1:13" ht="21.75" customHeight="1" x14ac:dyDescent="0.2">
      <c r="A8" s="199"/>
      <c r="B8" s="200" t="s">
        <v>660</v>
      </c>
      <c r="C8" s="201" t="s">
        <v>661</v>
      </c>
      <c r="D8" s="204">
        <v>3</v>
      </c>
      <c r="E8" s="205">
        <v>4</v>
      </c>
      <c r="F8" s="206">
        <v>7</v>
      </c>
      <c r="G8" s="207">
        <v>6</v>
      </c>
      <c r="H8" s="208">
        <v>5</v>
      </c>
      <c r="I8" s="209">
        <v>2</v>
      </c>
      <c r="J8" s="210">
        <v>8</v>
      </c>
      <c r="K8" s="211">
        <v>1</v>
      </c>
      <c r="L8" s="212">
        <v>9</v>
      </c>
    </row>
    <row r="9" spans="1:13" ht="21.75" customHeight="1" x14ac:dyDescent="0.2">
      <c r="A9" s="199"/>
      <c r="B9" s="200" t="s">
        <v>662</v>
      </c>
      <c r="C9" s="201" t="s">
        <v>663</v>
      </c>
      <c r="D9" s="204">
        <v>6</v>
      </c>
      <c r="E9" s="205">
        <v>10</v>
      </c>
      <c r="F9" s="206">
        <v>7</v>
      </c>
      <c r="G9" s="207">
        <v>17</v>
      </c>
      <c r="H9" s="208">
        <v>16</v>
      </c>
      <c r="I9" s="209">
        <v>20</v>
      </c>
      <c r="J9" s="210">
        <v>19</v>
      </c>
      <c r="K9" s="211">
        <v>18</v>
      </c>
      <c r="L9" s="212">
        <v>7</v>
      </c>
    </row>
    <row r="10" spans="1:13" ht="21.75" customHeight="1" x14ac:dyDescent="0.2">
      <c r="A10" s="199"/>
      <c r="B10" s="200" t="s">
        <v>664</v>
      </c>
      <c r="C10" s="201" t="s">
        <v>665</v>
      </c>
      <c r="D10" s="202" t="s">
        <v>666</v>
      </c>
      <c r="E10" s="202" t="s">
        <v>667</v>
      </c>
      <c r="F10" s="202" t="s">
        <v>668</v>
      </c>
      <c r="G10" s="202" t="s">
        <v>669</v>
      </c>
      <c r="H10" s="202" t="s">
        <v>670</v>
      </c>
      <c r="I10" s="202" t="s">
        <v>671</v>
      </c>
      <c r="J10" s="202" t="s">
        <v>672</v>
      </c>
      <c r="K10" s="202" t="s">
        <v>673</v>
      </c>
      <c r="L10" s="202" t="s">
        <v>673</v>
      </c>
    </row>
    <row r="11" spans="1:13" ht="21.75" customHeight="1" x14ac:dyDescent="0.2">
      <c r="A11" s="213" t="s">
        <v>383</v>
      </c>
      <c r="B11" s="214" t="s">
        <v>674</v>
      </c>
      <c r="C11" s="215" t="s">
        <v>675</v>
      </c>
      <c r="D11" s="216" t="s">
        <v>334</v>
      </c>
      <c r="E11" s="217" t="s">
        <v>347</v>
      </c>
      <c r="F11" s="218" t="s">
        <v>345</v>
      </c>
      <c r="G11" s="219" t="s">
        <v>329</v>
      </c>
      <c r="H11" s="220" t="s">
        <v>351</v>
      </c>
      <c r="I11" s="221" t="s">
        <v>346</v>
      </c>
      <c r="J11" s="222" t="s">
        <v>352</v>
      </c>
      <c r="K11" s="223" t="s">
        <v>325</v>
      </c>
      <c r="L11" s="224" t="s">
        <v>350</v>
      </c>
    </row>
    <row r="12" spans="1:13" ht="21.75" customHeight="1" x14ac:dyDescent="0.2">
      <c r="A12" s="213"/>
      <c r="B12" s="214" t="s">
        <v>676</v>
      </c>
      <c r="C12" s="215" t="s">
        <v>677</v>
      </c>
      <c r="D12" s="225" t="s">
        <v>36</v>
      </c>
      <c r="E12" s="226" t="s">
        <v>36</v>
      </c>
      <c r="F12" s="227" t="s">
        <v>350</v>
      </c>
      <c r="G12" s="228" t="s">
        <v>348</v>
      </c>
      <c r="H12" s="229" t="s">
        <v>323</v>
      </c>
      <c r="I12" s="230" t="s">
        <v>349</v>
      </c>
      <c r="J12" s="231" t="s">
        <v>325</v>
      </c>
      <c r="K12" s="232" t="s">
        <v>36</v>
      </c>
      <c r="L12" s="233" t="s">
        <v>36</v>
      </c>
    </row>
    <row r="13" spans="1:13" ht="21.75" customHeight="1" x14ac:dyDescent="0.2">
      <c r="A13" s="213"/>
      <c r="B13" s="214" t="s">
        <v>678</v>
      </c>
      <c r="C13" s="215" t="s">
        <v>679</v>
      </c>
      <c r="D13" s="225" t="s">
        <v>345</v>
      </c>
      <c r="E13" s="226" t="s">
        <v>346</v>
      </c>
      <c r="F13" s="227" t="s">
        <v>352</v>
      </c>
      <c r="G13" s="228" t="s">
        <v>348</v>
      </c>
      <c r="H13" s="229" t="s">
        <v>347</v>
      </c>
      <c r="I13" s="230" t="s">
        <v>323</v>
      </c>
      <c r="J13" s="231" t="s">
        <v>349</v>
      </c>
      <c r="K13" s="232" t="s">
        <v>346</v>
      </c>
      <c r="L13" s="233" t="s">
        <v>350</v>
      </c>
    </row>
    <row r="14" spans="1:13" ht="21.75" customHeight="1" x14ac:dyDescent="0.2">
      <c r="A14" s="213"/>
      <c r="B14" s="214" t="s">
        <v>390</v>
      </c>
      <c r="C14" s="215" t="s">
        <v>391</v>
      </c>
      <c r="D14" s="234" t="s">
        <v>392</v>
      </c>
      <c r="E14" s="234" t="s">
        <v>393</v>
      </c>
      <c r="F14" s="234" t="s">
        <v>397</v>
      </c>
      <c r="G14" s="234" t="s">
        <v>395</v>
      </c>
      <c r="H14" s="234" t="s">
        <v>394</v>
      </c>
      <c r="I14" s="234" t="s">
        <v>398</v>
      </c>
      <c r="J14" s="234" t="s">
        <v>396</v>
      </c>
      <c r="K14" s="234" t="s">
        <v>396</v>
      </c>
      <c r="L14" s="234" t="s">
        <v>36</v>
      </c>
    </row>
    <row r="15" spans="1:13" ht="21.75" customHeight="1" x14ac:dyDescent="0.2">
      <c r="A15" s="213"/>
      <c r="B15" s="214" t="s">
        <v>680</v>
      </c>
      <c r="C15" s="215" t="s">
        <v>681</v>
      </c>
      <c r="D15" s="225" t="s">
        <v>349</v>
      </c>
      <c r="E15" s="226" t="s">
        <v>350</v>
      </c>
      <c r="F15" s="227" t="s">
        <v>347</v>
      </c>
      <c r="G15" s="228" t="s">
        <v>323</v>
      </c>
      <c r="H15" s="229" t="s">
        <v>352</v>
      </c>
      <c r="I15" s="230" t="s">
        <v>348</v>
      </c>
      <c r="J15" s="231" t="s">
        <v>345</v>
      </c>
      <c r="K15" s="232" t="s">
        <v>350</v>
      </c>
      <c r="L15" s="233" t="s">
        <v>346</v>
      </c>
    </row>
    <row r="16" spans="1:13" ht="21.75" customHeight="1" x14ac:dyDescent="0.2">
      <c r="A16" s="213"/>
      <c r="B16" s="214" t="s">
        <v>682</v>
      </c>
      <c r="C16" s="215" t="s">
        <v>683</v>
      </c>
      <c r="D16" s="234" t="s">
        <v>392</v>
      </c>
      <c r="E16" s="234" t="s">
        <v>393</v>
      </c>
      <c r="F16" s="234" t="s">
        <v>397</v>
      </c>
      <c r="G16" s="234" t="s">
        <v>395</v>
      </c>
      <c r="H16" s="234" t="s">
        <v>394</v>
      </c>
      <c r="I16" s="234" t="s">
        <v>398</v>
      </c>
      <c r="J16" s="234" t="s">
        <v>396</v>
      </c>
      <c r="K16" s="234" t="s">
        <v>396</v>
      </c>
      <c r="L16" s="234" t="s">
        <v>36</v>
      </c>
    </row>
    <row r="17" spans="1:12" ht="21.75" customHeight="1" x14ac:dyDescent="0.2">
      <c r="A17" s="213"/>
      <c r="B17" s="214" t="s">
        <v>684</v>
      </c>
      <c r="C17" s="215" t="s">
        <v>685</v>
      </c>
      <c r="D17" s="225" t="s">
        <v>686</v>
      </c>
      <c r="E17" s="226" t="s">
        <v>687</v>
      </c>
      <c r="F17" s="227" t="s">
        <v>688</v>
      </c>
      <c r="G17" s="228" t="s">
        <v>689</v>
      </c>
      <c r="H17" s="229" t="s">
        <v>690</v>
      </c>
      <c r="I17" s="230" t="s">
        <v>691</v>
      </c>
      <c r="J17" s="231" t="s">
        <v>692</v>
      </c>
      <c r="K17" s="232" t="s">
        <v>36</v>
      </c>
      <c r="L17" s="233" t="s">
        <v>36</v>
      </c>
    </row>
    <row r="18" spans="1:12" ht="21.75" customHeight="1" x14ac:dyDescent="0.2">
      <c r="A18" s="213"/>
      <c r="B18" s="214" t="s">
        <v>693</v>
      </c>
      <c r="C18" s="215" t="s">
        <v>694</v>
      </c>
      <c r="D18" s="234" t="s">
        <v>36</v>
      </c>
      <c r="E18" s="234" t="s">
        <v>695</v>
      </c>
      <c r="F18" s="234" t="s">
        <v>696</v>
      </c>
      <c r="G18" s="234" t="s">
        <v>697</v>
      </c>
      <c r="H18" s="234" t="s">
        <v>698</v>
      </c>
      <c r="I18" s="234" t="s">
        <v>392</v>
      </c>
      <c r="J18" s="234" t="s">
        <v>395</v>
      </c>
      <c r="K18" s="234" t="s">
        <v>36</v>
      </c>
      <c r="L18" s="234" t="s">
        <v>36</v>
      </c>
    </row>
    <row r="19" spans="1:12" ht="21.75" customHeight="1" x14ac:dyDescent="0.2">
      <c r="A19" s="235" t="s">
        <v>410</v>
      </c>
      <c r="B19" s="236" t="s">
        <v>699</v>
      </c>
      <c r="C19" s="237" t="s">
        <v>700</v>
      </c>
      <c r="D19" s="218" t="s">
        <v>701</v>
      </c>
      <c r="E19" s="227" t="s">
        <v>702</v>
      </c>
      <c r="F19" s="218" t="s">
        <v>701</v>
      </c>
      <c r="G19" s="227" t="s">
        <v>703</v>
      </c>
      <c r="H19" s="228" t="s">
        <v>704</v>
      </c>
      <c r="I19" s="228" t="s">
        <v>704</v>
      </c>
      <c r="J19" s="218" t="s">
        <v>701</v>
      </c>
      <c r="K19" s="218" t="s">
        <v>701</v>
      </c>
      <c r="L19" s="218" t="s">
        <v>701</v>
      </c>
    </row>
    <row r="20" spans="1:12" ht="21.75" customHeight="1" x14ac:dyDescent="0.2">
      <c r="A20" s="235"/>
      <c r="B20" s="236" t="s">
        <v>422</v>
      </c>
      <c r="C20" s="237" t="s">
        <v>705</v>
      </c>
      <c r="D20" s="238" t="s">
        <v>424</v>
      </c>
      <c r="E20" s="238" t="s">
        <v>425</v>
      </c>
      <c r="F20" s="238" t="s">
        <v>424</v>
      </c>
      <c r="G20" s="238" t="s">
        <v>706</v>
      </c>
      <c r="H20" s="238" t="s">
        <v>424</v>
      </c>
      <c r="I20" s="238" t="s">
        <v>425</v>
      </c>
      <c r="J20" s="238" t="s">
        <v>707</v>
      </c>
      <c r="K20" s="238" t="s">
        <v>425</v>
      </c>
      <c r="L20" s="238" t="s">
        <v>706</v>
      </c>
    </row>
    <row r="21" spans="1:12" ht="21.75" customHeight="1" x14ac:dyDescent="0.2">
      <c r="A21" s="235"/>
      <c r="B21" s="236" t="s">
        <v>411</v>
      </c>
      <c r="C21" s="237" t="s">
        <v>412</v>
      </c>
      <c r="D21" s="203" t="s">
        <v>413</v>
      </c>
      <c r="E21" s="203" t="s">
        <v>416</v>
      </c>
      <c r="F21" s="203" t="s">
        <v>413</v>
      </c>
      <c r="G21" s="203" t="s">
        <v>414</v>
      </c>
      <c r="H21" s="203" t="s">
        <v>708</v>
      </c>
      <c r="I21" s="203" t="s">
        <v>416</v>
      </c>
      <c r="J21" s="203" t="s">
        <v>415</v>
      </c>
      <c r="K21" s="203" t="s">
        <v>415</v>
      </c>
      <c r="L21" s="203" t="s">
        <v>413</v>
      </c>
    </row>
    <row r="22" spans="1:12" ht="21.75" customHeight="1" x14ac:dyDescent="0.2">
      <c r="A22" s="235"/>
      <c r="B22" s="236" t="s">
        <v>463</v>
      </c>
      <c r="C22" s="237" t="s">
        <v>464</v>
      </c>
      <c r="D22" s="238" t="s">
        <v>467</v>
      </c>
      <c r="E22" s="238" t="s">
        <v>467</v>
      </c>
      <c r="F22" s="238" t="s">
        <v>466</v>
      </c>
      <c r="G22" s="238" t="s">
        <v>465</v>
      </c>
      <c r="H22" s="238" t="s">
        <v>467</v>
      </c>
      <c r="I22" s="238" t="s">
        <v>465</v>
      </c>
      <c r="J22" s="238" t="s">
        <v>466</v>
      </c>
      <c r="K22" s="238" t="s">
        <v>466</v>
      </c>
      <c r="L22" s="238" t="s">
        <v>466</v>
      </c>
    </row>
    <row r="23" spans="1:12" ht="21.75" customHeight="1" x14ac:dyDescent="0.2">
      <c r="A23" s="235"/>
      <c r="B23" s="236" t="s">
        <v>475</v>
      </c>
      <c r="C23" s="237" t="s">
        <v>475</v>
      </c>
      <c r="D23" s="203" t="s">
        <v>476</v>
      </c>
      <c r="E23" s="203" t="s">
        <v>477</v>
      </c>
      <c r="F23" s="203" t="s">
        <v>476</v>
      </c>
      <c r="G23" s="203" t="s">
        <v>478</v>
      </c>
      <c r="H23" s="203" t="s">
        <v>479</v>
      </c>
      <c r="I23" s="203" t="s">
        <v>479</v>
      </c>
      <c r="J23" s="203" t="s">
        <v>478</v>
      </c>
      <c r="K23" s="203" t="s">
        <v>709</v>
      </c>
      <c r="L23" s="203" t="s">
        <v>709</v>
      </c>
    </row>
    <row r="24" spans="1:12" ht="21.75" customHeight="1" x14ac:dyDescent="0.2">
      <c r="A24" s="235"/>
      <c r="B24" s="236" t="s">
        <v>430</v>
      </c>
      <c r="C24" s="237" t="s">
        <v>431</v>
      </c>
      <c r="D24" s="238" t="s">
        <v>710</v>
      </c>
      <c r="E24" s="238" t="s">
        <v>711</v>
      </c>
      <c r="F24" s="238" t="s">
        <v>712</v>
      </c>
      <c r="G24" s="238" t="s">
        <v>713</v>
      </c>
      <c r="H24" s="238" t="s">
        <v>714</v>
      </c>
      <c r="I24" s="238" t="s">
        <v>715</v>
      </c>
      <c r="J24" s="238" t="s">
        <v>716</v>
      </c>
      <c r="K24" s="238" t="s">
        <v>717</v>
      </c>
      <c r="L24" s="238" t="s">
        <v>717</v>
      </c>
    </row>
    <row r="25" spans="1:12" ht="21.75" customHeight="1" x14ac:dyDescent="0.2">
      <c r="A25" s="235"/>
      <c r="B25" s="236" t="s">
        <v>718</v>
      </c>
      <c r="C25" s="237" t="s">
        <v>719</v>
      </c>
      <c r="D25" s="203" t="s">
        <v>476</v>
      </c>
      <c r="E25" s="203" t="s">
        <v>477</v>
      </c>
      <c r="F25" s="203" t="s">
        <v>476</v>
      </c>
      <c r="G25" s="203" t="s">
        <v>478</v>
      </c>
      <c r="H25" s="203" t="s">
        <v>479</v>
      </c>
      <c r="I25" s="203" t="s">
        <v>479</v>
      </c>
      <c r="J25" s="203" t="s">
        <v>478</v>
      </c>
      <c r="K25" s="203" t="s">
        <v>720</v>
      </c>
      <c r="L25" s="203" t="s">
        <v>720</v>
      </c>
    </row>
    <row r="26" spans="1:12" ht="51.75" customHeight="1" x14ac:dyDescent="0.2">
      <c r="A26" s="239" t="s">
        <v>570</v>
      </c>
      <c r="B26" s="240" t="s">
        <v>721</v>
      </c>
      <c r="C26" s="241" t="s">
        <v>722</v>
      </c>
      <c r="D26" s="242" t="s">
        <v>723</v>
      </c>
      <c r="E26" s="242" t="s">
        <v>724</v>
      </c>
      <c r="F26" s="242" t="s">
        <v>725</v>
      </c>
      <c r="G26" s="242" t="s">
        <v>726</v>
      </c>
      <c r="H26" s="242" t="s">
        <v>727</v>
      </c>
      <c r="I26" s="242" t="s">
        <v>728</v>
      </c>
      <c r="J26" s="242" t="s">
        <v>729</v>
      </c>
      <c r="K26" s="242" t="s">
        <v>730</v>
      </c>
      <c r="L26" s="242" t="s">
        <v>731</v>
      </c>
    </row>
    <row r="27" spans="1:12" ht="51.75" customHeight="1" x14ac:dyDescent="0.2">
      <c r="A27" s="239"/>
      <c r="B27" s="240" t="s">
        <v>732</v>
      </c>
      <c r="C27" s="241" t="s">
        <v>733</v>
      </c>
      <c r="D27" s="203" t="s">
        <v>734</v>
      </c>
      <c r="E27" s="203" t="s">
        <v>735</v>
      </c>
      <c r="F27" s="203" t="s">
        <v>736</v>
      </c>
      <c r="G27" s="203" t="s">
        <v>737</v>
      </c>
      <c r="H27" s="203" t="s">
        <v>738</v>
      </c>
      <c r="I27" s="203" t="s">
        <v>739</v>
      </c>
      <c r="J27" s="203" t="s">
        <v>740</v>
      </c>
      <c r="K27" s="203" t="s">
        <v>741</v>
      </c>
      <c r="L27" s="203" t="s">
        <v>742</v>
      </c>
    </row>
    <row r="28" spans="1:12" ht="21.75" customHeight="1" x14ac:dyDescent="0.2">
      <c r="A28" s="239"/>
      <c r="B28" s="240" t="s">
        <v>743</v>
      </c>
      <c r="C28" s="241" t="s">
        <v>744</v>
      </c>
      <c r="D28" s="242" t="s">
        <v>745</v>
      </c>
      <c r="E28" s="242" t="s">
        <v>746</v>
      </c>
      <c r="F28" s="242" t="s">
        <v>747</v>
      </c>
      <c r="G28" s="242" t="s">
        <v>748</v>
      </c>
      <c r="H28" s="242" t="s">
        <v>749</v>
      </c>
      <c r="I28" s="242" t="s">
        <v>750</v>
      </c>
      <c r="J28" s="242" t="s">
        <v>751</v>
      </c>
      <c r="K28" s="242" t="s">
        <v>36</v>
      </c>
      <c r="L28" s="242" t="s">
        <v>36</v>
      </c>
    </row>
    <row r="29" spans="1:12" ht="36" customHeight="1" x14ac:dyDescent="0.2">
      <c r="A29" s="239"/>
      <c r="B29" s="240" t="s">
        <v>752</v>
      </c>
      <c r="C29" s="241" t="s">
        <v>753</v>
      </c>
      <c r="D29" s="203" t="s">
        <v>754</v>
      </c>
      <c r="E29" s="203" t="s">
        <v>755</v>
      </c>
      <c r="F29" s="203" t="s">
        <v>756</v>
      </c>
      <c r="G29" s="203" t="s">
        <v>757</v>
      </c>
      <c r="H29" s="203" t="s">
        <v>758</v>
      </c>
      <c r="I29" s="203" t="s">
        <v>759</v>
      </c>
      <c r="J29" s="203" t="s">
        <v>760</v>
      </c>
      <c r="K29" s="203" t="s">
        <v>761</v>
      </c>
      <c r="L29" s="203" t="s">
        <v>762</v>
      </c>
    </row>
    <row r="30" spans="1:12" ht="51.75" customHeight="1" x14ac:dyDescent="0.2">
      <c r="A30" s="243" t="s">
        <v>763</v>
      </c>
      <c r="B30" s="244" t="s">
        <v>764</v>
      </c>
      <c r="C30" s="245" t="s">
        <v>765</v>
      </c>
      <c r="D30" s="246" t="s">
        <v>766</v>
      </c>
      <c r="E30" s="246" t="s">
        <v>767</v>
      </c>
      <c r="F30" s="246" t="s">
        <v>768</v>
      </c>
      <c r="G30" s="246" t="s">
        <v>769</v>
      </c>
      <c r="H30" s="246" t="s">
        <v>770</v>
      </c>
      <c r="I30" s="246" t="s">
        <v>771</v>
      </c>
      <c r="J30" s="246" t="s">
        <v>772</v>
      </c>
      <c r="K30" s="246" t="s">
        <v>773</v>
      </c>
      <c r="L30" s="246" t="s">
        <v>774</v>
      </c>
    </row>
    <row r="31" spans="1:12" ht="21.75" customHeight="1" x14ac:dyDescent="0.2">
      <c r="A31" s="243"/>
      <c r="B31" s="244" t="s">
        <v>775</v>
      </c>
      <c r="C31" s="245" t="s">
        <v>776</v>
      </c>
      <c r="D31" s="203" t="s">
        <v>777</v>
      </c>
      <c r="E31" s="203" t="s">
        <v>778</v>
      </c>
      <c r="F31" s="203" t="s">
        <v>779</v>
      </c>
      <c r="G31" s="203" t="s">
        <v>780</v>
      </c>
      <c r="H31" s="203" t="s">
        <v>781</v>
      </c>
      <c r="I31" s="203" t="s">
        <v>782</v>
      </c>
      <c r="J31" s="203" t="s">
        <v>783</v>
      </c>
      <c r="K31" s="203" t="s">
        <v>784</v>
      </c>
      <c r="L31" s="203" t="s">
        <v>784</v>
      </c>
    </row>
    <row r="32" spans="1:12" ht="21.75" customHeight="1" x14ac:dyDescent="0.2">
      <c r="A32" s="243"/>
      <c r="B32" s="244" t="s">
        <v>453</v>
      </c>
      <c r="C32" s="245" t="s">
        <v>454</v>
      </c>
      <c r="D32" s="246" t="s">
        <v>455</v>
      </c>
      <c r="E32" s="246" t="s">
        <v>456</v>
      </c>
      <c r="F32" s="246" t="s">
        <v>461</v>
      </c>
      <c r="G32" s="246" t="s">
        <v>457</v>
      </c>
      <c r="H32" s="246" t="s">
        <v>458</v>
      </c>
      <c r="I32" s="246" t="s">
        <v>785</v>
      </c>
      <c r="J32" s="246" t="s">
        <v>462</v>
      </c>
      <c r="K32" s="246" t="s">
        <v>462</v>
      </c>
      <c r="L32" s="246" t="s">
        <v>457</v>
      </c>
    </row>
    <row r="33" spans="1:12" ht="21.75" customHeight="1" x14ac:dyDescent="0.2">
      <c r="A33" s="243"/>
      <c r="B33" s="244" t="s">
        <v>786</v>
      </c>
      <c r="C33" s="245" t="s">
        <v>787</v>
      </c>
      <c r="D33" s="203" t="s">
        <v>788</v>
      </c>
      <c r="E33" s="203" t="s">
        <v>789</v>
      </c>
      <c r="F33" s="203" t="s">
        <v>790</v>
      </c>
      <c r="G33" s="203" t="s">
        <v>791</v>
      </c>
      <c r="H33" s="203" t="s">
        <v>792</v>
      </c>
      <c r="I33" s="203" t="s">
        <v>793</v>
      </c>
      <c r="J33" s="203" t="s">
        <v>794</v>
      </c>
      <c r="K33" s="203" t="s">
        <v>795</v>
      </c>
      <c r="L33" s="203" t="s">
        <v>795</v>
      </c>
    </row>
    <row r="34" spans="1:12" ht="51.75" customHeight="1" x14ac:dyDescent="0.2">
      <c r="A34" s="243"/>
      <c r="B34" s="244" t="s">
        <v>796</v>
      </c>
      <c r="C34" s="245" t="s">
        <v>797</v>
      </c>
      <c r="D34" s="246" t="s">
        <v>798</v>
      </c>
      <c r="E34" s="246" t="s">
        <v>799</v>
      </c>
      <c r="F34" s="246" t="s">
        <v>800</v>
      </c>
      <c r="G34" s="246" t="s">
        <v>801</v>
      </c>
      <c r="H34" s="246" t="s">
        <v>802</v>
      </c>
      <c r="I34" s="246" t="s">
        <v>803</v>
      </c>
      <c r="J34" s="246" t="s">
        <v>804</v>
      </c>
      <c r="K34" s="246" t="s">
        <v>805</v>
      </c>
      <c r="L34" s="246" t="s">
        <v>806</v>
      </c>
    </row>
    <row r="35" spans="1:12" ht="36" customHeight="1" x14ac:dyDescent="0.2">
      <c r="A35" s="247" t="s">
        <v>807</v>
      </c>
      <c r="B35" s="248" t="s">
        <v>808</v>
      </c>
      <c r="C35" s="249" t="s">
        <v>809</v>
      </c>
      <c r="D35" s="203" t="s">
        <v>810</v>
      </c>
      <c r="E35" s="203" t="s">
        <v>811</v>
      </c>
      <c r="F35" s="203" t="s">
        <v>812</v>
      </c>
      <c r="G35" s="203" t="s">
        <v>813</v>
      </c>
      <c r="H35" s="203" t="s">
        <v>814</v>
      </c>
      <c r="I35" s="203" t="s">
        <v>815</v>
      </c>
      <c r="J35" s="203" t="s">
        <v>816</v>
      </c>
      <c r="K35" s="203" t="s">
        <v>817</v>
      </c>
      <c r="L35" s="203" t="s">
        <v>818</v>
      </c>
    </row>
    <row r="36" spans="1:12" ht="36" customHeight="1" x14ac:dyDescent="0.2">
      <c r="A36" s="247"/>
      <c r="B36" s="248" t="s">
        <v>819</v>
      </c>
      <c r="C36" s="249" t="s">
        <v>820</v>
      </c>
      <c r="D36" s="250" t="s">
        <v>269</v>
      </c>
      <c r="E36" s="250" t="s">
        <v>821</v>
      </c>
      <c r="F36" s="250" t="s">
        <v>817</v>
      </c>
      <c r="G36" s="250" t="s">
        <v>822</v>
      </c>
      <c r="H36" s="250" t="s">
        <v>272</v>
      </c>
      <c r="I36" s="250" t="s">
        <v>823</v>
      </c>
      <c r="J36" s="250" t="s">
        <v>270</v>
      </c>
      <c r="K36" s="250" t="s">
        <v>824</v>
      </c>
      <c r="L36" s="250" t="s">
        <v>825</v>
      </c>
    </row>
    <row r="37" spans="1:12" ht="36" customHeight="1" x14ac:dyDescent="0.2">
      <c r="A37" s="247"/>
      <c r="B37" s="248" t="s">
        <v>826</v>
      </c>
      <c r="C37" s="249" t="s">
        <v>827</v>
      </c>
      <c r="D37" s="203" t="s">
        <v>817</v>
      </c>
      <c r="E37" s="203" t="s">
        <v>828</v>
      </c>
      <c r="F37" s="203" t="s">
        <v>269</v>
      </c>
      <c r="G37" s="203" t="s">
        <v>267</v>
      </c>
      <c r="H37" s="203" t="s">
        <v>816</v>
      </c>
      <c r="I37" s="203" t="s">
        <v>829</v>
      </c>
      <c r="J37" s="203" t="s">
        <v>814</v>
      </c>
      <c r="K37" s="203" t="s">
        <v>814</v>
      </c>
      <c r="L37" s="203" t="s">
        <v>830</v>
      </c>
    </row>
    <row r="38" spans="1:12" ht="21.75" customHeight="1" x14ac:dyDescent="0.2">
      <c r="A38" s="251" t="s">
        <v>831</v>
      </c>
      <c r="B38" s="200" t="s">
        <v>832</v>
      </c>
      <c r="C38" s="201" t="s">
        <v>482</v>
      </c>
      <c r="D38" s="202" t="s">
        <v>833</v>
      </c>
      <c r="E38" s="202" t="s">
        <v>834</v>
      </c>
      <c r="F38" s="202" t="s">
        <v>833</v>
      </c>
      <c r="G38" s="202" t="s">
        <v>834</v>
      </c>
      <c r="H38" s="202" t="s">
        <v>835</v>
      </c>
      <c r="I38" s="202" t="s">
        <v>835</v>
      </c>
      <c r="J38" s="202" t="s">
        <v>836</v>
      </c>
      <c r="K38" s="202" t="s">
        <v>837</v>
      </c>
      <c r="L38" s="202" t="s">
        <v>838</v>
      </c>
    </row>
    <row r="39" spans="1:12" ht="21.75" customHeight="1" x14ac:dyDescent="0.2">
      <c r="A39" s="251"/>
      <c r="B39" s="200" t="s">
        <v>839</v>
      </c>
      <c r="C39" s="201" t="s">
        <v>840</v>
      </c>
      <c r="D39" s="203" t="s">
        <v>841</v>
      </c>
      <c r="E39" s="203" t="s">
        <v>842</v>
      </c>
      <c r="F39" s="203" t="s">
        <v>843</v>
      </c>
      <c r="G39" s="203" t="s">
        <v>844</v>
      </c>
      <c r="H39" s="203" t="s">
        <v>845</v>
      </c>
      <c r="I39" s="203" t="s">
        <v>842</v>
      </c>
      <c r="J39" s="203" t="s">
        <v>846</v>
      </c>
      <c r="K39" s="203" t="s">
        <v>847</v>
      </c>
      <c r="L39" s="203" t="s">
        <v>848</v>
      </c>
    </row>
    <row r="40" spans="1:12" ht="21.75" customHeight="1" x14ac:dyDescent="0.2">
      <c r="A40" s="251"/>
      <c r="B40" s="200" t="s">
        <v>849</v>
      </c>
      <c r="C40" s="201" t="s">
        <v>850</v>
      </c>
      <c r="D40" s="202" t="s">
        <v>527</v>
      </c>
      <c r="E40" s="202" t="s">
        <v>526</v>
      </c>
      <c r="F40" s="202" t="s">
        <v>526</v>
      </c>
      <c r="G40" s="202" t="s">
        <v>527</v>
      </c>
      <c r="H40" s="202" t="s">
        <v>527</v>
      </c>
      <c r="I40" s="202" t="s">
        <v>526</v>
      </c>
      <c r="J40" s="202" t="s">
        <v>526</v>
      </c>
      <c r="K40" s="202" t="s">
        <v>526</v>
      </c>
      <c r="L40" s="202" t="s">
        <v>526</v>
      </c>
    </row>
    <row r="41" spans="1:12" ht="21.75" customHeight="1" x14ac:dyDescent="0.2">
      <c r="A41" s="251"/>
      <c r="B41" s="200" t="s">
        <v>851</v>
      </c>
      <c r="C41" s="201" t="s">
        <v>852</v>
      </c>
      <c r="D41" s="203" t="s">
        <v>853</v>
      </c>
      <c r="E41" s="203" t="s">
        <v>853</v>
      </c>
      <c r="F41" s="203" t="s">
        <v>854</v>
      </c>
      <c r="G41" s="203" t="s">
        <v>855</v>
      </c>
      <c r="H41" s="203" t="s">
        <v>856</v>
      </c>
      <c r="I41" s="203" t="s">
        <v>856</v>
      </c>
      <c r="J41" s="203" t="s">
        <v>857</v>
      </c>
      <c r="K41" s="203" t="s">
        <v>36</v>
      </c>
      <c r="L41" s="203" t="s">
        <v>36</v>
      </c>
    </row>
    <row r="42" spans="1:12" ht="21.75" customHeight="1" x14ac:dyDescent="0.2">
      <c r="A42" s="251"/>
      <c r="B42" s="200" t="s">
        <v>858</v>
      </c>
      <c r="C42" s="201" t="s">
        <v>859</v>
      </c>
      <c r="D42" s="202" t="s">
        <v>860</v>
      </c>
      <c r="E42" s="202" t="s">
        <v>861</v>
      </c>
      <c r="F42" s="202" t="s">
        <v>860</v>
      </c>
      <c r="G42" s="202" t="s">
        <v>862</v>
      </c>
      <c r="H42" s="202" t="s">
        <v>863</v>
      </c>
      <c r="I42" s="202" t="s">
        <v>864</v>
      </c>
      <c r="J42" s="202" t="s">
        <v>865</v>
      </c>
      <c r="K42" s="202" t="s">
        <v>36</v>
      </c>
      <c r="L42" s="202" t="s">
        <v>36</v>
      </c>
    </row>
    <row r="43" spans="1:12" ht="21.75" customHeight="1" x14ac:dyDescent="0.2">
      <c r="A43" s="251"/>
      <c r="B43" s="200" t="s">
        <v>488</v>
      </c>
      <c r="C43" s="201" t="s">
        <v>489</v>
      </c>
      <c r="D43" s="203" t="s">
        <v>866</v>
      </c>
      <c r="E43" s="203" t="s">
        <v>867</v>
      </c>
      <c r="F43" s="203" t="s">
        <v>490</v>
      </c>
      <c r="G43" s="203" t="s">
        <v>868</v>
      </c>
      <c r="H43" s="203" t="s">
        <v>498</v>
      </c>
      <c r="I43" s="203" t="s">
        <v>869</v>
      </c>
      <c r="J43" s="203" t="s">
        <v>870</v>
      </c>
      <c r="K43" s="203" t="s">
        <v>871</v>
      </c>
      <c r="L43" s="203" t="s">
        <v>872</v>
      </c>
    </row>
    <row r="44" spans="1:12" ht="21.75" customHeight="1" x14ac:dyDescent="0.2">
      <c r="A44" s="251"/>
      <c r="B44" s="200" t="s">
        <v>873</v>
      </c>
      <c r="C44" s="201" t="s">
        <v>874</v>
      </c>
      <c r="D44" s="202" t="s">
        <v>875</v>
      </c>
      <c r="E44" s="202" t="s">
        <v>876</v>
      </c>
      <c r="F44" s="202" t="s">
        <v>877</v>
      </c>
      <c r="G44" s="202" t="s">
        <v>878</v>
      </c>
      <c r="H44" s="202" t="s">
        <v>879</v>
      </c>
      <c r="I44" s="202" t="s">
        <v>880</v>
      </c>
      <c r="J44" s="202" t="s">
        <v>881</v>
      </c>
      <c r="K44" s="202" t="s">
        <v>882</v>
      </c>
      <c r="L44" s="202" t="s">
        <v>883</v>
      </c>
    </row>
    <row r="45" spans="1:12" ht="21.75" customHeight="1" x14ac:dyDescent="0.2">
      <c r="A45" s="251"/>
      <c r="B45" s="200" t="s">
        <v>884</v>
      </c>
      <c r="C45" s="201" t="s">
        <v>776</v>
      </c>
      <c r="D45" s="203" t="s">
        <v>885</v>
      </c>
      <c r="E45" s="203" t="s">
        <v>886</v>
      </c>
      <c r="F45" s="203" t="s">
        <v>887</v>
      </c>
      <c r="G45" s="203" t="s">
        <v>888</v>
      </c>
      <c r="H45" s="203" t="s">
        <v>885</v>
      </c>
      <c r="I45" s="203" t="s">
        <v>886</v>
      </c>
      <c r="J45" s="203" t="s">
        <v>889</v>
      </c>
      <c r="K45" s="203" t="s">
        <v>890</v>
      </c>
      <c r="L45" s="203" t="s">
        <v>891</v>
      </c>
    </row>
    <row r="46" spans="1:12" ht="21.75" customHeight="1" x14ac:dyDescent="0.2">
      <c r="A46" s="251"/>
      <c r="B46" s="200" t="s">
        <v>892</v>
      </c>
      <c r="C46" s="201" t="s">
        <v>893</v>
      </c>
      <c r="D46" s="202" t="s">
        <v>894</v>
      </c>
      <c r="E46" s="202" t="s">
        <v>895</v>
      </c>
      <c r="F46" s="202" t="s">
        <v>896</v>
      </c>
      <c r="G46" s="202" t="s">
        <v>897</v>
      </c>
      <c r="H46" s="202" t="s">
        <v>898</v>
      </c>
      <c r="I46" s="202" t="s">
        <v>899</v>
      </c>
      <c r="J46" s="202" t="s">
        <v>900</v>
      </c>
      <c r="K46" s="202" t="s">
        <v>901</v>
      </c>
      <c r="L46" s="202" t="s">
        <v>902</v>
      </c>
    </row>
    <row r="47" spans="1:12" ht="51.75" customHeight="1" x14ac:dyDescent="0.2">
      <c r="A47" s="251"/>
      <c r="B47" s="200" t="s">
        <v>903</v>
      </c>
      <c r="C47" s="201" t="s">
        <v>904</v>
      </c>
      <c r="D47" s="203" t="s">
        <v>905</v>
      </c>
      <c r="E47" s="203" t="s">
        <v>906</v>
      </c>
      <c r="F47" s="203" t="s">
        <v>907</v>
      </c>
      <c r="G47" s="203" t="s">
        <v>908</v>
      </c>
      <c r="H47" s="203" t="s">
        <v>909</v>
      </c>
      <c r="I47" s="203" t="s">
        <v>910</v>
      </c>
      <c r="J47" s="203" t="s">
        <v>911</v>
      </c>
      <c r="K47" s="203" t="s">
        <v>912</v>
      </c>
      <c r="L47" s="203" t="s">
        <v>913</v>
      </c>
    </row>
    <row r="48" spans="1:12" ht="21.75" customHeight="1" x14ac:dyDescent="0.2">
      <c r="A48" s="235" t="s">
        <v>914</v>
      </c>
      <c r="B48" s="252" t="s">
        <v>915</v>
      </c>
      <c r="C48" s="253" t="s">
        <v>916</v>
      </c>
      <c r="D48" s="254" t="s">
        <v>917</v>
      </c>
      <c r="E48" s="254" t="s">
        <v>917</v>
      </c>
      <c r="F48" s="220" t="s">
        <v>918</v>
      </c>
      <c r="G48" s="254" t="s">
        <v>917</v>
      </c>
      <c r="H48" s="220" t="s">
        <v>919</v>
      </c>
      <c r="I48" s="254" t="s">
        <v>917</v>
      </c>
      <c r="J48" s="220" t="s">
        <v>920</v>
      </c>
      <c r="K48" s="254" t="s">
        <v>921</v>
      </c>
      <c r="L48" s="254" t="s">
        <v>921</v>
      </c>
    </row>
    <row r="49" spans="1:12" ht="21.75" customHeight="1" x14ac:dyDescent="0.2">
      <c r="A49" s="235"/>
      <c r="B49" s="252" t="s">
        <v>922</v>
      </c>
      <c r="C49" s="253" t="s">
        <v>923</v>
      </c>
      <c r="D49" s="255" t="s">
        <v>588</v>
      </c>
      <c r="E49" s="255" t="s">
        <v>588</v>
      </c>
      <c r="F49" s="255" t="s">
        <v>588</v>
      </c>
      <c r="G49" s="255" t="s">
        <v>588</v>
      </c>
      <c r="H49" s="255" t="s">
        <v>588</v>
      </c>
      <c r="I49" s="255" t="s">
        <v>588</v>
      </c>
      <c r="J49" s="255" t="s">
        <v>588</v>
      </c>
      <c r="K49" s="256" t="s">
        <v>924</v>
      </c>
      <c r="L49" s="256" t="s">
        <v>924</v>
      </c>
    </row>
    <row r="50" spans="1:12" ht="21.75" customHeight="1" x14ac:dyDescent="0.2">
      <c r="A50" s="235"/>
      <c r="B50" s="252" t="s">
        <v>925</v>
      </c>
      <c r="C50" s="253" t="s">
        <v>926</v>
      </c>
      <c r="D50" s="255" t="s">
        <v>588</v>
      </c>
      <c r="E50" s="255" t="s">
        <v>588</v>
      </c>
      <c r="F50" s="255" t="s">
        <v>588</v>
      </c>
      <c r="G50" s="255" t="s">
        <v>588</v>
      </c>
      <c r="H50" s="255" t="s">
        <v>588</v>
      </c>
      <c r="I50" s="255" t="s">
        <v>588</v>
      </c>
      <c r="J50" s="255" t="s">
        <v>588</v>
      </c>
      <c r="K50" s="256" t="s">
        <v>927</v>
      </c>
      <c r="L50" s="256" t="s">
        <v>927</v>
      </c>
    </row>
    <row r="51" spans="1:12" ht="21.75" customHeight="1" x14ac:dyDescent="0.2">
      <c r="A51" s="235"/>
      <c r="B51" s="252" t="s">
        <v>928</v>
      </c>
      <c r="C51" s="253" t="s">
        <v>929</v>
      </c>
      <c r="D51" s="256" t="s">
        <v>930</v>
      </c>
      <c r="E51" s="255" t="s">
        <v>588</v>
      </c>
      <c r="F51" s="255" t="s">
        <v>588</v>
      </c>
      <c r="G51" s="255" t="s">
        <v>588</v>
      </c>
      <c r="H51" s="255" t="s">
        <v>588</v>
      </c>
      <c r="I51" s="255" t="s">
        <v>588</v>
      </c>
      <c r="J51" s="255" t="s">
        <v>588</v>
      </c>
      <c r="K51" s="255" t="s">
        <v>588</v>
      </c>
      <c r="L51" s="255" t="s">
        <v>588</v>
      </c>
    </row>
    <row r="52" spans="1:12" ht="51.75" customHeight="1" x14ac:dyDescent="0.2">
      <c r="A52" s="235"/>
      <c r="B52" s="252" t="s">
        <v>931</v>
      </c>
      <c r="C52" s="253" t="s">
        <v>932</v>
      </c>
      <c r="D52" s="255" t="s">
        <v>588</v>
      </c>
      <c r="E52" s="255" t="s">
        <v>588</v>
      </c>
      <c r="F52" s="255" t="s">
        <v>588</v>
      </c>
      <c r="G52" s="255" t="s">
        <v>588</v>
      </c>
      <c r="H52" s="255" t="s">
        <v>588</v>
      </c>
      <c r="I52" s="255" t="s">
        <v>588</v>
      </c>
      <c r="J52" s="255" t="s">
        <v>588</v>
      </c>
      <c r="K52" s="223" t="s">
        <v>933</v>
      </c>
      <c r="L52" s="223" t="s">
        <v>934</v>
      </c>
    </row>
    <row r="53" spans="1:12" ht="21.75" customHeight="1" x14ac:dyDescent="0.2">
      <c r="A53" s="235"/>
      <c r="B53" s="252" t="s">
        <v>935</v>
      </c>
      <c r="C53" s="253" t="s">
        <v>936</v>
      </c>
      <c r="D53" s="255" t="s">
        <v>588</v>
      </c>
      <c r="E53" s="255" t="s">
        <v>588</v>
      </c>
      <c r="F53" s="255" t="s">
        <v>588</v>
      </c>
      <c r="G53" s="255" t="s">
        <v>588</v>
      </c>
      <c r="H53" s="255" t="s">
        <v>588</v>
      </c>
      <c r="I53" s="255" t="s">
        <v>588</v>
      </c>
      <c r="J53" s="219" t="s">
        <v>937</v>
      </c>
      <c r="K53" s="255" t="s">
        <v>588</v>
      </c>
      <c r="L53" s="255" t="s">
        <v>588</v>
      </c>
    </row>
    <row r="54" spans="1:12" ht="51.75" customHeight="1" x14ac:dyDescent="0.2">
      <c r="A54" s="235"/>
      <c r="B54" s="252" t="s">
        <v>938</v>
      </c>
      <c r="C54" s="253" t="s">
        <v>939</v>
      </c>
      <c r="D54" s="254" t="s">
        <v>940</v>
      </c>
      <c r="E54" s="254" t="s">
        <v>940</v>
      </c>
      <c r="F54" s="254" t="s">
        <v>941</v>
      </c>
      <c r="G54" s="254" t="s">
        <v>940</v>
      </c>
      <c r="H54" s="254" t="s">
        <v>940</v>
      </c>
      <c r="I54" s="254" t="s">
        <v>942</v>
      </c>
      <c r="J54" s="254" t="s">
        <v>943</v>
      </c>
      <c r="K54" s="254" t="s">
        <v>588</v>
      </c>
      <c r="L54" s="254" t="s">
        <v>588</v>
      </c>
    </row>
    <row r="55" spans="1:12" ht="51.75" customHeight="1" x14ac:dyDescent="0.2">
      <c r="A55" s="235"/>
      <c r="B55" s="252" t="s">
        <v>944</v>
      </c>
      <c r="C55" s="253" t="s">
        <v>945</v>
      </c>
      <c r="D55" s="203" t="s">
        <v>946</v>
      </c>
      <c r="E55" s="203" t="s">
        <v>947</v>
      </c>
      <c r="F55" s="203" t="s">
        <v>948</v>
      </c>
      <c r="G55" s="203" t="s">
        <v>949</v>
      </c>
      <c r="H55" s="203" t="s">
        <v>950</v>
      </c>
      <c r="I55" s="203" t="s">
        <v>951</v>
      </c>
      <c r="J55" s="203" t="s">
        <v>952</v>
      </c>
      <c r="K55" s="203" t="s">
        <v>953</v>
      </c>
      <c r="L55" s="203" t="s">
        <v>954</v>
      </c>
    </row>
    <row r="56" spans="1:12" ht="15.75" customHeight="1" x14ac:dyDescent="0.2">
      <c r="A56" s="1469" t="s">
        <v>955</v>
      </c>
      <c r="B56" s="1469"/>
      <c r="C56" s="1469"/>
      <c r="D56" s="1469"/>
      <c r="E56" s="1469"/>
      <c r="F56" s="1469"/>
      <c r="G56" s="1469"/>
      <c r="H56" s="1469"/>
      <c r="I56" s="1469"/>
      <c r="J56" s="1469"/>
      <c r="K56" s="1469"/>
      <c r="L56" s="1469"/>
    </row>
  </sheetData>
  <mergeCells count="3">
    <mergeCell ref="A1:L1"/>
    <mergeCell ref="A2:L2"/>
    <mergeCell ref="A56:L5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565C0"/>
  </sheetPr>
  <dimension ref="A1:L19"/>
  <sheetViews>
    <sheetView zoomScaleNormal="100" workbookViewId="0"/>
  </sheetViews>
  <sheetFormatPr defaultColWidth="8.609375" defaultRowHeight="15" x14ac:dyDescent="0.2"/>
  <cols>
    <col min="1" max="1" width="27.98046875" customWidth="1"/>
    <col min="2" max="2" width="37.93359375" customWidth="1"/>
    <col min="3" max="3" width="22.05859375" customWidth="1"/>
    <col min="4" max="4" width="43.98828125" customWidth="1"/>
  </cols>
  <sheetData>
    <row r="1" spans="1:12" ht="25.5" customHeight="1" x14ac:dyDescent="0.2">
      <c r="A1" s="1476" t="s">
        <v>956</v>
      </c>
      <c r="B1" s="1476"/>
      <c r="C1" s="1476"/>
      <c r="D1" s="1476"/>
      <c r="L1" s="29" t="str">
        <f>HYPERLINK("#'00_INDEX'!A1","&lt;- Index")</f>
        <v>&lt;- Index</v>
      </c>
    </row>
    <row r="2" spans="1:12" ht="27.75" customHeight="1" x14ac:dyDescent="0.2">
      <c r="A2" s="1475" t="s">
        <v>957</v>
      </c>
      <c r="B2" s="1475"/>
      <c r="C2" s="1475"/>
      <c r="D2" s="1475"/>
    </row>
    <row r="4" spans="1:12" ht="19.5" customHeight="1" x14ac:dyDescent="0.2">
      <c r="A4" s="257" t="s">
        <v>343</v>
      </c>
      <c r="B4" s="257" t="s">
        <v>958</v>
      </c>
      <c r="C4" s="257" t="s">
        <v>608</v>
      </c>
      <c r="D4" s="257" t="s">
        <v>959</v>
      </c>
    </row>
    <row r="5" spans="1:12" ht="19.5" customHeight="1" x14ac:dyDescent="0.2">
      <c r="A5" s="258" t="s">
        <v>674</v>
      </c>
      <c r="B5" s="182" t="str">
        <f>IFERROR(INDEX(REF_Planets!$D$11:$L$11,MATCH(planet_cell,REF_Planets!$D$4:$L$4,0)),"")</f>
        <v/>
      </c>
      <c r="C5" s="259" t="s">
        <v>960</v>
      </c>
      <c r="D5" s="260" t="s">
        <v>961</v>
      </c>
    </row>
    <row r="6" spans="1:12" ht="19.5" customHeight="1" x14ac:dyDescent="0.2">
      <c r="A6" s="261" t="s">
        <v>678</v>
      </c>
      <c r="B6" s="182" t="str">
        <f>IFERROR(INDEX(REF_Planets!$D$13:$L$13,MATCH(planet_cell,REF_Planets!$D$4:$L$4,0)),"")</f>
        <v/>
      </c>
      <c r="C6" s="187" t="s">
        <v>962</v>
      </c>
      <c r="D6" s="262" t="s">
        <v>963</v>
      </c>
    </row>
    <row r="7" spans="1:12" ht="19.5" customHeight="1" x14ac:dyDescent="0.2">
      <c r="A7" s="258" t="s">
        <v>680</v>
      </c>
      <c r="B7" s="182" t="str">
        <f>IFERROR(INDEX(REF_Planets!$D$15:$L$15,MATCH(planet_cell,REF_Planets!$D$4:$L$4,0)),"")</f>
        <v/>
      </c>
      <c r="C7" s="259" t="s">
        <v>964</v>
      </c>
      <c r="D7" s="260" t="s">
        <v>965</v>
      </c>
    </row>
    <row r="8" spans="1:12" ht="19.5" customHeight="1" x14ac:dyDescent="0.2">
      <c r="A8" s="261" t="s">
        <v>684</v>
      </c>
      <c r="B8" s="182" t="str">
        <f>IFERROR(INDEX(REF_Planets!$D$17:$L$17,MATCH(planet_cell,REF_Planets!$D$4:$L$4,0)),"")</f>
        <v/>
      </c>
      <c r="C8" s="187" t="s">
        <v>966</v>
      </c>
      <c r="D8" s="262" t="s">
        <v>967</v>
      </c>
    </row>
    <row r="9" spans="1:12" ht="19.5" customHeight="1" x14ac:dyDescent="0.2">
      <c r="A9" s="258" t="s">
        <v>699</v>
      </c>
      <c r="B9" s="182" t="str">
        <f>IFERROR(INDEX(REF_Planets!$D$19:$L$19,MATCH(planet_cell,REF_Planets!$D$4:$L$4,0)),"")</f>
        <v/>
      </c>
      <c r="C9" s="259" t="s">
        <v>968</v>
      </c>
      <c r="D9" s="260" t="s">
        <v>969</v>
      </c>
    </row>
    <row r="10" spans="1:12" ht="19.5" customHeight="1" x14ac:dyDescent="0.2">
      <c r="A10" s="261" t="s">
        <v>662</v>
      </c>
      <c r="B10" s="182" t="str">
        <f>IFERROR(INDEX(REF_Planets!$D$9:$L$9,MATCH(planet_cell,REF_Planets!$D$4:$L$4,0)),"")</f>
        <v/>
      </c>
      <c r="C10" s="187" t="s">
        <v>970</v>
      </c>
      <c r="D10" s="262" t="s">
        <v>971</v>
      </c>
    </row>
    <row r="11" spans="1:12" ht="19.5" customHeight="1" x14ac:dyDescent="0.2">
      <c r="A11" s="258" t="s">
        <v>915</v>
      </c>
      <c r="B11" s="182" t="str">
        <f>IFERROR(INDEX(REF_Planets!$D$48:$L$48,MATCH(planet_cell,REF_Planets!$D$4:$L$4,0)),"")</f>
        <v/>
      </c>
      <c r="C11" s="259" t="s">
        <v>972</v>
      </c>
      <c r="D11" s="260" t="s">
        <v>973</v>
      </c>
    </row>
    <row r="12" spans="1:12" ht="19.5" customHeight="1" x14ac:dyDescent="0.2">
      <c r="A12" s="261" t="s">
        <v>693</v>
      </c>
      <c r="B12" s="182" t="str">
        <f>IFERROR(INDEX(REF_Planets!$D$18:$L$18,MATCH(planet_cell,REF_Planets!$D$4:$L$4,0)),"")</f>
        <v/>
      </c>
      <c r="C12" s="187" t="s">
        <v>974</v>
      </c>
      <c r="D12" s="262" t="s">
        <v>975</v>
      </c>
    </row>
    <row r="13" spans="1:12" ht="19.5" customHeight="1" x14ac:dyDescent="0.2">
      <c r="A13" s="258" t="s">
        <v>808</v>
      </c>
      <c r="B13" s="182" t="str">
        <f>IFERROR(INDEX(REF_Planets!$D$35:$L$35,MATCH(planet_cell,REF_Planets!$D$4:$L$4,0)),"")</f>
        <v/>
      </c>
      <c r="C13" s="259" t="s">
        <v>976</v>
      </c>
      <c r="D13" s="260" t="s">
        <v>977</v>
      </c>
    </row>
    <row r="14" spans="1:12" ht="19.5" customHeight="1" x14ac:dyDescent="0.2">
      <c r="A14" s="261" t="s">
        <v>826</v>
      </c>
      <c r="B14" s="182" t="str">
        <f>IFERROR(INDEX(REF_Planets!$D$37:$L$37,MATCH(planet_cell,REF_Planets!$D$4:$L$4,0)),"")</f>
        <v/>
      </c>
      <c r="C14" s="187" t="s">
        <v>978</v>
      </c>
      <c r="D14" s="262" t="s">
        <v>979</v>
      </c>
    </row>
    <row r="15" spans="1:12" ht="19.5" customHeight="1" x14ac:dyDescent="0.2">
      <c r="A15" s="258" t="s">
        <v>839</v>
      </c>
      <c r="B15" s="182" t="str">
        <f>IFERROR(INDEX(REF_Planets!$D$39:$L$39,MATCH(planet_cell,REF_Planets!$D$4:$L$4,0)),"")</f>
        <v/>
      </c>
      <c r="C15" s="259" t="s">
        <v>980</v>
      </c>
      <c r="D15" s="260" t="s">
        <v>981</v>
      </c>
    </row>
    <row r="16" spans="1:12" ht="19.5" customHeight="1" x14ac:dyDescent="0.2">
      <c r="A16" s="261" t="s">
        <v>732</v>
      </c>
      <c r="B16" s="182" t="str">
        <f>IFERROR(INDEX(REF_Planets!$D$27:$L$27,MATCH(planet_cell,REF_Planets!$D$4:$L$4,0)),"")</f>
        <v/>
      </c>
      <c r="C16" s="187" t="s">
        <v>982</v>
      </c>
      <c r="D16" s="262" t="s">
        <v>983</v>
      </c>
    </row>
    <row r="17" spans="1:4" ht="19.5" customHeight="1" x14ac:dyDescent="0.2">
      <c r="A17" s="258" t="s">
        <v>922</v>
      </c>
      <c r="B17" s="182" t="str">
        <f>IFERROR(INDEX(REF_Planets!$D$49:$L$49,MATCH(planet_cell,REF_Planets!$D$4:$L$4,0)),"")</f>
        <v/>
      </c>
      <c r="C17" s="259" t="s">
        <v>984</v>
      </c>
      <c r="D17" s="260" t="s">
        <v>985</v>
      </c>
    </row>
    <row r="18" spans="1:4" ht="19.5" customHeight="1" x14ac:dyDescent="0.2">
      <c r="A18" s="261" t="s">
        <v>925</v>
      </c>
      <c r="B18" s="182" t="str">
        <f>IFERROR(INDEX(REF_Planets!$D$50:$L$50,MATCH(planet_cell,REF_Planets!$D$4:$L$4,0)),"")</f>
        <v/>
      </c>
      <c r="C18" s="187" t="s">
        <v>986</v>
      </c>
      <c r="D18" s="262" t="s">
        <v>987</v>
      </c>
    </row>
    <row r="19" spans="1:4" ht="19.5" customHeight="1" x14ac:dyDescent="0.2">
      <c r="A19" s="258" t="s">
        <v>931</v>
      </c>
      <c r="B19" s="182" t="str">
        <f>IFERROR(INDEX(REF_Planets!$D$52:$L$52,MATCH(planet_cell,REF_Planets!$D$4:$L$4,0)),"")</f>
        <v/>
      </c>
      <c r="C19" s="259" t="s">
        <v>988</v>
      </c>
      <c r="D19" s="260" t="s">
        <v>989</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565C0"/>
  </sheetPr>
  <dimension ref="A1:O69"/>
  <sheetViews>
    <sheetView zoomScaleNormal="100" workbookViewId="0">
      <pane xSplit="2" ySplit="3" topLeftCell="C4" activePane="bottomRight" state="frozen"/>
      <selection pane="bottomLeft" activeCell="A4" sqref="A4"/>
      <selection pane="topRight" activeCell="C1" sqref="C1"/>
      <selection pane="bottomRight"/>
    </sheetView>
  </sheetViews>
  <sheetFormatPr defaultColWidth="8.609375" defaultRowHeight="15" x14ac:dyDescent="0.2"/>
  <cols>
    <col min="1" max="1" width="20.04296875" customWidth="1"/>
    <col min="2" max="4" width="13.98828125" customWidth="1"/>
    <col min="5" max="5" width="39.953125" customWidth="1"/>
    <col min="6" max="6" width="29.99609375" customWidth="1"/>
    <col min="7" max="7" width="16.0078125" customWidth="1"/>
    <col min="8" max="9" width="18.0234375" customWidth="1"/>
    <col min="10" max="11" width="34.03125" customWidth="1"/>
    <col min="12" max="12" width="32.015625" customWidth="1"/>
    <col min="13" max="14" width="16.0078125" customWidth="1"/>
  </cols>
  <sheetData>
    <row r="1" spans="1:15" ht="27.75" customHeight="1" x14ac:dyDescent="0.2">
      <c r="A1" s="1474" t="s">
        <v>990</v>
      </c>
      <c r="B1" s="1474"/>
      <c r="C1" s="1474"/>
      <c r="D1" s="1474"/>
      <c r="E1" s="1474"/>
      <c r="F1" s="1474"/>
      <c r="G1" s="1474"/>
      <c r="H1" s="1474"/>
      <c r="I1" s="1474"/>
      <c r="J1" s="1474"/>
      <c r="K1" s="1474"/>
      <c r="L1" s="1474"/>
      <c r="M1" s="1474"/>
      <c r="N1" s="1474"/>
      <c r="O1" s="29" t="str">
        <f>HYPERLINK("#'00_INDEX'!A1","&lt;- Index")</f>
        <v>&lt;- Index</v>
      </c>
    </row>
    <row r="2" spans="1:15" ht="21.75" customHeight="1" x14ac:dyDescent="0.2">
      <c r="A2" s="1475" t="s">
        <v>991</v>
      </c>
      <c r="B2" s="1475"/>
      <c r="C2" s="1475"/>
      <c r="D2" s="1475"/>
      <c r="E2" s="1475"/>
      <c r="F2" s="1475"/>
      <c r="G2" s="1475"/>
      <c r="H2" s="1475"/>
      <c r="I2" s="1475"/>
      <c r="J2" s="1475"/>
      <c r="K2" s="1475"/>
      <c r="L2" s="1475"/>
      <c r="M2" s="1475"/>
      <c r="N2" s="1475"/>
    </row>
    <row r="3" spans="1:15" ht="31.5" customHeight="1" x14ac:dyDescent="0.2">
      <c r="A3" s="87" t="s">
        <v>319</v>
      </c>
      <c r="B3" s="87" t="s">
        <v>344</v>
      </c>
      <c r="C3" s="87" t="s">
        <v>992</v>
      </c>
      <c r="D3" s="87" t="s">
        <v>993</v>
      </c>
      <c r="E3" s="87" t="s">
        <v>994</v>
      </c>
      <c r="F3" s="87" t="s">
        <v>995</v>
      </c>
      <c r="G3" s="87" t="s">
        <v>996</v>
      </c>
      <c r="H3" s="87" t="s">
        <v>997</v>
      </c>
      <c r="I3" s="87" t="s">
        <v>998</v>
      </c>
      <c r="J3" s="87" t="s">
        <v>999</v>
      </c>
      <c r="K3" s="87" t="s">
        <v>1000</v>
      </c>
      <c r="L3" s="87" t="s">
        <v>1001</v>
      </c>
      <c r="M3" s="87" t="s">
        <v>1002</v>
      </c>
      <c r="N3" s="87" t="s">
        <v>1003</v>
      </c>
    </row>
    <row r="4" spans="1:15" ht="51.75" customHeight="1" x14ac:dyDescent="0.2">
      <c r="A4" s="263" t="s">
        <v>266</v>
      </c>
      <c r="B4" s="264" t="s">
        <v>288</v>
      </c>
      <c r="C4" s="265" t="s">
        <v>345</v>
      </c>
      <c r="D4" s="266" t="s">
        <v>392</v>
      </c>
      <c r="E4" s="267" t="s">
        <v>1004</v>
      </c>
      <c r="F4" s="268" t="s">
        <v>349</v>
      </c>
      <c r="G4" s="269" t="s">
        <v>392</v>
      </c>
      <c r="H4" s="270" t="s">
        <v>1005</v>
      </c>
      <c r="I4" s="271" t="s">
        <v>1006</v>
      </c>
      <c r="J4" s="228" t="s">
        <v>1007</v>
      </c>
      <c r="K4" s="272" t="s">
        <v>1008</v>
      </c>
      <c r="L4" s="273" t="s">
        <v>329</v>
      </c>
      <c r="M4" s="274" t="s">
        <v>1009</v>
      </c>
      <c r="N4" s="275" t="s">
        <v>1010</v>
      </c>
    </row>
    <row r="5" spans="1:15" ht="51.75" customHeight="1" x14ac:dyDescent="0.2">
      <c r="A5" s="276" t="s">
        <v>267</v>
      </c>
      <c r="B5" s="277" t="s">
        <v>291</v>
      </c>
      <c r="C5" s="265" t="s">
        <v>346</v>
      </c>
      <c r="D5" s="266" t="s">
        <v>393</v>
      </c>
      <c r="E5" s="267" t="s">
        <v>1011</v>
      </c>
      <c r="F5" s="268" t="s">
        <v>350</v>
      </c>
      <c r="G5" s="269" t="s">
        <v>393</v>
      </c>
      <c r="H5" s="270" t="s">
        <v>1012</v>
      </c>
      <c r="I5" s="271" t="s">
        <v>1013</v>
      </c>
      <c r="J5" s="228" t="s">
        <v>1014</v>
      </c>
      <c r="K5" s="272" t="s">
        <v>1015</v>
      </c>
      <c r="L5" s="273" t="s">
        <v>1016</v>
      </c>
      <c r="M5" s="278" t="s">
        <v>1017</v>
      </c>
      <c r="N5" s="275" t="s">
        <v>1018</v>
      </c>
    </row>
    <row r="6" spans="1:15" ht="51.75" customHeight="1" x14ac:dyDescent="0.2">
      <c r="A6" s="279" t="s">
        <v>268</v>
      </c>
      <c r="B6" s="280" t="s">
        <v>294</v>
      </c>
      <c r="C6" s="265" t="s">
        <v>352</v>
      </c>
      <c r="D6" s="266" t="s">
        <v>397</v>
      </c>
      <c r="E6" s="267" t="s">
        <v>1019</v>
      </c>
      <c r="F6" s="268" t="s">
        <v>347</v>
      </c>
      <c r="G6" s="269" t="s">
        <v>397</v>
      </c>
      <c r="H6" s="270" t="s">
        <v>1020</v>
      </c>
      <c r="I6" s="271" t="s">
        <v>1021</v>
      </c>
      <c r="J6" s="228" t="s">
        <v>1022</v>
      </c>
      <c r="K6" s="272" t="s">
        <v>1023</v>
      </c>
      <c r="L6" s="273" t="s">
        <v>1024</v>
      </c>
      <c r="M6" s="278" t="s">
        <v>1025</v>
      </c>
      <c r="N6" s="275" t="s">
        <v>1026</v>
      </c>
    </row>
    <row r="7" spans="1:15" ht="51.75" customHeight="1" x14ac:dyDescent="0.2">
      <c r="A7" s="281" t="s">
        <v>269</v>
      </c>
      <c r="B7" s="282" t="s">
        <v>297</v>
      </c>
      <c r="C7" s="265" t="s">
        <v>348</v>
      </c>
      <c r="D7" s="266" t="s">
        <v>395</v>
      </c>
      <c r="E7" s="267" t="s">
        <v>1027</v>
      </c>
      <c r="F7" s="268" t="s">
        <v>323</v>
      </c>
      <c r="G7" s="269" t="s">
        <v>395</v>
      </c>
      <c r="H7" s="270" t="s">
        <v>1028</v>
      </c>
      <c r="I7" s="271" t="s">
        <v>1029</v>
      </c>
      <c r="J7" s="228" t="s">
        <v>1030</v>
      </c>
      <c r="K7" s="272" t="s">
        <v>1031</v>
      </c>
      <c r="L7" s="273" t="s">
        <v>1032</v>
      </c>
      <c r="M7" s="278" t="s">
        <v>1033</v>
      </c>
      <c r="N7" s="275" t="s">
        <v>1034</v>
      </c>
    </row>
    <row r="8" spans="1:15" ht="51.75" customHeight="1" x14ac:dyDescent="0.2">
      <c r="A8" s="283" t="s">
        <v>270</v>
      </c>
      <c r="B8" s="284" t="s">
        <v>300</v>
      </c>
      <c r="C8" s="265" t="s">
        <v>347</v>
      </c>
      <c r="D8" s="266" t="s">
        <v>394</v>
      </c>
      <c r="E8" s="267" t="s">
        <v>1035</v>
      </c>
      <c r="F8" s="268" t="s">
        <v>352</v>
      </c>
      <c r="G8" s="269" t="s">
        <v>394</v>
      </c>
      <c r="H8" s="270" t="s">
        <v>1036</v>
      </c>
      <c r="I8" s="271" t="s">
        <v>1037</v>
      </c>
      <c r="J8" s="228" t="s">
        <v>1038</v>
      </c>
      <c r="K8" s="272" t="s">
        <v>1039</v>
      </c>
      <c r="L8" s="273" t="s">
        <v>1040</v>
      </c>
      <c r="M8" s="278" t="s">
        <v>1041</v>
      </c>
      <c r="N8" s="275" t="s">
        <v>1042</v>
      </c>
    </row>
    <row r="9" spans="1:15" ht="51.75" customHeight="1" x14ac:dyDescent="0.2">
      <c r="A9" s="285" t="s">
        <v>271</v>
      </c>
      <c r="B9" s="286" t="s">
        <v>303</v>
      </c>
      <c r="C9" s="265" t="s">
        <v>323</v>
      </c>
      <c r="D9" s="266" t="s">
        <v>398</v>
      </c>
      <c r="E9" s="267" t="s">
        <v>1043</v>
      </c>
      <c r="F9" s="268" t="s">
        <v>348</v>
      </c>
      <c r="G9" s="269" t="s">
        <v>398</v>
      </c>
      <c r="H9" s="270" t="s">
        <v>1044</v>
      </c>
      <c r="I9" s="271" t="s">
        <v>1045</v>
      </c>
      <c r="J9" s="228" t="s">
        <v>1046</v>
      </c>
      <c r="K9" s="272" t="s">
        <v>1047</v>
      </c>
      <c r="L9" s="273" t="s">
        <v>1048</v>
      </c>
      <c r="M9" s="278" t="s">
        <v>1049</v>
      </c>
      <c r="N9" s="275" t="s">
        <v>1050</v>
      </c>
    </row>
    <row r="10" spans="1:15" ht="51.75" customHeight="1" x14ac:dyDescent="0.2">
      <c r="A10" s="287" t="s">
        <v>272</v>
      </c>
      <c r="B10" s="288" t="s">
        <v>306</v>
      </c>
      <c r="C10" s="265" t="s">
        <v>349</v>
      </c>
      <c r="D10" s="266" t="s">
        <v>396</v>
      </c>
      <c r="E10" s="267" t="s">
        <v>1051</v>
      </c>
      <c r="F10" s="268" t="s">
        <v>345</v>
      </c>
      <c r="G10" s="269" t="s">
        <v>396</v>
      </c>
      <c r="H10" s="270" t="s">
        <v>1052</v>
      </c>
      <c r="I10" s="271" t="s">
        <v>1053</v>
      </c>
      <c r="J10" s="228" t="s">
        <v>1054</v>
      </c>
      <c r="K10" s="272" t="s">
        <v>1055</v>
      </c>
      <c r="L10" s="273" t="s">
        <v>1056</v>
      </c>
      <c r="M10" s="278" t="s">
        <v>1057</v>
      </c>
      <c r="N10" s="275" t="s">
        <v>1058</v>
      </c>
    </row>
    <row r="11" spans="1:15" ht="51.75" customHeight="1" x14ac:dyDescent="0.2">
      <c r="A11" s="289" t="s">
        <v>273</v>
      </c>
      <c r="B11" s="290" t="s">
        <v>273</v>
      </c>
      <c r="C11" s="265" t="s">
        <v>346</v>
      </c>
      <c r="D11" s="266" t="s">
        <v>396</v>
      </c>
      <c r="E11" s="267" t="s">
        <v>1059</v>
      </c>
      <c r="F11" s="268" t="s">
        <v>350</v>
      </c>
      <c r="G11" s="269" t="s">
        <v>396</v>
      </c>
      <c r="H11" s="270" t="s">
        <v>1060</v>
      </c>
      <c r="I11" s="271" t="s">
        <v>1061</v>
      </c>
      <c r="J11" s="228" t="s">
        <v>1062</v>
      </c>
      <c r="K11" s="272" t="s">
        <v>1055</v>
      </c>
      <c r="L11" s="273" t="s">
        <v>1063</v>
      </c>
      <c r="M11" s="274" t="s">
        <v>1009</v>
      </c>
      <c r="N11" s="275" t="s">
        <v>1064</v>
      </c>
    </row>
    <row r="12" spans="1:15" ht="51.75" customHeight="1" x14ac:dyDescent="0.2">
      <c r="A12" s="291" t="s">
        <v>274</v>
      </c>
      <c r="B12" s="292" t="s">
        <v>274</v>
      </c>
      <c r="C12" s="265" t="s">
        <v>350</v>
      </c>
      <c r="D12" s="266" t="s">
        <v>396</v>
      </c>
      <c r="E12" s="267" t="s">
        <v>1060</v>
      </c>
      <c r="F12" s="268" t="s">
        <v>346</v>
      </c>
      <c r="G12" s="269" t="s">
        <v>396</v>
      </c>
      <c r="H12" s="270" t="s">
        <v>1059</v>
      </c>
      <c r="I12" s="271" t="s">
        <v>1061</v>
      </c>
      <c r="J12" s="228" t="s">
        <v>1065</v>
      </c>
      <c r="K12" s="272" t="s">
        <v>1066</v>
      </c>
      <c r="L12" s="273" t="s">
        <v>1067</v>
      </c>
      <c r="M12" s="274" t="s">
        <v>1009</v>
      </c>
      <c r="N12" s="275" t="s">
        <v>1068</v>
      </c>
    </row>
    <row r="15" spans="1:15" ht="21.75" customHeight="1" x14ac:dyDescent="0.2">
      <c r="A15" s="1477" t="s">
        <v>1069</v>
      </c>
      <c r="B15" s="1477"/>
      <c r="C15" s="1477"/>
      <c r="D15" s="1477"/>
      <c r="E15" s="1477"/>
      <c r="F15" s="1477"/>
      <c r="G15" s="1477"/>
      <c r="H15" s="1477"/>
      <c r="I15" s="1477"/>
      <c r="J15" s="1477"/>
      <c r="K15" s="1477"/>
      <c r="L15" s="1477"/>
      <c r="M15" s="1477"/>
      <c r="N15" s="1477"/>
    </row>
    <row r="16" spans="1:15" ht="19.5" customHeight="1" x14ac:dyDescent="0.2">
      <c r="A16" s="87" t="s">
        <v>1070</v>
      </c>
      <c r="B16" s="87" t="s">
        <v>344</v>
      </c>
      <c r="C16" s="87" t="s">
        <v>1071</v>
      </c>
      <c r="D16" s="1478" t="s">
        <v>1072</v>
      </c>
      <c r="E16" s="1478"/>
      <c r="F16" s="1478"/>
      <c r="G16" s="1478"/>
      <c r="H16" s="1478"/>
      <c r="I16" s="1478"/>
      <c r="J16" s="1478"/>
      <c r="K16" s="1478"/>
      <c r="L16" s="1478"/>
      <c r="M16" s="1478"/>
      <c r="N16" s="1478"/>
    </row>
    <row r="17" spans="1:14" ht="18" customHeight="1" x14ac:dyDescent="0.2">
      <c r="A17" s="293" t="s">
        <v>1073</v>
      </c>
      <c r="B17" s="294" t="s">
        <v>1074</v>
      </c>
      <c r="C17" s="295" t="s">
        <v>1075</v>
      </c>
      <c r="D17" s="1479" t="s">
        <v>1076</v>
      </c>
      <c r="E17" s="1479"/>
      <c r="F17" s="1479"/>
      <c r="G17" s="1479"/>
      <c r="H17" s="1479"/>
      <c r="I17" s="1479"/>
      <c r="J17" s="1479"/>
      <c r="K17" s="1479"/>
      <c r="L17" s="1479"/>
      <c r="M17" s="1479"/>
      <c r="N17" s="1479"/>
    </row>
    <row r="18" spans="1:14" ht="18" customHeight="1" x14ac:dyDescent="0.2">
      <c r="A18" s="297" t="s">
        <v>1077</v>
      </c>
      <c r="B18" s="187" t="s">
        <v>1078</v>
      </c>
      <c r="C18" s="298" t="s">
        <v>1079</v>
      </c>
      <c r="D18" s="1480" t="s">
        <v>1080</v>
      </c>
      <c r="E18" s="1480"/>
      <c r="F18" s="1480"/>
      <c r="G18" s="1480"/>
      <c r="H18" s="1480"/>
      <c r="I18" s="1480"/>
      <c r="J18" s="1480"/>
      <c r="K18" s="1480"/>
      <c r="L18" s="1480"/>
      <c r="M18" s="1480"/>
      <c r="N18" s="1480"/>
    </row>
    <row r="19" spans="1:14" ht="18" customHeight="1" x14ac:dyDescent="0.2">
      <c r="A19" s="300" t="s">
        <v>402</v>
      </c>
      <c r="B19" s="294" t="s">
        <v>402</v>
      </c>
      <c r="C19" s="301" t="s">
        <v>1081</v>
      </c>
      <c r="D19" s="1479" t="s">
        <v>1082</v>
      </c>
      <c r="E19" s="1479"/>
      <c r="F19" s="1479"/>
      <c r="G19" s="1479"/>
      <c r="H19" s="1479"/>
      <c r="I19" s="1479"/>
      <c r="J19" s="1479"/>
      <c r="K19" s="1479"/>
      <c r="L19" s="1479"/>
      <c r="M19" s="1479"/>
      <c r="N19" s="1479"/>
    </row>
    <row r="20" spans="1:14" ht="18" customHeight="1" x14ac:dyDescent="0.2">
      <c r="A20" s="302" t="s">
        <v>1083</v>
      </c>
      <c r="B20" s="187" t="s">
        <v>1084</v>
      </c>
      <c r="C20" s="193" t="s">
        <v>1085</v>
      </c>
      <c r="D20" s="1480" t="s">
        <v>1086</v>
      </c>
      <c r="E20" s="1480"/>
      <c r="F20" s="1480"/>
      <c r="G20" s="1480"/>
      <c r="H20" s="1480"/>
      <c r="I20" s="1480"/>
      <c r="J20" s="1480"/>
      <c r="K20" s="1480"/>
      <c r="L20" s="1480"/>
      <c r="M20" s="1480"/>
      <c r="N20" s="1480"/>
    </row>
    <row r="21" spans="1:14" ht="18" customHeight="1" x14ac:dyDescent="0.2">
      <c r="A21" s="303" t="s">
        <v>1087</v>
      </c>
      <c r="B21" s="294" t="s">
        <v>1088</v>
      </c>
      <c r="C21" s="304" t="s">
        <v>1089</v>
      </c>
      <c r="D21" s="1479" t="s">
        <v>1090</v>
      </c>
      <c r="E21" s="1479"/>
      <c r="F21" s="1479"/>
      <c r="G21" s="1479"/>
      <c r="H21" s="1479"/>
      <c r="I21" s="1479"/>
      <c r="J21" s="1479"/>
      <c r="K21" s="1479"/>
      <c r="L21" s="1479"/>
      <c r="M21" s="1479"/>
      <c r="N21" s="1479"/>
    </row>
    <row r="22" spans="1:14" ht="18" customHeight="1" x14ac:dyDescent="0.2">
      <c r="A22" s="305" t="s">
        <v>1091</v>
      </c>
      <c r="B22" s="187" t="s">
        <v>1092</v>
      </c>
      <c r="C22" s="306" t="s">
        <v>1093</v>
      </c>
      <c r="D22" s="1480" t="s">
        <v>1094</v>
      </c>
      <c r="E22" s="1480"/>
      <c r="F22" s="1480"/>
      <c r="G22" s="1480"/>
      <c r="H22" s="1480"/>
      <c r="I22" s="1480"/>
      <c r="J22" s="1480"/>
      <c r="K22" s="1480"/>
      <c r="L22" s="1480"/>
      <c r="M22" s="1480"/>
      <c r="N22" s="1480"/>
    </row>
    <row r="23" spans="1:14" ht="18" customHeight="1" x14ac:dyDescent="0.2">
      <c r="A23" s="307" t="s">
        <v>1095</v>
      </c>
      <c r="B23" s="294" t="s">
        <v>1096</v>
      </c>
      <c r="C23" s="192" t="s">
        <v>1097</v>
      </c>
      <c r="D23" s="1479" t="s">
        <v>1098</v>
      </c>
      <c r="E23" s="1479"/>
      <c r="F23" s="1479"/>
      <c r="G23" s="1479"/>
      <c r="H23" s="1479"/>
      <c r="I23" s="1479"/>
      <c r="J23" s="1479"/>
      <c r="K23" s="1479"/>
      <c r="L23" s="1479"/>
      <c r="M23" s="1479"/>
      <c r="N23" s="1479"/>
    </row>
    <row r="24" spans="1:14" ht="18" customHeight="1" x14ac:dyDescent="0.2">
      <c r="A24" s="308" t="s">
        <v>1099</v>
      </c>
      <c r="B24" s="187" t="s">
        <v>1100</v>
      </c>
      <c r="C24" s="309" t="s">
        <v>1101</v>
      </c>
      <c r="D24" s="1480" t="s">
        <v>1102</v>
      </c>
      <c r="E24" s="1480"/>
      <c r="F24" s="1480"/>
      <c r="G24" s="1480"/>
      <c r="H24" s="1480"/>
      <c r="I24" s="1480"/>
      <c r="J24" s="1480"/>
      <c r="K24" s="1480"/>
      <c r="L24" s="1480"/>
      <c r="M24" s="1480"/>
      <c r="N24" s="1480"/>
    </row>
    <row r="25" spans="1:14" ht="18" customHeight="1" x14ac:dyDescent="0.2">
      <c r="A25" s="308" t="s">
        <v>1103</v>
      </c>
      <c r="B25" s="294" t="s">
        <v>1104</v>
      </c>
      <c r="C25" s="309" t="s">
        <v>1105</v>
      </c>
      <c r="D25" s="1479" t="s">
        <v>1106</v>
      </c>
      <c r="E25" s="1479"/>
      <c r="F25" s="1479"/>
      <c r="G25" s="1479"/>
      <c r="H25" s="1479"/>
      <c r="I25" s="1479"/>
      <c r="J25" s="1479"/>
      <c r="K25" s="1479"/>
      <c r="L25" s="1479"/>
      <c r="M25" s="1479"/>
      <c r="N25" s="1479"/>
    </row>
    <row r="26" spans="1:14" ht="18" customHeight="1" x14ac:dyDescent="0.2">
      <c r="A26" s="83" t="s">
        <v>1107</v>
      </c>
      <c r="B26" s="187" t="s">
        <v>1108</v>
      </c>
      <c r="C26" s="310" t="s">
        <v>1109</v>
      </c>
      <c r="D26" s="1480" t="s">
        <v>1110</v>
      </c>
      <c r="E26" s="1480"/>
      <c r="F26" s="1480"/>
      <c r="G26" s="1480"/>
      <c r="H26" s="1480"/>
      <c r="I26" s="1480"/>
      <c r="J26" s="1480"/>
      <c r="K26" s="1480"/>
      <c r="L26" s="1480"/>
      <c r="M26" s="1480"/>
      <c r="N26" s="1480"/>
    </row>
    <row r="27" spans="1:14" ht="18" customHeight="1" x14ac:dyDescent="0.2">
      <c r="A27" s="83" t="s">
        <v>1111</v>
      </c>
      <c r="B27" s="294" t="s">
        <v>1112</v>
      </c>
      <c r="C27" s="310" t="s">
        <v>1097</v>
      </c>
      <c r="D27" s="1479" t="s">
        <v>1113</v>
      </c>
      <c r="E27" s="1479"/>
      <c r="F27" s="1479"/>
      <c r="G27" s="1479"/>
      <c r="H27" s="1479"/>
      <c r="I27" s="1479"/>
      <c r="J27" s="1479"/>
      <c r="K27" s="1479"/>
      <c r="L27" s="1479"/>
      <c r="M27" s="1479"/>
      <c r="N27" s="1479"/>
    </row>
    <row r="28" spans="1:14" ht="18" customHeight="1" x14ac:dyDescent="0.2">
      <c r="A28" s="311" t="s">
        <v>1114</v>
      </c>
      <c r="B28" s="187" t="s">
        <v>1115</v>
      </c>
      <c r="C28" s="312" t="s">
        <v>1116</v>
      </c>
      <c r="D28" s="1480" t="s">
        <v>1117</v>
      </c>
      <c r="E28" s="1480"/>
      <c r="F28" s="1480"/>
      <c r="G28" s="1480"/>
      <c r="H28" s="1480"/>
      <c r="I28" s="1480"/>
      <c r="J28" s="1480"/>
      <c r="K28" s="1480"/>
      <c r="L28" s="1480"/>
      <c r="M28" s="1480"/>
      <c r="N28" s="1480"/>
    </row>
    <row r="29" spans="1:14" ht="18" customHeight="1" x14ac:dyDescent="0.2">
      <c r="A29" s="83" t="s">
        <v>1118</v>
      </c>
      <c r="B29" s="294" t="s">
        <v>1118</v>
      </c>
      <c r="C29" s="310" t="s">
        <v>1081</v>
      </c>
      <c r="D29" s="1479" t="s">
        <v>1119</v>
      </c>
      <c r="E29" s="1479"/>
      <c r="F29" s="1479"/>
      <c r="G29" s="1479"/>
      <c r="H29" s="1479"/>
      <c r="I29" s="1479"/>
      <c r="J29" s="1479"/>
      <c r="K29" s="1479"/>
      <c r="L29" s="1479"/>
      <c r="M29" s="1479"/>
      <c r="N29" s="1479"/>
    </row>
    <row r="33" spans="1:10" ht="21.75" customHeight="1" x14ac:dyDescent="0.2">
      <c r="A33" s="1481" t="s">
        <v>1120</v>
      </c>
      <c r="B33" s="1481"/>
      <c r="C33" s="1481"/>
      <c r="D33" s="1481"/>
      <c r="E33" s="1481"/>
      <c r="F33" s="1481"/>
      <c r="G33" s="1481"/>
      <c r="H33" s="1481"/>
      <c r="I33" s="1481"/>
      <c r="J33" s="1481"/>
    </row>
    <row r="34" spans="1:10" ht="19.5" customHeight="1" x14ac:dyDescent="0.2">
      <c r="A34" s="189" t="s">
        <v>1121</v>
      </c>
      <c r="B34" s="313" t="s">
        <v>266</v>
      </c>
      <c r="C34" s="314" t="s">
        <v>267</v>
      </c>
      <c r="D34" s="315" t="s">
        <v>268</v>
      </c>
      <c r="E34" s="316" t="s">
        <v>269</v>
      </c>
      <c r="F34" s="317" t="s">
        <v>270</v>
      </c>
      <c r="G34" s="318" t="s">
        <v>271</v>
      </c>
      <c r="H34" s="319" t="s">
        <v>272</v>
      </c>
      <c r="I34" s="320" t="s">
        <v>273</v>
      </c>
      <c r="J34" s="321" t="s">
        <v>274</v>
      </c>
    </row>
    <row r="35" spans="1:10" ht="18" customHeight="1" x14ac:dyDescent="0.2">
      <c r="A35" s="96" t="s">
        <v>345</v>
      </c>
      <c r="B35" s="322" t="s">
        <v>1077</v>
      </c>
      <c r="C35" s="323" t="s">
        <v>1091</v>
      </c>
      <c r="D35" s="324" t="s">
        <v>402</v>
      </c>
      <c r="E35" s="323" t="s">
        <v>1091</v>
      </c>
      <c r="F35" s="325" t="s">
        <v>1087</v>
      </c>
      <c r="G35" s="323" t="s">
        <v>1091</v>
      </c>
      <c r="H35" s="326" t="s">
        <v>1099</v>
      </c>
      <c r="I35" s="323" t="s">
        <v>1091</v>
      </c>
      <c r="J35" s="325" t="s">
        <v>1087</v>
      </c>
    </row>
    <row r="36" spans="1:10" ht="18" customHeight="1" x14ac:dyDescent="0.2">
      <c r="A36" s="94" t="s">
        <v>346</v>
      </c>
      <c r="B36" s="327" t="s">
        <v>1095</v>
      </c>
      <c r="C36" s="322" t="s">
        <v>1077</v>
      </c>
      <c r="D36" s="323" t="s">
        <v>1091</v>
      </c>
      <c r="E36" s="327" t="s">
        <v>1095</v>
      </c>
      <c r="F36" s="323" t="s">
        <v>1091</v>
      </c>
      <c r="G36" s="328" t="s">
        <v>1083</v>
      </c>
      <c r="H36" s="325" t="s">
        <v>1087</v>
      </c>
      <c r="I36" s="322" t="s">
        <v>1077</v>
      </c>
      <c r="J36" s="326" t="s">
        <v>1099</v>
      </c>
    </row>
    <row r="37" spans="1:10" ht="18" customHeight="1" x14ac:dyDescent="0.2">
      <c r="A37" s="96" t="s">
        <v>329</v>
      </c>
      <c r="B37" s="323" t="s">
        <v>1091</v>
      </c>
      <c r="C37" s="323" t="s">
        <v>1091</v>
      </c>
      <c r="D37" s="327" t="s">
        <v>1095</v>
      </c>
      <c r="E37" s="328" t="s">
        <v>1083</v>
      </c>
      <c r="F37" s="327" t="s">
        <v>1095</v>
      </c>
      <c r="G37" s="325" t="s">
        <v>1087</v>
      </c>
      <c r="H37" s="325" t="s">
        <v>1087</v>
      </c>
      <c r="I37" s="328" t="s">
        <v>1083</v>
      </c>
      <c r="J37" s="327" t="s">
        <v>1095</v>
      </c>
    </row>
    <row r="38" spans="1:10" ht="18" customHeight="1" x14ac:dyDescent="0.2">
      <c r="A38" s="94" t="s">
        <v>347</v>
      </c>
      <c r="B38" s="325" t="s">
        <v>1087</v>
      </c>
      <c r="C38" s="328" t="s">
        <v>1083</v>
      </c>
      <c r="D38" s="326" t="s">
        <v>1099</v>
      </c>
      <c r="E38" s="327" t="s">
        <v>1095</v>
      </c>
      <c r="F38" s="322" t="s">
        <v>1077</v>
      </c>
      <c r="G38" s="323" t="s">
        <v>1091</v>
      </c>
      <c r="H38" s="327" t="s">
        <v>1095</v>
      </c>
      <c r="I38" s="327" t="s">
        <v>1095</v>
      </c>
      <c r="J38" s="325" t="s">
        <v>1087</v>
      </c>
    </row>
    <row r="39" spans="1:10" ht="18" customHeight="1" x14ac:dyDescent="0.2">
      <c r="A39" s="96" t="s">
        <v>334</v>
      </c>
      <c r="B39" s="324" t="s">
        <v>402</v>
      </c>
      <c r="C39" s="325" t="s">
        <v>1087</v>
      </c>
      <c r="D39" s="325" t="s">
        <v>1087</v>
      </c>
      <c r="E39" s="323" t="s">
        <v>1091</v>
      </c>
      <c r="F39" s="325" t="s">
        <v>1087</v>
      </c>
      <c r="G39" s="327" t="s">
        <v>1095</v>
      </c>
      <c r="H39" s="327" t="s">
        <v>1095</v>
      </c>
      <c r="I39" s="327" t="s">
        <v>1095</v>
      </c>
      <c r="J39" s="323" t="s">
        <v>1091</v>
      </c>
    </row>
    <row r="40" spans="1:10" ht="18" customHeight="1" x14ac:dyDescent="0.2">
      <c r="A40" s="94" t="s">
        <v>348</v>
      </c>
      <c r="B40" s="327" t="s">
        <v>1095</v>
      </c>
      <c r="C40" s="323" t="s">
        <v>1091</v>
      </c>
      <c r="D40" s="323" t="s">
        <v>1091</v>
      </c>
      <c r="E40" s="322" t="s">
        <v>1077</v>
      </c>
      <c r="F40" s="327" t="s">
        <v>1095</v>
      </c>
      <c r="G40" s="326" t="s">
        <v>1099</v>
      </c>
      <c r="H40" s="325" t="s">
        <v>1087</v>
      </c>
      <c r="I40" s="325" t="s">
        <v>1087</v>
      </c>
      <c r="J40" s="327" t="s">
        <v>1095</v>
      </c>
    </row>
    <row r="41" spans="1:10" ht="18" customHeight="1" x14ac:dyDescent="0.2">
      <c r="A41" s="96" t="s">
        <v>349</v>
      </c>
      <c r="B41" s="326" t="s">
        <v>1099</v>
      </c>
      <c r="C41" s="325" t="s">
        <v>1087</v>
      </c>
      <c r="D41" s="323" t="s">
        <v>1091</v>
      </c>
      <c r="E41" s="325" t="s">
        <v>1087</v>
      </c>
      <c r="F41" s="327" t="s">
        <v>1095</v>
      </c>
      <c r="G41" s="324" t="s">
        <v>402</v>
      </c>
      <c r="H41" s="322" t="s">
        <v>1077</v>
      </c>
      <c r="I41" s="325" t="s">
        <v>1087</v>
      </c>
      <c r="J41" s="327" t="s">
        <v>1095</v>
      </c>
    </row>
    <row r="42" spans="1:10" ht="18" customHeight="1" x14ac:dyDescent="0.2">
      <c r="A42" s="94" t="s">
        <v>350</v>
      </c>
      <c r="B42" s="327" t="s">
        <v>1095</v>
      </c>
      <c r="C42" s="326" t="s">
        <v>1099</v>
      </c>
      <c r="D42" s="328" t="s">
        <v>1083</v>
      </c>
      <c r="E42" s="327" t="s">
        <v>1095</v>
      </c>
      <c r="F42" s="325" t="s">
        <v>1087</v>
      </c>
      <c r="G42" s="323" t="s">
        <v>1091</v>
      </c>
      <c r="H42" s="327" t="s">
        <v>1095</v>
      </c>
      <c r="I42" s="326" t="s">
        <v>1099</v>
      </c>
      <c r="J42" s="322" t="s">
        <v>1077</v>
      </c>
    </row>
    <row r="43" spans="1:10" ht="18" customHeight="1" x14ac:dyDescent="0.2">
      <c r="A43" s="96" t="s">
        <v>351</v>
      </c>
      <c r="B43" s="325" t="s">
        <v>1087</v>
      </c>
      <c r="C43" s="325" t="s">
        <v>1087</v>
      </c>
      <c r="D43" s="325" t="s">
        <v>1087</v>
      </c>
      <c r="E43" s="323" t="s">
        <v>1091</v>
      </c>
      <c r="F43" s="324" t="s">
        <v>402</v>
      </c>
      <c r="G43" s="323" t="s">
        <v>1091</v>
      </c>
      <c r="H43" s="323" t="s">
        <v>1091</v>
      </c>
      <c r="I43" s="323" t="s">
        <v>1091</v>
      </c>
      <c r="J43" s="323" t="s">
        <v>1091</v>
      </c>
    </row>
    <row r="44" spans="1:10" ht="18" customHeight="1" x14ac:dyDescent="0.2">
      <c r="A44" s="94" t="s">
        <v>352</v>
      </c>
      <c r="B44" s="327" t="s">
        <v>1095</v>
      </c>
      <c r="C44" s="327" t="s">
        <v>1095</v>
      </c>
      <c r="D44" s="322" t="s">
        <v>1077</v>
      </c>
      <c r="E44" s="323" t="s">
        <v>1091</v>
      </c>
      <c r="F44" s="326" t="s">
        <v>1099</v>
      </c>
      <c r="G44" s="325" t="s">
        <v>1087</v>
      </c>
      <c r="H44" s="328" t="s">
        <v>1083</v>
      </c>
      <c r="I44" s="325" t="s">
        <v>1087</v>
      </c>
      <c r="J44" s="323" t="s">
        <v>1091</v>
      </c>
    </row>
    <row r="45" spans="1:10" ht="18" customHeight="1" x14ac:dyDescent="0.2">
      <c r="A45" s="96" t="s">
        <v>325</v>
      </c>
      <c r="B45" s="327" t="s">
        <v>1095</v>
      </c>
      <c r="C45" s="323" t="s">
        <v>1091</v>
      </c>
      <c r="D45" s="323" t="s">
        <v>1091</v>
      </c>
      <c r="E45" s="325" t="s">
        <v>1087</v>
      </c>
      <c r="F45" s="323" t="s">
        <v>1091</v>
      </c>
      <c r="G45" s="325" t="s">
        <v>1087</v>
      </c>
      <c r="H45" s="324" t="s">
        <v>402</v>
      </c>
      <c r="I45" s="328" t="s">
        <v>1083</v>
      </c>
      <c r="J45" s="327" t="s">
        <v>1095</v>
      </c>
    </row>
    <row r="46" spans="1:10" ht="18" customHeight="1" x14ac:dyDescent="0.2">
      <c r="A46" s="94" t="s">
        <v>323</v>
      </c>
      <c r="B46" s="327" t="s">
        <v>1095</v>
      </c>
      <c r="C46" s="325" t="s">
        <v>1087</v>
      </c>
      <c r="D46" s="325" t="s">
        <v>1087</v>
      </c>
      <c r="E46" s="326" t="s">
        <v>1099</v>
      </c>
      <c r="F46" s="328" t="s">
        <v>1083</v>
      </c>
      <c r="G46" s="322" t="s">
        <v>1077</v>
      </c>
      <c r="H46" s="323" t="s">
        <v>1091</v>
      </c>
      <c r="I46" s="323" t="s">
        <v>1091</v>
      </c>
      <c r="J46" s="328" t="s">
        <v>1083</v>
      </c>
    </row>
    <row r="48" spans="1:10" ht="15.75" customHeight="1" x14ac:dyDescent="0.2">
      <c r="A48" s="1469" t="s">
        <v>1122</v>
      </c>
      <c r="B48" s="1469"/>
      <c r="C48" s="1469"/>
      <c r="D48" s="1469"/>
      <c r="E48" s="1469"/>
      <c r="F48" s="1469"/>
      <c r="G48" s="1469"/>
      <c r="H48" s="1469"/>
      <c r="I48" s="1469"/>
      <c r="J48" s="1469"/>
    </row>
    <row r="55" spans="1:6" ht="19.5" customHeight="1" x14ac:dyDescent="0.2">
      <c r="A55" s="329" t="s">
        <v>1123</v>
      </c>
    </row>
    <row r="56" spans="1:6" ht="15" customHeight="1" x14ac:dyDescent="0.2">
      <c r="A56" s="330" t="s">
        <v>1070</v>
      </c>
      <c r="B56" s="330" t="s">
        <v>1124</v>
      </c>
      <c r="C56" s="330" t="s">
        <v>1125</v>
      </c>
      <c r="D56" s="330" t="s">
        <v>1126</v>
      </c>
      <c r="E56" s="330" t="s">
        <v>1127</v>
      </c>
      <c r="F56" s="330" t="s">
        <v>1128</v>
      </c>
    </row>
    <row r="57" spans="1:6" ht="45.75" customHeight="1" x14ac:dyDescent="0.2">
      <c r="A57" s="331" t="s">
        <v>1073</v>
      </c>
      <c r="B57" s="332" t="str">
        <f t="shared" ref="B57:B69" si="0">C17</f>
        <v>+2.0</v>
      </c>
      <c r="C57" s="331" t="s">
        <v>1075</v>
      </c>
      <c r="D57" s="333" t="str">
        <f>IF(TEXT(C17,"0.00")&lt;&gt;TEXT(2,"0.00"),"⚠ CHANGED — review SCORE_H*","✓ unchanged")</f>
        <v>✓ unchanged</v>
      </c>
      <c r="E57" s="334" t="s">
        <v>1129</v>
      </c>
      <c r="F57" s="334" t="s">
        <v>1130</v>
      </c>
    </row>
    <row r="58" spans="1:6" ht="45.75" customHeight="1" x14ac:dyDescent="0.2">
      <c r="A58" s="335" t="s">
        <v>1077</v>
      </c>
      <c r="B58" s="332" t="str">
        <f t="shared" si="0"/>
        <v>+1.5</v>
      </c>
      <c r="C58" s="335" t="s">
        <v>1079</v>
      </c>
      <c r="D58" s="333" t="str">
        <f>IF(TEXT(C18,"0.00")&lt;&gt;TEXT(1.5,"0.00"),"⚠ CHANGED — review SCORE_H*","✓ unchanged")</f>
        <v>✓ unchanged</v>
      </c>
      <c r="E58" s="336" t="s">
        <v>1131</v>
      </c>
      <c r="F58" s="336" t="s">
        <v>1130</v>
      </c>
    </row>
    <row r="59" spans="1:6" ht="45.75" customHeight="1" x14ac:dyDescent="0.2">
      <c r="A59" s="331" t="s">
        <v>402</v>
      </c>
      <c r="B59" s="332" t="str">
        <f t="shared" si="0"/>
        <v>+1.0</v>
      </c>
      <c r="C59" s="331" t="s">
        <v>1081</v>
      </c>
      <c r="D59" s="333" t="str">
        <f>IF(TEXT(C19,"0.00")&lt;&gt;TEXT(1,"0.00"),"⚠ CHANGED — review SCORE_H*","✓ unchanged")</f>
        <v>✓ unchanged</v>
      </c>
      <c r="E59" s="334" t="s">
        <v>1132</v>
      </c>
      <c r="F59" s="334" t="s">
        <v>1130</v>
      </c>
    </row>
    <row r="60" spans="1:6" ht="45.75" customHeight="1" x14ac:dyDescent="0.2">
      <c r="A60" s="335" t="s">
        <v>1083</v>
      </c>
      <c r="B60" s="332" t="str">
        <f t="shared" si="0"/>
        <v>+0.75</v>
      </c>
      <c r="C60" s="335" t="s">
        <v>1085</v>
      </c>
      <c r="D60" s="333" t="str">
        <f>IF(TEXT(C20,"0.00")&lt;&gt;TEXT(0.75,"0.00"),"⚠ CHANGED — review SCORE_H*","✓ unchanged")</f>
        <v>✓ unchanged</v>
      </c>
      <c r="E60" s="336" t="s">
        <v>1132</v>
      </c>
      <c r="F60" s="336" t="s">
        <v>1130</v>
      </c>
    </row>
    <row r="61" spans="1:6" ht="45.75" customHeight="1" x14ac:dyDescent="0.2">
      <c r="A61" s="331" t="s">
        <v>1087</v>
      </c>
      <c r="B61" s="332" t="str">
        <f t="shared" si="0"/>
        <v>+0.5</v>
      </c>
      <c r="C61" s="331" t="s">
        <v>1089</v>
      </c>
      <c r="D61" s="333" t="str">
        <f>IF(TEXT(C21,"0.00")&lt;&gt;TEXT(0.5,"0.00"),"⚠ CHANGED — review SCORE_H*","✓ unchanged")</f>
        <v>✓ unchanged</v>
      </c>
      <c r="E61" s="334" t="s">
        <v>1133</v>
      </c>
      <c r="F61" s="334" t="s">
        <v>1130</v>
      </c>
    </row>
    <row r="62" spans="1:6" ht="45.75" customHeight="1" x14ac:dyDescent="0.2">
      <c r="A62" s="335" t="s">
        <v>1091</v>
      </c>
      <c r="B62" s="332" t="str">
        <f t="shared" si="0"/>
        <v xml:space="preserve"> 0.0</v>
      </c>
      <c r="C62" s="335" t="s">
        <v>1134</v>
      </c>
      <c r="D62" s="333" t="str">
        <f>IF(TEXT(C22,"0.00")&lt;&gt;TEXT(0,"0.00"),"⚠ CHANGED — review SCORE_H*","✓ unchanged")</f>
        <v>✓ unchanged</v>
      </c>
      <c r="E62" s="336" t="s">
        <v>1135</v>
      </c>
      <c r="F62" s="336" t="s">
        <v>1130</v>
      </c>
    </row>
    <row r="63" spans="1:6" ht="45.75" customHeight="1" x14ac:dyDescent="0.2">
      <c r="A63" s="331" t="s">
        <v>1095</v>
      </c>
      <c r="B63" s="332" t="str">
        <f t="shared" si="0"/>
        <v>-0.5</v>
      </c>
      <c r="C63" s="331" t="s">
        <v>1097</v>
      </c>
      <c r="D63" s="333" t="str">
        <f>IF(TEXT(C23,"0.00")&lt;&gt;TEXT(-0.5,"0.00"),"⚠ CHANGED — review SCORE_H*","✓ unchanged")</f>
        <v>✓ unchanged</v>
      </c>
      <c r="E63" s="334" t="s">
        <v>1136</v>
      </c>
      <c r="F63" s="334" t="s">
        <v>1130</v>
      </c>
    </row>
    <row r="64" spans="1:6" ht="45.75" customHeight="1" x14ac:dyDescent="0.2">
      <c r="A64" s="335" t="s">
        <v>1099</v>
      </c>
      <c r="B64" s="332" t="str">
        <f t="shared" si="0"/>
        <v>-1.5</v>
      </c>
      <c r="C64" s="335" t="s">
        <v>1101</v>
      </c>
      <c r="D64" s="333" t="str">
        <f>IF(TEXT(C24,"0.00")&lt;&gt;TEXT(-1.5,"0.00"),"⚠ CHANGED — review SCORE_H*","✓ unchanged")</f>
        <v>✓ unchanged</v>
      </c>
      <c r="E64" s="336" t="s">
        <v>1137</v>
      </c>
      <c r="F64" s="336" t="s">
        <v>1130</v>
      </c>
    </row>
    <row r="65" spans="1:6" ht="45.75" customHeight="1" x14ac:dyDescent="0.2">
      <c r="A65" s="331" t="s">
        <v>1103</v>
      </c>
      <c r="B65" s="332" t="str">
        <f t="shared" si="0"/>
        <v>-2.0</v>
      </c>
      <c r="C65" s="331" t="s">
        <v>1105</v>
      </c>
      <c r="D65" s="333" t="str">
        <f>IF(TEXT(C25,"0.00")&lt;&gt;TEXT(-2,"0.00"),"⚠ CHANGED — review SCORE_H*","✓ unchanged")</f>
        <v>✓ unchanged</v>
      </c>
      <c r="E65" s="334" t="s">
        <v>1138</v>
      </c>
      <c r="F65" s="334" t="s">
        <v>1130</v>
      </c>
    </row>
    <row r="66" spans="1:6" ht="45.75" customHeight="1" x14ac:dyDescent="0.2">
      <c r="A66" s="335" t="s">
        <v>1139</v>
      </c>
      <c r="B66" s="332" t="str">
        <f t="shared" si="0"/>
        <v>-1.0</v>
      </c>
      <c r="C66" s="335" t="s">
        <v>1109</v>
      </c>
      <c r="D66" s="333" t="str">
        <f>IF(TEXT(C26,"0.00")&lt;&gt;TEXT(-1,"0.00"),"⚠ CHANGED — review SCORE_H*","✓ unchanged")</f>
        <v>✓ unchanged</v>
      </c>
      <c r="E66" s="336" t="s">
        <v>1140</v>
      </c>
      <c r="F66" s="336" t="s">
        <v>1130</v>
      </c>
    </row>
    <row r="67" spans="1:6" ht="45.75" customHeight="1" x14ac:dyDescent="0.2">
      <c r="A67" s="331" t="s">
        <v>1141</v>
      </c>
      <c r="B67" s="332" t="str">
        <f t="shared" si="0"/>
        <v>-0.5</v>
      </c>
      <c r="C67" s="331" t="s">
        <v>1097</v>
      </c>
      <c r="D67" s="333" t="str">
        <f>IF(TEXT(C27,"0.00")&lt;&gt;TEXT(-0.5,"0.00"),"⚠ CHANGED — review SCORE_H*","✓ unchanged")</f>
        <v>✓ unchanged</v>
      </c>
      <c r="E67" s="334" t="s">
        <v>1142</v>
      </c>
      <c r="F67" s="334" t="s">
        <v>1130</v>
      </c>
    </row>
    <row r="68" spans="1:6" ht="45.75" customHeight="1" x14ac:dyDescent="0.2">
      <c r="A68" s="335" t="s">
        <v>1114</v>
      </c>
      <c r="B68" s="332" t="str">
        <f t="shared" si="0"/>
        <v>+0.25</v>
      </c>
      <c r="C68" s="335" t="s">
        <v>1116</v>
      </c>
      <c r="D68" s="333" t="str">
        <f>IF(TEXT(C28,"0.00")&lt;&gt;TEXT(0.25,"0.00"),"⚠ CHANGED — review SCORE_H*","✓ unchanged")</f>
        <v>✓ unchanged</v>
      </c>
      <c r="E68" s="336" t="s">
        <v>1143</v>
      </c>
      <c r="F68" s="336" t="s">
        <v>1130</v>
      </c>
    </row>
    <row r="69" spans="1:6" ht="45.75" customHeight="1" x14ac:dyDescent="0.2">
      <c r="A69" s="331" t="s">
        <v>1118</v>
      </c>
      <c r="B69" s="332" t="str">
        <f t="shared" si="0"/>
        <v>+1.0</v>
      </c>
      <c r="C69" s="331" t="s">
        <v>1081</v>
      </c>
      <c r="D69" s="333" t="str">
        <f>IF(TEXT(C29,"0.00")&lt;&gt;TEXT(1,"0.00"),"⚠ CHANGED — review SCORE_H*","✓ unchanged")</f>
        <v>✓ unchanged</v>
      </c>
      <c r="E69" s="334" t="s">
        <v>1144</v>
      </c>
      <c r="F69" s="334" t="s">
        <v>1130</v>
      </c>
    </row>
  </sheetData>
  <mergeCells count="19">
    <mergeCell ref="D28:N28"/>
    <mergeCell ref="D29:N29"/>
    <mergeCell ref="A33:J33"/>
    <mergeCell ref="A48:J48"/>
    <mergeCell ref="D23:N23"/>
    <mergeCell ref="D24:N24"/>
    <mergeCell ref="D25:N25"/>
    <mergeCell ref="D26:N26"/>
    <mergeCell ref="D27:N27"/>
    <mergeCell ref="D18:N18"/>
    <mergeCell ref="D19:N19"/>
    <mergeCell ref="D20:N20"/>
    <mergeCell ref="D21:N21"/>
    <mergeCell ref="D22:N22"/>
    <mergeCell ref="A1:N1"/>
    <mergeCell ref="A2:N2"/>
    <mergeCell ref="A15:N15"/>
    <mergeCell ref="D16:N16"/>
    <mergeCell ref="D17:N1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565C0"/>
  </sheetPr>
  <dimension ref="A1:AS33"/>
  <sheetViews>
    <sheetView zoomScaleNormal="100" workbookViewId="0">
      <pane xSplit="3" ySplit="3" topLeftCell="D4" activePane="bottomRight" state="frozen"/>
      <selection pane="bottomLeft" activeCell="A4" sqref="A4"/>
      <selection pane="topRight" activeCell="D1" sqref="D1"/>
      <selection pane="bottomRight"/>
    </sheetView>
  </sheetViews>
  <sheetFormatPr defaultColWidth="8.609375" defaultRowHeight="15" x14ac:dyDescent="0.2"/>
  <cols>
    <col min="1" max="1" width="4.9765625" customWidth="1"/>
    <col min="2" max="3" width="16.0078125" customWidth="1"/>
    <col min="4" max="4" width="20.04296875" customWidth="1"/>
    <col min="5" max="5" width="25.9609375" customWidth="1"/>
    <col min="6" max="6" width="22.05859375" customWidth="1"/>
    <col min="7" max="7" width="18.0234375" customWidth="1"/>
    <col min="8" max="9" width="13.98828125" customWidth="1"/>
    <col min="10" max="11" width="11.97265625" customWidth="1"/>
    <col min="12" max="12" width="13.98828125" customWidth="1"/>
    <col min="13" max="13" width="11.97265625" customWidth="1"/>
    <col min="14" max="14" width="13.98828125" customWidth="1"/>
    <col min="15" max="15" width="32.015625" customWidth="1"/>
    <col min="16" max="16" width="13.98828125" customWidth="1"/>
    <col min="17" max="18" width="9.953125" customWidth="1"/>
    <col min="19" max="19" width="13.98828125" customWidth="1"/>
    <col min="20" max="21" width="9.953125" customWidth="1"/>
    <col min="22" max="22" width="13.98828125" customWidth="1"/>
    <col min="23" max="24" width="9.953125" customWidth="1"/>
    <col min="25" max="25" width="13.98828125" customWidth="1"/>
    <col min="26" max="27" width="9.953125" customWidth="1"/>
    <col min="28" max="29" width="11.97265625" customWidth="1"/>
    <col min="30" max="31" width="9.953125" customWidth="1"/>
    <col min="32" max="32" width="13.98828125" customWidth="1"/>
    <col min="33" max="33" width="11.97265625" customWidth="1"/>
    <col min="34" max="34" width="9.953125" customWidth="1"/>
    <col min="35" max="35" width="20.04296875" customWidth="1"/>
    <col min="36" max="36" width="13.98828125" customWidth="1"/>
    <col min="37" max="37" width="36.05078125" customWidth="1"/>
    <col min="38" max="38" width="52.05859375" customWidth="1"/>
    <col min="39" max="39" width="43.98828125" customWidth="1"/>
    <col min="40" max="41" width="39.953125" customWidth="1"/>
    <col min="42" max="42" width="43.98828125" customWidth="1"/>
  </cols>
  <sheetData>
    <row r="1" spans="1:45" ht="27.75" customHeight="1" x14ac:dyDescent="0.2">
      <c r="A1" s="1474" t="s">
        <v>1145</v>
      </c>
      <c r="B1" s="1474"/>
      <c r="C1" s="1474"/>
      <c r="D1" s="1474"/>
      <c r="E1" s="1474"/>
      <c r="F1" s="1474"/>
      <c r="G1" s="1474"/>
      <c r="H1" s="1474"/>
      <c r="I1" s="1474"/>
      <c r="J1" s="1474"/>
      <c r="K1" s="1474"/>
      <c r="L1" s="1474"/>
      <c r="M1" s="1474"/>
      <c r="N1" s="1474"/>
      <c r="O1" s="1474"/>
      <c r="P1" s="1474"/>
      <c r="Q1" s="1474"/>
      <c r="R1" s="1474"/>
      <c r="S1" s="1474"/>
      <c r="T1" s="1474"/>
      <c r="U1" s="1474"/>
      <c r="V1" s="1474"/>
      <c r="W1" s="1474"/>
      <c r="X1" s="1474"/>
      <c r="Y1" s="1474"/>
      <c r="Z1" s="1474"/>
      <c r="AA1" s="1474"/>
      <c r="AB1" s="1474"/>
      <c r="AC1" s="1474"/>
      <c r="AD1" s="1474"/>
      <c r="AE1" s="1474"/>
      <c r="AF1" s="1474"/>
      <c r="AG1" s="1474"/>
      <c r="AH1" s="1474"/>
      <c r="AI1" s="1474"/>
      <c r="AJ1" s="1474"/>
      <c r="AK1" s="1474"/>
      <c r="AL1" s="1474"/>
      <c r="AM1" s="1474"/>
      <c r="AN1" s="1474"/>
      <c r="AO1" s="1474"/>
      <c r="AP1" s="1474"/>
    </row>
    <row r="2" spans="1:45" ht="21.75" customHeight="1" x14ac:dyDescent="0.2">
      <c r="A2" s="1475" t="s">
        <v>1146</v>
      </c>
      <c r="B2" s="1475"/>
      <c r="C2" s="1475"/>
      <c r="D2" s="1475"/>
      <c r="E2" s="1475"/>
      <c r="F2" s="1475"/>
      <c r="G2" s="1475"/>
      <c r="H2" s="1475"/>
      <c r="I2" s="1475"/>
      <c r="J2" s="1475"/>
      <c r="K2" s="1475"/>
      <c r="L2" s="1475"/>
      <c r="M2" s="1475"/>
      <c r="N2" s="1475"/>
      <c r="O2" s="1475"/>
      <c r="P2" s="1475"/>
      <c r="Q2" s="1475"/>
      <c r="R2" s="1475"/>
      <c r="S2" s="1475"/>
      <c r="T2" s="1475"/>
      <c r="U2" s="1475"/>
      <c r="V2" s="1475"/>
      <c r="W2" s="1475"/>
      <c r="X2" s="1475"/>
      <c r="Y2" s="1475"/>
      <c r="Z2" s="1475"/>
      <c r="AA2" s="1475"/>
      <c r="AB2" s="1475"/>
      <c r="AC2" s="1475"/>
      <c r="AD2" s="1475"/>
      <c r="AE2" s="1475"/>
      <c r="AF2" s="1475"/>
      <c r="AG2" s="1475"/>
      <c r="AH2" s="1475"/>
      <c r="AI2" s="1475"/>
      <c r="AJ2" s="1475"/>
      <c r="AK2" s="1475"/>
      <c r="AL2" s="1475"/>
      <c r="AM2" s="1475"/>
      <c r="AN2" s="1475"/>
      <c r="AO2" s="1475"/>
      <c r="AP2" s="1475"/>
      <c r="AS2" s="29" t="str">
        <f>HYPERLINK("#'00_INDEX'!A1","← Index")</f>
        <v>← Index</v>
      </c>
    </row>
    <row r="3" spans="1:45" ht="18" customHeight="1" x14ac:dyDescent="0.2">
      <c r="A3" s="1482" t="s">
        <v>1147</v>
      </c>
      <c r="B3" s="1482"/>
      <c r="C3" s="1482"/>
      <c r="D3" s="1482"/>
      <c r="E3" s="1482"/>
      <c r="F3" s="1482"/>
      <c r="G3" s="1483" t="s">
        <v>1148</v>
      </c>
      <c r="H3" s="1483"/>
      <c r="I3" s="1483"/>
      <c r="J3" s="1483"/>
      <c r="K3" s="1483"/>
      <c r="L3" s="1484" t="s">
        <v>1149</v>
      </c>
      <c r="M3" s="1484"/>
      <c r="N3" s="1484"/>
      <c r="O3" s="1484"/>
      <c r="P3" s="1485" t="s">
        <v>1150</v>
      </c>
      <c r="Q3" s="1485"/>
      <c r="R3" s="1485"/>
      <c r="S3" s="1485"/>
      <c r="T3" s="1485"/>
      <c r="U3" s="1485"/>
      <c r="V3" s="1485"/>
      <c r="W3" s="1485"/>
      <c r="X3" s="1485"/>
      <c r="Y3" s="1485"/>
      <c r="Z3" s="1485"/>
      <c r="AA3" s="1485"/>
      <c r="AB3" s="1486" t="s">
        <v>1151</v>
      </c>
      <c r="AC3" s="1486"/>
      <c r="AD3" s="1486"/>
      <c r="AE3" s="1486"/>
      <c r="AF3" s="1486"/>
      <c r="AG3" s="1486"/>
      <c r="AH3" s="1486"/>
      <c r="AI3" s="1486"/>
      <c r="AJ3" s="1486"/>
      <c r="AK3" s="1487" t="s">
        <v>1152</v>
      </c>
      <c r="AL3" s="1487"/>
      <c r="AM3" s="1487"/>
      <c r="AN3" s="1487"/>
      <c r="AO3" s="1487"/>
      <c r="AP3" s="1487"/>
    </row>
    <row r="4" spans="1:45" ht="27.75" customHeight="1" x14ac:dyDescent="0.2">
      <c r="A4" s="341"/>
      <c r="B4" s="341" t="s">
        <v>1153</v>
      </c>
      <c r="C4" s="341" t="s">
        <v>344</v>
      </c>
      <c r="D4" s="341" t="s">
        <v>369</v>
      </c>
      <c r="E4" s="341" t="s">
        <v>1154</v>
      </c>
      <c r="F4" s="341" t="s">
        <v>1155</v>
      </c>
      <c r="G4" s="342" t="s">
        <v>1156</v>
      </c>
      <c r="H4" s="342" t="s">
        <v>1157</v>
      </c>
      <c r="I4" s="342" t="s">
        <v>1158</v>
      </c>
      <c r="J4" s="342" t="s">
        <v>1159</v>
      </c>
      <c r="K4" s="342" t="s">
        <v>1160</v>
      </c>
      <c r="L4" s="343" t="s">
        <v>1161</v>
      </c>
      <c r="M4" s="343" t="s">
        <v>662</v>
      </c>
      <c r="N4" s="343" t="s">
        <v>1162</v>
      </c>
      <c r="O4" s="343" t="s">
        <v>1163</v>
      </c>
      <c r="P4" s="344" t="s">
        <v>1164</v>
      </c>
      <c r="Q4" s="344" t="s">
        <v>1165</v>
      </c>
      <c r="R4" s="344" t="s">
        <v>1166</v>
      </c>
      <c r="S4" s="344" t="s">
        <v>1167</v>
      </c>
      <c r="T4" s="344" t="s">
        <v>1168</v>
      </c>
      <c r="U4" s="344" t="s">
        <v>1169</v>
      </c>
      <c r="V4" s="344" t="s">
        <v>1170</v>
      </c>
      <c r="W4" s="344" t="s">
        <v>1171</v>
      </c>
      <c r="X4" s="344" t="s">
        <v>1172</v>
      </c>
      <c r="Y4" s="344" t="s">
        <v>1173</v>
      </c>
      <c r="Z4" s="344" t="s">
        <v>1174</v>
      </c>
      <c r="AA4" s="344" t="s">
        <v>1175</v>
      </c>
      <c r="AB4" s="345" t="s">
        <v>1176</v>
      </c>
      <c r="AC4" s="345" t="s">
        <v>475</v>
      </c>
      <c r="AD4" s="345" t="s">
        <v>422</v>
      </c>
      <c r="AE4" s="345" t="s">
        <v>1177</v>
      </c>
      <c r="AF4" s="345" t="s">
        <v>1178</v>
      </c>
      <c r="AG4" s="345" t="s">
        <v>1179</v>
      </c>
      <c r="AH4" s="345" t="s">
        <v>464</v>
      </c>
      <c r="AI4" s="345" t="s">
        <v>1180</v>
      </c>
      <c r="AJ4" s="345" t="s">
        <v>1181</v>
      </c>
      <c r="AK4" s="346" t="s">
        <v>1182</v>
      </c>
      <c r="AL4" s="346" t="s">
        <v>1183</v>
      </c>
      <c r="AM4" s="346" t="s">
        <v>1184</v>
      </c>
      <c r="AN4" s="346" t="s">
        <v>1185</v>
      </c>
      <c r="AO4" s="346" t="s">
        <v>1186</v>
      </c>
      <c r="AP4" s="346" t="s">
        <v>1187</v>
      </c>
    </row>
    <row r="5" spans="1:45" ht="15.75" customHeight="1" x14ac:dyDescent="0.2">
      <c r="A5" s="347" t="s">
        <v>1188</v>
      </c>
      <c r="B5" s="347" t="s">
        <v>1189</v>
      </c>
      <c r="C5" s="347" t="s">
        <v>344</v>
      </c>
      <c r="D5" s="347" t="s">
        <v>370</v>
      </c>
      <c r="E5" s="347" t="s">
        <v>1190</v>
      </c>
      <c r="F5" s="347" t="s">
        <v>1191</v>
      </c>
      <c r="G5" s="348" t="s">
        <v>355</v>
      </c>
      <c r="H5" s="348" t="s">
        <v>1192</v>
      </c>
      <c r="I5" s="348" t="s">
        <v>1193</v>
      </c>
      <c r="J5" s="348" t="s">
        <v>1194</v>
      </c>
      <c r="K5" s="348" t="s">
        <v>1195</v>
      </c>
      <c r="L5" s="349" t="s">
        <v>1196</v>
      </c>
      <c r="M5" s="349" t="s">
        <v>663</v>
      </c>
      <c r="N5" s="349" t="s">
        <v>1197</v>
      </c>
      <c r="O5" s="349" t="s">
        <v>1198</v>
      </c>
      <c r="P5" s="350" t="s">
        <v>1164</v>
      </c>
      <c r="Q5" s="350" t="s">
        <v>1199</v>
      </c>
      <c r="R5" s="350" t="s">
        <v>1200</v>
      </c>
      <c r="S5" s="350" t="s">
        <v>1167</v>
      </c>
      <c r="T5" s="350" t="s">
        <v>1201</v>
      </c>
      <c r="U5" s="350" t="s">
        <v>1202</v>
      </c>
      <c r="V5" s="350" t="s">
        <v>1170</v>
      </c>
      <c r="W5" s="350" t="s">
        <v>1203</v>
      </c>
      <c r="X5" s="350" t="s">
        <v>1204</v>
      </c>
      <c r="Y5" s="350" t="s">
        <v>1173</v>
      </c>
      <c r="Z5" s="350" t="s">
        <v>1205</v>
      </c>
      <c r="AA5" s="350" t="s">
        <v>1206</v>
      </c>
      <c r="AB5" s="351" t="s">
        <v>1176</v>
      </c>
      <c r="AC5" s="351" t="s">
        <v>475</v>
      </c>
      <c r="AD5" s="351" t="s">
        <v>705</v>
      </c>
      <c r="AE5" s="351" t="s">
        <v>1177</v>
      </c>
      <c r="AF5" s="351" t="s">
        <v>1207</v>
      </c>
      <c r="AG5" s="351" t="s">
        <v>1208</v>
      </c>
      <c r="AH5" s="351" t="s">
        <v>464</v>
      </c>
      <c r="AI5" s="351" t="s">
        <v>1209</v>
      </c>
      <c r="AJ5" s="351" t="s">
        <v>412</v>
      </c>
      <c r="AK5" s="352" t="s">
        <v>1210</v>
      </c>
      <c r="AL5" s="352" t="s">
        <v>1211</v>
      </c>
      <c r="AM5" s="352" t="s">
        <v>1212</v>
      </c>
      <c r="AN5" s="352" t="s">
        <v>1213</v>
      </c>
      <c r="AO5" s="352" t="s">
        <v>1214</v>
      </c>
      <c r="AP5" s="352" t="s">
        <v>1215</v>
      </c>
    </row>
    <row r="6" spans="1:45" ht="43.5" customHeight="1" x14ac:dyDescent="0.2">
      <c r="A6" s="108">
        <v>1</v>
      </c>
      <c r="B6" s="94" t="s">
        <v>1216</v>
      </c>
      <c r="C6" s="95" t="s">
        <v>1216</v>
      </c>
      <c r="D6" s="296" t="s">
        <v>1217</v>
      </c>
      <c r="E6" s="296" t="s">
        <v>1218</v>
      </c>
      <c r="F6" s="296" t="s">
        <v>1219</v>
      </c>
      <c r="G6" s="296" t="s">
        <v>345</v>
      </c>
      <c r="H6" s="66">
        <v>0</v>
      </c>
      <c r="I6" s="66">
        <v>13.333</v>
      </c>
      <c r="J6" s="66">
        <v>0</v>
      </c>
      <c r="K6" s="66">
        <v>13.333</v>
      </c>
      <c r="L6" s="353" t="s">
        <v>274</v>
      </c>
      <c r="M6" s="354">
        <v>7</v>
      </c>
      <c r="N6" s="315" t="s">
        <v>1220</v>
      </c>
      <c r="O6" s="296" t="s">
        <v>1221</v>
      </c>
      <c r="P6" s="355" t="s">
        <v>345</v>
      </c>
      <c r="Q6" s="355">
        <v>0</v>
      </c>
      <c r="R6" s="355">
        <v>3.3332999999999999</v>
      </c>
      <c r="S6" s="355" t="s">
        <v>346</v>
      </c>
      <c r="T6" s="355">
        <v>3.3332999999999999</v>
      </c>
      <c r="U6" s="355">
        <v>6.6666999999999996</v>
      </c>
      <c r="V6" s="355" t="s">
        <v>329</v>
      </c>
      <c r="W6" s="355">
        <v>6.6666999999999996</v>
      </c>
      <c r="X6" s="355">
        <v>10</v>
      </c>
      <c r="Y6" s="355" t="s">
        <v>347</v>
      </c>
      <c r="Z6" s="355">
        <v>10</v>
      </c>
      <c r="AA6" s="355">
        <v>13.333299999999999</v>
      </c>
      <c r="AB6" s="356" t="s">
        <v>1222</v>
      </c>
      <c r="AC6" s="66" t="s">
        <v>477</v>
      </c>
      <c r="AD6" s="66" t="s">
        <v>1223</v>
      </c>
      <c r="AE6" s="66" t="s">
        <v>462</v>
      </c>
      <c r="AF6" s="357" t="s">
        <v>1224</v>
      </c>
      <c r="AG6" s="356" t="s">
        <v>1225</v>
      </c>
      <c r="AH6" s="66" t="s">
        <v>465</v>
      </c>
      <c r="AI6" s="357" t="s">
        <v>1226</v>
      </c>
      <c r="AJ6" s="66" t="s">
        <v>413</v>
      </c>
      <c r="AK6" s="358" t="s">
        <v>1227</v>
      </c>
      <c r="AL6" s="359" t="s">
        <v>1228</v>
      </c>
      <c r="AM6" s="359" t="s">
        <v>1229</v>
      </c>
      <c r="AN6" s="359" t="s">
        <v>1230</v>
      </c>
      <c r="AO6" s="359" t="s">
        <v>1231</v>
      </c>
      <c r="AP6" s="358" t="s">
        <v>1232</v>
      </c>
    </row>
    <row r="7" spans="1:45" ht="43.5" customHeight="1" x14ac:dyDescent="0.2">
      <c r="A7" s="108">
        <v>2</v>
      </c>
      <c r="B7" s="94" t="s">
        <v>1233</v>
      </c>
      <c r="C7" s="95" t="s">
        <v>1233</v>
      </c>
      <c r="D7" s="299" t="s">
        <v>1234</v>
      </c>
      <c r="E7" s="299" t="s">
        <v>1235</v>
      </c>
      <c r="F7" s="299" t="s">
        <v>1236</v>
      </c>
      <c r="G7" s="299" t="s">
        <v>345</v>
      </c>
      <c r="H7" s="63">
        <v>13.333</v>
      </c>
      <c r="I7" s="63">
        <v>26.667000000000002</v>
      </c>
      <c r="J7" s="63">
        <v>13.333</v>
      </c>
      <c r="K7" s="63">
        <v>26.667000000000002</v>
      </c>
      <c r="L7" s="360" t="s">
        <v>271</v>
      </c>
      <c r="M7" s="106">
        <v>20</v>
      </c>
      <c r="N7" s="361" t="s">
        <v>588</v>
      </c>
      <c r="O7" s="362" t="s">
        <v>36</v>
      </c>
      <c r="P7" s="363" t="s">
        <v>334</v>
      </c>
      <c r="Q7" s="363">
        <v>13.333299999999999</v>
      </c>
      <c r="R7" s="363">
        <v>16.666699999999999</v>
      </c>
      <c r="S7" s="363" t="s">
        <v>348</v>
      </c>
      <c r="T7" s="363">
        <v>16.666699999999999</v>
      </c>
      <c r="U7" s="363">
        <v>20</v>
      </c>
      <c r="V7" s="363" t="s">
        <v>349</v>
      </c>
      <c r="W7" s="363">
        <v>20</v>
      </c>
      <c r="X7" s="363">
        <v>23.333300000000001</v>
      </c>
      <c r="Y7" s="363" t="s">
        <v>350</v>
      </c>
      <c r="Z7" s="363">
        <v>23.333300000000001</v>
      </c>
      <c r="AA7" s="363">
        <v>26.666699999999999</v>
      </c>
      <c r="AB7" s="317" t="s">
        <v>1237</v>
      </c>
      <c r="AC7" s="63" t="s">
        <v>1238</v>
      </c>
      <c r="AD7" s="63" t="s">
        <v>1239</v>
      </c>
      <c r="AE7" s="63" t="s">
        <v>455</v>
      </c>
      <c r="AF7" s="203" t="s">
        <v>1240</v>
      </c>
      <c r="AG7" s="338" t="s">
        <v>1190</v>
      </c>
      <c r="AH7" s="63" t="s">
        <v>465</v>
      </c>
      <c r="AI7" s="203" t="s">
        <v>1241</v>
      </c>
      <c r="AJ7" s="63" t="s">
        <v>413</v>
      </c>
      <c r="AK7" s="364" t="s">
        <v>1242</v>
      </c>
      <c r="AL7" s="365" t="s">
        <v>1243</v>
      </c>
      <c r="AM7" s="365" t="s">
        <v>1244</v>
      </c>
      <c r="AN7" s="365" t="s">
        <v>1245</v>
      </c>
      <c r="AO7" s="365" t="s">
        <v>1246</v>
      </c>
      <c r="AP7" s="364" t="s">
        <v>1247</v>
      </c>
    </row>
    <row r="8" spans="1:45" ht="43.5" customHeight="1" x14ac:dyDescent="0.2">
      <c r="A8" s="108">
        <v>3</v>
      </c>
      <c r="B8" s="94" t="s">
        <v>1248</v>
      </c>
      <c r="C8" s="95" t="s">
        <v>1248</v>
      </c>
      <c r="D8" s="296" t="s">
        <v>1249</v>
      </c>
      <c r="E8" s="296" t="s">
        <v>1250</v>
      </c>
      <c r="F8" s="296" t="s">
        <v>1251</v>
      </c>
      <c r="G8" s="296" t="s">
        <v>1252</v>
      </c>
      <c r="H8" s="66">
        <v>26.667000000000002</v>
      </c>
      <c r="I8" s="66">
        <v>40</v>
      </c>
      <c r="J8" s="66">
        <v>26.667000000000002</v>
      </c>
      <c r="K8" s="66">
        <v>10</v>
      </c>
      <c r="L8" s="366" t="s">
        <v>266</v>
      </c>
      <c r="M8" s="367">
        <v>6</v>
      </c>
      <c r="N8" s="368" t="s">
        <v>588</v>
      </c>
      <c r="O8" s="369" t="s">
        <v>36</v>
      </c>
      <c r="P8" s="355" t="s">
        <v>351</v>
      </c>
      <c r="Q8" s="355">
        <v>26.666699999999999</v>
      </c>
      <c r="R8" s="355">
        <v>30</v>
      </c>
      <c r="S8" s="355" t="s">
        <v>352</v>
      </c>
      <c r="T8" s="355">
        <v>30</v>
      </c>
      <c r="U8" s="355">
        <v>33.333300000000001</v>
      </c>
      <c r="V8" s="355" t="s">
        <v>325</v>
      </c>
      <c r="W8" s="355">
        <v>33.333300000000001</v>
      </c>
      <c r="X8" s="355">
        <v>36.666699999999999</v>
      </c>
      <c r="Y8" s="355" t="s">
        <v>323</v>
      </c>
      <c r="Z8" s="355">
        <v>36.666699999999999</v>
      </c>
      <c r="AA8" s="355">
        <v>40</v>
      </c>
      <c r="AB8" s="315" t="s">
        <v>1253</v>
      </c>
      <c r="AC8" s="66" t="s">
        <v>479</v>
      </c>
      <c r="AD8" s="66" t="s">
        <v>1239</v>
      </c>
      <c r="AE8" s="66" t="s">
        <v>458</v>
      </c>
      <c r="AF8" s="357" t="s">
        <v>1254</v>
      </c>
      <c r="AG8" s="318" t="s">
        <v>1255</v>
      </c>
      <c r="AH8" s="66" t="s">
        <v>465</v>
      </c>
      <c r="AI8" s="357" t="s">
        <v>1256</v>
      </c>
      <c r="AJ8" s="66" t="s">
        <v>413</v>
      </c>
      <c r="AK8" s="358" t="s">
        <v>1257</v>
      </c>
      <c r="AL8" s="359" t="s">
        <v>1258</v>
      </c>
      <c r="AM8" s="359" t="s">
        <v>1259</v>
      </c>
      <c r="AN8" s="359" t="s">
        <v>1260</v>
      </c>
      <c r="AO8" s="359" t="s">
        <v>1261</v>
      </c>
      <c r="AP8" s="358" t="s">
        <v>1262</v>
      </c>
    </row>
    <row r="9" spans="1:45" ht="43.5" customHeight="1" x14ac:dyDescent="0.2">
      <c r="A9" s="108">
        <v>4</v>
      </c>
      <c r="B9" s="94" t="s">
        <v>1263</v>
      </c>
      <c r="C9" s="95" t="s">
        <v>1263</v>
      </c>
      <c r="D9" s="299" t="s">
        <v>1264</v>
      </c>
      <c r="E9" s="299" t="s">
        <v>1265</v>
      </c>
      <c r="F9" s="299" t="s">
        <v>1266</v>
      </c>
      <c r="G9" s="299" t="s">
        <v>346</v>
      </c>
      <c r="H9" s="63">
        <v>40</v>
      </c>
      <c r="I9" s="63">
        <v>53.332999999999998</v>
      </c>
      <c r="J9" s="63">
        <v>10</v>
      </c>
      <c r="K9" s="63">
        <v>23.332999999999998</v>
      </c>
      <c r="L9" s="370" t="s">
        <v>267</v>
      </c>
      <c r="M9" s="102">
        <v>10</v>
      </c>
      <c r="N9" s="361" t="s">
        <v>588</v>
      </c>
      <c r="O9" s="299" t="s">
        <v>36</v>
      </c>
      <c r="P9" s="363" t="s">
        <v>345</v>
      </c>
      <c r="Q9" s="363">
        <v>40</v>
      </c>
      <c r="R9" s="363">
        <v>43.333300000000001</v>
      </c>
      <c r="S9" s="363" t="s">
        <v>346</v>
      </c>
      <c r="T9" s="363">
        <v>43.333300000000001</v>
      </c>
      <c r="U9" s="363">
        <v>46.666699999999999</v>
      </c>
      <c r="V9" s="363" t="s">
        <v>329</v>
      </c>
      <c r="W9" s="363">
        <v>46.666699999999999</v>
      </c>
      <c r="X9" s="363">
        <v>50</v>
      </c>
      <c r="Y9" s="363" t="s">
        <v>347</v>
      </c>
      <c r="Z9" s="363">
        <v>50</v>
      </c>
      <c r="AA9" s="363">
        <v>53.333300000000001</v>
      </c>
      <c r="AB9" s="317" t="s">
        <v>1237</v>
      </c>
      <c r="AC9" s="63" t="s">
        <v>478</v>
      </c>
      <c r="AD9" s="63" t="s">
        <v>1223</v>
      </c>
      <c r="AE9" s="63" t="s">
        <v>458</v>
      </c>
      <c r="AF9" s="203" t="s">
        <v>1267</v>
      </c>
      <c r="AG9" s="340" t="s">
        <v>1268</v>
      </c>
      <c r="AH9" s="63" t="s">
        <v>465</v>
      </c>
      <c r="AI9" s="203" t="s">
        <v>1269</v>
      </c>
      <c r="AJ9" s="63" t="s">
        <v>414</v>
      </c>
      <c r="AK9" s="364" t="s">
        <v>1270</v>
      </c>
      <c r="AL9" s="365" t="s">
        <v>1271</v>
      </c>
      <c r="AM9" s="365" t="s">
        <v>1272</v>
      </c>
      <c r="AN9" s="365" t="s">
        <v>1273</v>
      </c>
      <c r="AO9" s="365" t="s">
        <v>1274</v>
      </c>
      <c r="AP9" s="364" t="s">
        <v>1275</v>
      </c>
    </row>
    <row r="10" spans="1:45" ht="43.5" customHeight="1" x14ac:dyDescent="0.2">
      <c r="A10" s="108">
        <v>5</v>
      </c>
      <c r="B10" s="94" t="s">
        <v>1276</v>
      </c>
      <c r="C10" s="95" t="s">
        <v>1276</v>
      </c>
      <c r="D10" s="296" t="s">
        <v>1277</v>
      </c>
      <c r="E10" s="296" t="s">
        <v>1278</v>
      </c>
      <c r="F10" s="296" t="s">
        <v>1279</v>
      </c>
      <c r="G10" s="296" t="s">
        <v>1280</v>
      </c>
      <c r="H10" s="66">
        <v>53.332999999999998</v>
      </c>
      <c r="I10" s="66">
        <v>66.667000000000002</v>
      </c>
      <c r="J10" s="66">
        <v>23.332999999999998</v>
      </c>
      <c r="K10" s="66">
        <v>6.6669999999999998</v>
      </c>
      <c r="L10" s="371" t="s">
        <v>268</v>
      </c>
      <c r="M10" s="99">
        <v>7</v>
      </c>
      <c r="N10" s="368" t="s">
        <v>588</v>
      </c>
      <c r="O10" s="296" t="s">
        <v>36</v>
      </c>
      <c r="P10" s="355" t="s">
        <v>334</v>
      </c>
      <c r="Q10" s="355">
        <v>53.333300000000001</v>
      </c>
      <c r="R10" s="355">
        <v>56.666699999999999</v>
      </c>
      <c r="S10" s="355" t="s">
        <v>348</v>
      </c>
      <c r="T10" s="355">
        <v>56.666699999999999</v>
      </c>
      <c r="U10" s="355">
        <v>60</v>
      </c>
      <c r="V10" s="355" t="s">
        <v>349</v>
      </c>
      <c r="W10" s="355">
        <v>60</v>
      </c>
      <c r="X10" s="355">
        <v>63.333300000000001</v>
      </c>
      <c r="Y10" s="355" t="s">
        <v>350</v>
      </c>
      <c r="Z10" s="355">
        <v>63.333300000000001</v>
      </c>
      <c r="AA10" s="355">
        <v>66.666700000000006</v>
      </c>
      <c r="AB10" s="356" t="s">
        <v>1222</v>
      </c>
      <c r="AC10" s="66" t="s">
        <v>1281</v>
      </c>
      <c r="AD10" s="66" t="s">
        <v>706</v>
      </c>
      <c r="AE10" s="66" t="s">
        <v>455</v>
      </c>
      <c r="AF10" s="357" t="s">
        <v>1267</v>
      </c>
      <c r="AG10" s="340" t="s">
        <v>1268</v>
      </c>
      <c r="AH10" s="66" t="s">
        <v>466</v>
      </c>
      <c r="AI10" s="357" t="s">
        <v>1282</v>
      </c>
      <c r="AJ10" s="66" t="s">
        <v>414</v>
      </c>
      <c r="AK10" s="358" t="s">
        <v>1283</v>
      </c>
      <c r="AL10" s="359" t="s">
        <v>1284</v>
      </c>
      <c r="AM10" s="359" t="s">
        <v>1285</v>
      </c>
      <c r="AN10" s="359" t="s">
        <v>1286</v>
      </c>
      <c r="AO10" s="359" t="s">
        <v>1287</v>
      </c>
      <c r="AP10" s="358" t="s">
        <v>1288</v>
      </c>
    </row>
    <row r="11" spans="1:45" ht="43.5" customHeight="1" x14ac:dyDescent="0.2">
      <c r="A11" s="108">
        <v>6</v>
      </c>
      <c r="B11" s="94" t="s">
        <v>1289</v>
      </c>
      <c r="C11" s="95" t="s">
        <v>1289</v>
      </c>
      <c r="D11" s="299" t="s">
        <v>1290</v>
      </c>
      <c r="E11" s="299" t="s">
        <v>1291</v>
      </c>
      <c r="F11" s="299" t="s">
        <v>1292</v>
      </c>
      <c r="G11" s="299" t="s">
        <v>329</v>
      </c>
      <c r="H11" s="63">
        <v>66.667000000000002</v>
      </c>
      <c r="I11" s="63">
        <v>80</v>
      </c>
      <c r="J11" s="63">
        <v>6.6669999999999998</v>
      </c>
      <c r="K11" s="63">
        <v>20</v>
      </c>
      <c r="L11" s="372" t="s">
        <v>273</v>
      </c>
      <c r="M11" s="373">
        <v>18</v>
      </c>
      <c r="N11" s="361" t="s">
        <v>588</v>
      </c>
      <c r="O11" s="299" t="s">
        <v>36</v>
      </c>
      <c r="P11" s="363" t="s">
        <v>351</v>
      </c>
      <c r="Q11" s="363">
        <v>66.666700000000006</v>
      </c>
      <c r="R11" s="363">
        <v>70</v>
      </c>
      <c r="S11" s="363" t="s">
        <v>352</v>
      </c>
      <c r="T11" s="363">
        <v>70</v>
      </c>
      <c r="U11" s="363">
        <v>73.333299999999994</v>
      </c>
      <c r="V11" s="363" t="s">
        <v>325</v>
      </c>
      <c r="W11" s="363">
        <v>73.333299999999994</v>
      </c>
      <c r="X11" s="363">
        <v>76.666700000000006</v>
      </c>
      <c r="Y11" s="363" t="s">
        <v>323</v>
      </c>
      <c r="Z11" s="363">
        <v>76.666700000000006</v>
      </c>
      <c r="AA11" s="363">
        <v>80</v>
      </c>
      <c r="AB11" s="317" t="s">
        <v>1237</v>
      </c>
      <c r="AC11" s="63" t="s">
        <v>1293</v>
      </c>
      <c r="AD11" s="63" t="s">
        <v>1239</v>
      </c>
      <c r="AE11" s="63" t="s">
        <v>462</v>
      </c>
      <c r="AF11" s="203" t="s">
        <v>1294</v>
      </c>
      <c r="AG11" s="318" t="s">
        <v>1255</v>
      </c>
      <c r="AH11" s="63" t="s">
        <v>466</v>
      </c>
      <c r="AI11" s="203" t="s">
        <v>1295</v>
      </c>
      <c r="AJ11" s="63" t="s">
        <v>416</v>
      </c>
      <c r="AK11" s="364" t="s">
        <v>1296</v>
      </c>
      <c r="AL11" s="365" t="s">
        <v>1297</v>
      </c>
      <c r="AM11" s="365" t="s">
        <v>1298</v>
      </c>
      <c r="AN11" s="365" t="s">
        <v>1299</v>
      </c>
      <c r="AO11" s="365" t="s">
        <v>1300</v>
      </c>
      <c r="AP11" s="364" t="s">
        <v>1301</v>
      </c>
    </row>
    <row r="12" spans="1:45" ht="43.5" customHeight="1" x14ac:dyDescent="0.2">
      <c r="A12" s="108">
        <v>7</v>
      </c>
      <c r="B12" s="94" t="s">
        <v>1302</v>
      </c>
      <c r="C12" s="95" t="s">
        <v>1302</v>
      </c>
      <c r="D12" s="296" t="s">
        <v>1303</v>
      </c>
      <c r="E12" s="296" t="s">
        <v>1304</v>
      </c>
      <c r="F12" s="296" t="s">
        <v>1305</v>
      </c>
      <c r="G12" s="296" t="s">
        <v>1306</v>
      </c>
      <c r="H12" s="66">
        <v>80</v>
      </c>
      <c r="I12" s="66">
        <v>93.332999999999998</v>
      </c>
      <c r="J12" s="66">
        <v>20</v>
      </c>
      <c r="K12" s="66">
        <v>3.3330000000000002</v>
      </c>
      <c r="L12" s="374" t="s">
        <v>270</v>
      </c>
      <c r="M12" s="107">
        <v>16</v>
      </c>
      <c r="N12" s="368" t="s">
        <v>588</v>
      </c>
      <c r="O12" s="296" t="s">
        <v>36</v>
      </c>
      <c r="P12" s="355" t="s">
        <v>345</v>
      </c>
      <c r="Q12" s="355">
        <v>80</v>
      </c>
      <c r="R12" s="355">
        <v>83.333299999999994</v>
      </c>
      <c r="S12" s="355" t="s">
        <v>346</v>
      </c>
      <c r="T12" s="355">
        <v>83.333299999999994</v>
      </c>
      <c r="U12" s="355">
        <v>86.666700000000006</v>
      </c>
      <c r="V12" s="355" t="s">
        <v>329</v>
      </c>
      <c r="W12" s="355">
        <v>86.666700000000006</v>
      </c>
      <c r="X12" s="355">
        <v>90</v>
      </c>
      <c r="Y12" s="355" t="s">
        <v>347</v>
      </c>
      <c r="Z12" s="355">
        <v>90</v>
      </c>
      <c r="AA12" s="355">
        <v>93.333299999999994</v>
      </c>
      <c r="AB12" s="356" t="s">
        <v>1222</v>
      </c>
      <c r="AC12" s="66" t="s">
        <v>477</v>
      </c>
      <c r="AD12" s="66" t="s">
        <v>1223</v>
      </c>
      <c r="AE12" s="66" t="s">
        <v>462</v>
      </c>
      <c r="AF12" s="357" t="s">
        <v>1307</v>
      </c>
      <c r="AG12" s="338" t="s">
        <v>1190</v>
      </c>
      <c r="AH12" s="66" t="s">
        <v>467</v>
      </c>
      <c r="AI12" s="357" t="s">
        <v>1308</v>
      </c>
      <c r="AJ12" s="66" t="s">
        <v>416</v>
      </c>
      <c r="AK12" s="358" t="s">
        <v>1309</v>
      </c>
      <c r="AL12" s="359" t="s">
        <v>1310</v>
      </c>
      <c r="AM12" s="359" t="s">
        <v>1311</v>
      </c>
      <c r="AN12" s="359" t="s">
        <v>1312</v>
      </c>
      <c r="AO12" s="359" t="s">
        <v>1313</v>
      </c>
      <c r="AP12" s="358" t="s">
        <v>1314</v>
      </c>
    </row>
    <row r="13" spans="1:45" ht="43.5" customHeight="1" x14ac:dyDescent="0.2">
      <c r="A13" s="108">
        <v>8</v>
      </c>
      <c r="B13" s="94" t="s">
        <v>1315</v>
      </c>
      <c r="C13" s="95" t="s">
        <v>1315</v>
      </c>
      <c r="D13" s="299" t="s">
        <v>1316</v>
      </c>
      <c r="E13" s="299" t="s">
        <v>1317</v>
      </c>
      <c r="F13" s="299" t="s">
        <v>1318</v>
      </c>
      <c r="G13" s="299" t="s">
        <v>347</v>
      </c>
      <c r="H13" s="63">
        <v>93.332999999999998</v>
      </c>
      <c r="I13" s="63">
        <v>106.667</v>
      </c>
      <c r="J13" s="63">
        <v>3.3330000000000002</v>
      </c>
      <c r="K13" s="63">
        <v>16.667000000000002</v>
      </c>
      <c r="L13" s="375" t="s">
        <v>272</v>
      </c>
      <c r="M13" s="108">
        <v>19</v>
      </c>
      <c r="N13" s="361" t="s">
        <v>588</v>
      </c>
      <c r="O13" s="299" t="s">
        <v>36</v>
      </c>
      <c r="P13" s="363" t="s">
        <v>334</v>
      </c>
      <c r="Q13" s="363">
        <v>93.333299999999994</v>
      </c>
      <c r="R13" s="363">
        <v>96.666700000000006</v>
      </c>
      <c r="S13" s="363" t="s">
        <v>348</v>
      </c>
      <c r="T13" s="363">
        <v>96.666700000000006</v>
      </c>
      <c r="U13" s="363">
        <v>100</v>
      </c>
      <c r="V13" s="363" t="s">
        <v>349</v>
      </c>
      <c r="W13" s="363">
        <v>100</v>
      </c>
      <c r="X13" s="363">
        <v>103.33329999999999</v>
      </c>
      <c r="Y13" s="363" t="s">
        <v>350</v>
      </c>
      <c r="Z13" s="363">
        <v>103.33329999999999</v>
      </c>
      <c r="AA13" s="363">
        <v>106.66670000000001</v>
      </c>
      <c r="AB13" s="356" t="s">
        <v>1222</v>
      </c>
      <c r="AC13" s="63" t="s">
        <v>476</v>
      </c>
      <c r="AD13" s="63" t="s">
        <v>1223</v>
      </c>
      <c r="AE13" s="63" t="s">
        <v>455</v>
      </c>
      <c r="AF13" s="203" t="s">
        <v>1254</v>
      </c>
      <c r="AG13" s="356" t="s">
        <v>1225</v>
      </c>
      <c r="AH13" s="63" t="s">
        <v>466</v>
      </c>
      <c r="AI13" s="203" t="s">
        <v>1269</v>
      </c>
      <c r="AJ13" s="63" t="s">
        <v>416</v>
      </c>
      <c r="AK13" s="364" t="s">
        <v>1319</v>
      </c>
      <c r="AL13" s="365" t="s">
        <v>1320</v>
      </c>
      <c r="AM13" s="365" t="s">
        <v>1321</v>
      </c>
      <c r="AN13" s="365" t="s">
        <v>1322</v>
      </c>
      <c r="AO13" s="365" t="s">
        <v>1323</v>
      </c>
      <c r="AP13" s="364" t="s">
        <v>1324</v>
      </c>
    </row>
    <row r="14" spans="1:45" ht="43.5" customHeight="1" x14ac:dyDescent="0.2">
      <c r="A14" s="108">
        <v>9</v>
      </c>
      <c r="B14" s="94" t="s">
        <v>1325</v>
      </c>
      <c r="C14" s="95" t="s">
        <v>1325</v>
      </c>
      <c r="D14" s="296" t="s">
        <v>1326</v>
      </c>
      <c r="E14" s="296" t="s">
        <v>1327</v>
      </c>
      <c r="F14" s="296" t="s">
        <v>1328</v>
      </c>
      <c r="G14" s="296" t="s">
        <v>347</v>
      </c>
      <c r="H14" s="66">
        <v>106.667</v>
      </c>
      <c r="I14" s="66">
        <v>120</v>
      </c>
      <c r="J14" s="66">
        <v>16.667000000000002</v>
      </c>
      <c r="K14" s="66">
        <v>30</v>
      </c>
      <c r="L14" s="376" t="s">
        <v>269</v>
      </c>
      <c r="M14" s="100">
        <v>17</v>
      </c>
      <c r="N14" s="315" t="s">
        <v>1329</v>
      </c>
      <c r="O14" s="296" t="s">
        <v>1330</v>
      </c>
      <c r="P14" s="355" t="s">
        <v>351</v>
      </c>
      <c r="Q14" s="355">
        <v>106.66670000000001</v>
      </c>
      <c r="R14" s="355">
        <v>110</v>
      </c>
      <c r="S14" s="355" t="s">
        <v>352</v>
      </c>
      <c r="T14" s="355">
        <v>110</v>
      </c>
      <c r="U14" s="355">
        <v>113.33329999999999</v>
      </c>
      <c r="V14" s="355" t="s">
        <v>325</v>
      </c>
      <c r="W14" s="355">
        <v>113.33329999999999</v>
      </c>
      <c r="X14" s="355">
        <v>116.66670000000001</v>
      </c>
      <c r="Y14" s="355" t="s">
        <v>323</v>
      </c>
      <c r="Z14" s="355">
        <v>116.66670000000001</v>
      </c>
      <c r="AA14" s="355">
        <v>120</v>
      </c>
      <c r="AB14" s="315" t="s">
        <v>1253</v>
      </c>
      <c r="AC14" s="66" t="s">
        <v>1331</v>
      </c>
      <c r="AD14" s="66" t="s">
        <v>1239</v>
      </c>
      <c r="AE14" s="66" t="s">
        <v>458</v>
      </c>
      <c r="AF14" s="357" t="s">
        <v>1307</v>
      </c>
      <c r="AG14" s="356" t="s">
        <v>1225</v>
      </c>
      <c r="AH14" s="66" t="s">
        <v>466</v>
      </c>
      <c r="AI14" s="357" t="s">
        <v>1295</v>
      </c>
      <c r="AJ14" s="66" t="s">
        <v>416</v>
      </c>
      <c r="AK14" s="358" t="s">
        <v>1332</v>
      </c>
      <c r="AL14" s="359" t="s">
        <v>1333</v>
      </c>
      <c r="AM14" s="359" t="s">
        <v>1334</v>
      </c>
      <c r="AN14" s="359" t="s">
        <v>1335</v>
      </c>
      <c r="AO14" s="359" t="s">
        <v>1336</v>
      </c>
      <c r="AP14" s="358" t="s">
        <v>1337</v>
      </c>
    </row>
    <row r="15" spans="1:45" ht="43.5" customHeight="1" x14ac:dyDescent="0.2">
      <c r="A15" s="108">
        <v>10</v>
      </c>
      <c r="B15" s="94" t="s">
        <v>1338</v>
      </c>
      <c r="C15" s="95" t="s">
        <v>1338</v>
      </c>
      <c r="D15" s="299" t="s">
        <v>1339</v>
      </c>
      <c r="E15" s="299" t="s">
        <v>1340</v>
      </c>
      <c r="F15" s="299" t="s">
        <v>1341</v>
      </c>
      <c r="G15" s="299" t="s">
        <v>334</v>
      </c>
      <c r="H15" s="63">
        <v>120</v>
      </c>
      <c r="I15" s="63">
        <v>133.333</v>
      </c>
      <c r="J15" s="63">
        <v>0</v>
      </c>
      <c r="K15" s="63">
        <v>13.333</v>
      </c>
      <c r="L15" s="353" t="s">
        <v>274</v>
      </c>
      <c r="M15" s="354">
        <v>7</v>
      </c>
      <c r="N15" s="315" t="s">
        <v>1342</v>
      </c>
      <c r="O15" s="299" t="s">
        <v>1343</v>
      </c>
      <c r="P15" s="363" t="s">
        <v>345</v>
      </c>
      <c r="Q15" s="363">
        <v>120</v>
      </c>
      <c r="R15" s="363">
        <v>123.33329999999999</v>
      </c>
      <c r="S15" s="363" t="s">
        <v>346</v>
      </c>
      <c r="T15" s="363">
        <v>123.33329999999999</v>
      </c>
      <c r="U15" s="363">
        <v>126.66670000000001</v>
      </c>
      <c r="V15" s="363" t="s">
        <v>329</v>
      </c>
      <c r="W15" s="363">
        <v>126.66670000000001</v>
      </c>
      <c r="X15" s="363">
        <v>130</v>
      </c>
      <c r="Y15" s="363" t="s">
        <v>347</v>
      </c>
      <c r="Z15" s="363">
        <v>130</v>
      </c>
      <c r="AA15" s="363">
        <v>133.33330000000001</v>
      </c>
      <c r="AB15" s="315" t="s">
        <v>1253</v>
      </c>
      <c r="AC15" s="63" t="s">
        <v>478</v>
      </c>
      <c r="AD15" s="63" t="s">
        <v>1239</v>
      </c>
      <c r="AE15" s="63" t="s">
        <v>462</v>
      </c>
      <c r="AF15" s="203" t="s">
        <v>1344</v>
      </c>
      <c r="AG15" s="338" t="s">
        <v>1190</v>
      </c>
      <c r="AH15" s="63" t="s">
        <v>466</v>
      </c>
      <c r="AI15" s="203" t="s">
        <v>1241</v>
      </c>
      <c r="AJ15" s="63" t="s">
        <v>416</v>
      </c>
      <c r="AK15" s="364" t="s">
        <v>1345</v>
      </c>
      <c r="AL15" s="365" t="s">
        <v>1346</v>
      </c>
      <c r="AM15" s="365" t="s">
        <v>1347</v>
      </c>
      <c r="AN15" s="365" t="s">
        <v>1348</v>
      </c>
      <c r="AO15" s="365" t="s">
        <v>1349</v>
      </c>
      <c r="AP15" s="364" t="s">
        <v>1350</v>
      </c>
    </row>
    <row r="16" spans="1:45" ht="43.5" customHeight="1" x14ac:dyDescent="0.2">
      <c r="A16" s="108">
        <v>11</v>
      </c>
      <c r="B16" s="94" t="s">
        <v>1351</v>
      </c>
      <c r="C16" s="95" t="s">
        <v>1351</v>
      </c>
      <c r="D16" s="296" t="s">
        <v>1352</v>
      </c>
      <c r="E16" s="296" t="s">
        <v>1353</v>
      </c>
      <c r="F16" s="296" t="s">
        <v>1354</v>
      </c>
      <c r="G16" s="296" t="s">
        <v>334</v>
      </c>
      <c r="H16" s="66">
        <v>133.333</v>
      </c>
      <c r="I16" s="66">
        <v>146.667</v>
      </c>
      <c r="J16" s="66">
        <v>13.333</v>
      </c>
      <c r="K16" s="66">
        <v>26.667000000000002</v>
      </c>
      <c r="L16" s="360" t="s">
        <v>271</v>
      </c>
      <c r="M16" s="106">
        <v>20</v>
      </c>
      <c r="N16" s="368" t="s">
        <v>588</v>
      </c>
      <c r="O16" s="296" t="s">
        <v>36</v>
      </c>
      <c r="P16" s="355" t="s">
        <v>334</v>
      </c>
      <c r="Q16" s="355">
        <v>133.33330000000001</v>
      </c>
      <c r="R16" s="355">
        <v>136.66669999999999</v>
      </c>
      <c r="S16" s="355" t="s">
        <v>348</v>
      </c>
      <c r="T16" s="355">
        <v>136.66669999999999</v>
      </c>
      <c r="U16" s="355">
        <v>140</v>
      </c>
      <c r="V16" s="355" t="s">
        <v>349</v>
      </c>
      <c r="W16" s="355">
        <v>140</v>
      </c>
      <c r="X16" s="355">
        <v>143.33330000000001</v>
      </c>
      <c r="Y16" s="355" t="s">
        <v>350</v>
      </c>
      <c r="Z16" s="355">
        <v>143.33330000000001</v>
      </c>
      <c r="AA16" s="355">
        <v>146.66669999999999</v>
      </c>
      <c r="AB16" s="317" t="s">
        <v>1237</v>
      </c>
      <c r="AC16" s="66" t="s">
        <v>479</v>
      </c>
      <c r="AD16" s="66" t="s">
        <v>1239</v>
      </c>
      <c r="AE16" s="66" t="s">
        <v>455</v>
      </c>
      <c r="AF16" s="357" t="s">
        <v>1344</v>
      </c>
      <c r="AG16" s="318" t="s">
        <v>1255</v>
      </c>
      <c r="AH16" s="66" t="s">
        <v>465</v>
      </c>
      <c r="AI16" s="357" t="s">
        <v>1241</v>
      </c>
      <c r="AJ16" s="66" t="s">
        <v>416</v>
      </c>
      <c r="AK16" s="358" t="s">
        <v>1355</v>
      </c>
      <c r="AL16" s="359" t="s">
        <v>1356</v>
      </c>
      <c r="AM16" s="359" t="s">
        <v>1357</v>
      </c>
      <c r="AN16" s="359" t="s">
        <v>1358</v>
      </c>
      <c r="AO16" s="359" t="s">
        <v>1359</v>
      </c>
      <c r="AP16" s="358" t="s">
        <v>1360</v>
      </c>
    </row>
    <row r="17" spans="1:42" ht="43.5" customHeight="1" x14ac:dyDescent="0.2">
      <c r="A17" s="108">
        <v>12</v>
      </c>
      <c r="B17" s="94" t="s">
        <v>1361</v>
      </c>
      <c r="C17" s="95" t="s">
        <v>1361</v>
      </c>
      <c r="D17" s="299" t="s">
        <v>1362</v>
      </c>
      <c r="E17" s="299" t="s">
        <v>1363</v>
      </c>
      <c r="F17" s="299" t="s">
        <v>1364</v>
      </c>
      <c r="G17" s="299" t="s">
        <v>1365</v>
      </c>
      <c r="H17" s="63">
        <v>146.667</v>
      </c>
      <c r="I17" s="63">
        <v>160</v>
      </c>
      <c r="J17" s="63">
        <v>26.667000000000002</v>
      </c>
      <c r="K17" s="63">
        <v>10</v>
      </c>
      <c r="L17" s="366" t="s">
        <v>266</v>
      </c>
      <c r="M17" s="367">
        <v>6</v>
      </c>
      <c r="N17" s="361" t="s">
        <v>588</v>
      </c>
      <c r="O17" s="299" t="s">
        <v>36</v>
      </c>
      <c r="P17" s="363" t="s">
        <v>351</v>
      </c>
      <c r="Q17" s="363">
        <v>146.66669999999999</v>
      </c>
      <c r="R17" s="363">
        <v>150</v>
      </c>
      <c r="S17" s="363" t="s">
        <v>352</v>
      </c>
      <c r="T17" s="363">
        <v>150</v>
      </c>
      <c r="U17" s="363">
        <v>153.33330000000001</v>
      </c>
      <c r="V17" s="363" t="s">
        <v>325</v>
      </c>
      <c r="W17" s="363">
        <v>153.33330000000001</v>
      </c>
      <c r="X17" s="363">
        <v>156.66669999999999</v>
      </c>
      <c r="Y17" s="363" t="s">
        <v>323</v>
      </c>
      <c r="Z17" s="363">
        <v>156.66669999999999</v>
      </c>
      <c r="AA17" s="363">
        <v>160</v>
      </c>
      <c r="AB17" s="317" t="s">
        <v>1237</v>
      </c>
      <c r="AC17" s="63" t="s">
        <v>476</v>
      </c>
      <c r="AD17" s="63" t="s">
        <v>1239</v>
      </c>
      <c r="AE17" s="63" t="s">
        <v>455</v>
      </c>
      <c r="AF17" s="203" t="s">
        <v>1366</v>
      </c>
      <c r="AG17" s="340" t="s">
        <v>1268</v>
      </c>
      <c r="AH17" s="63" t="s">
        <v>465</v>
      </c>
      <c r="AI17" s="203" t="s">
        <v>1269</v>
      </c>
      <c r="AJ17" s="63" t="s">
        <v>413</v>
      </c>
      <c r="AK17" s="364" t="s">
        <v>1367</v>
      </c>
      <c r="AL17" s="365" t="s">
        <v>1368</v>
      </c>
      <c r="AM17" s="365" t="s">
        <v>1369</v>
      </c>
      <c r="AN17" s="365" t="s">
        <v>1370</v>
      </c>
      <c r="AO17" s="365" t="s">
        <v>1371</v>
      </c>
      <c r="AP17" s="364" t="s">
        <v>1372</v>
      </c>
    </row>
    <row r="18" spans="1:42" ht="43.5" customHeight="1" x14ac:dyDescent="0.2">
      <c r="A18" s="108">
        <v>13</v>
      </c>
      <c r="B18" s="94" t="s">
        <v>1373</v>
      </c>
      <c r="C18" s="95" t="s">
        <v>1373</v>
      </c>
      <c r="D18" s="296" t="s">
        <v>1374</v>
      </c>
      <c r="E18" s="296" t="s">
        <v>1375</v>
      </c>
      <c r="F18" s="296" t="s">
        <v>1376</v>
      </c>
      <c r="G18" s="296" t="s">
        <v>348</v>
      </c>
      <c r="H18" s="66">
        <v>160</v>
      </c>
      <c r="I18" s="66">
        <v>173.333</v>
      </c>
      <c r="J18" s="66">
        <v>10</v>
      </c>
      <c r="K18" s="66">
        <v>23.332999999999998</v>
      </c>
      <c r="L18" s="370" t="s">
        <v>267</v>
      </c>
      <c r="M18" s="102">
        <v>10</v>
      </c>
      <c r="N18" s="368" t="s">
        <v>588</v>
      </c>
      <c r="O18" s="296" t="s">
        <v>36</v>
      </c>
      <c r="P18" s="355" t="s">
        <v>345</v>
      </c>
      <c r="Q18" s="355">
        <v>160</v>
      </c>
      <c r="R18" s="355">
        <v>163.33330000000001</v>
      </c>
      <c r="S18" s="355" t="s">
        <v>346</v>
      </c>
      <c r="T18" s="355">
        <v>163.33330000000001</v>
      </c>
      <c r="U18" s="355">
        <v>166.66669999999999</v>
      </c>
      <c r="V18" s="355" t="s">
        <v>329</v>
      </c>
      <c r="W18" s="355">
        <v>166.66669999999999</v>
      </c>
      <c r="X18" s="355">
        <v>170</v>
      </c>
      <c r="Y18" s="355" t="s">
        <v>347</v>
      </c>
      <c r="Z18" s="355">
        <v>170</v>
      </c>
      <c r="AA18" s="355">
        <v>173.33330000000001</v>
      </c>
      <c r="AB18" s="356" t="s">
        <v>1222</v>
      </c>
      <c r="AC18" s="66" t="s">
        <v>477</v>
      </c>
      <c r="AD18" s="66" t="s">
        <v>1223</v>
      </c>
      <c r="AE18" s="66" t="s">
        <v>462</v>
      </c>
      <c r="AF18" s="357" t="s">
        <v>1377</v>
      </c>
      <c r="AG18" s="340" t="s">
        <v>1268</v>
      </c>
      <c r="AH18" s="66" t="s">
        <v>465</v>
      </c>
      <c r="AI18" s="357" t="s">
        <v>1308</v>
      </c>
      <c r="AJ18" s="66" t="s">
        <v>413</v>
      </c>
      <c r="AK18" s="358" t="s">
        <v>1378</v>
      </c>
      <c r="AL18" s="359" t="s">
        <v>1379</v>
      </c>
      <c r="AM18" s="359" t="s">
        <v>1380</v>
      </c>
      <c r="AN18" s="359" t="s">
        <v>1381</v>
      </c>
      <c r="AO18" s="359" t="s">
        <v>1382</v>
      </c>
      <c r="AP18" s="358" t="s">
        <v>1383</v>
      </c>
    </row>
    <row r="19" spans="1:42" ht="43.5" customHeight="1" x14ac:dyDescent="0.2">
      <c r="A19" s="108">
        <v>14</v>
      </c>
      <c r="B19" s="94" t="s">
        <v>1384</v>
      </c>
      <c r="C19" s="95" t="s">
        <v>1384</v>
      </c>
      <c r="D19" s="299" t="s">
        <v>1385</v>
      </c>
      <c r="E19" s="299" t="s">
        <v>1386</v>
      </c>
      <c r="F19" s="299" t="s">
        <v>1387</v>
      </c>
      <c r="G19" s="299" t="s">
        <v>1388</v>
      </c>
      <c r="H19" s="63">
        <v>173.333</v>
      </c>
      <c r="I19" s="63">
        <v>186.667</v>
      </c>
      <c r="J19" s="63">
        <v>23.332999999999998</v>
      </c>
      <c r="K19" s="63">
        <v>6.6669999999999998</v>
      </c>
      <c r="L19" s="371" t="s">
        <v>268</v>
      </c>
      <c r="M19" s="99">
        <v>7</v>
      </c>
      <c r="N19" s="361" t="s">
        <v>588</v>
      </c>
      <c r="O19" s="299" t="s">
        <v>36</v>
      </c>
      <c r="P19" s="363" t="s">
        <v>334</v>
      </c>
      <c r="Q19" s="363">
        <v>173.33330000000001</v>
      </c>
      <c r="R19" s="363">
        <v>176.66669999999999</v>
      </c>
      <c r="S19" s="363" t="s">
        <v>348</v>
      </c>
      <c r="T19" s="363">
        <v>176.66669999999999</v>
      </c>
      <c r="U19" s="363">
        <v>180</v>
      </c>
      <c r="V19" s="363" t="s">
        <v>349</v>
      </c>
      <c r="W19" s="363">
        <v>180</v>
      </c>
      <c r="X19" s="363">
        <v>183.33330000000001</v>
      </c>
      <c r="Y19" s="363" t="s">
        <v>350</v>
      </c>
      <c r="Z19" s="363">
        <v>183.33330000000001</v>
      </c>
      <c r="AA19" s="363">
        <v>186.66669999999999</v>
      </c>
      <c r="AB19" s="315" t="s">
        <v>1253</v>
      </c>
      <c r="AC19" s="63" t="s">
        <v>1281</v>
      </c>
      <c r="AD19" s="63" t="s">
        <v>1239</v>
      </c>
      <c r="AE19" s="63" t="s">
        <v>455</v>
      </c>
      <c r="AF19" s="203" t="s">
        <v>1389</v>
      </c>
      <c r="AG19" s="318" t="s">
        <v>1255</v>
      </c>
      <c r="AH19" s="63" t="s">
        <v>466</v>
      </c>
      <c r="AI19" s="203" t="s">
        <v>1282</v>
      </c>
      <c r="AJ19" s="63" t="s">
        <v>413</v>
      </c>
      <c r="AK19" s="364" t="s">
        <v>1390</v>
      </c>
      <c r="AL19" s="365" t="s">
        <v>1391</v>
      </c>
      <c r="AM19" s="365" t="s">
        <v>1392</v>
      </c>
      <c r="AN19" s="365" t="s">
        <v>1393</v>
      </c>
      <c r="AO19" s="365" t="s">
        <v>1394</v>
      </c>
      <c r="AP19" s="364" t="s">
        <v>1395</v>
      </c>
    </row>
    <row r="20" spans="1:42" ht="43.5" customHeight="1" x14ac:dyDescent="0.2">
      <c r="A20" s="108">
        <v>15</v>
      </c>
      <c r="B20" s="94" t="s">
        <v>1396</v>
      </c>
      <c r="C20" s="95" t="s">
        <v>1396</v>
      </c>
      <c r="D20" s="296" t="s">
        <v>1397</v>
      </c>
      <c r="E20" s="296" t="s">
        <v>1398</v>
      </c>
      <c r="F20" s="296" t="s">
        <v>1399</v>
      </c>
      <c r="G20" s="296" t="s">
        <v>349</v>
      </c>
      <c r="H20" s="66">
        <v>186.667</v>
      </c>
      <c r="I20" s="66">
        <v>200</v>
      </c>
      <c r="J20" s="66">
        <v>6.6669999999999998</v>
      </c>
      <c r="K20" s="66">
        <v>20</v>
      </c>
      <c r="L20" s="372" t="s">
        <v>273</v>
      </c>
      <c r="M20" s="373">
        <v>18</v>
      </c>
      <c r="N20" s="368" t="s">
        <v>588</v>
      </c>
      <c r="O20" s="296" t="s">
        <v>36</v>
      </c>
      <c r="P20" s="355" t="s">
        <v>351</v>
      </c>
      <c r="Q20" s="355">
        <v>186.66669999999999</v>
      </c>
      <c r="R20" s="355">
        <v>190</v>
      </c>
      <c r="S20" s="355" t="s">
        <v>352</v>
      </c>
      <c r="T20" s="355">
        <v>190</v>
      </c>
      <c r="U20" s="355">
        <v>193.33330000000001</v>
      </c>
      <c r="V20" s="355" t="s">
        <v>325</v>
      </c>
      <c r="W20" s="355">
        <v>193.33330000000001</v>
      </c>
      <c r="X20" s="355">
        <v>196.66669999999999</v>
      </c>
      <c r="Y20" s="355" t="s">
        <v>323</v>
      </c>
      <c r="Z20" s="355">
        <v>196.66669999999999</v>
      </c>
      <c r="AA20" s="355">
        <v>200</v>
      </c>
      <c r="AB20" s="356" t="s">
        <v>1222</v>
      </c>
      <c r="AC20" s="66" t="s">
        <v>1293</v>
      </c>
      <c r="AD20" s="66" t="s">
        <v>1239</v>
      </c>
      <c r="AE20" s="66" t="s">
        <v>462</v>
      </c>
      <c r="AF20" s="357" t="s">
        <v>1377</v>
      </c>
      <c r="AG20" s="338" t="s">
        <v>1190</v>
      </c>
      <c r="AH20" s="66" t="s">
        <v>466</v>
      </c>
      <c r="AI20" s="357" t="s">
        <v>1308</v>
      </c>
      <c r="AJ20" s="66" t="s">
        <v>413</v>
      </c>
      <c r="AK20" s="358" t="s">
        <v>1400</v>
      </c>
      <c r="AL20" s="359" t="s">
        <v>1401</v>
      </c>
      <c r="AM20" s="359" t="s">
        <v>1402</v>
      </c>
      <c r="AN20" s="359" t="s">
        <v>1403</v>
      </c>
      <c r="AO20" s="359" t="s">
        <v>1404</v>
      </c>
      <c r="AP20" s="358" t="s">
        <v>1405</v>
      </c>
    </row>
    <row r="21" spans="1:42" ht="43.5" customHeight="1" x14ac:dyDescent="0.2">
      <c r="A21" s="108">
        <v>16</v>
      </c>
      <c r="B21" s="94" t="s">
        <v>1406</v>
      </c>
      <c r="C21" s="95" t="s">
        <v>1406</v>
      </c>
      <c r="D21" s="299" t="s">
        <v>1407</v>
      </c>
      <c r="E21" s="299" t="s">
        <v>1408</v>
      </c>
      <c r="F21" s="299" t="s">
        <v>1409</v>
      </c>
      <c r="G21" s="299" t="s">
        <v>1410</v>
      </c>
      <c r="H21" s="63">
        <v>200</v>
      </c>
      <c r="I21" s="63">
        <v>213.333</v>
      </c>
      <c r="J21" s="63">
        <v>20</v>
      </c>
      <c r="K21" s="63">
        <v>3.3330000000000002</v>
      </c>
      <c r="L21" s="374" t="s">
        <v>270</v>
      </c>
      <c r="M21" s="107">
        <v>16</v>
      </c>
      <c r="N21" s="361" t="s">
        <v>588</v>
      </c>
      <c r="O21" s="299" t="s">
        <v>36</v>
      </c>
      <c r="P21" s="363" t="s">
        <v>345</v>
      </c>
      <c r="Q21" s="363">
        <v>200</v>
      </c>
      <c r="R21" s="363">
        <v>203.33330000000001</v>
      </c>
      <c r="S21" s="363" t="s">
        <v>346</v>
      </c>
      <c r="T21" s="363">
        <v>203.33330000000001</v>
      </c>
      <c r="U21" s="363">
        <v>206.66669999999999</v>
      </c>
      <c r="V21" s="363" t="s">
        <v>329</v>
      </c>
      <c r="W21" s="363">
        <v>206.66669999999999</v>
      </c>
      <c r="X21" s="363">
        <v>210</v>
      </c>
      <c r="Y21" s="363" t="s">
        <v>347</v>
      </c>
      <c r="Z21" s="363">
        <v>210</v>
      </c>
      <c r="AA21" s="363">
        <v>213.33330000000001</v>
      </c>
      <c r="AB21" s="315" t="s">
        <v>1253</v>
      </c>
      <c r="AC21" s="63" t="s">
        <v>478</v>
      </c>
      <c r="AD21" s="63" t="s">
        <v>1239</v>
      </c>
      <c r="AE21" s="63" t="s">
        <v>458</v>
      </c>
      <c r="AF21" s="203" t="s">
        <v>1389</v>
      </c>
      <c r="AG21" s="356" t="s">
        <v>1225</v>
      </c>
      <c r="AH21" s="63" t="s">
        <v>465</v>
      </c>
      <c r="AI21" s="203" t="s">
        <v>1256</v>
      </c>
      <c r="AJ21" s="63" t="s">
        <v>413</v>
      </c>
      <c r="AK21" s="364" t="s">
        <v>1411</v>
      </c>
      <c r="AL21" s="365" t="s">
        <v>1412</v>
      </c>
      <c r="AM21" s="365" t="s">
        <v>1413</v>
      </c>
      <c r="AN21" s="365" t="s">
        <v>1414</v>
      </c>
      <c r="AO21" s="365" t="s">
        <v>1415</v>
      </c>
      <c r="AP21" s="364" t="s">
        <v>1416</v>
      </c>
    </row>
    <row r="22" spans="1:42" ht="43.5" customHeight="1" x14ac:dyDescent="0.2">
      <c r="A22" s="108">
        <v>17</v>
      </c>
      <c r="B22" s="94" t="s">
        <v>1417</v>
      </c>
      <c r="C22" s="95" t="s">
        <v>1417</v>
      </c>
      <c r="D22" s="296" t="s">
        <v>1418</v>
      </c>
      <c r="E22" s="296" t="s">
        <v>1419</v>
      </c>
      <c r="F22" s="296" t="s">
        <v>1420</v>
      </c>
      <c r="G22" s="296" t="s">
        <v>350</v>
      </c>
      <c r="H22" s="66">
        <v>213.333</v>
      </c>
      <c r="I22" s="66">
        <v>226.667</v>
      </c>
      <c r="J22" s="66">
        <v>3.3330000000000002</v>
      </c>
      <c r="K22" s="66">
        <v>16.667000000000002</v>
      </c>
      <c r="L22" s="375" t="s">
        <v>272</v>
      </c>
      <c r="M22" s="108">
        <v>19</v>
      </c>
      <c r="N22" s="368" t="s">
        <v>588</v>
      </c>
      <c r="O22" s="296" t="s">
        <v>36</v>
      </c>
      <c r="P22" s="355" t="s">
        <v>334</v>
      </c>
      <c r="Q22" s="355">
        <v>213.33330000000001</v>
      </c>
      <c r="R22" s="355">
        <v>216.66669999999999</v>
      </c>
      <c r="S22" s="355" t="s">
        <v>348</v>
      </c>
      <c r="T22" s="355">
        <v>216.66669999999999</v>
      </c>
      <c r="U22" s="355">
        <v>220</v>
      </c>
      <c r="V22" s="355" t="s">
        <v>349</v>
      </c>
      <c r="W22" s="355">
        <v>220</v>
      </c>
      <c r="X22" s="355">
        <v>223.33330000000001</v>
      </c>
      <c r="Y22" s="355" t="s">
        <v>350</v>
      </c>
      <c r="Z22" s="355">
        <v>223.33330000000001</v>
      </c>
      <c r="AA22" s="355">
        <v>226.66669999999999</v>
      </c>
      <c r="AB22" s="356" t="s">
        <v>1222</v>
      </c>
      <c r="AC22" s="66" t="s">
        <v>478</v>
      </c>
      <c r="AD22" s="66" t="s">
        <v>1223</v>
      </c>
      <c r="AE22" s="66" t="s">
        <v>455</v>
      </c>
      <c r="AF22" s="357" t="s">
        <v>1421</v>
      </c>
      <c r="AG22" s="356" t="s">
        <v>1225</v>
      </c>
      <c r="AH22" s="66" t="s">
        <v>466</v>
      </c>
      <c r="AI22" s="357" t="s">
        <v>1282</v>
      </c>
      <c r="AJ22" s="66" t="s">
        <v>413</v>
      </c>
      <c r="AK22" s="358" t="s">
        <v>1422</v>
      </c>
      <c r="AL22" s="359" t="s">
        <v>1423</v>
      </c>
      <c r="AM22" s="359" t="s">
        <v>1424</v>
      </c>
      <c r="AN22" s="359" t="s">
        <v>1425</v>
      </c>
      <c r="AO22" s="359" t="s">
        <v>1426</v>
      </c>
      <c r="AP22" s="358" t="s">
        <v>1427</v>
      </c>
    </row>
    <row r="23" spans="1:42" ht="43.5" customHeight="1" x14ac:dyDescent="0.2">
      <c r="A23" s="108">
        <v>18</v>
      </c>
      <c r="B23" s="94" t="s">
        <v>1428</v>
      </c>
      <c r="C23" s="95" t="s">
        <v>1428</v>
      </c>
      <c r="D23" s="299" t="s">
        <v>1429</v>
      </c>
      <c r="E23" s="299" t="s">
        <v>1430</v>
      </c>
      <c r="F23" s="299" t="s">
        <v>1431</v>
      </c>
      <c r="G23" s="299" t="s">
        <v>350</v>
      </c>
      <c r="H23" s="63">
        <v>226.667</v>
      </c>
      <c r="I23" s="63">
        <v>240</v>
      </c>
      <c r="J23" s="63">
        <v>16.667000000000002</v>
      </c>
      <c r="K23" s="63">
        <v>30</v>
      </c>
      <c r="L23" s="376" t="s">
        <v>269</v>
      </c>
      <c r="M23" s="100">
        <v>17</v>
      </c>
      <c r="N23" s="315" t="s">
        <v>1432</v>
      </c>
      <c r="O23" s="299" t="s">
        <v>1433</v>
      </c>
      <c r="P23" s="363" t="s">
        <v>351</v>
      </c>
      <c r="Q23" s="363">
        <v>226.66669999999999</v>
      </c>
      <c r="R23" s="363">
        <v>230</v>
      </c>
      <c r="S23" s="363" t="s">
        <v>352</v>
      </c>
      <c r="T23" s="363">
        <v>230</v>
      </c>
      <c r="U23" s="363">
        <v>233.33330000000001</v>
      </c>
      <c r="V23" s="363" t="s">
        <v>325</v>
      </c>
      <c r="W23" s="363">
        <v>233.33330000000001</v>
      </c>
      <c r="X23" s="363">
        <v>236.66669999999999</v>
      </c>
      <c r="Y23" s="363" t="s">
        <v>323</v>
      </c>
      <c r="Z23" s="363">
        <v>236.66669999999999</v>
      </c>
      <c r="AA23" s="363">
        <v>240</v>
      </c>
      <c r="AB23" s="315" t="s">
        <v>1253</v>
      </c>
      <c r="AC23" s="63" t="s">
        <v>1281</v>
      </c>
      <c r="AD23" s="63" t="s">
        <v>1239</v>
      </c>
      <c r="AE23" s="63" t="s">
        <v>462</v>
      </c>
      <c r="AF23" s="203" t="s">
        <v>1421</v>
      </c>
      <c r="AG23" s="338" t="s">
        <v>1190</v>
      </c>
      <c r="AH23" s="63" t="s">
        <v>466</v>
      </c>
      <c r="AI23" s="203" t="s">
        <v>1295</v>
      </c>
      <c r="AJ23" s="63" t="s">
        <v>415</v>
      </c>
      <c r="AK23" s="364" t="s">
        <v>1434</v>
      </c>
      <c r="AL23" s="365" t="s">
        <v>1435</v>
      </c>
      <c r="AM23" s="365" t="s">
        <v>1436</v>
      </c>
      <c r="AN23" s="365" t="s">
        <v>1437</v>
      </c>
      <c r="AO23" s="365" t="s">
        <v>1438</v>
      </c>
      <c r="AP23" s="364" t="s">
        <v>1439</v>
      </c>
    </row>
    <row r="24" spans="1:42" ht="43.5" customHeight="1" x14ac:dyDescent="0.2">
      <c r="A24" s="108">
        <v>19</v>
      </c>
      <c r="B24" s="94" t="s">
        <v>1440</v>
      </c>
      <c r="C24" s="95" t="s">
        <v>1440</v>
      </c>
      <c r="D24" s="296" t="s">
        <v>1441</v>
      </c>
      <c r="E24" s="296" t="s">
        <v>1442</v>
      </c>
      <c r="F24" s="296" t="s">
        <v>1443</v>
      </c>
      <c r="G24" s="296" t="s">
        <v>351</v>
      </c>
      <c r="H24" s="66">
        <v>240</v>
      </c>
      <c r="I24" s="66">
        <v>253.333</v>
      </c>
      <c r="J24" s="66">
        <v>0</v>
      </c>
      <c r="K24" s="66">
        <v>13.333</v>
      </c>
      <c r="L24" s="353" t="s">
        <v>274</v>
      </c>
      <c r="M24" s="354">
        <v>7</v>
      </c>
      <c r="N24" s="315" t="s">
        <v>1444</v>
      </c>
      <c r="O24" s="296" t="s">
        <v>1445</v>
      </c>
      <c r="P24" s="355" t="s">
        <v>345</v>
      </c>
      <c r="Q24" s="355">
        <v>240</v>
      </c>
      <c r="R24" s="355">
        <v>243.33330000000001</v>
      </c>
      <c r="S24" s="355" t="s">
        <v>346</v>
      </c>
      <c r="T24" s="355">
        <v>243.33330000000001</v>
      </c>
      <c r="U24" s="355">
        <v>246.66669999999999</v>
      </c>
      <c r="V24" s="355" t="s">
        <v>329</v>
      </c>
      <c r="W24" s="355">
        <v>246.66669999999999</v>
      </c>
      <c r="X24" s="355">
        <v>250</v>
      </c>
      <c r="Y24" s="355" t="s">
        <v>347</v>
      </c>
      <c r="Z24" s="355">
        <v>250</v>
      </c>
      <c r="AA24" s="355">
        <v>253.33330000000001</v>
      </c>
      <c r="AB24" s="315" t="s">
        <v>1253</v>
      </c>
      <c r="AC24" s="66" t="s">
        <v>1293</v>
      </c>
      <c r="AD24" s="66" t="s">
        <v>706</v>
      </c>
      <c r="AE24" s="66" t="s">
        <v>462</v>
      </c>
      <c r="AF24" s="357" t="s">
        <v>1294</v>
      </c>
      <c r="AG24" s="318" t="s">
        <v>1255</v>
      </c>
      <c r="AH24" s="66" t="s">
        <v>466</v>
      </c>
      <c r="AI24" s="357" t="s">
        <v>1295</v>
      </c>
      <c r="AJ24" s="66" t="s">
        <v>415</v>
      </c>
      <c r="AK24" s="358" t="s">
        <v>1446</v>
      </c>
      <c r="AL24" s="359" t="s">
        <v>1447</v>
      </c>
      <c r="AM24" s="359" t="s">
        <v>1448</v>
      </c>
      <c r="AN24" s="359" t="s">
        <v>1449</v>
      </c>
      <c r="AO24" s="359" t="s">
        <v>1450</v>
      </c>
      <c r="AP24" s="358" t="s">
        <v>1451</v>
      </c>
    </row>
    <row r="25" spans="1:42" ht="43.5" customHeight="1" x14ac:dyDescent="0.2">
      <c r="A25" s="108">
        <v>20</v>
      </c>
      <c r="B25" s="94" t="s">
        <v>1452</v>
      </c>
      <c r="C25" s="95" t="s">
        <v>1452</v>
      </c>
      <c r="D25" s="299" t="s">
        <v>1453</v>
      </c>
      <c r="E25" s="299" t="s">
        <v>1454</v>
      </c>
      <c r="F25" s="299" t="s">
        <v>1455</v>
      </c>
      <c r="G25" s="299" t="s">
        <v>351</v>
      </c>
      <c r="H25" s="63">
        <v>253.333</v>
      </c>
      <c r="I25" s="63">
        <v>266.66699999999997</v>
      </c>
      <c r="J25" s="63">
        <v>13.333</v>
      </c>
      <c r="K25" s="63">
        <v>26.667000000000002</v>
      </c>
      <c r="L25" s="360" t="s">
        <v>271</v>
      </c>
      <c r="M25" s="106">
        <v>20</v>
      </c>
      <c r="N25" s="361" t="s">
        <v>588</v>
      </c>
      <c r="O25" s="299" t="s">
        <v>36</v>
      </c>
      <c r="P25" s="363" t="s">
        <v>334</v>
      </c>
      <c r="Q25" s="363">
        <v>253.33330000000001</v>
      </c>
      <c r="R25" s="363">
        <v>256.66669999999999</v>
      </c>
      <c r="S25" s="363" t="s">
        <v>348</v>
      </c>
      <c r="T25" s="363">
        <v>256.66669999999999</v>
      </c>
      <c r="U25" s="363">
        <v>260</v>
      </c>
      <c r="V25" s="363" t="s">
        <v>349</v>
      </c>
      <c r="W25" s="363">
        <v>260</v>
      </c>
      <c r="X25" s="363">
        <v>263.33330000000001</v>
      </c>
      <c r="Y25" s="363" t="s">
        <v>350</v>
      </c>
      <c r="Z25" s="363">
        <v>263.33330000000001</v>
      </c>
      <c r="AA25" s="363">
        <v>266.66669999999999</v>
      </c>
      <c r="AB25" s="317" t="s">
        <v>1237</v>
      </c>
      <c r="AC25" s="63" t="s">
        <v>479</v>
      </c>
      <c r="AD25" s="63" t="s">
        <v>1239</v>
      </c>
      <c r="AE25" s="63" t="s">
        <v>455</v>
      </c>
      <c r="AF25" s="203" t="s">
        <v>1456</v>
      </c>
      <c r="AG25" s="340" t="s">
        <v>1268</v>
      </c>
      <c r="AH25" s="63" t="s">
        <v>465</v>
      </c>
      <c r="AI25" s="203" t="s">
        <v>1241</v>
      </c>
      <c r="AJ25" s="63" t="s">
        <v>415</v>
      </c>
      <c r="AK25" s="364" t="s">
        <v>1457</v>
      </c>
      <c r="AL25" s="365" t="s">
        <v>1458</v>
      </c>
      <c r="AM25" s="365" t="s">
        <v>1459</v>
      </c>
      <c r="AN25" s="365" t="s">
        <v>1460</v>
      </c>
      <c r="AO25" s="365" t="s">
        <v>1461</v>
      </c>
      <c r="AP25" s="364" t="s">
        <v>1462</v>
      </c>
    </row>
    <row r="26" spans="1:42" ht="43.5" customHeight="1" x14ac:dyDescent="0.2">
      <c r="A26" s="108">
        <v>21</v>
      </c>
      <c r="B26" s="94" t="s">
        <v>1463</v>
      </c>
      <c r="C26" s="95" t="s">
        <v>1463</v>
      </c>
      <c r="D26" s="296" t="s">
        <v>1464</v>
      </c>
      <c r="E26" s="296" t="s">
        <v>1465</v>
      </c>
      <c r="F26" s="296" t="s">
        <v>1466</v>
      </c>
      <c r="G26" s="296" t="s">
        <v>1467</v>
      </c>
      <c r="H26" s="66">
        <v>266.66699999999997</v>
      </c>
      <c r="I26" s="66">
        <v>280</v>
      </c>
      <c r="J26" s="66">
        <v>26.667000000000002</v>
      </c>
      <c r="K26" s="66">
        <v>10</v>
      </c>
      <c r="L26" s="366" t="s">
        <v>266</v>
      </c>
      <c r="M26" s="367">
        <v>6</v>
      </c>
      <c r="N26" s="368" t="s">
        <v>588</v>
      </c>
      <c r="O26" s="296" t="s">
        <v>36</v>
      </c>
      <c r="P26" s="355" t="s">
        <v>351</v>
      </c>
      <c r="Q26" s="355">
        <v>266.66669999999999</v>
      </c>
      <c r="R26" s="355">
        <v>270</v>
      </c>
      <c r="S26" s="355" t="s">
        <v>352</v>
      </c>
      <c r="T26" s="355">
        <v>270</v>
      </c>
      <c r="U26" s="355">
        <v>273.33330000000001</v>
      </c>
      <c r="V26" s="355" t="s">
        <v>325</v>
      </c>
      <c r="W26" s="355">
        <v>273.33330000000001</v>
      </c>
      <c r="X26" s="355">
        <v>276.66669999999999</v>
      </c>
      <c r="Y26" s="355" t="s">
        <v>323</v>
      </c>
      <c r="Z26" s="355">
        <v>276.66669999999999</v>
      </c>
      <c r="AA26" s="355">
        <v>280</v>
      </c>
      <c r="AB26" s="317" t="s">
        <v>1237</v>
      </c>
      <c r="AC26" s="66" t="s">
        <v>476</v>
      </c>
      <c r="AD26" s="66" t="s">
        <v>1239</v>
      </c>
      <c r="AE26" s="66" t="s">
        <v>458</v>
      </c>
      <c r="AF26" s="357" t="s">
        <v>1468</v>
      </c>
      <c r="AG26" s="340" t="s">
        <v>1268</v>
      </c>
      <c r="AH26" s="66" t="s">
        <v>465</v>
      </c>
      <c r="AI26" s="357" t="s">
        <v>1269</v>
      </c>
      <c r="AJ26" s="66" t="s">
        <v>415</v>
      </c>
      <c r="AK26" s="358" t="s">
        <v>1469</v>
      </c>
      <c r="AL26" s="359" t="s">
        <v>1470</v>
      </c>
      <c r="AM26" s="359" t="s">
        <v>1471</v>
      </c>
      <c r="AN26" s="359" t="s">
        <v>1472</v>
      </c>
      <c r="AO26" s="359" t="s">
        <v>1473</v>
      </c>
      <c r="AP26" s="358" t="s">
        <v>1474</v>
      </c>
    </row>
    <row r="27" spans="1:42" ht="43.5" customHeight="1" x14ac:dyDescent="0.2">
      <c r="A27" s="108">
        <v>22</v>
      </c>
      <c r="B27" s="94" t="s">
        <v>1475</v>
      </c>
      <c r="C27" s="95" t="s">
        <v>1475</v>
      </c>
      <c r="D27" s="299" t="s">
        <v>1476</v>
      </c>
      <c r="E27" s="299" t="s">
        <v>1477</v>
      </c>
      <c r="F27" s="299" t="s">
        <v>1478</v>
      </c>
      <c r="G27" s="299" t="s">
        <v>352</v>
      </c>
      <c r="H27" s="63">
        <v>280</v>
      </c>
      <c r="I27" s="63">
        <v>293.33300000000003</v>
      </c>
      <c r="J27" s="63">
        <v>10</v>
      </c>
      <c r="K27" s="63">
        <v>23.332999999999998</v>
      </c>
      <c r="L27" s="370" t="s">
        <v>267</v>
      </c>
      <c r="M27" s="102">
        <v>10</v>
      </c>
      <c r="N27" s="361" t="s">
        <v>588</v>
      </c>
      <c r="O27" s="299" t="s">
        <v>36</v>
      </c>
      <c r="P27" s="363" t="s">
        <v>345</v>
      </c>
      <c r="Q27" s="363">
        <v>280</v>
      </c>
      <c r="R27" s="363">
        <v>283.33330000000001</v>
      </c>
      <c r="S27" s="363" t="s">
        <v>346</v>
      </c>
      <c r="T27" s="363">
        <v>283.33330000000001</v>
      </c>
      <c r="U27" s="363">
        <v>286.66669999999999</v>
      </c>
      <c r="V27" s="363" t="s">
        <v>329</v>
      </c>
      <c r="W27" s="363">
        <v>286.66669999999999</v>
      </c>
      <c r="X27" s="363">
        <v>290</v>
      </c>
      <c r="Y27" s="363" t="s">
        <v>347</v>
      </c>
      <c r="Z27" s="363">
        <v>290</v>
      </c>
      <c r="AA27" s="363">
        <v>293.33330000000001</v>
      </c>
      <c r="AB27" s="356" t="s">
        <v>1222</v>
      </c>
      <c r="AC27" s="63" t="s">
        <v>1331</v>
      </c>
      <c r="AD27" s="63" t="s">
        <v>1223</v>
      </c>
      <c r="AE27" s="63" t="s">
        <v>458</v>
      </c>
      <c r="AF27" s="203" t="s">
        <v>1456</v>
      </c>
      <c r="AG27" s="340" t="s">
        <v>1268</v>
      </c>
      <c r="AH27" s="63" t="s">
        <v>465</v>
      </c>
      <c r="AI27" s="203" t="s">
        <v>1308</v>
      </c>
      <c r="AJ27" s="63" t="s">
        <v>415</v>
      </c>
      <c r="AK27" s="364" t="s">
        <v>1479</v>
      </c>
      <c r="AL27" s="365" t="s">
        <v>1480</v>
      </c>
      <c r="AM27" s="365" t="s">
        <v>1481</v>
      </c>
      <c r="AN27" s="365" t="s">
        <v>1482</v>
      </c>
      <c r="AO27" s="365" t="s">
        <v>1483</v>
      </c>
      <c r="AP27" s="364" t="s">
        <v>1484</v>
      </c>
    </row>
    <row r="28" spans="1:42" ht="43.5" customHeight="1" x14ac:dyDescent="0.2">
      <c r="A28" s="108">
        <v>23</v>
      </c>
      <c r="B28" s="94" t="s">
        <v>1485</v>
      </c>
      <c r="C28" s="95" t="s">
        <v>1485</v>
      </c>
      <c r="D28" s="296" t="s">
        <v>1486</v>
      </c>
      <c r="E28" s="296" t="s">
        <v>1487</v>
      </c>
      <c r="F28" s="296" t="s">
        <v>1488</v>
      </c>
      <c r="G28" s="296" t="s">
        <v>1489</v>
      </c>
      <c r="H28" s="66">
        <v>293.33300000000003</v>
      </c>
      <c r="I28" s="66">
        <v>306.66699999999997</v>
      </c>
      <c r="J28" s="66">
        <v>23.332999999999998</v>
      </c>
      <c r="K28" s="66">
        <v>6.6669999999999998</v>
      </c>
      <c r="L28" s="371" t="s">
        <v>268</v>
      </c>
      <c r="M28" s="99">
        <v>7</v>
      </c>
      <c r="N28" s="368" t="s">
        <v>588</v>
      </c>
      <c r="O28" s="296" t="s">
        <v>36</v>
      </c>
      <c r="P28" s="355" t="s">
        <v>334</v>
      </c>
      <c r="Q28" s="355">
        <v>293.33330000000001</v>
      </c>
      <c r="R28" s="355">
        <v>296.66669999999999</v>
      </c>
      <c r="S28" s="355" t="s">
        <v>348</v>
      </c>
      <c r="T28" s="355">
        <v>296.66669999999999</v>
      </c>
      <c r="U28" s="355">
        <v>300</v>
      </c>
      <c r="V28" s="355" t="s">
        <v>349</v>
      </c>
      <c r="W28" s="355">
        <v>300</v>
      </c>
      <c r="X28" s="355">
        <v>303.33330000000001</v>
      </c>
      <c r="Y28" s="355" t="s">
        <v>350</v>
      </c>
      <c r="Z28" s="355">
        <v>303.33330000000001</v>
      </c>
      <c r="AA28" s="355">
        <v>306.66669999999999</v>
      </c>
      <c r="AB28" s="315" t="s">
        <v>1253</v>
      </c>
      <c r="AC28" s="66" t="s">
        <v>1281</v>
      </c>
      <c r="AD28" s="66" t="s">
        <v>1239</v>
      </c>
      <c r="AE28" s="66" t="s">
        <v>455</v>
      </c>
      <c r="AF28" s="357" t="s">
        <v>375</v>
      </c>
      <c r="AG28" s="356" t="s">
        <v>1225</v>
      </c>
      <c r="AH28" s="66" t="s">
        <v>466</v>
      </c>
      <c r="AI28" s="357" t="s">
        <v>1308</v>
      </c>
      <c r="AJ28" s="66" t="s">
        <v>1490</v>
      </c>
      <c r="AK28" s="358" t="s">
        <v>1491</v>
      </c>
      <c r="AL28" s="359" t="s">
        <v>1492</v>
      </c>
      <c r="AM28" s="359" t="s">
        <v>1493</v>
      </c>
      <c r="AN28" s="359" t="s">
        <v>1494</v>
      </c>
      <c r="AO28" s="359" t="s">
        <v>1495</v>
      </c>
      <c r="AP28" s="358" t="s">
        <v>1496</v>
      </c>
    </row>
    <row r="29" spans="1:42" ht="43.5" customHeight="1" x14ac:dyDescent="0.2">
      <c r="A29" s="108">
        <v>24</v>
      </c>
      <c r="B29" s="94" t="s">
        <v>1497</v>
      </c>
      <c r="C29" s="95" t="s">
        <v>1497</v>
      </c>
      <c r="D29" s="299" t="s">
        <v>1498</v>
      </c>
      <c r="E29" s="299" t="s">
        <v>1499</v>
      </c>
      <c r="F29" s="299" t="s">
        <v>1500</v>
      </c>
      <c r="G29" s="299" t="s">
        <v>325</v>
      </c>
      <c r="H29" s="63">
        <v>306.66699999999997</v>
      </c>
      <c r="I29" s="63">
        <v>320</v>
      </c>
      <c r="J29" s="63">
        <v>6.6669999999999998</v>
      </c>
      <c r="K29" s="63">
        <v>20</v>
      </c>
      <c r="L29" s="372" t="s">
        <v>273</v>
      </c>
      <c r="M29" s="373">
        <v>18</v>
      </c>
      <c r="N29" s="361" t="s">
        <v>588</v>
      </c>
      <c r="O29" s="299" t="s">
        <v>36</v>
      </c>
      <c r="P29" s="363" t="s">
        <v>351</v>
      </c>
      <c r="Q29" s="363">
        <v>306.66669999999999</v>
      </c>
      <c r="R29" s="363">
        <v>310</v>
      </c>
      <c r="S29" s="363" t="s">
        <v>352</v>
      </c>
      <c r="T29" s="363">
        <v>310</v>
      </c>
      <c r="U29" s="363">
        <v>313.33330000000001</v>
      </c>
      <c r="V29" s="363" t="s">
        <v>325</v>
      </c>
      <c r="W29" s="363">
        <v>313.33330000000001</v>
      </c>
      <c r="X29" s="363">
        <v>316.66669999999999</v>
      </c>
      <c r="Y29" s="363" t="s">
        <v>323</v>
      </c>
      <c r="Z29" s="363">
        <v>316.66669999999999</v>
      </c>
      <c r="AA29" s="363">
        <v>320</v>
      </c>
      <c r="AB29" s="315" t="s">
        <v>1253</v>
      </c>
      <c r="AC29" s="63" t="s">
        <v>1293</v>
      </c>
      <c r="AD29" s="63" t="s">
        <v>706</v>
      </c>
      <c r="AE29" s="63" t="s">
        <v>462</v>
      </c>
      <c r="AF29" s="203" t="s">
        <v>1224</v>
      </c>
      <c r="AG29" s="356" t="s">
        <v>1225</v>
      </c>
      <c r="AH29" s="63" t="s">
        <v>466</v>
      </c>
      <c r="AI29" s="203" t="s">
        <v>1308</v>
      </c>
      <c r="AJ29" s="63" t="s">
        <v>1490</v>
      </c>
      <c r="AK29" s="364" t="s">
        <v>1501</v>
      </c>
      <c r="AL29" s="365" t="s">
        <v>1502</v>
      </c>
      <c r="AM29" s="365" t="s">
        <v>1503</v>
      </c>
      <c r="AN29" s="365" t="s">
        <v>1504</v>
      </c>
      <c r="AO29" s="365" t="s">
        <v>1505</v>
      </c>
      <c r="AP29" s="364" t="s">
        <v>1506</v>
      </c>
    </row>
    <row r="30" spans="1:42" ht="43.5" customHeight="1" x14ac:dyDescent="0.2">
      <c r="A30" s="108">
        <v>25</v>
      </c>
      <c r="B30" s="94" t="s">
        <v>1507</v>
      </c>
      <c r="C30" s="95" t="s">
        <v>1507</v>
      </c>
      <c r="D30" s="296" t="s">
        <v>1508</v>
      </c>
      <c r="E30" s="296" t="s">
        <v>1509</v>
      </c>
      <c r="F30" s="296" t="s">
        <v>1510</v>
      </c>
      <c r="G30" s="296" t="s">
        <v>1511</v>
      </c>
      <c r="H30" s="66">
        <v>320</v>
      </c>
      <c r="I30" s="66">
        <v>333.33300000000003</v>
      </c>
      <c r="J30" s="66">
        <v>20</v>
      </c>
      <c r="K30" s="66">
        <v>3.3330000000000002</v>
      </c>
      <c r="L30" s="374" t="s">
        <v>270</v>
      </c>
      <c r="M30" s="107">
        <v>16</v>
      </c>
      <c r="N30" s="368" t="s">
        <v>588</v>
      </c>
      <c r="O30" s="296" t="s">
        <v>36</v>
      </c>
      <c r="P30" s="355" t="s">
        <v>345</v>
      </c>
      <c r="Q30" s="355">
        <v>320</v>
      </c>
      <c r="R30" s="355">
        <v>323.33330000000001</v>
      </c>
      <c r="S30" s="355" t="s">
        <v>346</v>
      </c>
      <c r="T30" s="355">
        <v>323.33330000000001</v>
      </c>
      <c r="U30" s="355">
        <v>326.66669999999999</v>
      </c>
      <c r="V30" s="355" t="s">
        <v>329</v>
      </c>
      <c r="W30" s="355">
        <v>326.66669999999999</v>
      </c>
      <c r="X30" s="355">
        <v>330</v>
      </c>
      <c r="Y30" s="355" t="s">
        <v>347</v>
      </c>
      <c r="Z30" s="355">
        <v>330</v>
      </c>
      <c r="AA30" s="355">
        <v>333.33330000000001</v>
      </c>
      <c r="AB30" s="317" t="s">
        <v>1237</v>
      </c>
      <c r="AC30" s="66" t="s">
        <v>479</v>
      </c>
      <c r="AD30" s="66" t="s">
        <v>1223</v>
      </c>
      <c r="AE30" s="66" t="s">
        <v>462</v>
      </c>
      <c r="AF30" s="357" t="s">
        <v>375</v>
      </c>
      <c r="AG30" s="338" t="s">
        <v>1190</v>
      </c>
      <c r="AH30" s="66" t="s">
        <v>466</v>
      </c>
      <c r="AI30" s="357" t="s">
        <v>1241</v>
      </c>
      <c r="AJ30" s="66" t="s">
        <v>1490</v>
      </c>
      <c r="AK30" s="358" t="s">
        <v>1512</v>
      </c>
      <c r="AL30" s="359" t="s">
        <v>1513</v>
      </c>
      <c r="AM30" s="359" t="s">
        <v>1514</v>
      </c>
      <c r="AN30" s="359" t="s">
        <v>1515</v>
      </c>
      <c r="AO30" s="359" t="s">
        <v>1516</v>
      </c>
      <c r="AP30" s="358" t="s">
        <v>1517</v>
      </c>
    </row>
    <row r="31" spans="1:42" ht="43.5" customHeight="1" x14ac:dyDescent="0.2">
      <c r="A31" s="108">
        <v>26</v>
      </c>
      <c r="B31" s="94" t="s">
        <v>1518</v>
      </c>
      <c r="C31" s="95" t="s">
        <v>1518</v>
      </c>
      <c r="D31" s="299" t="s">
        <v>1519</v>
      </c>
      <c r="E31" s="299" t="s">
        <v>1520</v>
      </c>
      <c r="F31" s="299" t="s">
        <v>1521</v>
      </c>
      <c r="G31" s="299" t="s">
        <v>323</v>
      </c>
      <c r="H31" s="63">
        <v>333.33300000000003</v>
      </c>
      <c r="I31" s="63">
        <v>346.66699999999997</v>
      </c>
      <c r="J31" s="63">
        <v>3.3330000000000002</v>
      </c>
      <c r="K31" s="63">
        <v>16.667000000000002</v>
      </c>
      <c r="L31" s="375" t="s">
        <v>272</v>
      </c>
      <c r="M31" s="108">
        <v>19</v>
      </c>
      <c r="N31" s="361" t="s">
        <v>588</v>
      </c>
      <c r="O31" s="299" t="s">
        <v>36</v>
      </c>
      <c r="P31" s="363" t="s">
        <v>334</v>
      </c>
      <c r="Q31" s="363">
        <v>333.33330000000001</v>
      </c>
      <c r="R31" s="363">
        <v>336.66669999999999</v>
      </c>
      <c r="S31" s="363" t="s">
        <v>348</v>
      </c>
      <c r="T31" s="363">
        <v>336.66669999999999</v>
      </c>
      <c r="U31" s="363">
        <v>340</v>
      </c>
      <c r="V31" s="363" t="s">
        <v>349</v>
      </c>
      <c r="W31" s="363">
        <v>340</v>
      </c>
      <c r="X31" s="363">
        <v>343.33330000000001</v>
      </c>
      <c r="Y31" s="363" t="s">
        <v>350</v>
      </c>
      <c r="Z31" s="363">
        <v>343.33330000000001</v>
      </c>
      <c r="AA31" s="363">
        <v>346.66669999999999</v>
      </c>
      <c r="AB31" s="317" t="s">
        <v>1237</v>
      </c>
      <c r="AC31" s="63" t="s">
        <v>476</v>
      </c>
      <c r="AD31" s="63" t="s">
        <v>1223</v>
      </c>
      <c r="AE31" s="63" t="s">
        <v>455</v>
      </c>
      <c r="AF31" s="203" t="s">
        <v>1366</v>
      </c>
      <c r="AG31" s="318" t="s">
        <v>1255</v>
      </c>
      <c r="AH31" s="63" t="s">
        <v>466</v>
      </c>
      <c r="AI31" s="203" t="s">
        <v>1269</v>
      </c>
      <c r="AJ31" s="63" t="s">
        <v>1490</v>
      </c>
      <c r="AK31" s="364" t="s">
        <v>1522</v>
      </c>
      <c r="AL31" s="365" t="s">
        <v>1523</v>
      </c>
      <c r="AM31" s="365" t="s">
        <v>1524</v>
      </c>
      <c r="AN31" s="365" t="s">
        <v>1525</v>
      </c>
      <c r="AO31" s="365" t="s">
        <v>1526</v>
      </c>
      <c r="AP31" s="364" t="s">
        <v>1527</v>
      </c>
    </row>
    <row r="32" spans="1:42" ht="43.5" customHeight="1" x14ac:dyDescent="0.2">
      <c r="A32" s="108">
        <v>27</v>
      </c>
      <c r="B32" s="94" t="s">
        <v>1528</v>
      </c>
      <c r="C32" s="95" t="s">
        <v>1528</v>
      </c>
      <c r="D32" s="296" t="s">
        <v>1529</v>
      </c>
      <c r="E32" s="296" t="s">
        <v>1530</v>
      </c>
      <c r="F32" s="296" t="s">
        <v>1531</v>
      </c>
      <c r="G32" s="296" t="s">
        <v>323</v>
      </c>
      <c r="H32" s="66">
        <v>346.66699999999997</v>
      </c>
      <c r="I32" s="66">
        <v>360</v>
      </c>
      <c r="J32" s="66">
        <v>16.667000000000002</v>
      </c>
      <c r="K32" s="66">
        <v>30</v>
      </c>
      <c r="L32" s="376" t="s">
        <v>269</v>
      </c>
      <c r="M32" s="100">
        <v>17</v>
      </c>
      <c r="N32" s="315" t="s">
        <v>1532</v>
      </c>
      <c r="O32" s="296" t="s">
        <v>1533</v>
      </c>
      <c r="P32" s="355" t="s">
        <v>351</v>
      </c>
      <c r="Q32" s="355">
        <v>346.66669999999999</v>
      </c>
      <c r="R32" s="355">
        <v>350</v>
      </c>
      <c r="S32" s="355" t="s">
        <v>352</v>
      </c>
      <c r="T32" s="355">
        <v>350</v>
      </c>
      <c r="U32" s="355">
        <v>353.33330000000001</v>
      </c>
      <c r="V32" s="355" t="s">
        <v>325</v>
      </c>
      <c r="W32" s="355">
        <v>353.33330000000001</v>
      </c>
      <c r="X32" s="355">
        <v>356.66669999999999</v>
      </c>
      <c r="Y32" s="355" t="s">
        <v>323</v>
      </c>
      <c r="Z32" s="355">
        <v>356.66669999999999</v>
      </c>
      <c r="AA32" s="355">
        <v>360</v>
      </c>
      <c r="AB32" s="356" t="s">
        <v>1222</v>
      </c>
      <c r="AC32" s="66" t="s">
        <v>478</v>
      </c>
      <c r="AD32" s="66" t="s">
        <v>1239</v>
      </c>
      <c r="AE32" s="66" t="s">
        <v>458</v>
      </c>
      <c r="AF32" s="357" t="s">
        <v>1240</v>
      </c>
      <c r="AG32" s="340" t="s">
        <v>1268</v>
      </c>
      <c r="AH32" s="66" t="s">
        <v>467</v>
      </c>
      <c r="AI32" s="357" t="s">
        <v>1282</v>
      </c>
      <c r="AJ32" s="66" t="s">
        <v>1490</v>
      </c>
      <c r="AK32" s="358" t="s">
        <v>1534</v>
      </c>
      <c r="AL32" s="359" t="s">
        <v>1535</v>
      </c>
      <c r="AM32" s="359" t="s">
        <v>1536</v>
      </c>
      <c r="AN32" s="359" t="s">
        <v>1537</v>
      </c>
      <c r="AO32" s="359" t="s">
        <v>1538</v>
      </c>
      <c r="AP32" s="358" t="s">
        <v>1539</v>
      </c>
    </row>
    <row r="33" spans="1:42" ht="15.75" customHeight="1" x14ac:dyDescent="0.2">
      <c r="A33" s="1469" t="s">
        <v>1540</v>
      </c>
      <c r="B33" s="1469"/>
      <c r="C33" s="1469"/>
      <c r="D33" s="1469"/>
      <c r="E33" s="1469"/>
      <c r="F33" s="1469"/>
      <c r="G33" s="1469"/>
      <c r="H33" s="1469"/>
      <c r="I33" s="1469"/>
      <c r="J33" s="1469"/>
      <c r="K33" s="1469"/>
      <c r="L33" s="1469"/>
      <c r="M33" s="1469"/>
      <c r="N33" s="1469"/>
      <c r="O33" s="1469"/>
      <c r="P33" s="1469"/>
      <c r="Q33" s="1469"/>
      <c r="R33" s="1469"/>
      <c r="S33" s="1469"/>
      <c r="T33" s="1469"/>
      <c r="U33" s="1469"/>
      <c r="V33" s="1469"/>
      <c r="W33" s="1469"/>
      <c r="X33" s="1469"/>
      <c r="Y33" s="1469"/>
      <c r="Z33" s="1469"/>
      <c r="AA33" s="1469"/>
      <c r="AB33" s="1469"/>
      <c r="AC33" s="1469"/>
      <c r="AD33" s="1469"/>
      <c r="AE33" s="1469"/>
      <c r="AF33" s="1469"/>
      <c r="AG33" s="1469"/>
      <c r="AH33" s="1469"/>
      <c r="AI33" s="1469"/>
      <c r="AJ33" s="1469"/>
      <c r="AK33" s="1469"/>
      <c r="AL33" s="1469"/>
      <c r="AM33" s="1469"/>
      <c r="AN33" s="1469"/>
      <c r="AO33" s="1469"/>
      <c r="AP33" s="1469"/>
    </row>
  </sheetData>
  <mergeCells count="9">
    <mergeCell ref="A33:AP33"/>
    <mergeCell ref="A1:AP1"/>
    <mergeCell ref="A2:AP2"/>
    <mergeCell ref="A3:F3"/>
    <mergeCell ref="G3:K3"/>
    <mergeCell ref="L3:O3"/>
    <mergeCell ref="P3:AA3"/>
    <mergeCell ref="AB3:AJ3"/>
    <mergeCell ref="AK3:AP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565C0"/>
  </sheetPr>
  <dimension ref="A1:AM47"/>
  <sheetViews>
    <sheetView zoomScaleNormal="100" workbookViewId="0">
      <pane xSplit="2" ySplit="3" topLeftCell="C4" activePane="bottomRight" state="frozen"/>
      <selection pane="bottomLeft" activeCell="A4" sqref="A4"/>
      <selection pane="topRight" activeCell="C1" sqref="C1"/>
      <selection pane="bottomRight"/>
    </sheetView>
  </sheetViews>
  <sheetFormatPr defaultColWidth="8.609375" defaultRowHeight="15" x14ac:dyDescent="0.2"/>
  <cols>
    <col min="1" max="1" width="11.97265625" customWidth="1"/>
    <col min="2" max="2" width="13.98828125" customWidth="1"/>
    <col min="3" max="4" width="18.0234375" customWidth="1"/>
    <col min="5" max="5" width="22.05859375" customWidth="1"/>
    <col min="6" max="7" width="18.0234375" customWidth="1"/>
    <col min="8" max="8" width="22.05859375" customWidth="1"/>
    <col min="9" max="10" width="18.0234375" customWidth="1"/>
    <col min="11" max="11" width="22.05859375" customWidth="1"/>
    <col min="12" max="13" width="18.0234375" customWidth="1"/>
    <col min="14" max="14" width="22.05859375" customWidth="1"/>
    <col min="15" max="16" width="18.0234375" customWidth="1"/>
    <col min="17" max="17" width="22.05859375" customWidth="1"/>
    <col min="18" max="19" width="18.0234375" customWidth="1"/>
    <col min="20" max="20" width="22.05859375" customWidth="1"/>
    <col min="21" max="22" width="18.0234375" customWidth="1"/>
    <col min="23" max="23" width="22.05859375" customWidth="1"/>
    <col min="24" max="25" width="18.0234375" customWidth="1"/>
    <col min="26" max="26" width="22.05859375" customWidth="1"/>
    <col min="27" max="28" width="18.0234375" customWidth="1"/>
    <col min="29" max="29" width="22.05859375" customWidth="1"/>
    <col min="30" max="31" width="18.0234375" customWidth="1"/>
    <col min="32" max="32" width="22.05859375" customWidth="1"/>
    <col min="33" max="34" width="18.0234375" customWidth="1"/>
    <col min="35" max="35" width="22.05859375" customWidth="1"/>
    <col min="36" max="37" width="18.0234375" customWidth="1"/>
    <col min="38" max="38" width="22.05859375" customWidth="1"/>
  </cols>
  <sheetData>
    <row r="1" spans="1:17" ht="27.75" customHeight="1" x14ac:dyDescent="0.2">
      <c r="A1" s="1474" t="s">
        <v>1541</v>
      </c>
      <c r="B1" s="1474"/>
      <c r="C1" s="1474"/>
      <c r="D1" s="1474"/>
      <c r="E1" s="1474"/>
      <c r="F1" s="1474"/>
      <c r="G1" s="1474"/>
      <c r="H1" s="1474"/>
      <c r="I1" s="1474"/>
      <c r="J1" s="1474"/>
      <c r="K1" s="1474"/>
      <c r="L1" s="1474"/>
      <c r="M1" s="1474"/>
      <c r="N1" s="1474"/>
      <c r="O1" s="1474"/>
      <c r="P1" s="1474"/>
      <c r="Q1" s="29" t="str">
        <f>HYPERLINK("#'00_INDEX'!A1","&lt;- Index")</f>
        <v>&lt;- Index</v>
      </c>
    </row>
    <row r="2" spans="1:17" ht="21.75" customHeight="1" x14ac:dyDescent="0.2">
      <c r="A2" s="1475" t="s">
        <v>1542</v>
      </c>
      <c r="B2" s="1475"/>
      <c r="C2" s="1475"/>
      <c r="D2" s="1475"/>
      <c r="E2" s="1475"/>
      <c r="F2" s="1475"/>
      <c r="G2" s="1475"/>
      <c r="H2" s="1475"/>
      <c r="I2" s="1475"/>
      <c r="J2" s="1475"/>
      <c r="K2" s="1475"/>
      <c r="L2" s="1475"/>
      <c r="M2" s="1475"/>
      <c r="N2" s="1475"/>
      <c r="O2" s="1475"/>
      <c r="P2" s="1475"/>
    </row>
    <row r="3" spans="1:17" ht="21.75" customHeight="1" x14ac:dyDescent="0.2">
      <c r="A3" s="1488" t="s">
        <v>1543</v>
      </c>
      <c r="B3" s="1488"/>
      <c r="C3" s="1488"/>
      <c r="D3" s="1488"/>
      <c r="E3" s="1488"/>
      <c r="F3" s="1488"/>
      <c r="G3" s="1488"/>
      <c r="H3" s="1488"/>
      <c r="I3" s="1488"/>
      <c r="J3" s="1488"/>
      <c r="K3" s="1488"/>
      <c r="L3" s="1488"/>
      <c r="M3" s="1488"/>
      <c r="N3" s="1488"/>
      <c r="O3" s="1488"/>
      <c r="P3" s="1488"/>
    </row>
    <row r="4" spans="1:17" ht="19.5" customHeight="1" x14ac:dyDescent="0.2">
      <c r="A4" s="377" t="s">
        <v>319</v>
      </c>
      <c r="B4" s="377" t="s">
        <v>344</v>
      </c>
      <c r="C4" s="377" t="s">
        <v>844</v>
      </c>
      <c r="D4" s="377" t="s">
        <v>1544</v>
      </c>
      <c r="E4" s="377" t="s">
        <v>847</v>
      </c>
      <c r="F4" s="377" t="s">
        <v>842</v>
      </c>
      <c r="G4" s="377" t="s">
        <v>1545</v>
      </c>
      <c r="H4" s="377" t="s">
        <v>1546</v>
      </c>
      <c r="I4" s="377" t="s">
        <v>846</v>
      </c>
      <c r="J4" s="377" t="s">
        <v>1547</v>
      </c>
      <c r="K4" s="377" t="s">
        <v>848</v>
      </c>
      <c r="L4" s="377" t="s">
        <v>841</v>
      </c>
      <c r="M4" s="377" t="s">
        <v>1548</v>
      </c>
      <c r="N4" s="377" t="s">
        <v>1549</v>
      </c>
      <c r="O4" s="377" t="s">
        <v>915</v>
      </c>
      <c r="P4" s="377" t="s">
        <v>1550</v>
      </c>
    </row>
    <row r="5" spans="1:17" ht="37.5" customHeight="1" x14ac:dyDescent="0.2">
      <c r="A5" s="263" t="s">
        <v>266</v>
      </c>
      <c r="B5" s="378" t="s">
        <v>288</v>
      </c>
      <c r="D5" s="379" t="s">
        <v>185</v>
      </c>
      <c r="E5" s="379" t="s">
        <v>185</v>
      </c>
      <c r="F5" s="379" t="s">
        <v>185</v>
      </c>
      <c r="G5" s="379" t="s">
        <v>185</v>
      </c>
      <c r="H5" s="379" t="s">
        <v>185</v>
      </c>
      <c r="I5" s="379" t="s">
        <v>185</v>
      </c>
      <c r="J5" s="328" t="s">
        <v>1551</v>
      </c>
      <c r="K5" s="379" t="s">
        <v>185</v>
      </c>
      <c r="L5" s="379" t="s">
        <v>185</v>
      </c>
      <c r="M5" s="379" t="s">
        <v>185</v>
      </c>
      <c r="N5" s="379" t="s">
        <v>185</v>
      </c>
      <c r="O5" s="379" t="s">
        <v>185</v>
      </c>
      <c r="P5" s="380" t="s">
        <v>917</v>
      </c>
      <c r="Q5" s="381" t="s">
        <v>1552</v>
      </c>
    </row>
    <row r="6" spans="1:17" ht="37.5" customHeight="1" x14ac:dyDescent="0.2">
      <c r="A6" s="276" t="s">
        <v>267</v>
      </c>
      <c r="B6" s="382" t="s">
        <v>291</v>
      </c>
      <c r="D6" s="379" t="s">
        <v>185</v>
      </c>
      <c r="E6" s="379" t="s">
        <v>185</v>
      </c>
      <c r="F6" s="379" t="s">
        <v>185</v>
      </c>
      <c r="G6" s="379" t="s">
        <v>185</v>
      </c>
      <c r="H6" s="379" t="s">
        <v>185</v>
      </c>
      <c r="I6" s="379" t="s">
        <v>185</v>
      </c>
      <c r="J6" s="328" t="s">
        <v>1551</v>
      </c>
      <c r="K6" s="379" t="s">
        <v>185</v>
      </c>
      <c r="L6" s="379" t="s">
        <v>185</v>
      </c>
      <c r="M6" s="379" t="s">
        <v>185</v>
      </c>
      <c r="N6" s="379" t="s">
        <v>185</v>
      </c>
      <c r="O6" s="379" t="s">
        <v>185</v>
      </c>
      <c r="P6" s="383" t="s">
        <v>917</v>
      </c>
      <c r="Q6" s="381" t="s">
        <v>1553</v>
      </c>
    </row>
    <row r="7" spans="1:17" ht="37.5" customHeight="1" x14ac:dyDescent="0.2">
      <c r="A7" s="279" t="s">
        <v>268</v>
      </c>
      <c r="B7" s="384" t="s">
        <v>294</v>
      </c>
      <c r="D7" s="379" t="s">
        <v>185</v>
      </c>
      <c r="E7" s="379" t="s">
        <v>185</v>
      </c>
      <c r="F7" s="379" t="s">
        <v>185</v>
      </c>
      <c r="G7" s="328" t="s">
        <v>1551</v>
      </c>
      <c r="H7" s="379" t="s">
        <v>185</v>
      </c>
      <c r="I7" s="379" t="s">
        <v>185</v>
      </c>
      <c r="J7" s="328" t="s">
        <v>1551</v>
      </c>
      <c r="K7" s="328" t="s">
        <v>1551</v>
      </c>
      <c r="L7" s="379" t="s">
        <v>185</v>
      </c>
      <c r="M7" s="379" t="s">
        <v>185</v>
      </c>
      <c r="N7" s="379" t="s">
        <v>185</v>
      </c>
      <c r="O7" s="379" t="s">
        <v>185</v>
      </c>
      <c r="P7" s="385" t="s">
        <v>1554</v>
      </c>
      <c r="Q7" s="381" t="s">
        <v>1555</v>
      </c>
    </row>
    <row r="8" spans="1:17" ht="37.5" customHeight="1" x14ac:dyDescent="0.2">
      <c r="A8" s="281" t="s">
        <v>269</v>
      </c>
      <c r="B8" s="386" t="s">
        <v>297</v>
      </c>
      <c r="D8" s="379" t="s">
        <v>185</v>
      </c>
      <c r="E8" s="379" t="s">
        <v>185</v>
      </c>
      <c r="F8" s="379" t="s">
        <v>185</v>
      </c>
      <c r="G8" s="379" t="s">
        <v>185</v>
      </c>
      <c r="H8" s="379" t="s">
        <v>185</v>
      </c>
      <c r="I8" s="379" t="s">
        <v>185</v>
      </c>
      <c r="J8" s="328" t="s">
        <v>1551</v>
      </c>
      <c r="K8" s="379" t="s">
        <v>185</v>
      </c>
      <c r="L8" s="379" t="s">
        <v>185</v>
      </c>
      <c r="M8" s="379" t="s">
        <v>185</v>
      </c>
      <c r="N8" s="379" t="s">
        <v>185</v>
      </c>
      <c r="O8" s="379" t="s">
        <v>185</v>
      </c>
      <c r="P8" s="387" t="s">
        <v>917</v>
      </c>
      <c r="Q8" s="381" t="s">
        <v>1556</v>
      </c>
    </row>
    <row r="9" spans="1:17" ht="37.5" customHeight="1" x14ac:dyDescent="0.2">
      <c r="A9" s="283" t="s">
        <v>270</v>
      </c>
      <c r="B9" s="388" t="s">
        <v>300</v>
      </c>
      <c r="D9" s="379" t="s">
        <v>185</v>
      </c>
      <c r="E9" s="379" t="s">
        <v>185</v>
      </c>
      <c r="F9" s="379" t="s">
        <v>185</v>
      </c>
      <c r="G9" s="379" t="s">
        <v>185</v>
      </c>
      <c r="H9" s="328" t="s">
        <v>1551</v>
      </c>
      <c r="I9" s="379" t="s">
        <v>185</v>
      </c>
      <c r="J9" s="328" t="s">
        <v>1551</v>
      </c>
      <c r="K9" s="379" t="s">
        <v>185</v>
      </c>
      <c r="L9" s="328" t="s">
        <v>1551</v>
      </c>
      <c r="M9" s="379" t="s">
        <v>185</v>
      </c>
      <c r="N9" s="379" t="s">
        <v>185</v>
      </c>
      <c r="O9" s="379" t="s">
        <v>185</v>
      </c>
      <c r="P9" s="389" t="s">
        <v>1557</v>
      </c>
      <c r="Q9" s="381" t="s">
        <v>1558</v>
      </c>
    </row>
    <row r="10" spans="1:17" ht="37.5" customHeight="1" x14ac:dyDescent="0.2">
      <c r="A10" s="285" t="s">
        <v>271</v>
      </c>
      <c r="B10" s="390" t="s">
        <v>303</v>
      </c>
      <c r="D10" s="379" t="s">
        <v>185</v>
      </c>
      <c r="E10" s="379" t="s">
        <v>185</v>
      </c>
      <c r="F10" s="379" t="s">
        <v>185</v>
      </c>
      <c r="G10" s="379" t="s">
        <v>185</v>
      </c>
      <c r="H10" s="379" t="s">
        <v>185</v>
      </c>
      <c r="I10" s="379" t="s">
        <v>185</v>
      </c>
      <c r="J10" s="328" t="s">
        <v>1551</v>
      </c>
      <c r="K10" s="379" t="s">
        <v>185</v>
      </c>
      <c r="L10" s="379" t="s">
        <v>185</v>
      </c>
      <c r="M10" s="379" t="s">
        <v>185</v>
      </c>
      <c r="N10" s="379" t="s">
        <v>185</v>
      </c>
      <c r="O10" s="379" t="s">
        <v>185</v>
      </c>
      <c r="P10" s="391" t="s">
        <v>917</v>
      </c>
      <c r="Q10" s="381" t="s">
        <v>1559</v>
      </c>
    </row>
    <row r="11" spans="1:17" ht="37.5" customHeight="1" x14ac:dyDescent="0.2">
      <c r="A11" s="287" t="s">
        <v>272</v>
      </c>
      <c r="B11" s="392" t="s">
        <v>306</v>
      </c>
      <c r="D11" s="379" t="s">
        <v>185</v>
      </c>
      <c r="E11" s="379" t="s">
        <v>185</v>
      </c>
      <c r="F11" s="328" t="s">
        <v>1551</v>
      </c>
      <c r="G11" s="379" t="s">
        <v>185</v>
      </c>
      <c r="H11" s="379" t="s">
        <v>185</v>
      </c>
      <c r="I11" s="379" t="s">
        <v>185</v>
      </c>
      <c r="J11" s="328" t="s">
        <v>1551</v>
      </c>
      <c r="K11" s="379" t="s">
        <v>185</v>
      </c>
      <c r="L11" s="379" t="s">
        <v>185</v>
      </c>
      <c r="M11" s="328" t="s">
        <v>1551</v>
      </c>
      <c r="N11" s="379" t="s">
        <v>185</v>
      </c>
      <c r="O11" s="379" t="s">
        <v>185</v>
      </c>
      <c r="P11" s="393" t="s">
        <v>1560</v>
      </c>
      <c r="Q11" s="381" t="s">
        <v>1561</v>
      </c>
    </row>
    <row r="12" spans="1:17" ht="37.5" customHeight="1" x14ac:dyDescent="0.2">
      <c r="A12" s="289" t="s">
        <v>273</v>
      </c>
      <c r="B12" s="394" t="s">
        <v>273</v>
      </c>
      <c r="D12" s="379" t="s">
        <v>185</v>
      </c>
      <c r="E12" s="379" t="s">
        <v>185</v>
      </c>
      <c r="F12" s="379" t="s">
        <v>185</v>
      </c>
      <c r="G12" s="379" t="s">
        <v>185</v>
      </c>
      <c r="H12" s="328" t="s">
        <v>1551</v>
      </c>
      <c r="I12" s="379" t="s">
        <v>185</v>
      </c>
      <c r="J12" s="328" t="s">
        <v>1551</v>
      </c>
      <c r="K12" s="379" t="s">
        <v>185</v>
      </c>
      <c r="L12" s="328" t="s">
        <v>1551</v>
      </c>
      <c r="M12" s="379" t="s">
        <v>185</v>
      </c>
      <c r="N12" s="379" t="s">
        <v>185</v>
      </c>
      <c r="O12" s="379" t="s">
        <v>185</v>
      </c>
      <c r="P12" s="395" t="s">
        <v>1557</v>
      </c>
      <c r="Q12" s="381" t="s">
        <v>1562</v>
      </c>
    </row>
    <row r="13" spans="1:17" ht="37.5" customHeight="1" x14ac:dyDescent="0.2">
      <c r="A13" s="291" t="s">
        <v>274</v>
      </c>
      <c r="B13" s="396" t="s">
        <v>274</v>
      </c>
      <c r="D13" s="379" t="s">
        <v>185</v>
      </c>
      <c r="E13" s="379" t="s">
        <v>185</v>
      </c>
      <c r="F13" s="379" t="s">
        <v>185</v>
      </c>
      <c r="G13" s="379" t="s">
        <v>185</v>
      </c>
      <c r="H13" s="328" t="s">
        <v>1551</v>
      </c>
      <c r="I13" s="379" t="s">
        <v>185</v>
      </c>
      <c r="J13" s="328" t="s">
        <v>1551</v>
      </c>
      <c r="K13" s="379" t="s">
        <v>185</v>
      </c>
      <c r="L13" s="328" t="s">
        <v>1551</v>
      </c>
      <c r="M13" s="379" t="s">
        <v>185</v>
      </c>
      <c r="N13" s="379" t="s">
        <v>185</v>
      </c>
      <c r="O13" s="379" t="s">
        <v>185</v>
      </c>
      <c r="P13" s="397" t="s">
        <v>1557</v>
      </c>
      <c r="Q13" s="381" t="s">
        <v>1563</v>
      </c>
    </row>
    <row r="16" spans="1:17" ht="21.75" customHeight="1" x14ac:dyDescent="0.2">
      <c r="A16" s="1477" t="s">
        <v>1564</v>
      </c>
      <c r="B16" s="1477"/>
      <c r="C16" s="1477"/>
      <c r="D16" s="1477"/>
      <c r="E16" s="1477"/>
      <c r="F16" s="1477"/>
      <c r="G16" s="1477"/>
      <c r="H16" s="1477"/>
      <c r="I16" s="1477"/>
      <c r="J16" s="1477"/>
      <c r="K16" s="1477"/>
      <c r="L16" s="1477"/>
      <c r="M16" s="1477"/>
      <c r="N16" s="1477"/>
      <c r="O16" s="1477"/>
      <c r="P16" s="1477"/>
      <c r="Q16" s="1477"/>
    </row>
    <row r="17" spans="1:39" ht="19.5" customHeight="1" x14ac:dyDescent="0.2">
      <c r="A17" s="189" t="s">
        <v>1565</v>
      </c>
      <c r="B17" s="189" t="s">
        <v>1566</v>
      </c>
      <c r="C17" s="189" t="s">
        <v>1567</v>
      </c>
      <c r="D17" s="189" t="s">
        <v>1568</v>
      </c>
      <c r="E17" s="189" t="s">
        <v>1569</v>
      </c>
      <c r="F17" s="1489" t="s">
        <v>1570</v>
      </c>
      <c r="G17" s="1489"/>
      <c r="H17" s="1489"/>
      <c r="I17" s="1489"/>
      <c r="J17" s="1489"/>
      <c r="K17" s="1489"/>
      <c r="L17" s="1489"/>
      <c r="M17" s="1489"/>
      <c r="N17" s="1489"/>
      <c r="O17" s="1489"/>
      <c r="P17" s="1489"/>
      <c r="Q17" s="1489"/>
    </row>
    <row r="18" spans="1:39" ht="25.5" customHeight="1" x14ac:dyDescent="0.2">
      <c r="A18" s="100" t="s">
        <v>1571</v>
      </c>
      <c r="B18" s="100" t="s">
        <v>1572</v>
      </c>
      <c r="C18" s="398" t="s">
        <v>1573</v>
      </c>
      <c r="D18" s="399" t="s">
        <v>1574</v>
      </c>
      <c r="E18" s="357" t="s">
        <v>1575</v>
      </c>
      <c r="F18" s="1490" t="s">
        <v>1576</v>
      </c>
      <c r="G18" s="1490"/>
      <c r="H18" s="1490"/>
      <c r="I18" s="1490"/>
      <c r="J18" s="1490"/>
      <c r="K18" s="1490"/>
      <c r="L18" s="1490"/>
      <c r="M18" s="1490"/>
      <c r="N18" s="1490"/>
      <c r="O18" s="1490"/>
      <c r="P18" s="1490"/>
      <c r="Q18" s="1490"/>
    </row>
    <row r="19" spans="1:39" ht="25.5" customHeight="1" x14ac:dyDescent="0.2">
      <c r="A19" s="69" t="s">
        <v>1577</v>
      </c>
      <c r="B19" s="69" t="s">
        <v>1578</v>
      </c>
      <c r="C19" s="401" t="s">
        <v>1579</v>
      </c>
      <c r="D19" s="402" t="s">
        <v>1580</v>
      </c>
      <c r="E19" s="203" t="s">
        <v>1581</v>
      </c>
      <c r="F19" s="1491" t="s">
        <v>1582</v>
      </c>
      <c r="G19" s="1491"/>
      <c r="H19" s="1491"/>
      <c r="I19" s="1491"/>
      <c r="J19" s="1491"/>
      <c r="K19" s="1491"/>
      <c r="L19" s="1491"/>
      <c r="M19" s="1491"/>
      <c r="N19" s="1491"/>
      <c r="O19" s="1491"/>
      <c r="P19" s="1491"/>
      <c r="Q19" s="1491"/>
    </row>
    <row r="20" spans="1:39" ht="25.5" customHeight="1" x14ac:dyDescent="0.2">
      <c r="A20" s="404" t="s">
        <v>1583</v>
      </c>
      <c r="B20" s="404" t="s">
        <v>1584</v>
      </c>
      <c r="C20" s="405" t="s">
        <v>1579</v>
      </c>
      <c r="D20" s="398" t="s">
        <v>1585</v>
      </c>
      <c r="E20" s="357" t="s">
        <v>1586</v>
      </c>
      <c r="F20" s="1490" t="s">
        <v>1587</v>
      </c>
      <c r="G20" s="1490"/>
      <c r="H20" s="1490"/>
      <c r="I20" s="1490"/>
      <c r="J20" s="1490"/>
      <c r="K20" s="1490"/>
      <c r="L20" s="1490"/>
      <c r="M20" s="1490"/>
      <c r="N20" s="1490"/>
      <c r="O20" s="1490"/>
      <c r="P20" s="1490"/>
      <c r="Q20" s="1490"/>
    </row>
    <row r="21" spans="1:39" ht="25.5" customHeight="1" x14ac:dyDescent="0.2">
      <c r="A21" s="103" t="s">
        <v>1588</v>
      </c>
      <c r="B21" s="103" t="s">
        <v>1589</v>
      </c>
      <c r="C21" s="401" t="s">
        <v>1579</v>
      </c>
      <c r="D21" s="402" t="s">
        <v>1590</v>
      </c>
      <c r="E21" s="203" t="s">
        <v>1591</v>
      </c>
      <c r="F21" s="1491" t="s">
        <v>1592</v>
      </c>
      <c r="G21" s="1491"/>
      <c r="H21" s="1491"/>
      <c r="I21" s="1491"/>
      <c r="J21" s="1491"/>
      <c r="K21" s="1491"/>
      <c r="L21" s="1491"/>
      <c r="M21" s="1491"/>
      <c r="N21" s="1491"/>
      <c r="O21" s="1491"/>
      <c r="P21" s="1491"/>
      <c r="Q21" s="1491"/>
    </row>
    <row r="22" spans="1:39" ht="25.5" customHeight="1" x14ac:dyDescent="0.2">
      <c r="A22" s="406" t="s">
        <v>1593</v>
      </c>
      <c r="B22" s="406" t="s">
        <v>1594</v>
      </c>
      <c r="C22" s="405" t="s">
        <v>1595</v>
      </c>
      <c r="D22" s="398" t="s">
        <v>1596</v>
      </c>
      <c r="E22" s="357" t="s">
        <v>1597</v>
      </c>
      <c r="F22" s="1490" t="s">
        <v>1598</v>
      </c>
      <c r="G22" s="1490"/>
      <c r="H22" s="1490"/>
      <c r="I22" s="1490"/>
      <c r="J22" s="1490"/>
      <c r="K22" s="1490"/>
      <c r="L22" s="1490"/>
      <c r="M22" s="1490"/>
      <c r="N22" s="1490"/>
      <c r="O22" s="1490"/>
      <c r="P22" s="1490"/>
      <c r="Q22" s="1490"/>
    </row>
    <row r="26" spans="1:39" ht="21.75" customHeight="1" x14ac:dyDescent="0.2">
      <c r="A26" s="1481" t="s">
        <v>1599</v>
      </c>
      <c r="B26" s="1481"/>
      <c r="C26" s="1481"/>
      <c r="D26" s="1481"/>
      <c r="E26" s="1481"/>
      <c r="F26" s="1481"/>
      <c r="G26" s="1481"/>
      <c r="H26" s="1481"/>
      <c r="I26" s="1481"/>
      <c r="J26" s="1481"/>
      <c r="K26" s="1481"/>
      <c r="L26" s="1481"/>
      <c r="M26" s="1481"/>
      <c r="N26" s="1481"/>
      <c r="O26" s="1481"/>
      <c r="P26" s="1481"/>
      <c r="Q26" s="1481"/>
      <c r="R26" s="1481"/>
      <c r="S26" s="1481"/>
      <c r="T26" s="1481"/>
      <c r="U26" s="1481"/>
      <c r="V26" s="1481"/>
      <c r="W26" s="1481"/>
      <c r="X26" s="1481"/>
      <c r="Y26" s="1481"/>
      <c r="Z26" s="1481"/>
      <c r="AA26" s="1481"/>
      <c r="AB26" s="1481"/>
      <c r="AC26" s="1481"/>
      <c r="AD26" s="1481"/>
      <c r="AE26" s="1481"/>
      <c r="AF26" s="1481"/>
      <c r="AG26" s="1481"/>
      <c r="AH26" s="1481"/>
      <c r="AI26" s="1481"/>
      <c r="AJ26" s="1481"/>
      <c r="AK26" s="1481"/>
      <c r="AL26" s="1481"/>
      <c r="AM26" s="1481"/>
    </row>
    <row r="27" spans="1:39" ht="19.5" customHeight="1" x14ac:dyDescent="0.2">
      <c r="A27" s="189" t="s">
        <v>319</v>
      </c>
      <c r="B27" s="189" t="s">
        <v>344</v>
      </c>
      <c r="C27" s="1492" t="s">
        <v>1600</v>
      </c>
      <c r="D27" s="1492"/>
      <c r="E27" s="1492"/>
      <c r="F27" s="1493" t="s">
        <v>1601</v>
      </c>
      <c r="G27" s="1493"/>
      <c r="H27" s="1493"/>
      <c r="I27" s="1494" t="s">
        <v>1602</v>
      </c>
      <c r="J27" s="1494"/>
      <c r="K27" s="1494"/>
      <c r="L27" s="1495" t="s">
        <v>1603</v>
      </c>
      <c r="M27" s="1495"/>
      <c r="N27" s="1495"/>
      <c r="O27" s="1496" t="s">
        <v>1604</v>
      </c>
      <c r="P27" s="1496"/>
      <c r="Q27" s="1496"/>
      <c r="R27" s="1497" t="s">
        <v>1605</v>
      </c>
      <c r="S27" s="1497"/>
      <c r="T27" s="1497"/>
      <c r="U27" s="1497" t="s">
        <v>1606</v>
      </c>
      <c r="V27" s="1497"/>
      <c r="W27" s="1497"/>
      <c r="X27" s="1498" t="s">
        <v>1607</v>
      </c>
      <c r="Y27" s="1498"/>
      <c r="Z27" s="1498"/>
      <c r="AA27" s="1499" t="s">
        <v>1608</v>
      </c>
      <c r="AB27" s="1499"/>
      <c r="AC27" s="1499"/>
      <c r="AD27" s="1500" t="s">
        <v>1609</v>
      </c>
      <c r="AE27" s="1500"/>
      <c r="AF27" s="1500"/>
      <c r="AG27" s="1482" t="s">
        <v>1610</v>
      </c>
      <c r="AH27" s="1482"/>
      <c r="AI27" s="1482"/>
      <c r="AJ27" s="1482" t="s">
        <v>1611</v>
      </c>
      <c r="AK27" s="1482"/>
      <c r="AL27" s="1482"/>
    </row>
    <row r="28" spans="1:39" ht="30" customHeight="1" x14ac:dyDescent="0.2">
      <c r="C28" s="407" t="s">
        <v>1612</v>
      </c>
      <c r="D28" s="408" t="s">
        <v>1613</v>
      </c>
      <c r="E28" s="408" t="s">
        <v>1614</v>
      </c>
      <c r="F28" s="409" t="s">
        <v>1612</v>
      </c>
      <c r="G28" s="410" t="s">
        <v>1613</v>
      </c>
      <c r="H28" s="410" t="s">
        <v>1614</v>
      </c>
      <c r="I28" s="411" t="s">
        <v>1612</v>
      </c>
      <c r="J28" s="412" t="s">
        <v>1613</v>
      </c>
      <c r="K28" s="412" t="s">
        <v>1614</v>
      </c>
      <c r="L28" s="413" t="s">
        <v>1612</v>
      </c>
      <c r="M28" s="414" t="s">
        <v>1613</v>
      </c>
      <c r="N28" s="414" t="s">
        <v>1614</v>
      </c>
      <c r="O28" s="415" t="s">
        <v>1612</v>
      </c>
      <c r="P28" s="416" t="s">
        <v>1613</v>
      </c>
      <c r="Q28" s="416" t="s">
        <v>1614</v>
      </c>
      <c r="R28" s="417" t="s">
        <v>1612</v>
      </c>
      <c r="S28" s="418" t="s">
        <v>1613</v>
      </c>
      <c r="T28" s="418" t="s">
        <v>1614</v>
      </c>
      <c r="U28" s="417" t="s">
        <v>1612</v>
      </c>
      <c r="V28" s="418" t="s">
        <v>1613</v>
      </c>
      <c r="W28" s="418" t="s">
        <v>1614</v>
      </c>
      <c r="X28" s="419" t="s">
        <v>1612</v>
      </c>
      <c r="Y28" s="420" t="s">
        <v>1613</v>
      </c>
      <c r="Z28" s="420" t="s">
        <v>1614</v>
      </c>
      <c r="AA28" s="421" t="s">
        <v>1612</v>
      </c>
      <c r="AB28" s="422" t="s">
        <v>1613</v>
      </c>
      <c r="AC28" s="422" t="s">
        <v>1614</v>
      </c>
      <c r="AD28" s="423" t="s">
        <v>1612</v>
      </c>
      <c r="AE28" s="424" t="s">
        <v>1613</v>
      </c>
      <c r="AF28" s="424" t="s">
        <v>1614</v>
      </c>
      <c r="AG28" s="425" t="s">
        <v>1612</v>
      </c>
      <c r="AH28" s="426" t="s">
        <v>1613</v>
      </c>
      <c r="AI28" s="426" t="s">
        <v>1614</v>
      </c>
      <c r="AJ28" s="425" t="s">
        <v>1612</v>
      </c>
      <c r="AK28" s="426" t="s">
        <v>1613</v>
      </c>
      <c r="AL28" s="426" t="s">
        <v>1614</v>
      </c>
    </row>
    <row r="29" spans="1:39" ht="21.75" customHeight="1" x14ac:dyDescent="0.2">
      <c r="A29" s="427" t="s">
        <v>266</v>
      </c>
      <c r="B29" s="378" t="s">
        <v>288</v>
      </c>
      <c r="C29" s="316" t="s">
        <v>846</v>
      </c>
      <c r="D29" s="428" t="s">
        <v>1615</v>
      </c>
      <c r="E29" s="429" t="s">
        <v>917</v>
      </c>
      <c r="F29" s="316" t="s">
        <v>1547</v>
      </c>
      <c r="G29" s="430" t="s">
        <v>1616</v>
      </c>
      <c r="H29" s="431" t="s">
        <v>917</v>
      </c>
      <c r="I29" s="316" t="s">
        <v>848</v>
      </c>
      <c r="J29" s="432" t="s">
        <v>1617</v>
      </c>
      <c r="K29" s="433" t="s">
        <v>917</v>
      </c>
      <c r="L29" s="316" t="s">
        <v>841</v>
      </c>
      <c r="M29" s="434" t="s">
        <v>1618</v>
      </c>
      <c r="N29" s="435" t="s">
        <v>917</v>
      </c>
      <c r="O29" s="316" t="s">
        <v>1548</v>
      </c>
      <c r="P29" s="436" t="s">
        <v>1619</v>
      </c>
      <c r="Q29" s="437" t="s">
        <v>917</v>
      </c>
      <c r="R29" s="316" t="s">
        <v>1549</v>
      </c>
      <c r="S29" s="438" t="s">
        <v>1620</v>
      </c>
      <c r="T29" s="439" t="s">
        <v>917</v>
      </c>
      <c r="U29" s="316" t="s">
        <v>844</v>
      </c>
      <c r="V29" s="438" t="s">
        <v>1621</v>
      </c>
      <c r="W29" s="439" t="s">
        <v>917</v>
      </c>
      <c r="X29" s="316" t="s">
        <v>1544</v>
      </c>
      <c r="Y29" s="440" t="s">
        <v>1622</v>
      </c>
      <c r="Z29" s="441" t="s">
        <v>917</v>
      </c>
      <c r="AA29" s="316" t="s">
        <v>847</v>
      </c>
      <c r="AB29" s="442" t="s">
        <v>1623</v>
      </c>
      <c r="AC29" s="443" t="s">
        <v>917</v>
      </c>
      <c r="AD29" s="316" t="s">
        <v>842</v>
      </c>
      <c r="AE29" s="444" t="s">
        <v>1624</v>
      </c>
      <c r="AF29" s="445" t="s">
        <v>917</v>
      </c>
      <c r="AG29" s="316" t="s">
        <v>1545</v>
      </c>
      <c r="AH29" s="446" t="s">
        <v>1625</v>
      </c>
      <c r="AI29" s="447" t="s">
        <v>917</v>
      </c>
      <c r="AJ29" s="316" t="s">
        <v>1546</v>
      </c>
      <c r="AK29" s="446" t="s">
        <v>1626</v>
      </c>
      <c r="AL29" s="447" t="s">
        <v>917</v>
      </c>
    </row>
    <row r="30" spans="1:39" ht="21.75" customHeight="1" x14ac:dyDescent="0.2">
      <c r="A30" s="448" t="s">
        <v>267</v>
      </c>
      <c r="B30" s="382" t="s">
        <v>291</v>
      </c>
      <c r="C30" s="316" t="s">
        <v>846</v>
      </c>
      <c r="D30" s="428" t="s">
        <v>1615</v>
      </c>
      <c r="E30" s="429" t="s">
        <v>917</v>
      </c>
      <c r="F30" s="316" t="s">
        <v>1547</v>
      </c>
      <c r="G30" s="430" t="s">
        <v>1616</v>
      </c>
      <c r="H30" s="431" t="s">
        <v>917</v>
      </c>
      <c r="I30" s="316" t="s">
        <v>848</v>
      </c>
      <c r="J30" s="432" t="s">
        <v>1617</v>
      </c>
      <c r="K30" s="433" t="s">
        <v>917</v>
      </c>
      <c r="L30" s="316" t="s">
        <v>841</v>
      </c>
      <c r="M30" s="434" t="s">
        <v>1618</v>
      </c>
      <c r="N30" s="435" t="s">
        <v>917</v>
      </c>
      <c r="O30" s="316" t="s">
        <v>1548</v>
      </c>
      <c r="P30" s="436" t="s">
        <v>1619</v>
      </c>
      <c r="Q30" s="437" t="s">
        <v>917</v>
      </c>
      <c r="R30" s="316" t="s">
        <v>1549</v>
      </c>
      <c r="S30" s="438" t="s">
        <v>1620</v>
      </c>
      <c r="T30" s="439" t="s">
        <v>917</v>
      </c>
      <c r="U30" s="316" t="s">
        <v>844</v>
      </c>
      <c r="V30" s="438" t="s">
        <v>1621</v>
      </c>
      <c r="W30" s="439" t="s">
        <v>917</v>
      </c>
      <c r="X30" s="316" t="s">
        <v>1544</v>
      </c>
      <c r="Y30" s="440" t="s">
        <v>1622</v>
      </c>
      <c r="Z30" s="441" t="s">
        <v>917</v>
      </c>
      <c r="AA30" s="316" t="s">
        <v>847</v>
      </c>
      <c r="AB30" s="442" t="s">
        <v>1623</v>
      </c>
      <c r="AC30" s="443" t="s">
        <v>917</v>
      </c>
      <c r="AD30" s="316" t="s">
        <v>842</v>
      </c>
      <c r="AE30" s="444" t="s">
        <v>1624</v>
      </c>
      <c r="AF30" s="445" t="s">
        <v>917</v>
      </c>
      <c r="AG30" s="316" t="s">
        <v>1545</v>
      </c>
      <c r="AH30" s="446" t="s">
        <v>1625</v>
      </c>
      <c r="AI30" s="447" t="s">
        <v>917</v>
      </c>
      <c r="AJ30" s="316" t="s">
        <v>1546</v>
      </c>
      <c r="AK30" s="446" t="s">
        <v>1626</v>
      </c>
      <c r="AL30" s="447" t="s">
        <v>917</v>
      </c>
    </row>
    <row r="31" spans="1:39" ht="21.75" customHeight="1" x14ac:dyDescent="0.2">
      <c r="A31" s="307" t="s">
        <v>268</v>
      </c>
      <c r="B31" s="384" t="s">
        <v>294</v>
      </c>
      <c r="C31" s="316" t="s">
        <v>1627</v>
      </c>
      <c r="D31" s="428" t="s">
        <v>1628</v>
      </c>
      <c r="E31" s="429" t="s">
        <v>1629</v>
      </c>
      <c r="F31" s="316" t="s">
        <v>1630</v>
      </c>
      <c r="G31" s="430" t="s">
        <v>1631</v>
      </c>
      <c r="H31" s="431" t="s">
        <v>1632</v>
      </c>
      <c r="I31" s="316" t="s">
        <v>1633</v>
      </c>
      <c r="J31" s="432" t="s">
        <v>1634</v>
      </c>
      <c r="K31" s="433" t="s">
        <v>1635</v>
      </c>
      <c r="L31" s="316" t="s">
        <v>1636</v>
      </c>
      <c r="M31" s="434" t="s">
        <v>1637</v>
      </c>
      <c r="N31" s="435" t="s">
        <v>1638</v>
      </c>
      <c r="O31" s="316" t="s">
        <v>1639</v>
      </c>
      <c r="P31" s="436" t="s">
        <v>1640</v>
      </c>
      <c r="Q31" s="437" t="s">
        <v>1641</v>
      </c>
      <c r="R31" s="316" t="s">
        <v>1642</v>
      </c>
      <c r="S31" s="438" t="s">
        <v>1643</v>
      </c>
      <c r="T31" s="439" t="s">
        <v>1644</v>
      </c>
      <c r="U31" s="316" t="s">
        <v>1645</v>
      </c>
      <c r="V31" s="438" t="s">
        <v>1646</v>
      </c>
      <c r="W31" s="439" t="s">
        <v>1647</v>
      </c>
      <c r="X31" s="316" t="s">
        <v>1648</v>
      </c>
      <c r="Y31" s="440" t="s">
        <v>1649</v>
      </c>
      <c r="Z31" s="441" t="s">
        <v>1650</v>
      </c>
      <c r="AA31" s="316" t="s">
        <v>1651</v>
      </c>
      <c r="AB31" s="442" t="s">
        <v>1652</v>
      </c>
      <c r="AC31" s="443" t="s">
        <v>1653</v>
      </c>
      <c r="AD31" s="316" t="s">
        <v>1654</v>
      </c>
      <c r="AE31" s="444" t="s">
        <v>1655</v>
      </c>
      <c r="AF31" s="445" t="s">
        <v>1656</v>
      </c>
      <c r="AG31" s="316" t="s">
        <v>1657</v>
      </c>
      <c r="AH31" s="446" t="s">
        <v>1658</v>
      </c>
      <c r="AI31" s="447" t="s">
        <v>1659</v>
      </c>
      <c r="AJ31" s="316" t="s">
        <v>1660</v>
      </c>
      <c r="AK31" s="446" t="s">
        <v>1661</v>
      </c>
      <c r="AL31" s="447" t="s">
        <v>1662</v>
      </c>
    </row>
    <row r="32" spans="1:39" ht="21.75" customHeight="1" x14ac:dyDescent="0.2">
      <c r="A32" s="302" t="s">
        <v>269</v>
      </c>
      <c r="B32" s="386" t="s">
        <v>297</v>
      </c>
      <c r="C32" s="316" t="s">
        <v>846</v>
      </c>
      <c r="D32" s="428" t="s">
        <v>1615</v>
      </c>
      <c r="E32" s="429" t="s">
        <v>917</v>
      </c>
      <c r="F32" s="316" t="s">
        <v>1547</v>
      </c>
      <c r="G32" s="430" t="s">
        <v>1616</v>
      </c>
      <c r="H32" s="431" t="s">
        <v>917</v>
      </c>
      <c r="I32" s="316" t="s">
        <v>848</v>
      </c>
      <c r="J32" s="432" t="s">
        <v>1617</v>
      </c>
      <c r="K32" s="433" t="s">
        <v>917</v>
      </c>
      <c r="L32" s="316" t="s">
        <v>841</v>
      </c>
      <c r="M32" s="434" t="s">
        <v>1618</v>
      </c>
      <c r="N32" s="435" t="s">
        <v>917</v>
      </c>
      <c r="O32" s="316" t="s">
        <v>1548</v>
      </c>
      <c r="P32" s="436" t="s">
        <v>1619</v>
      </c>
      <c r="Q32" s="437" t="s">
        <v>917</v>
      </c>
      <c r="R32" s="316" t="s">
        <v>1549</v>
      </c>
      <c r="S32" s="438" t="s">
        <v>1620</v>
      </c>
      <c r="T32" s="439" t="s">
        <v>917</v>
      </c>
      <c r="U32" s="316" t="s">
        <v>844</v>
      </c>
      <c r="V32" s="438" t="s">
        <v>1621</v>
      </c>
      <c r="W32" s="439" t="s">
        <v>917</v>
      </c>
      <c r="X32" s="316" t="s">
        <v>1544</v>
      </c>
      <c r="Y32" s="440" t="s">
        <v>1622</v>
      </c>
      <c r="Z32" s="441" t="s">
        <v>917</v>
      </c>
      <c r="AA32" s="316" t="s">
        <v>847</v>
      </c>
      <c r="AB32" s="442" t="s">
        <v>1623</v>
      </c>
      <c r="AC32" s="443" t="s">
        <v>917</v>
      </c>
      <c r="AD32" s="316" t="s">
        <v>842</v>
      </c>
      <c r="AE32" s="444" t="s">
        <v>1624</v>
      </c>
      <c r="AF32" s="445" t="s">
        <v>917</v>
      </c>
      <c r="AG32" s="316" t="s">
        <v>1545</v>
      </c>
      <c r="AH32" s="446" t="s">
        <v>1625</v>
      </c>
      <c r="AI32" s="447" t="s">
        <v>917</v>
      </c>
      <c r="AJ32" s="316" t="s">
        <v>1546</v>
      </c>
      <c r="AK32" s="446" t="s">
        <v>1626</v>
      </c>
      <c r="AL32" s="447" t="s">
        <v>917</v>
      </c>
    </row>
    <row r="33" spans="1:38" ht="21.75" customHeight="1" x14ac:dyDescent="0.2">
      <c r="A33" s="449" t="s">
        <v>270</v>
      </c>
      <c r="B33" s="388" t="s">
        <v>300</v>
      </c>
      <c r="C33" s="316" t="s">
        <v>1663</v>
      </c>
      <c r="D33" s="428" t="s">
        <v>1664</v>
      </c>
      <c r="E33" s="429" t="s">
        <v>1632</v>
      </c>
      <c r="F33" s="316" t="s">
        <v>1665</v>
      </c>
      <c r="G33" s="430" t="s">
        <v>1666</v>
      </c>
      <c r="H33" s="431" t="s">
        <v>1635</v>
      </c>
      <c r="I33" s="316" t="s">
        <v>1667</v>
      </c>
      <c r="J33" s="432" t="s">
        <v>1668</v>
      </c>
      <c r="K33" s="433" t="s">
        <v>1638</v>
      </c>
      <c r="L33" s="316" t="s">
        <v>1669</v>
      </c>
      <c r="M33" s="434" t="s">
        <v>1670</v>
      </c>
      <c r="N33" s="435" t="s">
        <v>1641</v>
      </c>
      <c r="O33" s="316" t="s">
        <v>1671</v>
      </c>
      <c r="P33" s="436" t="s">
        <v>1672</v>
      </c>
      <c r="Q33" s="437" t="s">
        <v>1644</v>
      </c>
      <c r="R33" s="316" t="s">
        <v>1673</v>
      </c>
      <c r="S33" s="438" t="s">
        <v>1674</v>
      </c>
      <c r="T33" s="439" t="s">
        <v>1647</v>
      </c>
      <c r="U33" s="316" t="s">
        <v>1675</v>
      </c>
      <c r="V33" s="438" t="s">
        <v>1676</v>
      </c>
      <c r="W33" s="439" t="s">
        <v>1650</v>
      </c>
      <c r="X33" s="316" t="s">
        <v>1677</v>
      </c>
      <c r="Y33" s="440" t="s">
        <v>1678</v>
      </c>
      <c r="Z33" s="441" t="s">
        <v>1653</v>
      </c>
      <c r="AA33" s="316" t="s">
        <v>1679</v>
      </c>
      <c r="AB33" s="442" t="s">
        <v>1680</v>
      </c>
      <c r="AC33" s="443" t="s">
        <v>1656</v>
      </c>
      <c r="AD33" s="316" t="s">
        <v>1681</v>
      </c>
      <c r="AE33" s="444" t="s">
        <v>1682</v>
      </c>
      <c r="AF33" s="445" t="s">
        <v>1659</v>
      </c>
      <c r="AG33" s="316" t="s">
        <v>1683</v>
      </c>
      <c r="AH33" s="446" t="s">
        <v>1684</v>
      </c>
      <c r="AI33" s="447" t="s">
        <v>1662</v>
      </c>
      <c r="AJ33" s="316" t="s">
        <v>1685</v>
      </c>
      <c r="AK33" s="446" t="s">
        <v>1686</v>
      </c>
      <c r="AL33" s="447" t="s">
        <v>1629</v>
      </c>
    </row>
    <row r="34" spans="1:38" ht="21.75" customHeight="1" x14ac:dyDescent="0.2">
      <c r="A34" s="450" t="s">
        <v>271</v>
      </c>
      <c r="B34" s="390" t="s">
        <v>303</v>
      </c>
      <c r="C34" s="316" t="s">
        <v>846</v>
      </c>
      <c r="D34" s="428" t="s">
        <v>1615</v>
      </c>
      <c r="E34" s="429" t="s">
        <v>917</v>
      </c>
      <c r="F34" s="316" t="s">
        <v>1547</v>
      </c>
      <c r="G34" s="430" t="s">
        <v>1616</v>
      </c>
      <c r="H34" s="431" t="s">
        <v>917</v>
      </c>
      <c r="I34" s="316" t="s">
        <v>848</v>
      </c>
      <c r="J34" s="432" t="s">
        <v>1617</v>
      </c>
      <c r="K34" s="433" t="s">
        <v>917</v>
      </c>
      <c r="L34" s="316" t="s">
        <v>841</v>
      </c>
      <c r="M34" s="434" t="s">
        <v>1618</v>
      </c>
      <c r="N34" s="435" t="s">
        <v>917</v>
      </c>
      <c r="O34" s="316" t="s">
        <v>1548</v>
      </c>
      <c r="P34" s="436" t="s">
        <v>1619</v>
      </c>
      <c r="Q34" s="437" t="s">
        <v>917</v>
      </c>
      <c r="R34" s="316" t="s">
        <v>1549</v>
      </c>
      <c r="S34" s="438" t="s">
        <v>1620</v>
      </c>
      <c r="T34" s="439" t="s">
        <v>917</v>
      </c>
      <c r="U34" s="316" t="s">
        <v>844</v>
      </c>
      <c r="V34" s="438" t="s">
        <v>1621</v>
      </c>
      <c r="W34" s="439" t="s">
        <v>917</v>
      </c>
      <c r="X34" s="316" t="s">
        <v>1544</v>
      </c>
      <c r="Y34" s="440" t="s">
        <v>1622</v>
      </c>
      <c r="Z34" s="441" t="s">
        <v>917</v>
      </c>
      <c r="AA34" s="316" t="s">
        <v>847</v>
      </c>
      <c r="AB34" s="442" t="s">
        <v>1623</v>
      </c>
      <c r="AC34" s="443" t="s">
        <v>917</v>
      </c>
      <c r="AD34" s="316" t="s">
        <v>842</v>
      </c>
      <c r="AE34" s="444" t="s">
        <v>1624</v>
      </c>
      <c r="AF34" s="445" t="s">
        <v>917</v>
      </c>
      <c r="AG34" s="316" t="s">
        <v>1545</v>
      </c>
      <c r="AH34" s="446" t="s">
        <v>1625</v>
      </c>
      <c r="AI34" s="447" t="s">
        <v>917</v>
      </c>
      <c r="AJ34" s="316" t="s">
        <v>1546</v>
      </c>
      <c r="AK34" s="446" t="s">
        <v>1626</v>
      </c>
      <c r="AL34" s="447" t="s">
        <v>917</v>
      </c>
    </row>
    <row r="35" spans="1:38" ht="21.75" customHeight="1" x14ac:dyDescent="0.2">
      <c r="A35" s="451" t="s">
        <v>272</v>
      </c>
      <c r="B35" s="392" t="s">
        <v>306</v>
      </c>
      <c r="C35" s="316" t="s">
        <v>1687</v>
      </c>
      <c r="D35" s="428" t="s">
        <v>1688</v>
      </c>
      <c r="E35" s="429" t="s">
        <v>1689</v>
      </c>
      <c r="F35" s="316" t="s">
        <v>1690</v>
      </c>
      <c r="G35" s="430" t="s">
        <v>1691</v>
      </c>
      <c r="H35" s="431" t="s">
        <v>1692</v>
      </c>
      <c r="I35" s="316" t="s">
        <v>1693</v>
      </c>
      <c r="J35" s="432" t="s">
        <v>1694</v>
      </c>
      <c r="K35" s="433" t="s">
        <v>1695</v>
      </c>
      <c r="L35" s="316" t="s">
        <v>1696</v>
      </c>
      <c r="M35" s="434" t="s">
        <v>1697</v>
      </c>
      <c r="N35" s="435" t="s">
        <v>1698</v>
      </c>
      <c r="O35" s="316" t="s">
        <v>1699</v>
      </c>
      <c r="P35" s="436" t="s">
        <v>1700</v>
      </c>
      <c r="Q35" s="437" t="s">
        <v>1701</v>
      </c>
      <c r="R35" s="316" t="s">
        <v>1702</v>
      </c>
      <c r="S35" s="438" t="s">
        <v>1703</v>
      </c>
      <c r="T35" s="439" t="s">
        <v>1704</v>
      </c>
      <c r="U35" s="316" t="s">
        <v>1705</v>
      </c>
      <c r="V35" s="438" t="s">
        <v>1706</v>
      </c>
      <c r="W35" s="439" t="s">
        <v>1707</v>
      </c>
      <c r="X35" s="316" t="s">
        <v>1708</v>
      </c>
      <c r="Y35" s="440" t="s">
        <v>1709</v>
      </c>
      <c r="Z35" s="441" t="s">
        <v>1710</v>
      </c>
      <c r="AA35" s="316" t="s">
        <v>1711</v>
      </c>
      <c r="AB35" s="442" t="s">
        <v>1712</v>
      </c>
      <c r="AC35" s="443" t="s">
        <v>1713</v>
      </c>
      <c r="AD35" s="316" t="s">
        <v>1714</v>
      </c>
      <c r="AE35" s="444" t="s">
        <v>1715</v>
      </c>
      <c r="AF35" s="445" t="s">
        <v>1716</v>
      </c>
      <c r="AG35" s="316" t="s">
        <v>1717</v>
      </c>
      <c r="AH35" s="446" t="s">
        <v>1718</v>
      </c>
      <c r="AI35" s="447" t="s">
        <v>1719</v>
      </c>
      <c r="AJ35" s="316" t="s">
        <v>1720</v>
      </c>
      <c r="AK35" s="446" t="s">
        <v>1721</v>
      </c>
      <c r="AL35" s="447" t="s">
        <v>1722</v>
      </c>
    </row>
    <row r="36" spans="1:38" ht="21.75" customHeight="1" x14ac:dyDescent="0.2">
      <c r="A36" s="452" t="s">
        <v>273</v>
      </c>
      <c r="B36" s="394" t="s">
        <v>273</v>
      </c>
      <c r="C36" s="316" t="s">
        <v>1663</v>
      </c>
      <c r="D36" s="428" t="s">
        <v>1664</v>
      </c>
      <c r="E36" s="429" t="s">
        <v>1632</v>
      </c>
      <c r="F36" s="316" t="s">
        <v>1665</v>
      </c>
      <c r="G36" s="430" t="s">
        <v>1666</v>
      </c>
      <c r="H36" s="431" t="s">
        <v>1635</v>
      </c>
      <c r="I36" s="316" t="s">
        <v>1667</v>
      </c>
      <c r="J36" s="432" t="s">
        <v>1668</v>
      </c>
      <c r="K36" s="433" t="s">
        <v>1638</v>
      </c>
      <c r="L36" s="316" t="s">
        <v>1669</v>
      </c>
      <c r="M36" s="434" t="s">
        <v>1670</v>
      </c>
      <c r="N36" s="435" t="s">
        <v>1641</v>
      </c>
      <c r="O36" s="316" t="s">
        <v>1671</v>
      </c>
      <c r="P36" s="436" t="s">
        <v>1672</v>
      </c>
      <c r="Q36" s="437" t="s">
        <v>1644</v>
      </c>
      <c r="R36" s="316" t="s">
        <v>1673</v>
      </c>
      <c r="S36" s="438" t="s">
        <v>1674</v>
      </c>
      <c r="T36" s="439" t="s">
        <v>1647</v>
      </c>
      <c r="U36" s="316" t="s">
        <v>1675</v>
      </c>
      <c r="V36" s="438" t="s">
        <v>1676</v>
      </c>
      <c r="W36" s="439" t="s">
        <v>1650</v>
      </c>
      <c r="X36" s="316" t="s">
        <v>1677</v>
      </c>
      <c r="Y36" s="440" t="s">
        <v>1678</v>
      </c>
      <c r="Z36" s="441" t="s">
        <v>1653</v>
      </c>
      <c r="AA36" s="316" t="s">
        <v>1679</v>
      </c>
      <c r="AB36" s="442" t="s">
        <v>1680</v>
      </c>
      <c r="AC36" s="443" t="s">
        <v>1656</v>
      </c>
      <c r="AD36" s="316" t="s">
        <v>1681</v>
      </c>
      <c r="AE36" s="444" t="s">
        <v>1682</v>
      </c>
      <c r="AF36" s="445" t="s">
        <v>1659</v>
      </c>
      <c r="AG36" s="316" t="s">
        <v>1683</v>
      </c>
      <c r="AH36" s="446" t="s">
        <v>1684</v>
      </c>
      <c r="AI36" s="447" t="s">
        <v>1662</v>
      </c>
      <c r="AJ36" s="316" t="s">
        <v>1685</v>
      </c>
      <c r="AK36" s="446" t="s">
        <v>1686</v>
      </c>
      <c r="AL36" s="447" t="s">
        <v>1629</v>
      </c>
    </row>
    <row r="37" spans="1:38" ht="21.75" customHeight="1" x14ac:dyDescent="0.2">
      <c r="A37" s="453" t="s">
        <v>274</v>
      </c>
      <c r="B37" s="396" t="s">
        <v>274</v>
      </c>
      <c r="C37" s="316" t="s">
        <v>1663</v>
      </c>
      <c r="D37" s="428" t="s">
        <v>1664</v>
      </c>
      <c r="E37" s="429" t="s">
        <v>1632</v>
      </c>
      <c r="F37" s="316" t="s">
        <v>1665</v>
      </c>
      <c r="G37" s="430" t="s">
        <v>1666</v>
      </c>
      <c r="H37" s="431" t="s">
        <v>1635</v>
      </c>
      <c r="I37" s="316" t="s">
        <v>1667</v>
      </c>
      <c r="J37" s="432" t="s">
        <v>1668</v>
      </c>
      <c r="K37" s="433" t="s">
        <v>1638</v>
      </c>
      <c r="L37" s="316" t="s">
        <v>1669</v>
      </c>
      <c r="M37" s="434" t="s">
        <v>1670</v>
      </c>
      <c r="N37" s="435" t="s">
        <v>1641</v>
      </c>
      <c r="O37" s="316" t="s">
        <v>1671</v>
      </c>
      <c r="P37" s="436" t="s">
        <v>1672</v>
      </c>
      <c r="Q37" s="437" t="s">
        <v>1644</v>
      </c>
      <c r="R37" s="316" t="s">
        <v>1673</v>
      </c>
      <c r="S37" s="438" t="s">
        <v>1674</v>
      </c>
      <c r="T37" s="439" t="s">
        <v>1647</v>
      </c>
      <c r="U37" s="316" t="s">
        <v>1675</v>
      </c>
      <c r="V37" s="438" t="s">
        <v>1676</v>
      </c>
      <c r="W37" s="439" t="s">
        <v>1650</v>
      </c>
      <c r="X37" s="316" t="s">
        <v>1677</v>
      </c>
      <c r="Y37" s="440" t="s">
        <v>1678</v>
      </c>
      <c r="Z37" s="441" t="s">
        <v>1653</v>
      </c>
      <c r="AA37" s="316" t="s">
        <v>1679</v>
      </c>
      <c r="AB37" s="442" t="s">
        <v>1680</v>
      </c>
      <c r="AC37" s="443" t="s">
        <v>1656</v>
      </c>
      <c r="AD37" s="316" t="s">
        <v>1681</v>
      </c>
      <c r="AE37" s="444" t="s">
        <v>1682</v>
      </c>
      <c r="AF37" s="445" t="s">
        <v>1659</v>
      </c>
      <c r="AG37" s="316" t="s">
        <v>1683</v>
      </c>
      <c r="AH37" s="446" t="s">
        <v>1684</v>
      </c>
      <c r="AI37" s="447" t="s">
        <v>1662</v>
      </c>
      <c r="AJ37" s="316" t="s">
        <v>1685</v>
      </c>
      <c r="AK37" s="446" t="s">
        <v>1686</v>
      </c>
      <c r="AL37" s="447" t="s">
        <v>1629</v>
      </c>
    </row>
    <row r="41" spans="1:38" ht="21.75" customHeight="1" x14ac:dyDescent="0.2">
      <c r="A41" s="1501" t="s">
        <v>1723</v>
      </c>
      <c r="B41" s="1501"/>
      <c r="C41" s="1501"/>
      <c r="D41" s="1501"/>
      <c r="E41" s="1501"/>
      <c r="F41" s="1501"/>
      <c r="G41" s="1501"/>
      <c r="H41" s="1501"/>
      <c r="I41" s="1501"/>
      <c r="J41" s="1501"/>
      <c r="K41" s="1501"/>
      <c r="L41" s="1501"/>
      <c r="M41" s="1501"/>
      <c r="N41" s="1501"/>
      <c r="O41" s="1501"/>
      <c r="P41" s="1501"/>
      <c r="Q41" s="1501"/>
    </row>
    <row r="42" spans="1:38" ht="19.5" customHeight="1" x14ac:dyDescent="0.2">
      <c r="A42" s="377" t="s">
        <v>1724</v>
      </c>
      <c r="B42" s="1502" t="s">
        <v>1725</v>
      </c>
      <c r="C42" s="1502"/>
      <c r="D42" s="1502"/>
      <c r="E42" s="1502"/>
      <c r="F42" s="1502"/>
      <c r="G42" s="1502"/>
      <c r="H42" s="1502"/>
      <c r="I42" s="1502"/>
      <c r="J42" s="1502"/>
      <c r="K42" s="1502"/>
      <c r="L42" s="1502"/>
      <c r="M42" s="1502"/>
      <c r="N42" s="1502"/>
      <c r="O42" s="1502"/>
      <c r="P42" s="1502"/>
      <c r="Q42" s="1502"/>
    </row>
    <row r="43" spans="1:38" ht="30" customHeight="1" x14ac:dyDescent="0.2">
      <c r="A43" s="454" t="s">
        <v>1726</v>
      </c>
      <c r="B43" s="1503"/>
      <c r="C43" s="1503"/>
      <c r="D43" s="1503"/>
      <c r="E43" s="1503"/>
      <c r="F43" s="1503"/>
      <c r="G43" s="1503"/>
      <c r="H43" s="1503"/>
      <c r="I43" s="1503"/>
      <c r="J43" s="1504" t="s">
        <v>1727</v>
      </c>
      <c r="K43" s="1504"/>
      <c r="L43" s="1504"/>
      <c r="M43" s="1504"/>
      <c r="N43" s="1504"/>
      <c r="O43" s="1504"/>
      <c r="P43" s="1504"/>
      <c r="Q43" s="1504"/>
    </row>
    <row r="44" spans="1:38" ht="30" customHeight="1" x14ac:dyDescent="0.2">
      <c r="A44" s="454" t="s">
        <v>1728</v>
      </c>
      <c r="B44" s="1503" t="s">
        <v>1729</v>
      </c>
      <c r="C44" s="1503"/>
      <c r="D44" s="1503"/>
      <c r="E44" s="1503"/>
      <c r="F44" s="1503"/>
      <c r="G44" s="1503"/>
      <c r="H44" s="1503"/>
      <c r="I44" s="1503"/>
      <c r="J44" s="1505" t="s">
        <v>1730</v>
      </c>
      <c r="K44" s="1505"/>
      <c r="L44" s="1505"/>
      <c r="M44" s="1505"/>
      <c r="N44" s="1505"/>
      <c r="O44" s="1505"/>
      <c r="P44" s="1505"/>
      <c r="Q44" s="1505"/>
    </row>
    <row r="45" spans="1:38" ht="30" customHeight="1" x14ac:dyDescent="0.2">
      <c r="A45" s="454" t="s">
        <v>1731</v>
      </c>
      <c r="B45" s="1503" t="s">
        <v>1732</v>
      </c>
      <c r="C45" s="1503"/>
      <c r="D45" s="1503"/>
      <c r="E45" s="1503"/>
      <c r="F45" s="1503"/>
      <c r="G45" s="1503"/>
      <c r="H45" s="1503"/>
      <c r="I45" s="1503"/>
      <c r="J45" s="1504" t="s">
        <v>1733</v>
      </c>
      <c r="K45" s="1504"/>
      <c r="L45" s="1504"/>
      <c r="M45" s="1504"/>
      <c r="N45" s="1504"/>
      <c r="O45" s="1504"/>
      <c r="P45" s="1504"/>
      <c r="Q45" s="1504"/>
    </row>
    <row r="46" spans="1:38" ht="30" customHeight="1" x14ac:dyDescent="0.2">
      <c r="A46" s="454" t="s">
        <v>1734</v>
      </c>
      <c r="B46" s="1503" t="s">
        <v>1735</v>
      </c>
      <c r="C46" s="1503"/>
      <c r="D46" s="1503"/>
      <c r="E46" s="1503"/>
      <c r="F46" s="1503"/>
      <c r="G46" s="1503"/>
      <c r="H46" s="1503"/>
      <c r="I46" s="1503"/>
      <c r="J46" s="1505" t="s">
        <v>1736</v>
      </c>
      <c r="K46" s="1505"/>
      <c r="L46" s="1505"/>
      <c r="M46" s="1505"/>
      <c r="N46" s="1505"/>
      <c r="O46" s="1505"/>
      <c r="P46" s="1505"/>
      <c r="Q46" s="1505"/>
    </row>
    <row r="47" spans="1:38" ht="30" customHeight="1" x14ac:dyDescent="0.2">
      <c r="A47" s="454" t="s">
        <v>1737</v>
      </c>
      <c r="B47" s="1503" t="s">
        <v>1738</v>
      </c>
      <c r="C47" s="1503"/>
      <c r="D47" s="1503"/>
      <c r="E47" s="1503"/>
      <c r="F47" s="1503"/>
      <c r="G47" s="1503"/>
      <c r="H47" s="1503"/>
      <c r="I47" s="1503"/>
      <c r="J47" s="1504" t="s">
        <v>1739</v>
      </c>
      <c r="K47" s="1504"/>
      <c r="L47" s="1504"/>
      <c r="M47" s="1504"/>
      <c r="N47" s="1504"/>
      <c r="O47" s="1504"/>
      <c r="P47" s="1504"/>
      <c r="Q47" s="1504"/>
    </row>
  </sheetData>
  <mergeCells count="35">
    <mergeCell ref="B45:I45"/>
    <mergeCell ref="J45:Q45"/>
    <mergeCell ref="B46:I46"/>
    <mergeCell ref="J46:Q46"/>
    <mergeCell ref="B47:I47"/>
    <mergeCell ref="J47:Q47"/>
    <mergeCell ref="A41:Q41"/>
    <mergeCell ref="B42:Q42"/>
    <mergeCell ref="B43:I43"/>
    <mergeCell ref="J43:Q43"/>
    <mergeCell ref="B44:I44"/>
    <mergeCell ref="J44:Q44"/>
    <mergeCell ref="A26:AM26"/>
    <mergeCell ref="C27:E27"/>
    <mergeCell ref="F27:H27"/>
    <mergeCell ref="I27:K27"/>
    <mergeCell ref="L27:N27"/>
    <mergeCell ref="O27:Q27"/>
    <mergeCell ref="R27:T27"/>
    <mergeCell ref="U27:W27"/>
    <mergeCell ref="X27:Z27"/>
    <mergeCell ref="AA27:AC27"/>
    <mergeCell ref="AD27:AF27"/>
    <mergeCell ref="AG27:AI27"/>
    <mergeCell ref="AJ27:AL27"/>
    <mergeCell ref="F18:Q18"/>
    <mergeCell ref="F19:Q19"/>
    <mergeCell ref="F20:Q20"/>
    <mergeCell ref="F21:Q21"/>
    <mergeCell ref="F22:Q22"/>
    <mergeCell ref="A1:P1"/>
    <mergeCell ref="A2:P2"/>
    <mergeCell ref="A3:P3"/>
    <mergeCell ref="A16:Q16"/>
    <mergeCell ref="F17:Q17"/>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565C0"/>
  </sheetPr>
  <dimension ref="A1:AS18"/>
  <sheetViews>
    <sheetView zoomScaleNormal="100" workbookViewId="0">
      <pane xSplit="2" ySplit="3" topLeftCell="C4" activePane="bottomRight" state="frozen"/>
      <selection pane="bottomLeft" activeCell="A4" sqref="A4"/>
      <selection pane="topRight" activeCell="C1" sqref="C1"/>
      <selection pane="bottomRight"/>
    </sheetView>
  </sheetViews>
  <sheetFormatPr defaultColWidth="8.609375" defaultRowHeight="15" x14ac:dyDescent="0.2"/>
  <cols>
    <col min="1" max="1" width="4.9765625" customWidth="1"/>
    <col min="2" max="2" width="18.0234375" customWidth="1"/>
    <col min="3" max="3" width="20.04296875" customWidth="1"/>
    <col min="4" max="4" width="11.97265625" customWidth="1"/>
    <col min="5" max="5" width="22.05859375" customWidth="1"/>
    <col min="6" max="11" width="9.01171875" customWidth="1"/>
    <col min="12" max="13" width="11.02734375" customWidth="1"/>
    <col min="14" max="15" width="39.953125" customWidth="1"/>
    <col min="16" max="16" width="27.98046875" customWidth="1"/>
    <col min="17" max="17" width="32.015625" customWidth="1"/>
    <col min="18" max="18" width="22.05859375" customWidth="1"/>
    <col min="19" max="19" width="27.98046875" customWidth="1"/>
    <col min="20" max="20" width="22.05859375" customWidth="1"/>
    <col min="21" max="21" width="32.015625" customWidth="1"/>
    <col min="22" max="22" width="9.953125" customWidth="1"/>
    <col min="23" max="23" width="36.05078125" customWidth="1"/>
    <col min="24" max="24" width="13.98828125" customWidth="1"/>
    <col min="25" max="25" width="11.97265625" customWidth="1"/>
    <col min="26" max="26" width="9.01171875" customWidth="1"/>
    <col min="27" max="31" width="7.93359375" customWidth="1"/>
    <col min="32" max="39" width="9.01171875" customWidth="1"/>
    <col min="40" max="40" width="43.98828125" customWidth="1"/>
  </cols>
  <sheetData>
    <row r="1" spans="1:45" ht="27.75" customHeight="1" x14ac:dyDescent="0.2">
      <c r="A1" s="1507" t="s">
        <v>1740</v>
      </c>
      <c r="B1" s="1507"/>
      <c r="C1" s="1507"/>
      <c r="D1" s="1507"/>
      <c r="E1" s="1507"/>
      <c r="F1" s="1507"/>
      <c r="G1" s="1507"/>
      <c r="H1" s="1507"/>
      <c r="I1" s="1507"/>
      <c r="J1" s="1507"/>
      <c r="K1" s="1507"/>
      <c r="L1" s="1507"/>
      <c r="M1" s="1507"/>
      <c r="N1" s="1507"/>
      <c r="O1" s="1507"/>
      <c r="P1" s="1507"/>
      <c r="Q1" s="1507"/>
      <c r="R1" s="1507"/>
      <c r="S1" s="1507"/>
      <c r="T1" s="1507"/>
      <c r="U1" s="1507"/>
      <c r="V1" s="1507"/>
      <c r="W1" s="1507"/>
      <c r="X1" s="1507"/>
      <c r="Y1" s="1507"/>
      <c r="Z1" s="1507"/>
      <c r="AA1" s="1507"/>
      <c r="AB1" s="1507"/>
      <c r="AC1" s="1507"/>
      <c r="AD1" s="1507"/>
      <c r="AE1" s="1507"/>
      <c r="AF1" s="1507"/>
      <c r="AG1" s="1507"/>
      <c r="AH1" s="1507"/>
      <c r="AI1" s="1507"/>
      <c r="AJ1" s="1507"/>
      <c r="AK1" s="1507"/>
      <c r="AL1" s="1507"/>
      <c r="AM1" s="1507"/>
    </row>
    <row r="2" spans="1:45" ht="21.75" customHeight="1" x14ac:dyDescent="0.2">
      <c r="A2" s="1508" t="s">
        <v>1741</v>
      </c>
      <c r="B2" s="1508"/>
      <c r="C2" s="1508"/>
      <c r="D2" s="1508"/>
      <c r="E2" s="1508"/>
      <c r="F2" s="1508"/>
      <c r="G2" s="1508"/>
      <c r="H2" s="1508"/>
      <c r="I2" s="1508"/>
      <c r="J2" s="1508"/>
      <c r="K2" s="1508"/>
      <c r="L2" s="1508"/>
      <c r="M2" s="1508"/>
      <c r="N2" s="1508"/>
      <c r="O2" s="1508"/>
      <c r="P2" s="1508"/>
      <c r="Q2" s="1508"/>
      <c r="R2" s="1508"/>
      <c r="S2" s="1508"/>
      <c r="T2" s="1508"/>
      <c r="U2" s="1508"/>
      <c r="V2" s="1508"/>
      <c r="W2" s="1508"/>
      <c r="X2" s="1508"/>
      <c r="Y2" s="1508"/>
      <c r="Z2" s="1508"/>
      <c r="AA2" s="1508"/>
      <c r="AB2" s="1508"/>
      <c r="AC2" s="1508"/>
      <c r="AD2" s="1508"/>
      <c r="AE2" s="1508"/>
      <c r="AF2" s="1508"/>
      <c r="AG2" s="1508"/>
      <c r="AH2" s="1508"/>
      <c r="AI2" s="1508"/>
      <c r="AJ2" s="1508"/>
      <c r="AK2" s="1508"/>
      <c r="AL2" s="1508"/>
      <c r="AM2" s="1508"/>
      <c r="AS2" s="29" t="str">
        <f>HYPERLINK("#'00_INDEX'!A1","← Index")</f>
        <v>← Index</v>
      </c>
    </row>
    <row r="3" spans="1:45" ht="15.75" customHeight="1" x14ac:dyDescent="0.2">
      <c r="A3" s="1482" t="s">
        <v>1147</v>
      </c>
      <c r="B3" s="1482"/>
      <c r="C3" s="1482"/>
      <c r="D3" s="1482"/>
      <c r="E3" s="1482"/>
      <c r="F3" s="1483" t="s">
        <v>1742</v>
      </c>
      <c r="G3" s="1483"/>
      <c r="H3" s="1483"/>
      <c r="I3" s="1483"/>
      <c r="J3" s="1483"/>
      <c r="K3" s="1483"/>
      <c r="L3" s="1483"/>
      <c r="M3" s="1483"/>
      <c r="N3" s="1486" t="s">
        <v>1743</v>
      </c>
      <c r="O3" s="1486"/>
      <c r="P3" s="1486"/>
      <c r="Q3" s="1486"/>
      <c r="R3" s="1486"/>
      <c r="S3" s="1487" t="s">
        <v>1744</v>
      </c>
      <c r="T3" s="1487"/>
      <c r="U3" s="1487"/>
      <c r="V3" s="1485" t="s">
        <v>1745</v>
      </c>
      <c r="W3" s="1485"/>
      <c r="X3" s="1484" t="s">
        <v>1746</v>
      </c>
      <c r="Y3" s="1484"/>
      <c r="Z3" s="1484"/>
      <c r="AA3" s="1509" t="s">
        <v>1747</v>
      </c>
      <c r="AB3" s="1509"/>
      <c r="AC3" s="1509"/>
      <c r="AD3" s="1509"/>
      <c r="AE3" s="1509"/>
      <c r="AF3" s="1509"/>
      <c r="AG3" s="1509"/>
      <c r="AH3" s="1509"/>
      <c r="AI3" s="1509"/>
      <c r="AJ3" s="1509"/>
      <c r="AK3" s="1509"/>
      <c r="AL3" s="1509"/>
      <c r="AM3" s="1509"/>
    </row>
    <row r="4" spans="1:45" ht="27.75" customHeight="1" x14ac:dyDescent="0.2">
      <c r="A4" s="341"/>
      <c r="B4" s="341" t="s">
        <v>1153</v>
      </c>
      <c r="C4" s="341" t="s">
        <v>344</v>
      </c>
      <c r="D4" s="341" t="s">
        <v>1748</v>
      </c>
      <c r="E4" s="341" t="s">
        <v>369</v>
      </c>
      <c r="F4" s="342" t="s">
        <v>622</v>
      </c>
      <c r="G4" s="342" t="s">
        <v>625</v>
      </c>
      <c r="H4" s="342" t="s">
        <v>619</v>
      </c>
      <c r="I4" s="342" t="s">
        <v>1749</v>
      </c>
      <c r="J4" s="342" t="s">
        <v>1750</v>
      </c>
      <c r="K4" s="342" t="s">
        <v>1751</v>
      </c>
      <c r="L4" s="342" t="s">
        <v>1208</v>
      </c>
      <c r="M4" s="342" t="s">
        <v>1752</v>
      </c>
      <c r="N4" s="345" t="s">
        <v>1753</v>
      </c>
      <c r="O4" s="345" t="s">
        <v>1754</v>
      </c>
      <c r="P4" s="345" t="s">
        <v>807</v>
      </c>
      <c r="Q4" s="345" t="s">
        <v>1755</v>
      </c>
      <c r="R4" s="345" t="s">
        <v>1756</v>
      </c>
      <c r="S4" s="346" t="s">
        <v>1757</v>
      </c>
      <c r="T4" s="346" t="s">
        <v>1758</v>
      </c>
      <c r="U4" s="346" t="s">
        <v>1759</v>
      </c>
      <c r="V4" s="344" t="s">
        <v>1760</v>
      </c>
      <c r="W4" s="344" t="s">
        <v>1761</v>
      </c>
      <c r="X4" s="343" t="s">
        <v>1762</v>
      </c>
      <c r="Y4" s="343" t="s">
        <v>1763</v>
      </c>
      <c r="Z4" s="343" t="s">
        <v>1764</v>
      </c>
      <c r="AA4" s="457" t="s">
        <v>1765</v>
      </c>
      <c r="AB4" s="457" t="s">
        <v>1766</v>
      </c>
      <c r="AC4" s="457" t="s">
        <v>1767</v>
      </c>
      <c r="AD4" s="457" t="s">
        <v>1768</v>
      </c>
      <c r="AE4" s="457" t="s">
        <v>1769</v>
      </c>
      <c r="AF4" s="457" t="s">
        <v>1770</v>
      </c>
      <c r="AG4" s="457" t="s">
        <v>1771</v>
      </c>
      <c r="AH4" s="457" t="s">
        <v>1772</v>
      </c>
      <c r="AI4" s="457" t="s">
        <v>1773</v>
      </c>
      <c r="AJ4" s="457" t="s">
        <v>1774</v>
      </c>
      <c r="AK4" s="457" t="s">
        <v>1775</v>
      </c>
      <c r="AL4" s="457" t="s">
        <v>1776</v>
      </c>
      <c r="AM4" s="457" t="s">
        <v>1777</v>
      </c>
      <c r="AN4" s="458" t="s">
        <v>1570</v>
      </c>
    </row>
    <row r="5" spans="1:45" ht="13.5" customHeight="1" x14ac:dyDescent="0.2">
      <c r="A5" s="347" t="s">
        <v>1188</v>
      </c>
      <c r="B5" s="347" t="s">
        <v>1189</v>
      </c>
      <c r="C5" s="347" t="s">
        <v>344</v>
      </c>
      <c r="D5" s="347" t="s">
        <v>1778</v>
      </c>
      <c r="E5" s="347" t="s">
        <v>370</v>
      </c>
      <c r="F5" s="348" t="s">
        <v>539</v>
      </c>
      <c r="G5" s="348" t="s">
        <v>543</v>
      </c>
      <c r="H5" s="348" t="s">
        <v>1779</v>
      </c>
      <c r="I5" s="348" t="s">
        <v>541</v>
      </c>
      <c r="J5" s="348" t="s">
        <v>1780</v>
      </c>
      <c r="K5" s="348" t="s">
        <v>1781</v>
      </c>
      <c r="L5" s="348" t="s">
        <v>1782</v>
      </c>
      <c r="M5" s="348" t="s">
        <v>1783</v>
      </c>
      <c r="N5" s="351" t="s">
        <v>1784</v>
      </c>
      <c r="O5" s="351" t="s">
        <v>1785</v>
      </c>
      <c r="P5" s="351" t="s">
        <v>753</v>
      </c>
      <c r="Q5" s="351" t="s">
        <v>765</v>
      </c>
      <c r="R5" s="351" t="s">
        <v>1786</v>
      </c>
      <c r="S5" s="352" t="s">
        <v>572</v>
      </c>
      <c r="T5" s="352" t="s">
        <v>1787</v>
      </c>
      <c r="U5" s="352" t="s">
        <v>1788</v>
      </c>
      <c r="V5" s="350" t="s">
        <v>1789</v>
      </c>
      <c r="W5" s="350" t="s">
        <v>1790</v>
      </c>
      <c r="X5" s="349" t="s">
        <v>1791</v>
      </c>
      <c r="Y5" s="349" t="s">
        <v>1792</v>
      </c>
      <c r="Z5" s="349" t="s">
        <v>412</v>
      </c>
      <c r="AA5" s="459" t="s">
        <v>539</v>
      </c>
      <c r="AB5" s="459" t="s">
        <v>543</v>
      </c>
      <c r="AC5" s="459" t="s">
        <v>1779</v>
      </c>
      <c r="AD5" s="459" t="s">
        <v>541</v>
      </c>
      <c r="AE5" s="459" t="s">
        <v>1780</v>
      </c>
      <c r="AF5" s="459" t="s">
        <v>1793</v>
      </c>
      <c r="AG5" s="459" t="s">
        <v>1794</v>
      </c>
      <c r="AH5" s="459" t="s">
        <v>1795</v>
      </c>
      <c r="AI5" s="459" t="s">
        <v>1796</v>
      </c>
      <c r="AJ5" s="459" t="s">
        <v>1797</v>
      </c>
      <c r="AK5" s="459" t="s">
        <v>1798</v>
      </c>
      <c r="AL5" s="459" t="s">
        <v>1799</v>
      </c>
      <c r="AM5" s="459" t="s">
        <v>1268</v>
      </c>
      <c r="AN5" s="460" t="s">
        <v>1800</v>
      </c>
    </row>
    <row r="6" spans="1:45" ht="43.5" customHeight="1" x14ac:dyDescent="0.2">
      <c r="A6" s="304">
        <v>1</v>
      </c>
      <c r="B6" s="461" t="s">
        <v>1801</v>
      </c>
      <c r="C6" s="462" t="s">
        <v>1802</v>
      </c>
      <c r="D6" s="463" t="s">
        <v>265</v>
      </c>
      <c r="E6" s="296" t="s">
        <v>1803</v>
      </c>
      <c r="F6" s="316" t="s">
        <v>927</v>
      </c>
      <c r="G6" s="316" t="s">
        <v>927</v>
      </c>
      <c r="H6" s="368" t="s">
        <v>185</v>
      </c>
      <c r="I6" s="368" t="s">
        <v>185</v>
      </c>
      <c r="J6" s="368" t="s">
        <v>185</v>
      </c>
      <c r="K6" s="368" t="s">
        <v>185</v>
      </c>
      <c r="L6" s="356" t="s">
        <v>1225</v>
      </c>
      <c r="M6" s="66" t="s">
        <v>1804</v>
      </c>
      <c r="N6" s="464" t="s">
        <v>1805</v>
      </c>
      <c r="O6" s="357" t="s">
        <v>1806</v>
      </c>
      <c r="P6" s="357" t="s">
        <v>1807</v>
      </c>
      <c r="Q6" s="357" t="s">
        <v>1808</v>
      </c>
      <c r="R6" s="357" t="s">
        <v>1809</v>
      </c>
      <c r="S6" s="464" t="s">
        <v>1810</v>
      </c>
      <c r="T6" s="357" t="s">
        <v>36</v>
      </c>
      <c r="U6" s="357" t="s">
        <v>1811</v>
      </c>
      <c r="V6" s="101" t="s">
        <v>844</v>
      </c>
      <c r="W6" s="357" t="s">
        <v>1812</v>
      </c>
      <c r="X6" s="338" t="s">
        <v>345</v>
      </c>
      <c r="Y6" s="92" t="s">
        <v>268</v>
      </c>
      <c r="Z6" s="92" t="s">
        <v>413</v>
      </c>
      <c r="AA6" s="316" t="s">
        <v>927</v>
      </c>
      <c r="AB6" s="316" t="s">
        <v>927</v>
      </c>
      <c r="AC6" s="368" t="s">
        <v>185</v>
      </c>
      <c r="AD6" s="368" t="s">
        <v>185</v>
      </c>
      <c r="AE6" s="368" t="s">
        <v>185</v>
      </c>
      <c r="AF6" s="368" t="s">
        <v>185</v>
      </c>
      <c r="AG6" s="316" t="s">
        <v>927</v>
      </c>
      <c r="AH6" s="316" t="s">
        <v>927</v>
      </c>
      <c r="AI6" s="316" t="s">
        <v>927</v>
      </c>
      <c r="AJ6" s="316" t="s">
        <v>927</v>
      </c>
      <c r="AK6" s="338" t="s">
        <v>927</v>
      </c>
      <c r="AL6" s="368" t="s">
        <v>185</v>
      </c>
      <c r="AM6" s="368" t="s">
        <v>185</v>
      </c>
      <c r="AN6" s="465" t="s">
        <v>1813</v>
      </c>
    </row>
    <row r="7" spans="1:45" ht="43.5" customHeight="1" x14ac:dyDescent="0.2">
      <c r="A7" s="193">
        <v>2</v>
      </c>
      <c r="B7" s="281" t="s">
        <v>1814</v>
      </c>
      <c r="C7" s="466" t="s">
        <v>1815</v>
      </c>
      <c r="D7" s="467" t="s">
        <v>1816</v>
      </c>
      <c r="E7" s="299" t="s">
        <v>1817</v>
      </c>
      <c r="F7" s="361" t="s">
        <v>185</v>
      </c>
      <c r="G7" s="361" t="s">
        <v>185</v>
      </c>
      <c r="H7" s="361" t="s">
        <v>185</v>
      </c>
      <c r="I7" s="361" t="s">
        <v>185</v>
      </c>
      <c r="J7" s="468" t="s">
        <v>927</v>
      </c>
      <c r="K7" s="361" t="s">
        <v>185</v>
      </c>
      <c r="L7" s="338" t="s">
        <v>1190</v>
      </c>
      <c r="M7" s="63" t="s">
        <v>1818</v>
      </c>
      <c r="N7" s="469" t="s">
        <v>1819</v>
      </c>
      <c r="O7" s="203" t="s">
        <v>1820</v>
      </c>
      <c r="P7" s="203" t="s">
        <v>1821</v>
      </c>
      <c r="Q7" s="203" t="s">
        <v>1822</v>
      </c>
      <c r="R7" s="203" t="s">
        <v>1823</v>
      </c>
      <c r="S7" s="469" t="s">
        <v>1824</v>
      </c>
      <c r="T7" s="203" t="s">
        <v>1825</v>
      </c>
      <c r="U7" s="203" t="s">
        <v>1826</v>
      </c>
      <c r="V7" s="470" t="s">
        <v>847</v>
      </c>
      <c r="W7" s="203" t="s">
        <v>1827</v>
      </c>
      <c r="X7" s="338" t="s">
        <v>346</v>
      </c>
      <c r="Y7" s="92" t="s">
        <v>271</v>
      </c>
      <c r="Z7" s="92" t="s">
        <v>414</v>
      </c>
      <c r="AA7" s="361" t="s">
        <v>185</v>
      </c>
      <c r="AB7" s="361" t="s">
        <v>185</v>
      </c>
      <c r="AC7" s="361" t="s">
        <v>185</v>
      </c>
      <c r="AD7" s="361" t="s">
        <v>185</v>
      </c>
      <c r="AE7" s="468" t="s">
        <v>927</v>
      </c>
      <c r="AF7" s="361" t="s">
        <v>185</v>
      </c>
      <c r="AG7" s="316" t="s">
        <v>927</v>
      </c>
      <c r="AH7" s="316" t="s">
        <v>927</v>
      </c>
      <c r="AI7" s="316" t="s">
        <v>927</v>
      </c>
      <c r="AJ7" s="316" t="s">
        <v>927</v>
      </c>
      <c r="AK7" s="361" t="s">
        <v>185</v>
      </c>
      <c r="AL7" s="340" t="s">
        <v>927</v>
      </c>
      <c r="AM7" s="361" t="s">
        <v>185</v>
      </c>
      <c r="AN7" s="456" t="s">
        <v>1828</v>
      </c>
    </row>
    <row r="8" spans="1:45" ht="43.5" customHeight="1" x14ac:dyDescent="0.2">
      <c r="A8" s="471">
        <v>3</v>
      </c>
      <c r="B8" s="472" t="s">
        <v>1829</v>
      </c>
      <c r="C8" s="473" t="s">
        <v>1830</v>
      </c>
      <c r="D8" s="92" t="s">
        <v>1831</v>
      </c>
      <c r="E8" s="296" t="s">
        <v>1832</v>
      </c>
      <c r="F8" s="368" t="s">
        <v>185</v>
      </c>
      <c r="G8" s="368" t="s">
        <v>185</v>
      </c>
      <c r="H8" s="368" t="s">
        <v>185</v>
      </c>
      <c r="I8" s="316" t="s">
        <v>927</v>
      </c>
      <c r="J8" s="368" t="s">
        <v>185</v>
      </c>
      <c r="K8" s="316" t="s">
        <v>927</v>
      </c>
      <c r="L8" s="318" t="s">
        <v>1255</v>
      </c>
      <c r="M8" s="66" t="s">
        <v>1833</v>
      </c>
      <c r="N8" s="464" t="s">
        <v>1834</v>
      </c>
      <c r="O8" s="357" t="s">
        <v>1835</v>
      </c>
      <c r="P8" s="357" t="s">
        <v>1836</v>
      </c>
      <c r="Q8" s="357" t="s">
        <v>1837</v>
      </c>
      <c r="R8" s="357" t="s">
        <v>1838</v>
      </c>
      <c r="S8" s="464" t="s">
        <v>1839</v>
      </c>
      <c r="T8" s="357" t="s">
        <v>1840</v>
      </c>
      <c r="U8" s="357" t="s">
        <v>1841</v>
      </c>
      <c r="V8" s="106" t="s">
        <v>1545</v>
      </c>
      <c r="W8" s="357" t="s">
        <v>1842</v>
      </c>
      <c r="X8" s="338" t="s">
        <v>329</v>
      </c>
      <c r="Y8" s="92" t="s">
        <v>269</v>
      </c>
      <c r="Z8" s="92" t="s">
        <v>415</v>
      </c>
      <c r="AA8" s="368" t="s">
        <v>185</v>
      </c>
      <c r="AB8" s="368" t="s">
        <v>185</v>
      </c>
      <c r="AC8" s="368" t="s">
        <v>185</v>
      </c>
      <c r="AD8" s="316" t="s">
        <v>927</v>
      </c>
      <c r="AE8" s="368" t="s">
        <v>185</v>
      </c>
      <c r="AF8" s="368" t="s">
        <v>185</v>
      </c>
      <c r="AG8" s="316" t="s">
        <v>927</v>
      </c>
      <c r="AH8" s="368" t="s">
        <v>185</v>
      </c>
      <c r="AI8" s="316" t="s">
        <v>927</v>
      </c>
      <c r="AJ8" s="316" t="s">
        <v>927</v>
      </c>
      <c r="AK8" s="368" t="s">
        <v>185</v>
      </c>
      <c r="AL8" s="368" t="s">
        <v>185</v>
      </c>
      <c r="AM8" s="368" t="s">
        <v>185</v>
      </c>
      <c r="AN8" s="465" t="s">
        <v>1843</v>
      </c>
    </row>
    <row r="9" spans="1:45" ht="43.5" customHeight="1" x14ac:dyDescent="0.2">
      <c r="A9" s="191">
        <v>4</v>
      </c>
      <c r="B9" s="276" t="s">
        <v>1844</v>
      </c>
      <c r="C9" s="474" t="s">
        <v>1845</v>
      </c>
      <c r="D9" s="475" t="s">
        <v>1846</v>
      </c>
      <c r="E9" s="299" t="s">
        <v>1847</v>
      </c>
      <c r="F9" s="316" t="s">
        <v>927</v>
      </c>
      <c r="G9" s="361" t="s">
        <v>185</v>
      </c>
      <c r="H9" s="361" t="s">
        <v>185</v>
      </c>
      <c r="I9" s="361" t="s">
        <v>185</v>
      </c>
      <c r="J9" s="361" t="s">
        <v>185</v>
      </c>
      <c r="K9" s="361" t="s">
        <v>185</v>
      </c>
      <c r="L9" s="339" t="s">
        <v>1268</v>
      </c>
      <c r="M9" s="63" t="s">
        <v>1848</v>
      </c>
      <c r="N9" s="469" t="s">
        <v>1849</v>
      </c>
      <c r="O9" s="203" t="s">
        <v>1850</v>
      </c>
      <c r="P9" s="203" t="s">
        <v>1851</v>
      </c>
      <c r="Q9" s="203" t="s">
        <v>1852</v>
      </c>
      <c r="R9" s="203" t="s">
        <v>1853</v>
      </c>
      <c r="S9" s="469" t="s">
        <v>1854</v>
      </c>
      <c r="T9" s="203" t="s">
        <v>1855</v>
      </c>
      <c r="U9" s="203" t="s">
        <v>1856</v>
      </c>
      <c r="V9" s="476" t="s">
        <v>846</v>
      </c>
      <c r="W9" s="203" t="s">
        <v>1857</v>
      </c>
      <c r="X9" s="338" t="s">
        <v>347</v>
      </c>
      <c r="Y9" s="92" t="s">
        <v>267</v>
      </c>
      <c r="Z9" s="92" t="s">
        <v>416</v>
      </c>
      <c r="AA9" s="316" t="s">
        <v>927</v>
      </c>
      <c r="AB9" s="361" t="s">
        <v>185</v>
      </c>
      <c r="AC9" s="361" t="s">
        <v>185</v>
      </c>
      <c r="AD9" s="361" t="s">
        <v>185</v>
      </c>
      <c r="AE9" s="361" t="s">
        <v>185</v>
      </c>
      <c r="AF9" s="361" t="s">
        <v>185</v>
      </c>
      <c r="AG9" s="316" t="s">
        <v>927</v>
      </c>
      <c r="AH9" s="316" t="s">
        <v>927</v>
      </c>
      <c r="AI9" s="316" t="s">
        <v>927</v>
      </c>
      <c r="AJ9" s="316" t="s">
        <v>927</v>
      </c>
      <c r="AK9" s="338" t="s">
        <v>927</v>
      </c>
      <c r="AL9" s="361" t="s">
        <v>185</v>
      </c>
      <c r="AM9" s="339" t="s">
        <v>927</v>
      </c>
      <c r="AN9" s="456" t="s">
        <v>1858</v>
      </c>
    </row>
    <row r="10" spans="1:45" ht="43.5" customHeight="1" x14ac:dyDescent="0.2">
      <c r="A10" s="195">
        <v>5</v>
      </c>
      <c r="B10" s="285" t="s">
        <v>1859</v>
      </c>
      <c r="C10" s="477" t="s">
        <v>1860</v>
      </c>
      <c r="D10" s="478" t="s">
        <v>1861</v>
      </c>
      <c r="E10" s="296" t="s">
        <v>1862</v>
      </c>
      <c r="F10" s="368" t="s">
        <v>185</v>
      </c>
      <c r="G10" s="316" t="s">
        <v>927</v>
      </c>
      <c r="H10" s="368" t="s">
        <v>185</v>
      </c>
      <c r="I10" s="368" t="s">
        <v>185</v>
      </c>
      <c r="J10" s="368" t="s">
        <v>185</v>
      </c>
      <c r="K10" s="368" t="s">
        <v>185</v>
      </c>
      <c r="L10" s="356" t="s">
        <v>1225</v>
      </c>
      <c r="M10" s="66" t="s">
        <v>1863</v>
      </c>
      <c r="N10" s="464" t="s">
        <v>1864</v>
      </c>
      <c r="O10" s="357" t="s">
        <v>1865</v>
      </c>
      <c r="P10" s="357" t="s">
        <v>1866</v>
      </c>
      <c r="Q10" s="357" t="s">
        <v>1867</v>
      </c>
      <c r="R10" s="357" t="s">
        <v>1868</v>
      </c>
      <c r="S10" s="464" t="s">
        <v>1869</v>
      </c>
      <c r="T10" s="357" t="s">
        <v>36</v>
      </c>
      <c r="U10" s="357" t="s">
        <v>1870</v>
      </c>
      <c r="V10" s="107" t="s">
        <v>848</v>
      </c>
      <c r="W10" s="357" t="s">
        <v>1871</v>
      </c>
      <c r="X10" s="338" t="s">
        <v>334</v>
      </c>
      <c r="Y10" s="92" t="s">
        <v>266</v>
      </c>
      <c r="Z10" s="92" t="s">
        <v>413</v>
      </c>
      <c r="AA10" s="368" t="s">
        <v>185</v>
      </c>
      <c r="AB10" s="316" t="s">
        <v>927</v>
      </c>
      <c r="AC10" s="368" t="s">
        <v>185</v>
      </c>
      <c r="AD10" s="368" t="s">
        <v>185</v>
      </c>
      <c r="AE10" s="368" t="s">
        <v>185</v>
      </c>
      <c r="AF10" s="368" t="s">
        <v>185</v>
      </c>
      <c r="AG10" s="316" t="s">
        <v>927</v>
      </c>
      <c r="AH10" s="316" t="s">
        <v>927</v>
      </c>
      <c r="AI10" s="316" t="s">
        <v>927</v>
      </c>
      <c r="AJ10" s="316" t="s">
        <v>927</v>
      </c>
      <c r="AK10" s="338" t="s">
        <v>927</v>
      </c>
      <c r="AL10" s="368" t="s">
        <v>185</v>
      </c>
      <c r="AM10" s="368" t="s">
        <v>185</v>
      </c>
      <c r="AN10" s="465" t="s">
        <v>1872</v>
      </c>
    </row>
    <row r="11" spans="1:45" ht="43.5" customHeight="1" x14ac:dyDescent="0.2">
      <c r="A11" s="192">
        <v>6</v>
      </c>
      <c r="B11" s="279" t="s">
        <v>1873</v>
      </c>
      <c r="C11" s="479" t="s">
        <v>1874</v>
      </c>
      <c r="D11" s="480" t="s">
        <v>1875</v>
      </c>
      <c r="E11" s="299" t="s">
        <v>1876</v>
      </c>
      <c r="F11" s="361" t="s">
        <v>185</v>
      </c>
      <c r="G11" s="361" t="s">
        <v>185</v>
      </c>
      <c r="H11" s="316" t="s">
        <v>927</v>
      </c>
      <c r="I11" s="316" t="s">
        <v>927</v>
      </c>
      <c r="J11" s="361" t="s">
        <v>185</v>
      </c>
      <c r="K11" s="316" t="s">
        <v>927</v>
      </c>
      <c r="L11" s="338" t="s">
        <v>1190</v>
      </c>
      <c r="M11" s="63" t="s">
        <v>1877</v>
      </c>
      <c r="N11" s="469" t="s">
        <v>1878</v>
      </c>
      <c r="O11" s="203" t="s">
        <v>1879</v>
      </c>
      <c r="P11" s="203" t="s">
        <v>1880</v>
      </c>
      <c r="Q11" s="203" t="s">
        <v>1881</v>
      </c>
      <c r="R11" s="203" t="s">
        <v>1882</v>
      </c>
      <c r="S11" s="469" t="s">
        <v>1883</v>
      </c>
      <c r="T11" s="203" t="s">
        <v>1884</v>
      </c>
      <c r="U11" s="203" t="s">
        <v>1885</v>
      </c>
      <c r="V11" s="481" t="s">
        <v>1548</v>
      </c>
      <c r="W11" s="203" t="s">
        <v>1886</v>
      </c>
      <c r="X11" s="338" t="s">
        <v>348</v>
      </c>
      <c r="Y11" s="92" t="s">
        <v>269</v>
      </c>
      <c r="Z11" s="92" t="s">
        <v>414</v>
      </c>
      <c r="AA11" s="361" t="s">
        <v>185</v>
      </c>
      <c r="AB11" s="361" t="s">
        <v>185</v>
      </c>
      <c r="AC11" s="315" t="s">
        <v>927</v>
      </c>
      <c r="AD11" s="316" t="s">
        <v>927</v>
      </c>
      <c r="AE11" s="361" t="s">
        <v>185</v>
      </c>
      <c r="AF11" s="315" t="s">
        <v>927</v>
      </c>
      <c r="AG11" s="361" t="s">
        <v>185</v>
      </c>
      <c r="AH11" s="361" t="s">
        <v>185</v>
      </c>
      <c r="AI11" s="361" t="s">
        <v>185</v>
      </c>
      <c r="AJ11" s="361" t="s">
        <v>185</v>
      </c>
      <c r="AK11" s="361" t="s">
        <v>185</v>
      </c>
      <c r="AL11" s="361" t="s">
        <v>185</v>
      </c>
      <c r="AM11" s="361" t="s">
        <v>185</v>
      </c>
      <c r="AN11" s="456" t="s">
        <v>1887</v>
      </c>
    </row>
    <row r="12" spans="1:45" ht="43.5" customHeight="1" x14ac:dyDescent="0.2">
      <c r="A12" s="482">
        <v>7</v>
      </c>
      <c r="B12" s="483" t="s">
        <v>1888</v>
      </c>
      <c r="C12" s="484" t="s">
        <v>1889</v>
      </c>
      <c r="D12" s="485" t="s">
        <v>1890</v>
      </c>
      <c r="E12" s="296" t="s">
        <v>1891</v>
      </c>
      <c r="F12" s="316" t="s">
        <v>927</v>
      </c>
      <c r="G12" s="368" t="s">
        <v>185</v>
      </c>
      <c r="H12" s="368" t="s">
        <v>185</v>
      </c>
      <c r="I12" s="368" t="s">
        <v>185</v>
      </c>
      <c r="J12" s="468" t="s">
        <v>927</v>
      </c>
      <c r="K12" s="368" t="s">
        <v>185</v>
      </c>
      <c r="L12" s="318" t="s">
        <v>1255</v>
      </c>
      <c r="M12" s="66" t="s">
        <v>1892</v>
      </c>
      <c r="N12" s="464" t="s">
        <v>1893</v>
      </c>
      <c r="O12" s="357" t="s">
        <v>1894</v>
      </c>
      <c r="P12" s="357" t="s">
        <v>1895</v>
      </c>
      <c r="Q12" s="357" t="s">
        <v>1896</v>
      </c>
      <c r="R12" s="357" t="s">
        <v>1897</v>
      </c>
      <c r="S12" s="464" t="s">
        <v>1898</v>
      </c>
      <c r="T12" s="357" t="s">
        <v>1899</v>
      </c>
      <c r="U12" s="357" t="s">
        <v>1900</v>
      </c>
      <c r="V12" s="101" t="s">
        <v>844</v>
      </c>
      <c r="W12" s="357" t="s">
        <v>1901</v>
      </c>
      <c r="X12" s="338" t="s">
        <v>349</v>
      </c>
      <c r="Y12" s="92" t="s">
        <v>271</v>
      </c>
      <c r="Z12" s="92" t="s">
        <v>415</v>
      </c>
      <c r="AA12" s="316" t="s">
        <v>927</v>
      </c>
      <c r="AB12" s="368" t="s">
        <v>185</v>
      </c>
      <c r="AC12" s="368" t="s">
        <v>185</v>
      </c>
      <c r="AD12" s="368" t="s">
        <v>185</v>
      </c>
      <c r="AE12" s="468" t="s">
        <v>927</v>
      </c>
      <c r="AF12" s="368" t="s">
        <v>185</v>
      </c>
      <c r="AG12" s="316" t="s">
        <v>927</v>
      </c>
      <c r="AH12" s="316" t="s">
        <v>927</v>
      </c>
      <c r="AI12" s="316" t="s">
        <v>927</v>
      </c>
      <c r="AJ12" s="316" t="s">
        <v>927</v>
      </c>
      <c r="AK12" s="338" t="s">
        <v>927</v>
      </c>
      <c r="AL12" s="368" t="s">
        <v>185</v>
      </c>
      <c r="AM12" s="368" t="s">
        <v>185</v>
      </c>
      <c r="AN12" s="465" t="s">
        <v>1902</v>
      </c>
    </row>
    <row r="13" spans="1:45" ht="43.5" customHeight="1" x14ac:dyDescent="0.2">
      <c r="A13" s="486">
        <v>8</v>
      </c>
      <c r="B13" s="487" t="s">
        <v>1903</v>
      </c>
      <c r="C13" s="488" t="s">
        <v>1904</v>
      </c>
      <c r="D13" s="489" t="s">
        <v>1905</v>
      </c>
      <c r="E13" s="299" t="s">
        <v>1906</v>
      </c>
      <c r="F13" s="361" t="s">
        <v>185</v>
      </c>
      <c r="G13" s="361" t="s">
        <v>185</v>
      </c>
      <c r="H13" s="316" t="s">
        <v>927</v>
      </c>
      <c r="I13" s="361" t="s">
        <v>185</v>
      </c>
      <c r="J13" s="361" t="s">
        <v>185</v>
      </c>
      <c r="K13" s="316" t="s">
        <v>927</v>
      </c>
      <c r="L13" s="339" t="s">
        <v>1268</v>
      </c>
      <c r="M13" s="63" t="s">
        <v>1907</v>
      </c>
      <c r="N13" s="469" t="s">
        <v>1908</v>
      </c>
      <c r="O13" s="203" t="s">
        <v>1909</v>
      </c>
      <c r="P13" s="203" t="s">
        <v>1910</v>
      </c>
      <c r="Q13" s="203" t="s">
        <v>1911</v>
      </c>
      <c r="R13" s="203" t="s">
        <v>1912</v>
      </c>
      <c r="S13" s="469" t="s">
        <v>1913</v>
      </c>
      <c r="T13" s="203" t="s">
        <v>36</v>
      </c>
      <c r="U13" s="203" t="s">
        <v>1914</v>
      </c>
      <c r="V13" s="470" t="s">
        <v>847</v>
      </c>
      <c r="W13" s="203" t="s">
        <v>1915</v>
      </c>
      <c r="X13" s="338" t="s">
        <v>350</v>
      </c>
      <c r="Y13" s="92" t="s">
        <v>268</v>
      </c>
      <c r="Z13" s="92" t="s">
        <v>416</v>
      </c>
      <c r="AA13" s="361" t="s">
        <v>185</v>
      </c>
      <c r="AB13" s="361" t="s">
        <v>185</v>
      </c>
      <c r="AC13" s="315" t="s">
        <v>927</v>
      </c>
      <c r="AD13" s="361" t="s">
        <v>185</v>
      </c>
      <c r="AE13" s="361" t="s">
        <v>185</v>
      </c>
      <c r="AF13" s="315" t="s">
        <v>927</v>
      </c>
      <c r="AG13" s="361" t="s">
        <v>185</v>
      </c>
      <c r="AH13" s="361" t="s">
        <v>185</v>
      </c>
      <c r="AI13" s="361" t="s">
        <v>185</v>
      </c>
      <c r="AJ13" s="316" t="s">
        <v>927</v>
      </c>
      <c r="AK13" s="361" t="s">
        <v>185</v>
      </c>
      <c r="AL13" s="361" t="s">
        <v>185</v>
      </c>
      <c r="AM13" s="339" t="s">
        <v>927</v>
      </c>
      <c r="AN13" s="456" t="s">
        <v>1916</v>
      </c>
    </row>
    <row r="14" spans="1:45" ht="43.5" customHeight="1" x14ac:dyDescent="0.2">
      <c r="A14" s="194">
        <v>9</v>
      </c>
      <c r="B14" s="283" t="s">
        <v>1917</v>
      </c>
      <c r="C14" s="490" t="s">
        <v>1918</v>
      </c>
      <c r="D14" s="491" t="s">
        <v>1919</v>
      </c>
      <c r="E14" s="296" t="s">
        <v>1920</v>
      </c>
      <c r="F14" s="368" t="s">
        <v>185</v>
      </c>
      <c r="G14" s="316" t="s">
        <v>927</v>
      </c>
      <c r="H14" s="368" t="s">
        <v>185</v>
      </c>
      <c r="I14" s="368" t="s">
        <v>185</v>
      </c>
      <c r="J14" s="368" t="s">
        <v>185</v>
      </c>
      <c r="K14" s="368" t="s">
        <v>185</v>
      </c>
      <c r="L14" s="356" t="s">
        <v>1225</v>
      </c>
      <c r="M14" s="66" t="s">
        <v>1921</v>
      </c>
      <c r="N14" s="464" t="s">
        <v>1922</v>
      </c>
      <c r="O14" s="357" t="s">
        <v>1923</v>
      </c>
      <c r="P14" s="357" t="s">
        <v>1924</v>
      </c>
      <c r="Q14" s="357" t="s">
        <v>1925</v>
      </c>
      <c r="R14" s="357" t="s">
        <v>1926</v>
      </c>
      <c r="S14" s="464" t="s">
        <v>1927</v>
      </c>
      <c r="T14" s="357" t="s">
        <v>1928</v>
      </c>
      <c r="U14" s="357" t="s">
        <v>1929</v>
      </c>
      <c r="V14" s="106" t="s">
        <v>1545</v>
      </c>
      <c r="W14" s="357" t="s">
        <v>1930</v>
      </c>
      <c r="X14" s="338" t="s">
        <v>351</v>
      </c>
      <c r="Y14" s="92" t="s">
        <v>270</v>
      </c>
      <c r="Z14" s="92" t="s">
        <v>413</v>
      </c>
      <c r="AA14" s="368" t="s">
        <v>185</v>
      </c>
      <c r="AB14" s="316" t="s">
        <v>927</v>
      </c>
      <c r="AC14" s="368" t="s">
        <v>185</v>
      </c>
      <c r="AD14" s="368" t="s">
        <v>185</v>
      </c>
      <c r="AE14" s="368" t="s">
        <v>185</v>
      </c>
      <c r="AF14" s="368" t="s">
        <v>185</v>
      </c>
      <c r="AG14" s="316" t="s">
        <v>927</v>
      </c>
      <c r="AH14" s="316" t="s">
        <v>927</v>
      </c>
      <c r="AI14" s="316" t="s">
        <v>927</v>
      </c>
      <c r="AJ14" s="316" t="s">
        <v>927</v>
      </c>
      <c r="AK14" s="338" t="s">
        <v>927</v>
      </c>
      <c r="AL14" s="368" t="s">
        <v>185</v>
      </c>
      <c r="AM14" s="368" t="s">
        <v>185</v>
      </c>
      <c r="AN14" s="465" t="s">
        <v>1931</v>
      </c>
    </row>
    <row r="15" spans="1:45" ht="43.5" customHeight="1" x14ac:dyDescent="0.2">
      <c r="A15" s="492">
        <v>10</v>
      </c>
      <c r="B15" s="493" t="s">
        <v>1932</v>
      </c>
      <c r="C15" s="494" t="s">
        <v>1933</v>
      </c>
      <c r="D15" s="495" t="s">
        <v>1934</v>
      </c>
      <c r="E15" s="299" t="s">
        <v>1935</v>
      </c>
      <c r="F15" s="316" t="s">
        <v>927</v>
      </c>
      <c r="G15" s="361" t="s">
        <v>185</v>
      </c>
      <c r="H15" s="361" t="s">
        <v>185</v>
      </c>
      <c r="I15" s="316" t="s">
        <v>927</v>
      </c>
      <c r="J15" s="361" t="s">
        <v>185</v>
      </c>
      <c r="K15" s="361" t="s">
        <v>185</v>
      </c>
      <c r="L15" s="338" t="s">
        <v>1190</v>
      </c>
      <c r="M15" s="63" t="s">
        <v>1936</v>
      </c>
      <c r="N15" s="469" t="s">
        <v>1937</v>
      </c>
      <c r="O15" s="203" t="s">
        <v>1938</v>
      </c>
      <c r="P15" s="203" t="s">
        <v>1939</v>
      </c>
      <c r="Q15" s="203" t="s">
        <v>1940</v>
      </c>
      <c r="R15" s="203" t="s">
        <v>1941</v>
      </c>
      <c r="S15" s="469" t="s">
        <v>1942</v>
      </c>
      <c r="T15" s="203" t="s">
        <v>1943</v>
      </c>
      <c r="U15" s="203" t="s">
        <v>1944</v>
      </c>
      <c r="V15" s="476" t="s">
        <v>846</v>
      </c>
      <c r="W15" s="203" t="s">
        <v>1945</v>
      </c>
      <c r="X15" s="338" t="s">
        <v>352</v>
      </c>
      <c r="Y15" s="92" t="s">
        <v>272</v>
      </c>
      <c r="Z15" s="92" t="s">
        <v>414</v>
      </c>
      <c r="AA15" s="316" t="s">
        <v>927</v>
      </c>
      <c r="AB15" s="361" t="s">
        <v>185</v>
      </c>
      <c r="AC15" s="361" t="s">
        <v>185</v>
      </c>
      <c r="AD15" s="316" t="s">
        <v>927</v>
      </c>
      <c r="AE15" s="361" t="s">
        <v>185</v>
      </c>
      <c r="AF15" s="361" t="s">
        <v>185</v>
      </c>
      <c r="AG15" s="316" t="s">
        <v>927</v>
      </c>
      <c r="AH15" s="316" t="s">
        <v>927</v>
      </c>
      <c r="AI15" s="316" t="s">
        <v>927</v>
      </c>
      <c r="AJ15" s="316" t="s">
        <v>927</v>
      </c>
      <c r="AK15" s="338" t="s">
        <v>927</v>
      </c>
      <c r="AL15" s="361" t="s">
        <v>185</v>
      </c>
      <c r="AM15" s="361" t="s">
        <v>185</v>
      </c>
      <c r="AN15" s="456" t="s">
        <v>1946</v>
      </c>
    </row>
    <row r="16" spans="1:45" ht="43.5" customHeight="1" x14ac:dyDescent="0.2">
      <c r="A16" s="496">
        <v>11</v>
      </c>
      <c r="B16" s="497" t="s">
        <v>1947</v>
      </c>
      <c r="C16" s="498" t="s">
        <v>1948</v>
      </c>
      <c r="D16" s="499" t="s">
        <v>549</v>
      </c>
      <c r="E16" s="296" t="s">
        <v>1949</v>
      </c>
      <c r="F16" s="368" t="s">
        <v>185</v>
      </c>
      <c r="G16" s="368" t="s">
        <v>185</v>
      </c>
      <c r="H16" s="368" t="s">
        <v>185</v>
      </c>
      <c r="I16" s="316" t="s">
        <v>927</v>
      </c>
      <c r="J16" s="368" t="s">
        <v>185</v>
      </c>
      <c r="K16" s="368" t="s">
        <v>185</v>
      </c>
      <c r="L16" s="318" t="s">
        <v>1255</v>
      </c>
      <c r="M16" s="66" t="s">
        <v>1950</v>
      </c>
      <c r="N16" s="464" t="s">
        <v>1951</v>
      </c>
      <c r="O16" s="357" t="s">
        <v>1952</v>
      </c>
      <c r="P16" s="357" t="s">
        <v>1953</v>
      </c>
      <c r="Q16" s="357" t="s">
        <v>1954</v>
      </c>
      <c r="R16" s="357" t="s">
        <v>1955</v>
      </c>
      <c r="S16" s="464" t="s">
        <v>1956</v>
      </c>
      <c r="T16" s="357" t="s">
        <v>36</v>
      </c>
      <c r="U16" s="357" t="s">
        <v>1957</v>
      </c>
      <c r="V16" s="107" t="s">
        <v>848</v>
      </c>
      <c r="W16" s="357" t="s">
        <v>1958</v>
      </c>
      <c r="X16" s="338" t="s">
        <v>325</v>
      </c>
      <c r="Y16" s="92" t="s">
        <v>272</v>
      </c>
      <c r="Z16" s="92" t="s">
        <v>415</v>
      </c>
      <c r="AA16" s="368" t="s">
        <v>185</v>
      </c>
      <c r="AB16" s="368" t="s">
        <v>185</v>
      </c>
      <c r="AC16" s="368" t="s">
        <v>185</v>
      </c>
      <c r="AD16" s="316" t="s">
        <v>927</v>
      </c>
      <c r="AE16" s="368" t="s">
        <v>185</v>
      </c>
      <c r="AF16" s="368" t="s">
        <v>185</v>
      </c>
      <c r="AG16" s="316" t="s">
        <v>927</v>
      </c>
      <c r="AH16" s="368" t="s">
        <v>185</v>
      </c>
      <c r="AI16" s="316" t="s">
        <v>927</v>
      </c>
      <c r="AJ16" s="316" t="s">
        <v>927</v>
      </c>
      <c r="AK16" s="368" t="s">
        <v>185</v>
      </c>
      <c r="AL16" s="340" t="s">
        <v>927</v>
      </c>
      <c r="AM16" s="368" t="s">
        <v>185</v>
      </c>
      <c r="AN16" s="465" t="s">
        <v>1959</v>
      </c>
    </row>
    <row r="17" spans="1:40" ht="43.5" customHeight="1" x14ac:dyDescent="0.2">
      <c r="A17" s="197">
        <v>12</v>
      </c>
      <c r="B17" s="289" t="s">
        <v>1960</v>
      </c>
      <c r="C17" s="500" t="s">
        <v>1961</v>
      </c>
      <c r="D17" s="501" t="s">
        <v>550</v>
      </c>
      <c r="E17" s="299" t="s">
        <v>1962</v>
      </c>
      <c r="F17" s="361" t="s">
        <v>185</v>
      </c>
      <c r="G17" s="361" t="s">
        <v>185</v>
      </c>
      <c r="H17" s="316" t="s">
        <v>927</v>
      </c>
      <c r="I17" s="361" t="s">
        <v>185</v>
      </c>
      <c r="J17" s="361" t="s">
        <v>185</v>
      </c>
      <c r="K17" s="316" t="s">
        <v>927</v>
      </c>
      <c r="L17" s="339" t="s">
        <v>1268</v>
      </c>
      <c r="M17" s="63" t="s">
        <v>1963</v>
      </c>
      <c r="N17" s="469" t="s">
        <v>1964</v>
      </c>
      <c r="O17" s="203" t="s">
        <v>1965</v>
      </c>
      <c r="P17" s="203" t="s">
        <v>1966</v>
      </c>
      <c r="Q17" s="203" t="s">
        <v>1967</v>
      </c>
      <c r="R17" s="203" t="s">
        <v>1968</v>
      </c>
      <c r="S17" s="469" t="s">
        <v>1969</v>
      </c>
      <c r="T17" s="203" t="s">
        <v>1970</v>
      </c>
      <c r="U17" s="203" t="s">
        <v>1971</v>
      </c>
      <c r="V17" s="481" t="s">
        <v>1548</v>
      </c>
      <c r="W17" s="203" t="s">
        <v>1972</v>
      </c>
      <c r="X17" s="338" t="s">
        <v>323</v>
      </c>
      <c r="Y17" s="92" t="s">
        <v>270</v>
      </c>
      <c r="Z17" s="92" t="s">
        <v>416</v>
      </c>
      <c r="AA17" s="361" t="s">
        <v>185</v>
      </c>
      <c r="AB17" s="361" t="s">
        <v>185</v>
      </c>
      <c r="AC17" s="315" t="s">
        <v>927</v>
      </c>
      <c r="AD17" s="361" t="s">
        <v>185</v>
      </c>
      <c r="AE17" s="361" t="s">
        <v>185</v>
      </c>
      <c r="AF17" s="315" t="s">
        <v>927</v>
      </c>
      <c r="AG17" s="361" t="s">
        <v>185</v>
      </c>
      <c r="AH17" s="361" t="s">
        <v>185</v>
      </c>
      <c r="AI17" s="361" t="s">
        <v>185</v>
      </c>
      <c r="AJ17" s="316" t="s">
        <v>927</v>
      </c>
      <c r="AK17" s="361" t="s">
        <v>185</v>
      </c>
      <c r="AL17" s="361" t="s">
        <v>185</v>
      </c>
      <c r="AM17" s="339" t="s">
        <v>927</v>
      </c>
      <c r="AN17" s="456" t="s">
        <v>1973</v>
      </c>
    </row>
    <row r="18" spans="1:40" ht="18" customHeight="1" x14ac:dyDescent="0.2">
      <c r="A18" s="1506" t="s">
        <v>1974</v>
      </c>
      <c r="B18" s="1506"/>
      <c r="C18" s="1506"/>
      <c r="D18" s="1506"/>
      <c r="E18" s="1506"/>
      <c r="F18" s="1506"/>
      <c r="G18" s="1506"/>
      <c r="H18" s="1506"/>
      <c r="I18" s="1506"/>
      <c r="J18" s="1506"/>
      <c r="K18" s="1506"/>
      <c r="L18" s="1506"/>
      <c r="M18" s="1506"/>
      <c r="N18" s="1506"/>
      <c r="O18" s="1506"/>
      <c r="P18" s="1506"/>
      <c r="Q18" s="1506"/>
      <c r="R18" s="1506"/>
      <c r="S18" s="1506"/>
      <c r="T18" s="1506"/>
      <c r="U18" s="1506"/>
      <c r="V18" s="1506"/>
      <c r="W18" s="1506"/>
      <c r="X18" s="1506"/>
      <c r="Y18" s="1506"/>
      <c r="Z18" s="1506"/>
      <c r="AA18" s="1506"/>
      <c r="AB18" s="1506"/>
      <c r="AC18" s="1506"/>
      <c r="AD18" s="1506"/>
      <c r="AE18" s="1506"/>
      <c r="AF18" s="1506"/>
      <c r="AG18" s="1506"/>
      <c r="AH18" s="1506"/>
      <c r="AI18" s="1506"/>
      <c r="AJ18" s="1506"/>
      <c r="AK18" s="1506"/>
      <c r="AL18" s="1506"/>
      <c r="AM18" s="1506"/>
      <c r="AN18" s="1506"/>
    </row>
  </sheetData>
  <mergeCells count="10">
    <mergeCell ref="A18:AN18"/>
    <mergeCell ref="A1:AM1"/>
    <mergeCell ref="A2:AM2"/>
    <mergeCell ref="A3:E3"/>
    <mergeCell ref="F3:M3"/>
    <mergeCell ref="N3:R3"/>
    <mergeCell ref="S3:U3"/>
    <mergeCell ref="V3:W3"/>
    <mergeCell ref="X3:Z3"/>
    <mergeCell ref="AA3:AM3"/>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565C0"/>
  </sheetPr>
  <dimension ref="A1:P31"/>
  <sheetViews>
    <sheetView zoomScaleNormal="100" workbookViewId="0"/>
  </sheetViews>
  <sheetFormatPr defaultColWidth="8.609375" defaultRowHeight="15" x14ac:dyDescent="0.2"/>
  <cols>
    <col min="1" max="1" width="18.0234375" customWidth="1"/>
    <col min="2" max="3" width="13.98828125" customWidth="1"/>
    <col min="4" max="4" width="48.0234375" customWidth="1"/>
    <col min="5" max="5" width="52.05859375" customWidth="1"/>
    <col min="6" max="9" width="13.98828125" customWidth="1"/>
    <col min="11" max="11" width="2.015625" customWidth="1"/>
    <col min="12" max="12" width="22.05859375" customWidth="1"/>
    <col min="13" max="14" width="13.98828125" customWidth="1"/>
    <col min="15" max="15" width="48.0234375" customWidth="1"/>
  </cols>
  <sheetData>
    <row r="1" spans="1:16" ht="27.75" customHeight="1" x14ac:dyDescent="0.2">
      <c r="A1" s="1474" t="s">
        <v>1975</v>
      </c>
      <c r="B1" s="1474"/>
      <c r="C1" s="1474"/>
      <c r="D1" s="1474"/>
      <c r="E1" s="1474"/>
      <c r="F1" s="1474"/>
      <c r="G1" s="1474"/>
      <c r="H1" s="1474"/>
      <c r="I1" s="1474"/>
      <c r="J1" s="1474"/>
      <c r="K1" s="1474"/>
      <c r="L1" s="1474"/>
      <c r="M1" s="1474"/>
      <c r="N1" s="1474"/>
      <c r="O1" s="1474"/>
      <c r="P1" s="29" t="str">
        <f>HYPERLINK("#'00_INDEX'!A1","&lt;- Index")</f>
        <v>&lt;- Index</v>
      </c>
    </row>
    <row r="2" spans="1:16" ht="21.75" customHeight="1" x14ac:dyDescent="0.2">
      <c r="A2" s="1475" t="s">
        <v>1976</v>
      </c>
      <c r="B2" s="1475"/>
      <c r="C2" s="1475"/>
      <c r="D2" s="1475"/>
      <c r="E2" s="1475"/>
      <c r="F2" s="1475"/>
      <c r="G2" s="1475"/>
      <c r="H2" s="1475"/>
      <c r="I2" s="1475"/>
      <c r="J2" s="1475"/>
      <c r="K2" s="1475"/>
      <c r="L2" s="1475"/>
      <c r="M2" s="1475"/>
      <c r="N2" s="1475"/>
      <c r="O2" s="1475"/>
    </row>
    <row r="3" spans="1:16" ht="21.75" customHeight="1" x14ac:dyDescent="0.2">
      <c r="A3" s="1488" t="s">
        <v>1977</v>
      </c>
      <c r="B3" s="1488"/>
      <c r="C3" s="1488"/>
      <c r="D3" s="1488"/>
      <c r="E3" s="1488"/>
      <c r="F3" s="1488"/>
      <c r="G3" s="1488"/>
      <c r="H3" s="1488"/>
      <c r="I3" s="1488"/>
      <c r="J3" s="1488"/>
      <c r="L3" s="1510" t="s">
        <v>1978</v>
      </c>
      <c r="M3" s="1510"/>
      <c r="N3" s="1510"/>
      <c r="O3" s="1510"/>
    </row>
    <row r="4" spans="1:16" ht="27.75" customHeight="1" x14ac:dyDescent="0.2">
      <c r="A4" s="87" t="s">
        <v>1979</v>
      </c>
      <c r="B4" s="189" t="s">
        <v>344</v>
      </c>
      <c r="C4" s="367" t="s">
        <v>266</v>
      </c>
      <c r="D4" s="102" t="s">
        <v>267</v>
      </c>
      <c r="E4" s="99" t="s">
        <v>268</v>
      </c>
      <c r="F4" s="100" t="s">
        <v>269</v>
      </c>
      <c r="G4" s="107" t="s">
        <v>270</v>
      </c>
      <c r="H4" s="106" t="s">
        <v>271</v>
      </c>
      <c r="I4" s="108" t="s">
        <v>272</v>
      </c>
      <c r="L4" s="502" t="s">
        <v>1980</v>
      </c>
      <c r="M4" s="502" t="s">
        <v>1981</v>
      </c>
      <c r="N4" s="502" t="s">
        <v>1982</v>
      </c>
      <c r="O4" s="502" t="s">
        <v>1983</v>
      </c>
    </row>
    <row r="5" spans="1:16" ht="31.5" customHeight="1" x14ac:dyDescent="0.2">
      <c r="A5" s="263" t="s">
        <v>266</v>
      </c>
      <c r="B5" s="378" t="s">
        <v>288</v>
      </c>
      <c r="C5" s="503" t="s">
        <v>36</v>
      </c>
      <c r="D5" s="316" t="s">
        <v>1984</v>
      </c>
      <c r="E5" s="316" t="s">
        <v>1984</v>
      </c>
      <c r="F5" s="504" t="s">
        <v>1985</v>
      </c>
      <c r="G5" s="316" t="s">
        <v>1984</v>
      </c>
      <c r="H5" s="315" t="s">
        <v>1986</v>
      </c>
      <c r="I5" s="315" t="s">
        <v>1986</v>
      </c>
      <c r="L5" s="68" t="s">
        <v>1987</v>
      </c>
      <c r="M5" s="505" t="s">
        <v>1988</v>
      </c>
      <c r="N5" s="315" t="s">
        <v>1989</v>
      </c>
      <c r="O5" s="357" t="s">
        <v>1990</v>
      </c>
    </row>
    <row r="6" spans="1:16" ht="31.5" customHeight="1" x14ac:dyDescent="0.2">
      <c r="A6" s="276" t="s">
        <v>267</v>
      </c>
      <c r="B6" s="382" t="s">
        <v>291</v>
      </c>
      <c r="C6" s="316" t="s">
        <v>1984</v>
      </c>
      <c r="D6" s="503" t="s">
        <v>36</v>
      </c>
      <c r="E6" s="504" t="s">
        <v>1985</v>
      </c>
      <c r="F6" s="506" t="s">
        <v>1991</v>
      </c>
      <c r="G6" s="504" t="s">
        <v>1985</v>
      </c>
      <c r="H6" s="504" t="s">
        <v>1985</v>
      </c>
      <c r="I6" s="504" t="s">
        <v>1985</v>
      </c>
      <c r="L6" s="73" t="s">
        <v>1992</v>
      </c>
      <c r="M6" s="505" t="s">
        <v>1988</v>
      </c>
      <c r="N6" s="315" t="s">
        <v>1993</v>
      </c>
      <c r="O6" s="203" t="s">
        <v>1994</v>
      </c>
    </row>
    <row r="7" spans="1:16" ht="31.5" customHeight="1" x14ac:dyDescent="0.2">
      <c r="A7" s="279" t="s">
        <v>268</v>
      </c>
      <c r="B7" s="384" t="s">
        <v>294</v>
      </c>
      <c r="C7" s="316" t="s">
        <v>1984</v>
      </c>
      <c r="D7" s="506" t="s">
        <v>1991</v>
      </c>
      <c r="E7" s="503" t="s">
        <v>36</v>
      </c>
      <c r="F7" s="507" t="s">
        <v>1995</v>
      </c>
      <c r="G7" s="316" t="s">
        <v>1984</v>
      </c>
      <c r="H7" s="508" t="s">
        <v>706</v>
      </c>
      <c r="I7" s="504" t="s">
        <v>1985</v>
      </c>
      <c r="L7" s="68" t="s">
        <v>1996</v>
      </c>
      <c r="M7" s="316" t="s">
        <v>1997</v>
      </c>
      <c r="N7" s="505" t="s">
        <v>1988</v>
      </c>
      <c r="O7" s="357" t="s">
        <v>1998</v>
      </c>
    </row>
    <row r="8" spans="1:16" ht="31.5" customHeight="1" x14ac:dyDescent="0.2">
      <c r="A8" s="281" t="s">
        <v>269</v>
      </c>
      <c r="B8" s="386" t="s">
        <v>297</v>
      </c>
      <c r="C8" s="506" t="s">
        <v>1991</v>
      </c>
      <c r="D8" s="507" t="s">
        <v>1995</v>
      </c>
      <c r="E8" s="504" t="s">
        <v>1985</v>
      </c>
      <c r="F8" s="503" t="s">
        <v>36</v>
      </c>
      <c r="G8" s="504" t="s">
        <v>1985</v>
      </c>
      <c r="H8" s="316" t="s">
        <v>1984</v>
      </c>
      <c r="I8" s="504" t="s">
        <v>1985</v>
      </c>
      <c r="L8" s="73" t="s">
        <v>1999</v>
      </c>
      <c r="M8" s="315" t="s">
        <v>2000</v>
      </c>
      <c r="N8" s="505" t="s">
        <v>2001</v>
      </c>
      <c r="O8" s="203" t="s">
        <v>2002</v>
      </c>
    </row>
    <row r="9" spans="1:16" ht="31.5" customHeight="1" x14ac:dyDescent="0.2">
      <c r="A9" s="283" t="s">
        <v>270</v>
      </c>
      <c r="B9" s="388" t="s">
        <v>300</v>
      </c>
      <c r="C9" s="316" t="s">
        <v>1984</v>
      </c>
      <c r="D9" s="506" t="s">
        <v>1991</v>
      </c>
      <c r="E9" s="316" t="s">
        <v>1984</v>
      </c>
      <c r="F9" s="507" t="s">
        <v>1995</v>
      </c>
      <c r="G9" s="503" t="s">
        <v>36</v>
      </c>
      <c r="H9" s="507" t="s">
        <v>1995</v>
      </c>
      <c r="I9" s="508" t="s">
        <v>706</v>
      </c>
      <c r="L9" s="68" t="s">
        <v>2003</v>
      </c>
      <c r="M9" s="505" t="s">
        <v>2004</v>
      </c>
      <c r="N9" s="315" t="s">
        <v>1993</v>
      </c>
      <c r="O9" s="357" t="s">
        <v>2005</v>
      </c>
    </row>
    <row r="10" spans="1:16" ht="31.5" customHeight="1" x14ac:dyDescent="0.2">
      <c r="A10" s="285" t="s">
        <v>271</v>
      </c>
      <c r="B10" s="390" t="s">
        <v>303</v>
      </c>
      <c r="C10" s="315" t="s">
        <v>1986</v>
      </c>
      <c r="D10" s="507" t="s">
        <v>1995</v>
      </c>
      <c r="E10" s="508" t="s">
        <v>706</v>
      </c>
      <c r="F10" s="316" t="s">
        <v>1984</v>
      </c>
      <c r="G10" s="504" t="s">
        <v>1985</v>
      </c>
      <c r="H10" s="503" t="s">
        <v>36</v>
      </c>
      <c r="I10" s="316" t="s">
        <v>1984</v>
      </c>
      <c r="L10" s="73" t="s">
        <v>2006</v>
      </c>
      <c r="M10" s="316" t="s">
        <v>2007</v>
      </c>
      <c r="N10" s="505" t="s">
        <v>2008</v>
      </c>
      <c r="O10" s="203" t="s">
        <v>2009</v>
      </c>
    </row>
    <row r="11" spans="1:16" ht="31.5" customHeight="1" x14ac:dyDescent="0.2">
      <c r="A11" s="287" t="s">
        <v>272</v>
      </c>
      <c r="B11" s="392" t="s">
        <v>306</v>
      </c>
      <c r="C11" s="315" t="s">
        <v>1986</v>
      </c>
      <c r="D11" s="507" t="s">
        <v>1995</v>
      </c>
      <c r="E11" s="507" t="s">
        <v>1995</v>
      </c>
      <c r="F11" s="506" t="s">
        <v>1991</v>
      </c>
      <c r="G11" s="508" t="s">
        <v>706</v>
      </c>
      <c r="H11" s="316" t="s">
        <v>1984</v>
      </c>
      <c r="I11" s="503" t="s">
        <v>36</v>
      </c>
      <c r="L11" s="68" t="s">
        <v>2010</v>
      </c>
      <c r="M11" s="315" t="s">
        <v>2011</v>
      </c>
      <c r="N11" s="316" t="s">
        <v>2012</v>
      </c>
      <c r="O11" s="357" t="s">
        <v>2013</v>
      </c>
    </row>
    <row r="12" spans="1:16" ht="31.5" customHeight="1" x14ac:dyDescent="0.2">
      <c r="L12" s="73" t="s">
        <v>2014</v>
      </c>
      <c r="M12" s="505" t="s">
        <v>2001</v>
      </c>
      <c r="N12" s="316" t="s">
        <v>2015</v>
      </c>
      <c r="O12" s="203" t="s">
        <v>2016</v>
      </c>
    </row>
    <row r="13" spans="1:16" ht="31.5" customHeight="1" x14ac:dyDescent="0.2">
      <c r="A13" s="1511" t="s">
        <v>2017</v>
      </c>
      <c r="B13" s="1511"/>
      <c r="C13" s="1511"/>
      <c r="D13" s="1511"/>
      <c r="E13" s="1511"/>
      <c r="F13" s="1511"/>
      <c r="G13" s="1511"/>
      <c r="H13" s="1511"/>
      <c r="I13" s="1511"/>
      <c r="J13" s="1511"/>
      <c r="L13" s="68" t="s">
        <v>2018</v>
      </c>
      <c r="M13" s="316" t="s">
        <v>2019</v>
      </c>
      <c r="N13" s="505" t="s">
        <v>1988</v>
      </c>
      <c r="O13" s="357" t="s">
        <v>2020</v>
      </c>
    </row>
    <row r="14" spans="1:16" ht="31.5" customHeight="1" x14ac:dyDescent="0.2">
      <c r="L14" s="73" t="s">
        <v>2021</v>
      </c>
      <c r="M14" s="315" t="s">
        <v>2022</v>
      </c>
      <c r="N14" s="505" t="s">
        <v>2001</v>
      </c>
      <c r="O14" s="203" t="s">
        <v>2023</v>
      </c>
    </row>
    <row r="15" spans="1:16" ht="31.5" customHeight="1" x14ac:dyDescent="0.2">
      <c r="L15" s="68" t="s">
        <v>2024</v>
      </c>
      <c r="M15" s="315" t="s">
        <v>2022</v>
      </c>
      <c r="N15" s="505" t="s">
        <v>2025</v>
      </c>
      <c r="O15" s="357" t="s">
        <v>2026</v>
      </c>
    </row>
    <row r="16" spans="1:16" ht="21.75" customHeight="1" x14ac:dyDescent="0.2">
      <c r="A16" s="1477" t="s">
        <v>2027</v>
      </c>
      <c r="B16" s="1477"/>
      <c r="C16" s="1477"/>
      <c r="D16" s="1477"/>
      <c r="E16" s="1477"/>
      <c r="F16" s="1477"/>
      <c r="G16" s="1477"/>
      <c r="H16" s="1477"/>
      <c r="I16" s="1477"/>
      <c r="J16" s="1477"/>
    </row>
    <row r="17" spans="1:10" ht="27.75" customHeight="1" x14ac:dyDescent="0.2">
      <c r="A17" s="1512" t="s">
        <v>2028</v>
      </c>
      <c r="B17" s="1512"/>
      <c r="C17" s="1512"/>
      <c r="D17" s="1512"/>
      <c r="E17" s="1512"/>
      <c r="F17" s="1512"/>
      <c r="G17" s="1512"/>
      <c r="H17" s="1512"/>
      <c r="I17" s="1512"/>
      <c r="J17" s="1512"/>
    </row>
    <row r="18" spans="1:10" ht="36" customHeight="1" x14ac:dyDescent="0.2">
      <c r="A18" s="87" t="s">
        <v>2029</v>
      </c>
      <c r="B18" s="120" t="s">
        <v>2030</v>
      </c>
      <c r="C18" s="509" t="s">
        <v>2031</v>
      </c>
      <c r="D18" s="119" t="s">
        <v>2032</v>
      </c>
    </row>
    <row r="19" spans="1:10" ht="39.75" customHeight="1" x14ac:dyDescent="0.2">
      <c r="A19" s="120" t="s">
        <v>2033</v>
      </c>
      <c r="B19" s="266" t="s">
        <v>2034</v>
      </c>
      <c r="C19" s="100" t="s">
        <v>2035</v>
      </c>
      <c r="D19" s="510" t="s">
        <v>2036</v>
      </c>
    </row>
    <row r="20" spans="1:10" ht="39.75" customHeight="1" x14ac:dyDescent="0.2">
      <c r="A20" s="509" t="s">
        <v>2037</v>
      </c>
      <c r="B20" s="100" t="s">
        <v>2035</v>
      </c>
      <c r="C20" s="510" t="s">
        <v>2036</v>
      </c>
      <c r="D20" s="99" t="s">
        <v>1875</v>
      </c>
    </row>
    <row r="21" spans="1:10" ht="39.75" customHeight="1" x14ac:dyDescent="0.2">
      <c r="A21" s="119" t="s">
        <v>2038</v>
      </c>
      <c r="B21" s="510" t="s">
        <v>2036</v>
      </c>
      <c r="C21" s="99" t="s">
        <v>1875</v>
      </c>
      <c r="D21" s="269" t="s">
        <v>2039</v>
      </c>
    </row>
    <row r="22" spans="1:10" ht="18" customHeight="1" x14ac:dyDescent="0.2">
      <c r="A22" s="1513" t="s">
        <v>2040</v>
      </c>
      <c r="B22" s="1513"/>
      <c r="C22" s="1513"/>
      <c r="D22" s="1513"/>
      <c r="E22" s="1513"/>
      <c r="F22" s="1513"/>
      <c r="G22" s="1513"/>
      <c r="H22" s="1513"/>
      <c r="I22" s="1513"/>
      <c r="J22" s="1513"/>
    </row>
    <row r="25" spans="1:10" ht="21.75" customHeight="1" x14ac:dyDescent="0.2">
      <c r="A25" s="1481" t="s">
        <v>2041</v>
      </c>
      <c r="B25" s="1481"/>
      <c r="C25" s="1481"/>
      <c r="D25" s="1481"/>
      <c r="E25" s="1481"/>
      <c r="F25" s="1481"/>
      <c r="G25" s="1481"/>
      <c r="H25" s="1481"/>
      <c r="I25" s="1481"/>
      <c r="J25" s="1481"/>
    </row>
    <row r="26" spans="1:10" ht="19.5" customHeight="1" x14ac:dyDescent="0.2">
      <c r="A26" s="189" t="s">
        <v>2042</v>
      </c>
      <c r="B26" s="189" t="s">
        <v>344</v>
      </c>
      <c r="C26" s="189" t="s">
        <v>2043</v>
      </c>
      <c r="D26" s="189" t="s">
        <v>2044</v>
      </c>
      <c r="E26" s="1489" t="s">
        <v>2045</v>
      </c>
      <c r="F26" s="1489"/>
      <c r="G26" s="1489"/>
      <c r="H26" s="1489"/>
      <c r="I26" s="1489"/>
      <c r="J26" s="1489"/>
    </row>
    <row r="27" spans="1:10" ht="30" customHeight="1" x14ac:dyDescent="0.2">
      <c r="A27" s="293" t="s">
        <v>2034</v>
      </c>
      <c r="B27" s="294" t="s">
        <v>2046</v>
      </c>
      <c r="C27" s="295" t="s">
        <v>1081</v>
      </c>
      <c r="D27" s="357" t="s">
        <v>2047</v>
      </c>
      <c r="E27" s="1514" t="s">
        <v>2048</v>
      </c>
      <c r="F27" s="1514"/>
      <c r="G27" s="1514"/>
      <c r="H27" s="1514"/>
      <c r="I27" s="1514"/>
      <c r="J27" s="1514"/>
    </row>
    <row r="28" spans="1:10" ht="30" customHeight="1" x14ac:dyDescent="0.2">
      <c r="A28" s="293" t="s">
        <v>2035</v>
      </c>
      <c r="B28" s="187" t="s">
        <v>1984</v>
      </c>
      <c r="C28" s="295" t="s">
        <v>1089</v>
      </c>
      <c r="D28" s="203" t="s">
        <v>2049</v>
      </c>
      <c r="E28" s="1505" t="s">
        <v>2050</v>
      </c>
      <c r="F28" s="1505"/>
      <c r="G28" s="1505"/>
      <c r="H28" s="1505"/>
      <c r="I28" s="1505"/>
      <c r="J28" s="1505"/>
    </row>
    <row r="29" spans="1:10" ht="30" customHeight="1" x14ac:dyDescent="0.2">
      <c r="A29" s="305" t="s">
        <v>2036</v>
      </c>
      <c r="B29" s="294" t="s">
        <v>706</v>
      </c>
      <c r="C29" s="306" t="s">
        <v>1093</v>
      </c>
      <c r="D29" s="357" t="s">
        <v>2051</v>
      </c>
      <c r="E29" s="1514" t="s">
        <v>2052</v>
      </c>
      <c r="F29" s="1514"/>
      <c r="G29" s="1514"/>
      <c r="H29" s="1514"/>
      <c r="I29" s="1514"/>
      <c r="J29" s="1514"/>
    </row>
    <row r="30" spans="1:10" ht="30" customHeight="1" x14ac:dyDescent="0.2">
      <c r="A30" s="307" t="s">
        <v>1875</v>
      </c>
      <c r="B30" s="187" t="s">
        <v>1986</v>
      </c>
      <c r="C30" s="192" t="s">
        <v>1097</v>
      </c>
      <c r="D30" s="203" t="s">
        <v>2053</v>
      </c>
      <c r="E30" s="1505" t="s">
        <v>2054</v>
      </c>
      <c r="F30" s="1505"/>
      <c r="G30" s="1505"/>
      <c r="H30" s="1505"/>
      <c r="I30" s="1505"/>
      <c r="J30" s="1505"/>
    </row>
    <row r="31" spans="1:10" ht="30" customHeight="1" x14ac:dyDescent="0.2">
      <c r="A31" s="307" t="s">
        <v>2039</v>
      </c>
      <c r="B31" s="294" t="s">
        <v>2055</v>
      </c>
      <c r="C31" s="192" t="s">
        <v>1109</v>
      </c>
      <c r="D31" s="357" t="s">
        <v>2056</v>
      </c>
      <c r="E31" s="1514" t="s">
        <v>2057</v>
      </c>
      <c r="F31" s="1514"/>
      <c r="G31" s="1514"/>
      <c r="H31" s="1514"/>
      <c r="I31" s="1514"/>
      <c r="J31" s="1514"/>
    </row>
  </sheetData>
  <mergeCells count="15">
    <mergeCell ref="E27:J27"/>
    <mergeCell ref="E28:J28"/>
    <mergeCell ref="E29:J29"/>
    <mergeCell ref="E30:J30"/>
    <mergeCell ref="E31:J31"/>
    <mergeCell ref="A16:J16"/>
    <mergeCell ref="A17:J17"/>
    <mergeCell ref="A22:J22"/>
    <mergeCell ref="A25:J25"/>
    <mergeCell ref="E26:J26"/>
    <mergeCell ref="A1:O1"/>
    <mergeCell ref="A2:O2"/>
    <mergeCell ref="A3:J3"/>
    <mergeCell ref="L3:O3"/>
    <mergeCell ref="A13:J1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565C0"/>
  </sheetPr>
  <dimension ref="A1:N17"/>
  <sheetViews>
    <sheetView zoomScaleNormal="100" workbookViewId="0"/>
  </sheetViews>
  <sheetFormatPr defaultColWidth="8.609375" defaultRowHeight="15" x14ac:dyDescent="0.2"/>
  <cols>
    <col min="1" max="1" width="23.9453125" customWidth="1"/>
    <col min="2" max="13" width="13.98828125" customWidth="1"/>
  </cols>
  <sheetData>
    <row r="1" spans="1:14" ht="27.75" customHeight="1" x14ac:dyDescent="0.2">
      <c r="A1" s="1515" t="s">
        <v>2058</v>
      </c>
      <c r="B1" s="1515"/>
      <c r="C1" s="1515"/>
      <c r="D1" s="1515"/>
      <c r="E1" s="1515"/>
      <c r="F1" s="1515"/>
      <c r="G1" s="1515"/>
      <c r="H1" s="1515"/>
      <c r="I1" s="1515"/>
      <c r="J1" s="1515"/>
      <c r="K1" s="1515"/>
      <c r="L1" s="1515"/>
      <c r="M1" s="1515"/>
      <c r="N1" s="29" t="str">
        <f>HYPERLINK("#'00_INDEX'!A1","&lt;- Index")</f>
        <v>&lt;- Index</v>
      </c>
    </row>
    <row r="2" spans="1:14" ht="36" customHeight="1" x14ac:dyDescent="0.2">
      <c r="A2" s="1516" t="s">
        <v>2059</v>
      </c>
      <c r="B2" s="1516"/>
      <c r="C2" s="1516"/>
      <c r="D2" s="1516"/>
      <c r="E2" s="1516"/>
      <c r="F2" s="1516"/>
      <c r="G2" s="1516"/>
      <c r="H2" s="1516"/>
      <c r="I2" s="1516"/>
      <c r="J2" s="1516"/>
      <c r="K2" s="1516"/>
      <c r="L2" s="1516"/>
      <c r="M2" s="1516"/>
    </row>
    <row r="4" spans="1:14" ht="18" customHeight="1" x14ac:dyDescent="0.2">
      <c r="A4" s="180" t="s">
        <v>319</v>
      </c>
      <c r="B4" s="377" t="s">
        <v>345</v>
      </c>
      <c r="C4" s="377" t="s">
        <v>346</v>
      </c>
      <c r="D4" s="377" t="s">
        <v>329</v>
      </c>
      <c r="E4" s="377" t="s">
        <v>347</v>
      </c>
      <c r="F4" s="377" t="s">
        <v>334</v>
      </c>
      <c r="G4" s="377" t="s">
        <v>348</v>
      </c>
      <c r="H4" s="377" t="s">
        <v>349</v>
      </c>
      <c r="I4" s="377" t="s">
        <v>350</v>
      </c>
      <c r="J4" s="377" t="s">
        <v>351</v>
      </c>
      <c r="K4" s="377" t="s">
        <v>352</v>
      </c>
      <c r="L4" s="377" t="s">
        <v>325</v>
      </c>
      <c r="M4" s="377" t="s">
        <v>323</v>
      </c>
    </row>
    <row r="5" spans="1:14" ht="18" customHeight="1" x14ac:dyDescent="0.2">
      <c r="A5" s="511" t="s">
        <v>266</v>
      </c>
      <c r="B5" s="512" t="s">
        <v>706</v>
      </c>
      <c r="C5" s="480" t="s">
        <v>701</v>
      </c>
      <c r="D5" s="480" t="s">
        <v>701</v>
      </c>
      <c r="E5" s="467" t="s">
        <v>704</v>
      </c>
      <c r="F5" s="467" t="s">
        <v>704</v>
      </c>
      <c r="G5" s="512" t="s">
        <v>706</v>
      </c>
      <c r="H5" s="480" t="s">
        <v>701</v>
      </c>
      <c r="I5" s="512" t="s">
        <v>706</v>
      </c>
      <c r="J5" s="467" t="s">
        <v>704</v>
      </c>
      <c r="K5" s="480" t="s">
        <v>701</v>
      </c>
      <c r="L5" s="512" t="s">
        <v>706</v>
      </c>
      <c r="M5" s="512" t="s">
        <v>706</v>
      </c>
    </row>
    <row r="6" spans="1:14" ht="18" customHeight="1" x14ac:dyDescent="0.2">
      <c r="A6" s="511" t="s">
        <v>267</v>
      </c>
      <c r="B6" s="467" t="s">
        <v>704</v>
      </c>
      <c r="C6" s="513" t="s">
        <v>2060</v>
      </c>
      <c r="D6" s="512" t="s">
        <v>706</v>
      </c>
      <c r="E6" s="467" t="s">
        <v>704</v>
      </c>
      <c r="F6" s="512" t="s">
        <v>706</v>
      </c>
      <c r="G6" s="480" t="s">
        <v>701</v>
      </c>
      <c r="H6" s="467" t="s">
        <v>704</v>
      </c>
      <c r="I6" s="512" t="s">
        <v>706</v>
      </c>
      <c r="J6" s="467" t="s">
        <v>704</v>
      </c>
      <c r="K6" s="512" t="s">
        <v>706</v>
      </c>
      <c r="L6" s="480" t="s">
        <v>701</v>
      </c>
      <c r="M6" s="467" t="s">
        <v>704</v>
      </c>
    </row>
    <row r="7" spans="1:14" ht="18" customHeight="1" x14ac:dyDescent="0.2">
      <c r="A7" s="511" t="s">
        <v>268</v>
      </c>
      <c r="B7" s="467" t="s">
        <v>704</v>
      </c>
      <c r="C7" s="480" t="s">
        <v>701</v>
      </c>
      <c r="D7" s="480" t="s">
        <v>701</v>
      </c>
      <c r="E7" s="513" t="s">
        <v>2060</v>
      </c>
      <c r="F7" s="513" t="s">
        <v>2060</v>
      </c>
      <c r="G7" s="480" t="s">
        <v>701</v>
      </c>
      <c r="H7" s="480" t="s">
        <v>701</v>
      </c>
      <c r="I7" s="467" t="s">
        <v>704</v>
      </c>
      <c r="J7" s="480" t="s">
        <v>701</v>
      </c>
      <c r="K7" s="513" t="s">
        <v>2060</v>
      </c>
      <c r="L7" s="513" t="s">
        <v>2060</v>
      </c>
      <c r="M7" s="480" t="s">
        <v>701</v>
      </c>
    </row>
    <row r="8" spans="1:14" ht="18" customHeight="1" x14ac:dyDescent="0.2">
      <c r="A8" s="511" t="s">
        <v>269</v>
      </c>
      <c r="B8" s="512" t="s">
        <v>706</v>
      </c>
      <c r="C8" s="467" t="s">
        <v>704</v>
      </c>
      <c r="D8" s="467" t="s">
        <v>704</v>
      </c>
      <c r="E8" s="480" t="s">
        <v>701</v>
      </c>
      <c r="F8" s="480" t="s">
        <v>701</v>
      </c>
      <c r="G8" s="467" t="s">
        <v>704</v>
      </c>
      <c r="H8" s="467" t="s">
        <v>704</v>
      </c>
      <c r="I8" s="480" t="s">
        <v>701</v>
      </c>
      <c r="J8" s="480" t="s">
        <v>701</v>
      </c>
      <c r="K8" s="467" t="s">
        <v>704</v>
      </c>
      <c r="L8" s="467" t="s">
        <v>704</v>
      </c>
      <c r="M8" s="480" t="s">
        <v>701</v>
      </c>
    </row>
    <row r="9" spans="1:14" ht="18" customHeight="1" x14ac:dyDescent="0.2">
      <c r="A9" s="511" t="s">
        <v>270</v>
      </c>
      <c r="B9" s="467" t="s">
        <v>704</v>
      </c>
      <c r="C9" s="480" t="s">
        <v>701</v>
      </c>
      <c r="D9" s="480" t="s">
        <v>701</v>
      </c>
      <c r="E9" s="467" t="s">
        <v>704</v>
      </c>
      <c r="F9" s="467" t="s">
        <v>704</v>
      </c>
      <c r="G9" s="480" t="s">
        <v>701</v>
      </c>
      <c r="H9" s="480" t="s">
        <v>701</v>
      </c>
      <c r="I9" s="467" t="s">
        <v>704</v>
      </c>
      <c r="J9" s="467" t="s">
        <v>704</v>
      </c>
      <c r="K9" s="480" t="s">
        <v>701</v>
      </c>
      <c r="L9" s="480" t="s">
        <v>701</v>
      </c>
      <c r="M9" s="467" t="s">
        <v>704</v>
      </c>
    </row>
    <row r="10" spans="1:14" ht="18" customHeight="1" x14ac:dyDescent="0.2">
      <c r="A10" s="511" t="s">
        <v>271</v>
      </c>
      <c r="B10" s="480" t="s">
        <v>701</v>
      </c>
      <c r="C10" s="467" t="s">
        <v>704</v>
      </c>
      <c r="D10" s="467" t="s">
        <v>704</v>
      </c>
      <c r="E10" s="480" t="s">
        <v>701</v>
      </c>
      <c r="F10" s="480" t="s">
        <v>701</v>
      </c>
      <c r="G10" s="513" t="s">
        <v>2060</v>
      </c>
      <c r="H10" s="467" t="s">
        <v>704</v>
      </c>
      <c r="I10" s="513" t="s">
        <v>2060</v>
      </c>
      <c r="J10" s="480" t="s">
        <v>701</v>
      </c>
      <c r="K10" s="467" t="s">
        <v>704</v>
      </c>
      <c r="L10" s="467" t="s">
        <v>704</v>
      </c>
      <c r="M10" s="480" t="s">
        <v>701</v>
      </c>
    </row>
    <row r="11" spans="1:14" ht="18" customHeight="1" x14ac:dyDescent="0.2">
      <c r="A11" s="511" t="s">
        <v>272</v>
      </c>
      <c r="B11" s="480" t="s">
        <v>701</v>
      </c>
      <c r="C11" s="513" t="s">
        <v>2060</v>
      </c>
      <c r="D11" s="513" t="s">
        <v>2060</v>
      </c>
      <c r="E11" s="480" t="s">
        <v>701</v>
      </c>
      <c r="F11" s="480" t="s">
        <v>701</v>
      </c>
      <c r="G11" s="467" t="s">
        <v>704</v>
      </c>
      <c r="H11" s="467" t="s">
        <v>704</v>
      </c>
      <c r="I11" s="480" t="s">
        <v>701</v>
      </c>
      <c r="J11" s="467" t="s">
        <v>704</v>
      </c>
      <c r="K11" s="467" t="s">
        <v>704</v>
      </c>
      <c r="L11" s="513" t="s">
        <v>2060</v>
      </c>
      <c r="M11" s="480" t="s">
        <v>701</v>
      </c>
    </row>
    <row r="12" spans="1:14" ht="18" customHeight="1" x14ac:dyDescent="0.2">
      <c r="A12" s="511" t="s">
        <v>273</v>
      </c>
      <c r="B12" s="480" t="s">
        <v>701</v>
      </c>
      <c r="C12" s="480" t="s">
        <v>701</v>
      </c>
      <c r="D12" s="512" t="s">
        <v>706</v>
      </c>
      <c r="E12" s="480" t="s">
        <v>701</v>
      </c>
      <c r="F12" s="480" t="s">
        <v>701</v>
      </c>
      <c r="G12" s="512" t="s">
        <v>706</v>
      </c>
      <c r="H12" s="512" t="s">
        <v>706</v>
      </c>
      <c r="I12" s="480" t="s">
        <v>701</v>
      </c>
      <c r="J12" s="512" t="s">
        <v>706</v>
      </c>
      <c r="K12" s="480" t="s">
        <v>701</v>
      </c>
      <c r="L12" s="512" t="s">
        <v>706</v>
      </c>
      <c r="M12" s="480" t="s">
        <v>701</v>
      </c>
    </row>
    <row r="13" spans="1:14" ht="18" customHeight="1" x14ac:dyDescent="0.2">
      <c r="A13" s="511" t="s">
        <v>274</v>
      </c>
      <c r="B13" s="480" t="s">
        <v>701</v>
      </c>
      <c r="C13" s="480" t="s">
        <v>701</v>
      </c>
      <c r="D13" s="512" t="s">
        <v>706</v>
      </c>
      <c r="E13" s="480" t="s">
        <v>701</v>
      </c>
      <c r="F13" s="480" t="s">
        <v>701</v>
      </c>
      <c r="G13" s="512" t="s">
        <v>706</v>
      </c>
      <c r="H13" s="512" t="s">
        <v>706</v>
      </c>
      <c r="I13" s="480" t="s">
        <v>701</v>
      </c>
      <c r="J13" s="512" t="s">
        <v>706</v>
      </c>
      <c r="K13" s="480" t="s">
        <v>701</v>
      </c>
      <c r="L13" s="512" t="s">
        <v>706</v>
      </c>
      <c r="M13" s="480" t="s">
        <v>701</v>
      </c>
    </row>
    <row r="15" spans="1:14" ht="49.5" customHeight="1" x14ac:dyDescent="0.2">
      <c r="A15" s="514" t="s">
        <v>2061</v>
      </c>
    </row>
    <row r="16" spans="1:14" ht="15" customHeight="1" x14ac:dyDescent="0.2">
      <c r="A16" s="188" t="s">
        <v>2062</v>
      </c>
      <c r="B16" s="515" t="str">
        <f>INPUT_Chart!C5</f>
        <v>Taurus</v>
      </c>
      <c r="C16" s="188" t="s">
        <v>2063</v>
      </c>
      <c r="D16" s="515" t="str">
        <f>IF(INPUT_Chart!C5="Aries","B",IF(INPUT_Chart!C5="Taurus","C",IF(INPUT_Chart!C5="Gemini","D",IF(INPUT_Chart!C5="Cancer","E",IF(INPUT_Chart!C5="Leo","F",IF(INPUT_Chart!C5="Virgo","G",IF(INPUT_Chart!C5="Libra","H",IF(INPUT_Chart!C5="Scorpio","I",IF(INPUT_Chart!C5="Sagittarius","J",IF(INPUT_Chart!C5="Capricorn","K",IF(INPUT_Chart!C5="Aquarius","L","M — Pisces")))))))))))</f>
        <v>C</v>
      </c>
    </row>
    <row r="17" spans="1:6" ht="45" customHeight="1" x14ac:dyDescent="0.2">
      <c r="A17" s="1517" t="s">
        <v>2064</v>
      </c>
      <c r="B17" s="1517"/>
      <c r="C17" s="1517"/>
      <c r="D17" s="1517"/>
      <c r="E17" s="1517"/>
      <c r="F17" s="1517"/>
    </row>
  </sheetData>
  <mergeCells count="3">
    <mergeCell ref="A1:M1"/>
    <mergeCell ref="A2:M2"/>
    <mergeCell ref="A17:F17"/>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565C0"/>
  </sheetPr>
  <dimension ref="A1:L24"/>
  <sheetViews>
    <sheetView zoomScaleNormal="100" workbookViewId="0"/>
  </sheetViews>
  <sheetFormatPr defaultColWidth="8.609375" defaultRowHeight="15" x14ac:dyDescent="0.2"/>
  <cols>
    <col min="1" max="1" width="7.93359375" customWidth="1"/>
    <col min="2" max="2" width="18.0234375" customWidth="1"/>
    <col min="3" max="3" width="7.93359375" customWidth="1"/>
    <col min="4" max="4" width="9.953125" customWidth="1"/>
    <col min="5" max="5" width="50.04296875" customWidth="1"/>
    <col min="6" max="6" width="27.98046875" customWidth="1"/>
  </cols>
  <sheetData>
    <row r="1" spans="1:12" ht="27.75" customHeight="1" x14ac:dyDescent="0.2">
      <c r="A1" s="1518" t="s">
        <v>2065</v>
      </c>
      <c r="B1" s="1518"/>
      <c r="C1" s="1518"/>
      <c r="D1" s="1518"/>
      <c r="E1" s="1518"/>
      <c r="F1" s="1518"/>
      <c r="L1" s="29" t="str">
        <f>HYPERLINK("#'00_INDEX'!A1","&lt;- Index")</f>
        <v>&lt;- Index</v>
      </c>
    </row>
    <row r="2" spans="1:12" ht="24" customHeight="1" x14ac:dyDescent="0.2">
      <c r="A2" s="1508" t="s">
        <v>2066</v>
      </c>
      <c r="B2" s="1508"/>
      <c r="C2" s="1508"/>
      <c r="D2" s="1508"/>
      <c r="E2" s="1508"/>
      <c r="F2" s="1508"/>
    </row>
    <row r="3" spans="1:12" ht="19.5" customHeight="1" x14ac:dyDescent="0.2">
      <c r="A3" s="87" t="s">
        <v>2067</v>
      </c>
      <c r="B3" s="516" t="s">
        <v>1153</v>
      </c>
      <c r="C3" s="516" t="s">
        <v>2068</v>
      </c>
      <c r="D3" s="516" t="s">
        <v>2069</v>
      </c>
      <c r="E3" s="89" t="s">
        <v>2070</v>
      </c>
      <c r="F3" s="517" t="s">
        <v>2071</v>
      </c>
    </row>
    <row r="4" spans="1:12" ht="25.5" customHeight="1" x14ac:dyDescent="0.2">
      <c r="A4" s="518" t="s">
        <v>2072</v>
      </c>
      <c r="B4" s="90" t="s">
        <v>2073</v>
      </c>
      <c r="C4" s="519" t="s">
        <v>2074</v>
      </c>
      <c r="D4" s="520" t="s">
        <v>2075</v>
      </c>
      <c r="E4" s="521" t="s">
        <v>2076</v>
      </c>
      <c r="F4" s="522" t="s">
        <v>2077</v>
      </c>
    </row>
    <row r="5" spans="1:12" ht="25.5" customHeight="1" x14ac:dyDescent="0.2">
      <c r="A5" s="523" t="s">
        <v>2078</v>
      </c>
      <c r="B5" s="94" t="s">
        <v>2079</v>
      </c>
      <c r="C5" s="524" t="s">
        <v>2080</v>
      </c>
      <c r="D5" s="525" t="s">
        <v>2081</v>
      </c>
      <c r="E5" s="521" t="s">
        <v>2082</v>
      </c>
      <c r="F5" s="526" t="s">
        <v>2083</v>
      </c>
    </row>
    <row r="6" spans="1:12" ht="25.5" customHeight="1" x14ac:dyDescent="0.2">
      <c r="A6" s="518" t="s">
        <v>2084</v>
      </c>
      <c r="B6" s="527" t="s">
        <v>2085</v>
      </c>
      <c r="C6" s="519" t="s">
        <v>2086</v>
      </c>
      <c r="D6" s="520" t="s">
        <v>393</v>
      </c>
      <c r="E6" s="521" t="s">
        <v>2087</v>
      </c>
      <c r="F6" s="522" t="s">
        <v>2088</v>
      </c>
    </row>
    <row r="7" spans="1:12" ht="25.5" customHeight="1" x14ac:dyDescent="0.2">
      <c r="A7" s="523" t="s">
        <v>2089</v>
      </c>
      <c r="B7" s="528" t="s">
        <v>2090</v>
      </c>
      <c r="C7" s="524" t="s">
        <v>2091</v>
      </c>
      <c r="D7" s="525" t="s">
        <v>2092</v>
      </c>
      <c r="E7" s="521" t="s">
        <v>2093</v>
      </c>
      <c r="F7" s="526" t="s">
        <v>2094</v>
      </c>
    </row>
    <row r="8" spans="1:12" ht="25.5" customHeight="1" x14ac:dyDescent="0.2">
      <c r="A8" s="518" t="s">
        <v>2095</v>
      </c>
      <c r="B8" s="527" t="s">
        <v>2096</v>
      </c>
      <c r="C8" s="519" t="s">
        <v>2097</v>
      </c>
      <c r="D8" s="520" t="s">
        <v>2098</v>
      </c>
      <c r="E8" s="521" t="s">
        <v>2099</v>
      </c>
      <c r="F8" s="522" t="s">
        <v>2100</v>
      </c>
    </row>
    <row r="9" spans="1:12" ht="25.5" customHeight="1" x14ac:dyDescent="0.2">
      <c r="A9" s="523" t="s">
        <v>2101</v>
      </c>
      <c r="B9" s="528" t="s">
        <v>2102</v>
      </c>
      <c r="C9" s="524" t="s">
        <v>2103</v>
      </c>
      <c r="D9" s="525" t="s">
        <v>392</v>
      </c>
      <c r="E9" s="521" t="s">
        <v>2104</v>
      </c>
      <c r="F9" s="526" t="s">
        <v>2105</v>
      </c>
    </row>
    <row r="10" spans="1:12" ht="25.5" customHeight="1" x14ac:dyDescent="0.2">
      <c r="A10" s="518" t="s">
        <v>2106</v>
      </c>
      <c r="B10" s="527" t="s">
        <v>2107</v>
      </c>
      <c r="C10" s="519" t="s">
        <v>2108</v>
      </c>
      <c r="D10" s="520" t="s">
        <v>2109</v>
      </c>
      <c r="E10" s="521" t="s">
        <v>2110</v>
      </c>
      <c r="F10" s="522" t="s">
        <v>2111</v>
      </c>
    </row>
    <row r="12" spans="1:12" ht="15.75" customHeight="1" x14ac:dyDescent="0.2">
      <c r="A12" s="1519" t="s">
        <v>2112</v>
      </c>
      <c r="B12" s="1519"/>
      <c r="C12" s="1519"/>
      <c r="D12" s="1519"/>
      <c r="E12" s="1519"/>
      <c r="F12" s="1519"/>
    </row>
    <row r="13" spans="1:12" ht="18" customHeight="1" x14ac:dyDescent="0.2">
      <c r="A13" s="518" t="s">
        <v>2074</v>
      </c>
      <c r="B13" s="90" t="s">
        <v>345</v>
      </c>
      <c r="C13" s="529" t="s">
        <v>345</v>
      </c>
      <c r="D13" s="520" t="s">
        <v>2113</v>
      </c>
      <c r="E13" s="530" t="s">
        <v>2114</v>
      </c>
    </row>
    <row r="14" spans="1:12" ht="18" customHeight="1" x14ac:dyDescent="0.2">
      <c r="A14" s="523" t="s">
        <v>2115</v>
      </c>
      <c r="B14" s="94" t="s">
        <v>346</v>
      </c>
      <c r="C14" s="531" t="s">
        <v>352</v>
      </c>
      <c r="D14" s="525" t="s">
        <v>2080</v>
      </c>
      <c r="E14" s="532" t="s">
        <v>2116</v>
      </c>
    </row>
    <row r="15" spans="1:12" ht="18" customHeight="1" x14ac:dyDescent="0.2">
      <c r="A15" s="518" t="s">
        <v>2103</v>
      </c>
      <c r="B15" s="90" t="s">
        <v>329</v>
      </c>
      <c r="C15" s="529" t="s">
        <v>349</v>
      </c>
      <c r="D15" s="520" t="s">
        <v>2117</v>
      </c>
      <c r="E15" s="530" t="s">
        <v>2118</v>
      </c>
    </row>
    <row r="16" spans="1:12" ht="18" customHeight="1" x14ac:dyDescent="0.2">
      <c r="A16" s="523" t="s">
        <v>2119</v>
      </c>
      <c r="B16" s="94" t="s">
        <v>347</v>
      </c>
      <c r="C16" s="531" t="s">
        <v>347</v>
      </c>
      <c r="D16" s="525" t="s">
        <v>2103</v>
      </c>
      <c r="E16" s="532" t="s">
        <v>2120</v>
      </c>
    </row>
    <row r="17" spans="1:5" ht="18" customHeight="1" x14ac:dyDescent="0.2">
      <c r="A17" s="518" t="s">
        <v>2121</v>
      </c>
      <c r="B17" s="90" t="s">
        <v>334</v>
      </c>
      <c r="C17" s="529" t="s">
        <v>345</v>
      </c>
      <c r="D17" s="520" t="s">
        <v>2113</v>
      </c>
      <c r="E17" s="530" t="s">
        <v>2122</v>
      </c>
    </row>
    <row r="18" spans="1:5" ht="18" customHeight="1" x14ac:dyDescent="0.2">
      <c r="A18" s="523" t="s">
        <v>2117</v>
      </c>
      <c r="B18" s="94" t="s">
        <v>348</v>
      </c>
      <c r="C18" s="531" t="s">
        <v>352</v>
      </c>
      <c r="D18" s="525" t="s">
        <v>2080</v>
      </c>
      <c r="E18" s="532" t="s">
        <v>2123</v>
      </c>
    </row>
    <row r="19" spans="1:5" ht="18" customHeight="1" x14ac:dyDescent="0.2">
      <c r="A19" s="518" t="s">
        <v>2097</v>
      </c>
      <c r="B19" s="90" t="s">
        <v>349</v>
      </c>
      <c r="C19" s="529" t="s">
        <v>349</v>
      </c>
      <c r="D19" s="520" t="s">
        <v>2117</v>
      </c>
      <c r="E19" s="530" t="s">
        <v>2124</v>
      </c>
    </row>
    <row r="20" spans="1:5" ht="18" customHeight="1" x14ac:dyDescent="0.2">
      <c r="A20" s="523" t="s">
        <v>2125</v>
      </c>
      <c r="B20" s="94" t="s">
        <v>350</v>
      </c>
      <c r="C20" s="531" t="s">
        <v>347</v>
      </c>
      <c r="D20" s="525" t="s">
        <v>2103</v>
      </c>
      <c r="E20" s="532" t="s">
        <v>2126</v>
      </c>
    </row>
    <row r="21" spans="1:5" ht="18" customHeight="1" x14ac:dyDescent="0.2">
      <c r="A21" s="518" t="s">
        <v>2080</v>
      </c>
      <c r="B21" s="90" t="s">
        <v>351</v>
      </c>
      <c r="C21" s="529" t="s">
        <v>345</v>
      </c>
      <c r="D21" s="520" t="s">
        <v>2113</v>
      </c>
      <c r="E21" s="530" t="s">
        <v>2127</v>
      </c>
    </row>
    <row r="22" spans="1:5" ht="18" customHeight="1" x14ac:dyDescent="0.2">
      <c r="A22" s="523" t="s">
        <v>2086</v>
      </c>
      <c r="B22" s="94" t="s">
        <v>352</v>
      </c>
      <c r="C22" s="531" t="s">
        <v>352</v>
      </c>
      <c r="D22" s="525" t="s">
        <v>2080</v>
      </c>
      <c r="E22" s="532" t="s">
        <v>2128</v>
      </c>
    </row>
    <row r="23" spans="1:5" ht="18" customHeight="1" x14ac:dyDescent="0.2">
      <c r="A23" s="518" t="s">
        <v>2129</v>
      </c>
      <c r="B23" s="90" t="s">
        <v>325</v>
      </c>
      <c r="C23" s="529" t="s">
        <v>349</v>
      </c>
      <c r="D23" s="520" t="s">
        <v>2117</v>
      </c>
      <c r="E23" s="530" t="s">
        <v>2130</v>
      </c>
    </row>
    <row r="24" spans="1:5" ht="18" customHeight="1" x14ac:dyDescent="0.2">
      <c r="A24" s="523" t="s">
        <v>2091</v>
      </c>
      <c r="B24" s="94" t="s">
        <v>323</v>
      </c>
      <c r="C24" s="531" t="s">
        <v>347</v>
      </c>
      <c r="D24" s="525" t="s">
        <v>2103</v>
      </c>
      <c r="E24" s="532" t="s">
        <v>2131</v>
      </c>
    </row>
  </sheetData>
  <mergeCells count="3">
    <mergeCell ref="A1:F1"/>
    <mergeCell ref="A2:F2"/>
    <mergeCell ref="A12:F12"/>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565C0"/>
  </sheetPr>
  <dimension ref="A1:L14"/>
  <sheetViews>
    <sheetView zoomScaleNormal="100" workbookViewId="0"/>
  </sheetViews>
  <sheetFormatPr defaultColWidth="8.609375" defaultRowHeight="15" x14ac:dyDescent="0.2"/>
  <cols>
    <col min="1" max="1" width="6.05078125" customWidth="1"/>
    <col min="2" max="2" width="13.98828125" customWidth="1"/>
    <col min="3" max="3" width="7.93359375" customWidth="1"/>
    <col min="4" max="4" width="9.953125" customWidth="1"/>
    <col min="5" max="5" width="43.98828125" customWidth="1"/>
    <col min="6" max="6" width="37.93359375" customWidth="1"/>
  </cols>
  <sheetData>
    <row r="1" spans="1:12" ht="27.75" customHeight="1" x14ac:dyDescent="0.2">
      <c r="A1" s="1518" t="s">
        <v>2132</v>
      </c>
      <c r="B1" s="1518"/>
      <c r="C1" s="1518"/>
      <c r="D1" s="1518"/>
      <c r="E1" s="1518"/>
      <c r="F1" s="1518"/>
      <c r="L1" s="29" t="str">
        <f>HYPERLINK("#'00_INDEX'!A1","&lt;- Index")</f>
        <v>&lt;- Index</v>
      </c>
    </row>
    <row r="2" spans="1:12" ht="24" customHeight="1" x14ac:dyDescent="0.2">
      <c r="A2" s="1508" t="s">
        <v>2133</v>
      </c>
      <c r="B2" s="1508"/>
      <c r="C2" s="1508"/>
      <c r="D2" s="1508"/>
      <c r="E2" s="1508"/>
      <c r="F2" s="1508"/>
    </row>
    <row r="3" spans="1:12" ht="19.5" customHeight="1" x14ac:dyDescent="0.2">
      <c r="A3" s="87"/>
      <c r="B3" s="517" t="s">
        <v>319</v>
      </c>
      <c r="C3" s="517" t="s">
        <v>262</v>
      </c>
      <c r="D3" s="516" t="s">
        <v>2134</v>
      </c>
      <c r="E3" s="89" t="s">
        <v>2135</v>
      </c>
      <c r="F3" s="89" t="s">
        <v>1182</v>
      </c>
    </row>
    <row r="4" spans="1:12" ht="27.75" customHeight="1" x14ac:dyDescent="0.2">
      <c r="A4" s="518">
        <v>1</v>
      </c>
      <c r="B4" s="533" t="s">
        <v>274</v>
      </c>
      <c r="C4" s="529">
        <v>7</v>
      </c>
      <c r="D4" s="520">
        <v>7</v>
      </c>
      <c r="E4" s="357" t="s">
        <v>2136</v>
      </c>
      <c r="F4" s="534" t="s">
        <v>2137</v>
      </c>
    </row>
    <row r="5" spans="1:12" ht="27.75" customHeight="1" x14ac:dyDescent="0.2">
      <c r="A5" s="523">
        <v>2</v>
      </c>
      <c r="B5" s="535" t="s">
        <v>271</v>
      </c>
      <c r="C5" s="531">
        <v>20</v>
      </c>
      <c r="D5" s="525">
        <v>27</v>
      </c>
      <c r="E5" s="203" t="s">
        <v>2138</v>
      </c>
      <c r="F5" s="536" t="s">
        <v>2139</v>
      </c>
    </row>
    <row r="6" spans="1:12" ht="27.75" customHeight="1" x14ac:dyDescent="0.2">
      <c r="A6" s="518">
        <v>3</v>
      </c>
      <c r="B6" s="533" t="s">
        <v>266</v>
      </c>
      <c r="C6" s="529">
        <v>6</v>
      </c>
      <c r="D6" s="520">
        <v>33</v>
      </c>
      <c r="E6" s="357" t="s">
        <v>2140</v>
      </c>
      <c r="F6" s="534" t="s">
        <v>2141</v>
      </c>
    </row>
    <row r="7" spans="1:12" ht="27.75" customHeight="1" x14ac:dyDescent="0.2">
      <c r="A7" s="523">
        <v>4</v>
      </c>
      <c r="B7" s="535" t="s">
        <v>267</v>
      </c>
      <c r="C7" s="531">
        <v>10</v>
      </c>
      <c r="D7" s="525">
        <v>43</v>
      </c>
      <c r="E7" s="203" t="s">
        <v>2142</v>
      </c>
      <c r="F7" s="536" t="s">
        <v>2143</v>
      </c>
    </row>
    <row r="8" spans="1:12" ht="27.75" customHeight="1" x14ac:dyDescent="0.2">
      <c r="A8" s="518">
        <v>5</v>
      </c>
      <c r="B8" s="533" t="s">
        <v>268</v>
      </c>
      <c r="C8" s="529">
        <v>7</v>
      </c>
      <c r="D8" s="520">
        <v>50</v>
      </c>
      <c r="E8" s="357" t="s">
        <v>2144</v>
      </c>
      <c r="F8" s="534" t="s">
        <v>2145</v>
      </c>
    </row>
    <row r="9" spans="1:12" ht="27.75" customHeight="1" x14ac:dyDescent="0.2">
      <c r="A9" s="523">
        <v>6</v>
      </c>
      <c r="B9" s="535" t="s">
        <v>273</v>
      </c>
      <c r="C9" s="531">
        <v>18</v>
      </c>
      <c r="D9" s="525">
        <v>68</v>
      </c>
      <c r="E9" s="203" t="s">
        <v>2146</v>
      </c>
      <c r="F9" s="536" t="s">
        <v>2147</v>
      </c>
    </row>
    <row r="10" spans="1:12" ht="27.75" customHeight="1" x14ac:dyDescent="0.2">
      <c r="A10" s="518">
        <v>7</v>
      </c>
      <c r="B10" s="533" t="s">
        <v>270</v>
      </c>
      <c r="C10" s="529">
        <v>16</v>
      </c>
      <c r="D10" s="520">
        <v>84</v>
      </c>
      <c r="E10" s="357" t="s">
        <v>2148</v>
      </c>
      <c r="F10" s="534" t="s">
        <v>2149</v>
      </c>
    </row>
    <row r="11" spans="1:12" ht="27.75" customHeight="1" x14ac:dyDescent="0.2">
      <c r="A11" s="523">
        <v>8</v>
      </c>
      <c r="B11" s="535" t="s">
        <v>272</v>
      </c>
      <c r="C11" s="531">
        <v>19</v>
      </c>
      <c r="D11" s="525">
        <v>103</v>
      </c>
      <c r="E11" s="203" t="s">
        <v>2150</v>
      </c>
      <c r="F11" s="536" t="s">
        <v>2151</v>
      </c>
    </row>
    <row r="12" spans="1:12" ht="27.75" customHeight="1" x14ac:dyDescent="0.2">
      <c r="A12" s="518">
        <v>9</v>
      </c>
      <c r="B12" s="533" t="s">
        <v>269</v>
      </c>
      <c r="C12" s="529">
        <v>17</v>
      </c>
      <c r="D12" s="520">
        <v>120</v>
      </c>
      <c r="E12" s="357" t="s">
        <v>2152</v>
      </c>
      <c r="F12" s="534" t="s">
        <v>2153</v>
      </c>
    </row>
    <row r="14" spans="1:12" ht="27.75" customHeight="1" x14ac:dyDescent="0.2">
      <c r="A14" s="1520" t="s">
        <v>2154</v>
      </c>
      <c r="B14" s="1520"/>
      <c r="C14" s="1520"/>
      <c r="D14" s="1520"/>
      <c r="E14" s="1520"/>
      <c r="F14" s="1520"/>
    </row>
  </sheetData>
  <mergeCells count="3">
    <mergeCell ref="A1:F1"/>
    <mergeCell ref="A2:F2"/>
    <mergeCell ref="A14:F14"/>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565C0"/>
  </sheetPr>
  <dimension ref="A1:L26"/>
  <sheetViews>
    <sheetView zoomScaleNormal="100" workbookViewId="0"/>
  </sheetViews>
  <sheetFormatPr defaultColWidth="8.609375" defaultRowHeight="15" x14ac:dyDescent="0.2"/>
  <cols>
    <col min="1" max="1" width="11.97265625" customWidth="1"/>
    <col min="2" max="2" width="7.93359375" customWidth="1"/>
    <col min="3" max="3" width="18.0234375" customWidth="1"/>
    <col min="4" max="4" width="9.953125" customWidth="1"/>
    <col min="5" max="5" width="20.04296875" customWidth="1"/>
    <col min="6" max="6" width="41.96875" customWidth="1"/>
  </cols>
  <sheetData>
    <row r="1" spans="1:12" ht="27.75" customHeight="1" x14ac:dyDescent="0.2">
      <c r="A1" s="1518" t="s">
        <v>2155</v>
      </c>
      <c r="B1" s="1518"/>
      <c r="C1" s="1518"/>
      <c r="D1" s="1518"/>
      <c r="E1" s="1518"/>
      <c r="F1" s="1518"/>
      <c r="L1" s="29" t="str">
        <f>HYPERLINK("#'00_INDEX'!A1","&lt;- Index")</f>
        <v>&lt;- Index</v>
      </c>
    </row>
    <row r="2" spans="1:12" ht="21.75" customHeight="1" x14ac:dyDescent="0.2">
      <c r="A2" s="1508" t="s">
        <v>2156</v>
      </c>
      <c r="B2" s="1508"/>
      <c r="C2" s="1508"/>
      <c r="D2" s="1508"/>
      <c r="E2" s="1508"/>
      <c r="F2" s="1508"/>
    </row>
    <row r="3" spans="1:12" ht="19.5" customHeight="1" x14ac:dyDescent="0.2">
      <c r="A3" s="87" t="s">
        <v>2157</v>
      </c>
      <c r="B3" s="87" t="s">
        <v>2158</v>
      </c>
      <c r="C3" s="537" t="s">
        <v>2159</v>
      </c>
      <c r="D3" s="537" t="s">
        <v>2160</v>
      </c>
      <c r="E3" s="537" t="s">
        <v>2161</v>
      </c>
      <c r="F3" s="89" t="s">
        <v>282</v>
      </c>
    </row>
    <row r="4" spans="1:12" ht="18" customHeight="1" x14ac:dyDescent="0.2">
      <c r="A4" s="518" t="s">
        <v>346</v>
      </c>
      <c r="B4" s="529">
        <v>2</v>
      </c>
      <c r="C4" s="296" t="s">
        <v>1216</v>
      </c>
      <c r="D4" s="538">
        <v>1</v>
      </c>
      <c r="E4" s="539" t="s">
        <v>2162</v>
      </c>
      <c r="F4" s="540" t="s">
        <v>2163</v>
      </c>
    </row>
    <row r="5" spans="1:12" ht="18" customHeight="1" x14ac:dyDescent="0.2">
      <c r="A5" s="523" t="s">
        <v>334</v>
      </c>
      <c r="B5" s="531">
        <v>2</v>
      </c>
      <c r="C5" s="299" t="s">
        <v>1233</v>
      </c>
      <c r="D5" s="541">
        <v>2</v>
      </c>
      <c r="E5" s="542" t="s">
        <v>2164</v>
      </c>
      <c r="F5" s="543" t="s">
        <v>2165</v>
      </c>
    </row>
    <row r="6" spans="1:12" ht="18" customHeight="1" x14ac:dyDescent="0.2">
      <c r="A6" s="518" t="s">
        <v>334</v>
      </c>
      <c r="B6" s="529">
        <v>1</v>
      </c>
      <c r="C6" s="296" t="s">
        <v>2166</v>
      </c>
      <c r="D6" s="538">
        <v>3</v>
      </c>
      <c r="E6" s="539" t="s">
        <v>2167</v>
      </c>
      <c r="F6" s="540" t="s">
        <v>2168</v>
      </c>
    </row>
    <row r="7" spans="1:12" ht="18" customHeight="1" x14ac:dyDescent="0.2">
      <c r="A7" s="523" t="s">
        <v>350</v>
      </c>
      <c r="B7" s="531">
        <v>3</v>
      </c>
      <c r="C7" s="299" t="s">
        <v>1263</v>
      </c>
      <c r="D7" s="541">
        <v>4</v>
      </c>
      <c r="E7" s="542" t="s">
        <v>2169</v>
      </c>
      <c r="F7" s="543" t="s">
        <v>2170</v>
      </c>
    </row>
    <row r="8" spans="1:12" ht="18" customHeight="1" x14ac:dyDescent="0.2">
      <c r="A8" s="518" t="s">
        <v>349</v>
      </c>
      <c r="B8" s="529">
        <v>2</v>
      </c>
      <c r="C8" s="296" t="s">
        <v>2171</v>
      </c>
      <c r="D8" s="538">
        <v>5</v>
      </c>
      <c r="E8" s="539" t="s">
        <v>2172</v>
      </c>
      <c r="F8" s="540" t="s">
        <v>2173</v>
      </c>
    </row>
    <row r="9" spans="1:12" ht="18" customHeight="1" x14ac:dyDescent="0.2">
      <c r="A9" s="523" t="s">
        <v>323</v>
      </c>
      <c r="B9" s="531">
        <v>4</v>
      </c>
      <c r="C9" s="299" t="s">
        <v>2174</v>
      </c>
      <c r="D9" s="541">
        <v>5</v>
      </c>
      <c r="E9" s="542" t="s">
        <v>2175</v>
      </c>
      <c r="F9" s="543" t="s">
        <v>2176</v>
      </c>
    </row>
    <row r="10" spans="1:12" ht="18" customHeight="1" x14ac:dyDescent="0.2">
      <c r="A10" s="518" t="s">
        <v>347</v>
      </c>
      <c r="B10" s="529">
        <v>1</v>
      </c>
      <c r="C10" s="296" t="s">
        <v>1302</v>
      </c>
      <c r="D10" s="538">
        <v>7</v>
      </c>
      <c r="E10" s="539" t="s">
        <v>2177</v>
      </c>
      <c r="F10" s="540" t="s">
        <v>2178</v>
      </c>
    </row>
    <row r="11" spans="1:12" ht="18" customHeight="1" x14ac:dyDescent="0.2">
      <c r="A11" s="523" t="s">
        <v>325</v>
      </c>
      <c r="B11" s="531">
        <v>3</v>
      </c>
      <c r="C11" s="299" t="s">
        <v>1315</v>
      </c>
      <c r="D11" s="541">
        <v>8</v>
      </c>
      <c r="E11" s="542" t="s">
        <v>2179</v>
      </c>
      <c r="F11" s="543" t="s">
        <v>2180</v>
      </c>
    </row>
    <row r="12" spans="1:12" ht="18" customHeight="1" x14ac:dyDescent="0.2">
      <c r="A12" s="518" t="s">
        <v>347</v>
      </c>
      <c r="B12" s="529">
        <v>4</v>
      </c>
      <c r="C12" s="296" t="s">
        <v>1325</v>
      </c>
      <c r="D12" s="538">
        <v>9</v>
      </c>
      <c r="E12" s="539" t="s">
        <v>2181</v>
      </c>
      <c r="F12" s="540" t="s">
        <v>2182</v>
      </c>
    </row>
    <row r="13" spans="1:12" ht="18" customHeight="1" x14ac:dyDescent="0.2">
      <c r="A13" s="523" t="s">
        <v>352</v>
      </c>
      <c r="B13" s="531">
        <v>2</v>
      </c>
      <c r="C13" s="299" t="s">
        <v>1338</v>
      </c>
      <c r="D13" s="541">
        <v>10</v>
      </c>
      <c r="E13" s="542" t="s">
        <v>2183</v>
      </c>
      <c r="F13" s="543" t="s">
        <v>2184</v>
      </c>
    </row>
    <row r="14" spans="1:12" ht="18" customHeight="1" x14ac:dyDescent="0.2">
      <c r="A14" s="518" t="s">
        <v>334</v>
      </c>
      <c r="B14" s="529">
        <v>1</v>
      </c>
      <c r="C14" s="296" t="s">
        <v>1351</v>
      </c>
      <c r="D14" s="538">
        <v>11</v>
      </c>
      <c r="E14" s="539" t="s">
        <v>2185</v>
      </c>
      <c r="F14" s="540" t="s">
        <v>2186</v>
      </c>
    </row>
    <row r="15" spans="1:12" ht="18" customHeight="1" x14ac:dyDescent="0.2">
      <c r="A15" s="523" t="s">
        <v>348</v>
      </c>
      <c r="B15" s="531">
        <v>4</v>
      </c>
      <c r="C15" s="299" t="s">
        <v>1361</v>
      </c>
      <c r="D15" s="541">
        <v>12</v>
      </c>
      <c r="E15" s="542" t="s">
        <v>2187</v>
      </c>
      <c r="F15" s="543" t="s">
        <v>2188</v>
      </c>
    </row>
    <row r="16" spans="1:12" ht="18" customHeight="1" x14ac:dyDescent="0.2">
      <c r="A16" s="518" t="s">
        <v>352</v>
      </c>
      <c r="B16" s="529">
        <v>2</v>
      </c>
      <c r="C16" s="296" t="s">
        <v>1373</v>
      </c>
      <c r="D16" s="538">
        <v>13</v>
      </c>
      <c r="E16" s="539" t="s">
        <v>2189</v>
      </c>
      <c r="F16" s="540" t="s">
        <v>2190</v>
      </c>
    </row>
    <row r="17" spans="1:6" ht="18" customHeight="1" x14ac:dyDescent="0.2">
      <c r="A17" s="523" t="s">
        <v>349</v>
      </c>
      <c r="B17" s="531">
        <v>3</v>
      </c>
      <c r="C17" s="299" t="s">
        <v>2191</v>
      </c>
      <c r="D17" s="541">
        <v>14</v>
      </c>
      <c r="E17" s="542" t="s">
        <v>2192</v>
      </c>
      <c r="F17" s="543" t="s">
        <v>2193</v>
      </c>
    </row>
    <row r="18" spans="1:6" ht="18" customHeight="1" x14ac:dyDescent="0.2">
      <c r="A18" s="518" t="s">
        <v>325</v>
      </c>
      <c r="B18" s="529">
        <v>4</v>
      </c>
      <c r="C18" s="296" t="s">
        <v>1396</v>
      </c>
      <c r="D18" s="538">
        <v>15</v>
      </c>
      <c r="E18" s="539" t="s">
        <v>2194</v>
      </c>
      <c r="F18" s="540" t="s">
        <v>2195</v>
      </c>
    </row>
    <row r="19" spans="1:6" ht="18" customHeight="1" x14ac:dyDescent="0.2">
      <c r="A19" s="523" t="s">
        <v>350</v>
      </c>
      <c r="B19" s="531">
        <v>1</v>
      </c>
      <c r="C19" s="299" t="s">
        <v>1406</v>
      </c>
      <c r="D19" s="541">
        <v>16</v>
      </c>
      <c r="E19" s="542" t="s">
        <v>2196</v>
      </c>
      <c r="F19" s="543" t="s">
        <v>2197</v>
      </c>
    </row>
    <row r="20" spans="1:6" ht="18" customHeight="1" x14ac:dyDescent="0.2">
      <c r="A20" s="518" t="s">
        <v>350</v>
      </c>
      <c r="B20" s="529">
        <v>4</v>
      </c>
      <c r="C20" s="296" t="s">
        <v>1428</v>
      </c>
      <c r="D20" s="538">
        <v>18</v>
      </c>
      <c r="E20" s="539" t="s">
        <v>2198</v>
      </c>
      <c r="F20" s="540" t="s">
        <v>2199</v>
      </c>
    </row>
    <row r="21" spans="1:6" ht="18" customHeight="1" x14ac:dyDescent="0.2">
      <c r="A21" s="523" t="s">
        <v>352</v>
      </c>
      <c r="B21" s="531">
        <v>4</v>
      </c>
      <c r="C21" s="299" t="s">
        <v>1463</v>
      </c>
      <c r="D21" s="541">
        <v>20</v>
      </c>
      <c r="E21" s="542" t="s">
        <v>2200</v>
      </c>
      <c r="F21" s="543" t="s">
        <v>2201</v>
      </c>
    </row>
    <row r="22" spans="1:6" ht="18" customHeight="1" x14ac:dyDescent="0.2">
      <c r="A22" s="518" t="s">
        <v>352</v>
      </c>
      <c r="B22" s="529">
        <v>2</v>
      </c>
      <c r="C22" s="296" t="s">
        <v>1475</v>
      </c>
      <c r="D22" s="538">
        <v>21</v>
      </c>
      <c r="E22" s="539" t="s">
        <v>2202</v>
      </c>
      <c r="F22" s="540" t="s">
        <v>2203</v>
      </c>
    </row>
    <row r="23" spans="1:6" ht="18" customHeight="1" x14ac:dyDescent="0.2">
      <c r="A23" s="523" t="s">
        <v>352</v>
      </c>
      <c r="B23" s="531">
        <v>1</v>
      </c>
      <c r="C23" s="299" t="s">
        <v>2204</v>
      </c>
      <c r="D23" s="541">
        <v>22</v>
      </c>
      <c r="E23" s="542" t="s">
        <v>2205</v>
      </c>
      <c r="F23" s="543" t="s">
        <v>2206</v>
      </c>
    </row>
    <row r="24" spans="1:6" ht="18" customHeight="1" x14ac:dyDescent="0.2">
      <c r="A24" s="518" t="s">
        <v>323</v>
      </c>
      <c r="B24" s="529">
        <v>3</v>
      </c>
      <c r="C24" s="296" t="s">
        <v>1497</v>
      </c>
      <c r="D24" s="538">
        <v>24</v>
      </c>
      <c r="E24" s="539" t="s">
        <v>2207</v>
      </c>
      <c r="F24" s="540" t="s">
        <v>2208</v>
      </c>
    </row>
    <row r="25" spans="1:6" ht="18" customHeight="1" x14ac:dyDescent="0.2">
      <c r="A25" s="523" t="s">
        <v>325</v>
      </c>
      <c r="B25" s="531">
        <v>4</v>
      </c>
      <c r="C25" s="299" t="s">
        <v>1507</v>
      </c>
      <c r="D25" s="541">
        <v>25</v>
      </c>
      <c r="E25" s="542" t="s">
        <v>2209</v>
      </c>
      <c r="F25" s="543" t="s">
        <v>2210</v>
      </c>
    </row>
    <row r="26" spans="1:6" ht="18" customHeight="1" x14ac:dyDescent="0.2">
      <c r="A26" s="518" t="s">
        <v>323</v>
      </c>
      <c r="B26" s="529">
        <v>3</v>
      </c>
      <c r="C26" s="296" t="s">
        <v>1528</v>
      </c>
      <c r="D26" s="538">
        <v>27</v>
      </c>
      <c r="E26" s="539" t="s">
        <v>2211</v>
      </c>
      <c r="F26" s="540" t="s">
        <v>2212</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565C0"/>
  </sheetPr>
  <dimension ref="A1:G24"/>
  <sheetViews>
    <sheetView zoomScaleNormal="100" workbookViewId="0"/>
  </sheetViews>
  <sheetFormatPr defaultColWidth="8.609375" defaultRowHeight="15" x14ac:dyDescent="0.2"/>
  <cols>
    <col min="1" max="1" width="27.98046875" customWidth="1"/>
    <col min="2" max="2" width="20.04296875" customWidth="1"/>
    <col min="3" max="3" width="55.01953125" customWidth="1"/>
    <col min="4" max="4" width="22.05859375" customWidth="1"/>
    <col min="5" max="5" width="34.97265625" customWidth="1"/>
  </cols>
  <sheetData>
    <row r="1" spans="1:7" ht="21.75" customHeight="1" x14ac:dyDescent="0.2">
      <c r="A1" s="1522" t="s">
        <v>2213</v>
      </c>
      <c r="B1" s="1522"/>
      <c r="C1" s="1522"/>
      <c r="D1" s="1522"/>
      <c r="E1" s="1522"/>
      <c r="G1" s="544" t="s">
        <v>2214</v>
      </c>
    </row>
    <row r="2" spans="1:7" ht="24" customHeight="1" x14ac:dyDescent="0.2">
      <c r="A2" s="1523" t="s">
        <v>2215</v>
      </c>
      <c r="B2" s="1523"/>
      <c r="C2" s="1523"/>
      <c r="D2" s="1523"/>
      <c r="E2" s="1523"/>
    </row>
    <row r="4" spans="1:7" ht="18" customHeight="1" x14ac:dyDescent="0.2">
      <c r="A4" s="1524" t="s">
        <v>2216</v>
      </c>
      <c r="B4" s="1524"/>
      <c r="C4" s="1524"/>
      <c r="D4" s="1524"/>
      <c r="E4" s="1524"/>
    </row>
    <row r="5" spans="1:7" ht="15.75" customHeight="1" x14ac:dyDescent="0.2">
      <c r="A5" s="545" t="s">
        <v>2217</v>
      </c>
      <c r="B5" s="545" t="s">
        <v>2218</v>
      </c>
      <c r="C5" s="545" t="s">
        <v>2219</v>
      </c>
      <c r="D5" s="545" t="s">
        <v>2220</v>
      </c>
      <c r="E5" s="545" t="s">
        <v>282</v>
      </c>
    </row>
    <row r="6" spans="1:7" ht="27.75" customHeight="1" x14ac:dyDescent="0.2">
      <c r="A6" s="546" t="s">
        <v>2221</v>
      </c>
      <c r="B6" s="547" t="s">
        <v>2222</v>
      </c>
      <c r="C6" s="548" t="s">
        <v>2223</v>
      </c>
      <c r="D6" s="549" t="s">
        <v>2224</v>
      </c>
      <c r="E6" s="550" t="s">
        <v>2225</v>
      </c>
    </row>
    <row r="7" spans="1:7" ht="27.75" customHeight="1" x14ac:dyDescent="0.2">
      <c r="A7" s="551" t="s">
        <v>2226</v>
      </c>
      <c r="B7" s="547" t="s">
        <v>216</v>
      </c>
      <c r="C7" s="552" t="s">
        <v>2227</v>
      </c>
      <c r="D7" s="553" t="s">
        <v>25</v>
      </c>
      <c r="E7" s="554" t="s">
        <v>2228</v>
      </c>
    </row>
    <row r="8" spans="1:7" ht="27.75" customHeight="1" x14ac:dyDescent="0.2">
      <c r="A8" s="546" t="s">
        <v>2229</v>
      </c>
      <c r="B8" s="547" t="s">
        <v>2230</v>
      </c>
      <c r="C8" s="548" t="s">
        <v>2231</v>
      </c>
      <c r="D8" s="549" t="s">
        <v>2232</v>
      </c>
      <c r="E8" s="550" t="s">
        <v>2233</v>
      </c>
    </row>
    <row r="9" spans="1:7" ht="27.75" customHeight="1" x14ac:dyDescent="0.2">
      <c r="A9" s="551" t="s">
        <v>2234</v>
      </c>
      <c r="B9" s="547" t="s">
        <v>2235</v>
      </c>
      <c r="C9" s="552" t="s">
        <v>2236</v>
      </c>
      <c r="D9" s="553" t="s">
        <v>2237</v>
      </c>
      <c r="E9" s="554" t="s">
        <v>2238</v>
      </c>
    </row>
    <row r="10" spans="1:7" ht="27.75" customHeight="1" x14ac:dyDescent="0.2">
      <c r="A10" s="546" t="s">
        <v>2239</v>
      </c>
      <c r="B10" s="547" t="s">
        <v>2240</v>
      </c>
      <c r="C10" s="548" t="s">
        <v>2241</v>
      </c>
      <c r="D10" s="549" t="s">
        <v>2242</v>
      </c>
      <c r="E10" s="550" t="s">
        <v>2243</v>
      </c>
    </row>
    <row r="11" spans="1:7" ht="27.75" customHeight="1" x14ac:dyDescent="0.2">
      <c r="A11" s="551" t="s">
        <v>2244</v>
      </c>
      <c r="B11" s="547" t="s">
        <v>2245</v>
      </c>
      <c r="C11" s="552" t="s">
        <v>2246</v>
      </c>
      <c r="D11" s="553" t="s">
        <v>2247</v>
      </c>
      <c r="E11" s="554" t="s">
        <v>2248</v>
      </c>
    </row>
    <row r="12" spans="1:7" ht="27.75" customHeight="1" x14ac:dyDescent="0.2">
      <c r="A12" s="546" t="s">
        <v>2249</v>
      </c>
      <c r="B12" s="547" t="s">
        <v>2250</v>
      </c>
      <c r="C12" s="548" t="s">
        <v>2251</v>
      </c>
      <c r="D12" s="549" t="s">
        <v>2252</v>
      </c>
      <c r="E12" s="550" t="s">
        <v>2253</v>
      </c>
    </row>
    <row r="13" spans="1:7" ht="27.75" customHeight="1" x14ac:dyDescent="0.2">
      <c r="A13" s="551" t="s">
        <v>2254</v>
      </c>
      <c r="B13" s="547" t="s">
        <v>2255</v>
      </c>
      <c r="C13" s="552" t="s">
        <v>2256</v>
      </c>
      <c r="D13" s="553" t="s">
        <v>69</v>
      </c>
      <c r="E13" s="554" t="s">
        <v>2257</v>
      </c>
    </row>
    <row r="14" spans="1:7" ht="54.75" customHeight="1" x14ac:dyDescent="0.2">
      <c r="A14" s="555" t="s">
        <v>2258</v>
      </c>
      <c r="B14" s="556" t="s">
        <v>2259</v>
      </c>
      <c r="C14" s="556" t="s">
        <v>2260</v>
      </c>
      <c r="D14" s="556" t="s">
        <v>2261</v>
      </c>
      <c r="E14" s="556" t="s">
        <v>2262</v>
      </c>
    </row>
    <row r="16" spans="1:7" ht="18" customHeight="1" x14ac:dyDescent="0.2">
      <c r="A16" s="1524" t="s">
        <v>2263</v>
      </c>
      <c r="B16" s="1524"/>
      <c r="C16" s="1524"/>
      <c r="D16" s="1524"/>
      <c r="E16" s="1524"/>
    </row>
    <row r="17" spans="1:5" ht="36" customHeight="1" x14ac:dyDescent="0.2">
      <c r="A17" s="1525" t="s">
        <v>2264</v>
      </c>
      <c r="B17" s="1525"/>
      <c r="C17" s="1525"/>
      <c r="D17" s="1525"/>
      <c r="E17" s="1525"/>
    </row>
    <row r="18" spans="1:5" ht="60" customHeight="1" x14ac:dyDescent="0.2">
      <c r="A18" s="557" t="s">
        <v>2265</v>
      </c>
    </row>
    <row r="19" spans="1:5" ht="18" customHeight="1" x14ac:dyDescent="0.2">
      <c r="A19" s="1521" t="s">
        <v>2266</v>
      </c>
      <c r="B19" s="1521"/>
      <c r="C19" s="1521"/>
      <c r="D19" s="1521"/>
    </row>
    <row r="20" spans="1:5" ht="15" customHeight="1" x14ac:dyDescent="0.2">
      <c r="A20" s="545" t="s">
        <v>2217</v>
      </c>
      <c r="B20" s="545" t="s">
        <v>2218</v>
      </c>
      <c r="C20" s="558" t="s">
        <v>2219</v>
      </c>
      <c r="D20" s="558" t="s">
        <v>2267</v>
      </c>
    </row>
    <row r="21" spans="1:5" ht="19.5" customHeight="1" x14ac:dyDescent="0.2">
      <c r="A21" s="559" t="s">
        <v>2268</v>
      </c>
      <c r="B21" s="560" t="s">
        <v>2269</v>
      </c>
      <c r="C21" s="561" t="s">
        <v>2270</v>
      </c>
      <c r="D21" s="561" t="s">
        <v>2271</v>
      </c>
    </row>
    <row r="24" spans="1:5" ht="79.5" customHeight="1" x14ac:dyDescent="0.2">
      <c r="A24" s="562" t="s">
        <v>2272</v>
      </c>
    </row>
  </sheetData>
  <mergeCells count="6">
    <mergeCell ref="A19:D19"/>
    <mergeCell ref="A1:E1"/>
    <mergeCell ref="A2:E2"/>
    <mergeCell ref="A4:E4"/>
    <mergeCell ref="A16:E16"/>
    <mergeCell ref="A17:E17"/>
  </mergeCells>
  <dataValidations count="5">
    <dataValidation type="list" sqref="B6" xr:uid="{00000000-0002-0000-1200-000000000000}">
      <formula1>"Parashari,KP,Jaimini,Hybrid Parashari-Jaimini"</formula1>
      <formula2>0</formula2>
    </dataValidation>
    <dataValidation type="list" sqref="B7" xr:uid="{00000000-0002-0000-1200-000001000000}">
      <formula1>"Lahiri,Raman,Krishnamurti,Fagan-Bradley"</formula1>
      <formula2>0</formula2>
    </dataValidation>
    <dataValidation type="list" sqref="B8" xr:uid="{00000000-0002-0000-1200-000002000000}">
      <formula1>"Apply R22 modifier,Ignore retrograde,Full strength (classical)"</formula1>
      <formula2>0</formula2>
    </dataValidation>
    <dataValidation type="list" sqref="B9" xr:uid="{00000000-0002-0000-1200-000003000000}">
      <formula1>"1.5x Yogakaraka weight,1.25x Yogakaraka weight,1.0x (no distinction)"</formula1>
      <formula2>0</formula2>
    </dataValidation>
    <dataValidation type="list" sqref="B10" xr:uid="{00000000-0002-0000-1200-000004000000}">
      <formula1>"0.5 half-weight,0.75 three-quarter,1.0 full weight"</formula1>
      <formula2>0</formula2>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565C0"/>
  </sheetPr>
  <dimension ref="A1:I19"/>
  <sheetViews>
    <sheetView zoomScaleNormal="100" workbookViewId="0"/>
  </sheetViews>
  <sheetFormatPr defaultColWidth="8.609375" defaultRowHeight="15" x14ac:dyDescent="0.2"/>
  <cols>
    <col min="1" max="1" width="6.05078125" customWidth="1"/>
    <col min="2" max="3" width="22.05859375" customWidth="1"/>
    <col min="4" max="5" width="13.98828125" customWidth="1"/>
    <col min="6" max="6" width="16.0078125" customWidth="1"/>
    <col min="7" max="7" width="50.04296875" customWidth="1"/>
  </cols>
  <sheetData>
    <row r="1" spans="1:9" ht="21.75" customHeight="1" x14ac:dyDescent="0.2">
      <c r="A1" s="1522" t="s">
        <v>2273</v>
      </c>
      <c r="B1" s="1522"/>
      <c r="C1" s="1522"/>
      <c r="D1" s="1522"/>
      <c r="E1" s="1522"/>
      <c r="F1" s="1522"/>
      <c r="G1" s="1522"/>
      <c r="I1" s="544" t="s">
        <v>2214</v>
      </c>
    </row>
    <row r="2" spans="1:9" ht="24" customHeight="1" x14ac:dyDescent="0.2">
      <c r="A2" s="1523" t="s">
        <v>2274</v>
      </c>
      <c r="B2" s="1523"/>
      <c r="C2" s="1523"/>
      <c r="D2" s="1523"/>
      <c r="E2" s="1523"/>
      <c r="F2" s="1523"/>
      <c r="G2" s="1523"/>
    </row>
    <row r="4" spans="1:9" ht="18" customHeight="1" x14ac:dyDescent="0.2">
      <c r="A4" s="1524" t="s">
        <v>2275</v>
      </c>
      <c r="B4" s="1524"/>
      <c r="C4" s="1524"/>
      <c r="D4" s="1524"/>
      <c r="E4" s="1524"/>
      <c r="F4" s="1524"/>
      <c r="G4" s="1524"/>
    </row>
    <row r="5" spans="1:9" ht="15.75" customHeight="1" x14ac:dyDescent="0.2">
      <c r="A5" s="545" t="s">
        <v>2276</v>
      </c>
      <c r="B5" s="545" t="s">
        <v>2277</v>
      </c>
      <c r="C5" s="545" t="s">
        <v>2278</v>
      </c>
      <c r="D5" s="545" t="s">
        <v>2279</v>
      </c>
      <c r="E5" s="545" t="s">
        <v>1565</v>
      </c>
      <c r="F5" s="545" t="s">
        <v>2280</v>
      </c>
      <c r="G5" s="545" t="s">
        <v>2281</v>
      </c>
    </row>
    <row r="6" spans="1:9" ht="27.75" customHeight="1" x14ac:dyDescent="0.2">
      <c r="A6" s="563">
        <v>1</v>
      </c>
      <c r="B6" s="546" t="s">
        <v>2282</v>
      </c>
      <c r="C6" s="564" t="s">
        <v>2283</v>
      </c>
      <c r="D6" s="565" t="s">
        <v>2284</v>
      </c>
      <c r="E6" s="566" t="s">
        <v>1571</v>
      </c>
      <c r="F6" s="550" t="s">
        <v>2285</v>
      </c>
      <c r="G6" s="550" t="s">
        <v>2286</v>
      </c>
    </row>
    <row r="7" spans="1:9" ht="27.75" customHeight="1" x14ac:dyDescent="0.2">
      <c r="A7" s="567">
        <v>2</v>
      </c>
      <c r="B7" s="551" t="s">
        <v>2287</v>
      </c>
      <c r="C7" s="568" t="s">
        <v>2288</v>
      </c>
      <c r="D7" s="569" t="s">
        <v>2289</v>
      </c>
      <c r="E7" s="570" t="s">
        <v>1571</v>
      </c>
      <c r="F7" s="554" t="s">
        <v>2290</v>
      </c>
      <c r="G7" s="554" t="s">
        <v>2291</v>
      </c>
    </row>
    <row r="8" spans="1:9" ht="27.75" customHeight="1" x14ac:dyDescent="0.2">
      <c r="A8" s="563">
        <v>3</v>
      </c>
      <c r="B8" s="546" t="s">
        <v>2292</v>
      </c>
      <c r="C8" s="564" t="s">
        <v>2293</v>
      </c>
      <c r="D8" s="565" t="s">
        <v>2294</v>
      </c>
      <c r="E8" s="566" t="s">
        <v>1571</v>
      </c>
      <c r="F8" s="550" t="s">
        <v>2295</v>
      </c>
      <c r="G8" s="550" t="s">
        <v>2296</v>
      </c>
    </row>
    <row r="9" spans="1:9" ht="27.75" customHeight="1" x14ac:dyDescent="0.2">
      <c r="A9" s="567">
        <v>4</v>
      </c>
      <c r="B9" s="551" t="s">
        <v>2297</v>
      </c>
      <c r="C9" s="568" t="s">
        <v>2298</v>
      </c>
      <c r="D9" s="569" t="s">
        <v>2299</v>
      </c>
      <c r="E9" s="571" t="s">
        <v>2300</v>
      </c>
      <c r="F9" s="554" t="s">
        <v>2301</v>
      </c>
      <c r="G9" s="554" t="s">
        <v>2302</v>
      </c>
    </row>
    <row r="10" spans="1:9" ht="27.75" customHeight="1" x14ac:dyDescent="0.2">
      <c r="A10" s="563">
        <v>5</v>
      </c>
      <c r="B10" s="546" t="s">
        <v>2303</v>
      </c>
      <c r="C10" s="564" t="s">
        <v>2304</v>
      </c>
      <c r="D10" s="565" t="s">
        <v>36</v>
      </c>
      <c r="E10" s="572" t="s">
        <v>2305</v>
      </c>
      <c r="F10" s="550" t="s">
        <v>2306</v>
      </c>
      <c r="G10" s="550" t="s">
        <v>2307</v>
      </c>
    </row>
    <row r="11" spans="1:9" ht="27.75" customHeight="1" x14ac:dyDescent="0.2">
      <c r="A11" s="567">
        <v>6</v>
      </c>
      <c r="B11" s="551" t="s">
        <v>2308</v>
      </c>
      <c r="C11" s="568" t="s">
        <v>36</v>
      </c>
      <c r="D11" s="569" t="s">
        <v>2309</v>
      </c>
      <c r="E11" s="573" t="s">
        <v>2310</v>
      </c>
      <c r="F11" s="554" t="s">
        <v>2311</v>
      </c>
      <c r="G11" s="554" t="s">
        <v>2312</v>
      </c>
    </row>
    <row r="14" spans="1:9" ht="18" customHeight="1" x14ac:dyDescent="0.2">
      <c r="A14" s="1524" t="s">
        <v>2313</v>
      </c>
      <c r="B14" s="1524"/>
      <c r="C14" s="1524"/>
      <c r="D14" s="1524"/>
      <c r="E14" s="1524"/>
      <c r="F14" s="1524"/>
      <c r="G14" s="1524"/>
    </row>
    <row r="15" spans="1:9" ht="15.75" customHeight="1" x14ac:dyDescent="0.2">
      <c r="A15" s="545" t="s">
        <v>2314</v>
      </c>
      <c r="B15" s="545" t="s">
        <v>2315</v>
      </c>
      <c r="C15" s="545" t="s">
        <v>2316</v>
      </c>
      <c r="D15" s="545" t="s">
        <v>282</v>
      </c>
      <c r="E15" s="545"/>
      <c r="F15" s="545"/>
      <c r="G15" s="545"/>
    </row>
    <row r="16" spans="1:9" ht="19.5" customHeight="1" x14ac:dyDescent="0.2">
      <c r="A16" s="574" t="s">
        <v>2317</v>
      </c>
      <c r="B16" s="574" t="s">
        <v>2318</v>
      </c>
      <c r="C16" s="575" t="s">
        <v>2319</v>
      </c>
      <c r="D16" s="575" t="s">
        <v>2320</v>
      </c>
      <c r="E16" s="575"/>
      <c r="F16" s="575"/>
      <c r="G16" s="575"/>
    </row>
    <row r="17" spans="1:7" ht="19.5" customHeight="1" x14ac:dyDescent="0.2">
      <c r="A17" s="576" t="s">
        <v>2321</v>
      </c>
      <c r="B17" s="576" t="s">
        <v>2322</v>
      </c>
      <c r="C17" s="577" t="s">
        <v>2319</v>
      </c>
      <c r="D17" s="577" t="s">
        <v>2323</v>
      </c>
      <c r="E17" s="577"/>
      <c r="F17" s="577"/>
      <c r="G17" s="577"/>
    </row>
    <row r="18" spans="1:7" ht="19.5" customHeight="1" x14ac:dyDescent="0.2">
      <c r="A18" s="574" t="s">
        <v>2324</v>
      </c>
      <c r="B18" s="574" t="s">
        <v>2325</v>
      </c>
      <c r="C18" s="575" t="s">
        <v>2319</v>
      </c>
      <c r="D18" s="575" t="s">
        <v>2326</v>
      </c>
      <c r="E18" s="575"/>
      <c r="F18" s="575"/>
      <c r="G18" s="575"/>
    </row>
    <row r="19" spans="1:7" ht="19.5" customHeight="1" x14ac:dyDescent="0.2">
      <c r="A19" s="576" t="s">
        <v>2327</v>
      </c>
      <c r="B19" s="576" t="s">
        <v>2328</v>
      </c>
      <c r="C19" s="577" t="s">
        <v>2319</v>
      </c>
      <c r="D19" s="577" t="s">
        <v>2329</v>
      </c>
      <c r="E19" s="577"/>
      <c r="F19" s="577"/>
      <c r="G19" s="577"/>
    </row>
  </sheetData>
  <mergeCells count="4">
    <mergeCell ref="A1:G1"/>
    <mergeCell ref="A2:G2"/>
    <mergeCell ref="A4:G4"/>
    <mergeCell ref="A14:G14"/>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565C0"/>
  </sheetPr>
  <dimension ref="A1:H21"/>
  <sheetViews>
    <sheetView zoomScaleNormal="100" workbookViewId="0"/>
  </sheetViews>
  <sheetFormatPr defaultColWidth="8.609375" defaultRowHeight="15" x14ac:dyDescent="0.2"/>
  <cols>
    <col min="1" max="1" width="6.05078125" customWidth="1"/>
    <col min="2" max="3" width="18.0234375" customWidth="1"/>
    <col min="4" max="4" width="22.05859375" customWidth="1"/>
    <col min="5" max="5" width="16.0078125" customWidth="1"/>
    <col min="6" max="6" width="50.04296875" customWidth="1"/>
  </cols>
  <sheetData>
    <row r="1" spans="1:8" ht="21.75" customHeight="1" x14ac:dyDescent="0.2">
      <c r="A1" s="1522" t="s">
        <v>2330</v>
      </c>
      <c r="B1" s="1522"/>
      <c r="C1" s="1522"/>
      <c r="D1" s="1522"/>
      <c r="E1" s="1522"/>
      <c r="F1" s="1522"/>
      <c r="H1" s="544" t="s">
        <v>2214</v>
      </c>
    </row>
    <row r="2" spans="1:8" ht="24" customHeight="1" x14ac:dyDescent="0.2">
      <c r="A2" s="1523" t="s">
        <v>2331</v>
      </c>
      <c r="B2" s="1523"/>
      <c r="C2" s="1523"/>
      <c r="D2" s="1523"/>
      <c r="E2" s="1523"/>
      <c r="F2" s="1523"/>
    </row>
    <row r="4" spans="1:8" ht="18" customHeight="1" x14ac:dyDescent="0.2">
      <c r="A4" s="1524" t="s">
        <v>2332</v>
      </c>
      <c r="B4" s="1524"/>
      <c r="C4" s="1524"/>
      <c r="D4" s="1524"/>
      <c r="E4" s="1524"/>
      <c r="F4" s="1524"/>
    </row>
    <row r="5" spans="1:8" ht="15.75" customHeight="1" x14ac:dyDescent="0.2">
      <c r="A5" s="545" t="s">
        <v>2276</v>
      </c>
      <c r="B5" s="545" t="s">
        <v>2333</v>
      </c>
      <c r="C5" s="545" t="s">
        <v>344</v>
      </c>
      <c r="D5" s="545" t="s">
        <v>2334</v>
      </c>
      <c r="E5" s="545" t="s">
        <v>2335</v>
      </c>
      <c r="F5" s="545" t="s">
        <v>2336</v>
      </c>
    </row>
    <row r="6" spans="1:8" ht="27.75" customHeight="1" x14ac:dyDescent="0.2">
      <c r="A6" s="563">
        <v>1</v>
      </c>
      <c r="B6" s="578" t="s">
        <v>2337</v>
      </c>
      <c r="C6" s="550" t="s">
        <v>2338</v>
      </c>
      <c r="D6" s="575" t="s">
        <v>2339</v>
      </c>
      <c r="E6" s="579" t="s">
        <v>2340</v>
      </c>
      <c r="F6" s="550" t="s">
        <v>2341</v>
      </c>
    </row>
    <row r="7" spans="1:8" ht="27.75" customHeight="1" x14ac:dyDescent="0.2">
      <c r="A7" s="567">
        <v>2</v>
      </c>
      <c r="B7" s="580" t="s">
        <v>2342</v>
      </c>
      <c r="C7" s="554" t="s">
        <v>2343</v>
      </c>
      <c r="D7" s="577" t="s">
        <v>2344</v>
      </c>
      <c r="E7" s="581" t="s">
        <v>36</v>
      </c>
      <c r="F7" s="554" t="s">
        <v>2345</v>
      </c>
    </row>
    <row r="8" spans="1:8" ht="27.75" customHeight="1" x14ac:dyDescent="0.2">
      <c r="A8" s="563">
        <v>3</v>
      </c>
      <c r="B8" s="578" t="s">
        <v>2346</v>
      </c>
      <c r="C8" s="550" t="s">
        <v>2347</v>
      </c>
      <c r="D8" s="575" t="s">
        <v>2348</v>
      </c>
      <c r="E8" s="582" t="s">
        <v>36</v>
      </c>
      <c r="F8" s="550" t="s">
        <v>2349</v>
      </c>
    </row>
    <row r="9" spans="1:8" ht="27.75" customHeight="1" x14ac:dyDescent="0.2">
      <c r="A9" s="567">
        <v>4</v>
      </c>
      <c r="B9" s="580" t="s">
        <v>2350</v>
      </c>
      <c r="C9" s="554" t="s">
        <v>2351</v>
      </c>
      <c r="D9" s="577" t="s">
        <v>2352</v>
      </c>
      <c r="E9" s="581" t="s">
        <v>36</v>
      </c>
      <c r="F9" s="554" t="s">
        <v>2353</v>
      </c>
    </row>
    <row r="10" spans="1:8" ht="27.75" customHeight="1" x14ac:dyDescent="0.2">
      <c r="A10" s="563">
        <v>5</v>
      </c>
      <c r="B10" s="578" t="s">
        <v>2354</v>
      </c>
      <c r="C10" s="550" t="s">
        <v>2355</v>
      </c>
      <c r="D10" s="575" t="s">
        <v>2356</v>
      </c>
      <c r="E10" s="582" t="s">
        <v>36</v>
      </c>
      <c r="F10" s="550" t="s">
        <v>2357</v>
      </c>
    </row>
    <row r="11" spans="1:8" ht="27.75" customHeight="1" x14ac:dyDescent="0.2">
      <c r="A11" s="567">
        <v>6</v>
      </c>
      <c r="B11" s="580" t="s">
        <v>2358</v>
      </c>
      <c r="C11" s="554" t="s">
        <v>2359</v>
      </c>
      <c r="D11" s="577" t="s">
        <v>2360</v>
      </c>
      <c r="E11" s="581" t="s">
        <v>36</v>
      </c>
      <c r="F11" s="554" t="s">
        <v>2361</v>
      </c>
    </row>
    <row r="12" spans="1:8" ht="27.75" customHeight="1" x14ac:dyDescent="0.2">
      <c r="A12" s="563">
        <v>7</v>
      </c>
      <c r="B12" s="578" t="s">
        <v>2362</v>
      </c>
      <c r="C12" s="550" t="s">
        <v>2363</v>
      </c>
      <c r="D12" s="575" t="s">
        <v>2364</v>
      </c>
      <c r="E12" s="579" t="s">
        <v>2365</v>
      </c>
      <c r="F12" s="550" t="s">
        <v>2366</v>
      </c>
    </row>
    <row r="13" spans="1:8" ht="27.75" customHeight="1" x14ac:dyDescent="0.2">
      <c r="A13" s="567">
        <v>8</v>
      </c>
      <c r="B13" s="580" t="s">
        <v>2367</v>
      </c>
      <c r="C13" s="554" t="s">
        <v>2368</v>
      </c>
      <c r="D13" s="577" t="s">
        <v>2369</v>
      </c>
      <c r="E13" s="581" t="s">
        <v>36</v>
      </c>
      <c r="F13" s="554" t="s">
        <v>2370</v>
      </c>
    </row>
    <row r="14" spans="1:8" ht="27.75" customHeight="1" x14ac:dyDescent="0.2">
      <c r="A14" s="563">
        <v>9</v>
      </c>
      <c r="B14" s="578" t="s">
        <v>2371</v>
      </c>
      <c r="C14" s="550" t="s">
        <v>2372</v>
      </c>
      <c r="D14" s="575" t="s">
        <v>2373</v>
      </c>
      <c r="E14" s="582" t="s">
        <v>36</v>
      </c>
      <c r="F14" s="550" t="s">
        <v>2374</v>
      </c>
    </row>
    <row r="15" spans="1:8" ht="27.75" customHeight="1" x14ac:dyDescent="0.2">
      <c r="A15" s="567">
        <v>10</v>
      </c>
      <c r="B15" s="580" t="s">
        <v>2375</v>
      </c>
      <c r="C15" s="554" t="s">
        <v>2376</v>
      </c>
      <c r="D15" s="577" t="s">
        <v>2377</v>
      </c>
      <c r="E15" s="581" t="s">
        <v>36</v>
      </c>
      <c r="F15" s="554" t="s">
        <v>2378</v>
      </c>
    </row>
    <row r="16" spans="1:8" ht="27.75" customHeight="1" x14ac:dyDescent="0.2">
      <c r="A16" s="563">
        <v>11</v>
      </c>
      <c r="B16" s="578" t="s">
        <v>2379</v>
      </c>
      <c r="C16" s="550" t="s">
        <v>2380</v>
      </c>
      <c r="D16" s="575" t="s">
        <v>2381</v>
      </c>
      <c r="E16" s="582" t="s">
        <v>36</v>
      </c>
      <c r="F16" s="550" t="s">
        <v>2382</v>
      </c>
    </row>
    <row r="17" spans="1:6" ht="27.75" customHeight="1" x14ac:dyDescent="0.2">
      <c r="A17" s="567">
        <v>12</v>
      </c>
      <c r="B17" s="580" t="s">
        <v>2383</v>
      </c>
      <c r="C17" s="554" t="s">
        <v>2384</v>
      </c>
      <c r="D17" s="577" t="s">
        <v>2385</v>
      </c>
      <c r="E17" s="583" t="s">
        <v>2386</v>
      </c>
      <c r="F17" s="554" t="s">
        <v>2387</v>
      </c>
    </row>
    <row r="20" spans="1:6" ht="18" customHeight="1" x14ac:dyDescent="0.2">
      <c r="A20" s="1524" t="s">
        <v>2388</v>
      </c>
      <c r="B20" s="1524"/>
      <c r="C20" s="1524"/>
      <c r="D20" s="1524"/>
      <c r="E20" s="1524"/>
      <c r="F20" s="1524"/>
    </row>
    <row r="21" spans="1:6" ht="79.5" customHeight="1" x14ac:dyDescent="0.2">
      <c r="A21" s="1526" t="s">
        <v>2389</v>
      </c>
      <c r="B21" s="1526"/>
      <c r="C21" s="1526"/>
      <c r="D21" s="1526"/>
      <c r="E21" s="1526"/>
      <c r="F21" s="1526"/>
    </row>
  </sheetData>
  <mergeCells count="5">
    <mergeCell ref="A1:F1"/>
    <mergeCell ref="A2:F2"/>
    <mergeCell ref="A4:F4"/>
    <mergeCell ref="A20:F20"/>
    <mergeCell ref="A21:F21"/>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565C0"/>
  </sheetPr>
  <dimension ref="A1:H25"/>
  <sheetViews>
    <sheetView zoomScaleNormal="100" workbookViewId="0"/>
  </sheetViews>
  <sheetFormatPr defaultColWidth="8.609375" defaultRowHeight="15" x14ac:dyDescent="0.2"/>
  <cols>
    <col min="1" max="1" width="9.953125" customWidth="1"/>
    <col min="2" max="3" width="13.98828125" customWidth="1"/>
    <col min="4" max="4" width="29.99609375" customWidth="1"/>
    <col min="5" max="5" width="11.97265625" customWidth="1"/>
    <col min="6" max="6" width="50.04296875" customWidth="1"/>
  </cols>
  <sheetData>
    <row r="1" spans="1:8" ht="21.75" customHeight="1" x14ac:dyDescent="0.2">
      <c r="A1" s="1522" t="s">
        <v>2390</v>
      </c>
      <c r="B1" s="1522"/>
      <c r="C1" s="1522"/>
      <c r="D1" s="1522"/>
      <c r="E1" s="1522"/>
      <c r="F1" s="1522"/>
      <c r="H1" s="544" t="s">
        <v>2214</v>
      </c>
    </row>
    <row r="2" spans="1:8" ht="24" customHeight="1" x14ac:dyDescent="0.2">
      <c r="A2" s="1523" t="s">
        <v>2391</v>
      </c>
      <c r="B2" s="1523"/>
      <c r="C2" s="1523"/>
      <c r="D2" s="1523"/>
      <c r="E2" s="1523"/>
      <c r="F2" s="1523"/>
    </row>
    <row r="4" spans="1:8" ht="18" customHeight="1" x14ac:dyDescent="0.2">
      <c r="A4" s="1524" t="s">
        <v>2392</v>
      </c>
      <c r="B4" s="1524"/>
      <c r="C4" s="1524"/>
      <c r="D4" s="1524"/>
      <c r="E4" s="1524"/>
      <c r="F4" s="1524"/>
    </row>
    <row r="5" spans="1:8" ht="15.75" customHeight="1" x14ac:dyDescent="0.2">
      <c r="A5" s="545" t="s">
        <v>2393</v>
      </c>
      <c r="B5" s="545" t="s">
        <v>2394</v>
      </c>
      <c r="C5" s="545" t="s">
        <v>2395</v>
      </c>
      <c r="D5" s="545" t="s">
        <v>2396</v>
      </c>
      <c r="E5" s="545" t="s">
        <v>2397</v>
      </c>
      <c r="F5" s="545" t="s">
        <v>2280</v>
      </c>
    </row>
    <row r="6" spans="1:8" ht="27.75" customHeight="1" x14ac:dyDescent="0.2">
      <c r="A6" s="578" t="s">
        <v>2398</v>
      </c>
      <c r="B6" s="584" t="s">
        <v>2399</v>
      </c>
      <c r="C6" s="575" t="s">
        <v>2400</v>
      </c>
      <c r="D6" s="550" t="s">
        <v>2401</v>
      </c>
      <c r="E6" s="585" t="s">
        <v>2402</v>
      </c>
      <c r="F6" s="550" t="s">
        <v>2403</v>
      </c>
    </row>
    <row r="7" spans="1:8" ht="27.75" customHeight="1" x14ac:dyDescent="0.2">
      <c r="A7" s="580" t="s">
        <v>2404</v>
      </c>
      <c r="B7" s="586" t="s">
        <v>2405</v>
      </c>
      <c r="C7" s="577" t="s">
        <v>2406</v>
      </c>
      <c r="D7" s="554" t="s">
        <v>36</v>
      </c>
      <c r="E7" s="587" t="s">
        <v>2407</v>
      </c>
      <c r="F7" s="554" t="s">
        <v>2408</v>
      </c>
    </row>
    <row r="8" spans="1:8" ht="27.75" customHeight="1" x14ac:dyDescent="0.2">
      <c r="A8" s="578" t="s">
        <v>2409</v>
      </c>
      <c r="B8" s="584" t="s">
        <v>2410</v>
      </c>
      <c r="C8" s="575" t="s">
        <v>2411</v>
      </c>
      <c r="D8" s="550" t="s">
        <v>2412</v>
      </c>
      <c r="E8" s="585" t="s">
        <v>1596</v>
      </c>
      <c r="F8" s="550" t="s">
        <v>2413</v>
      </c>
    </row>
    <row r="9" spans="1:8" ht="27.75" customHeight="1" x14ac:dyDescent="0.2">
      <c r="A9" s="580" t="s">
        <v>2414</v>
      </c>
      <c r="B9" s="586" t="s">
        <v>2410</v>
      </c>
      <c r="C9" s="577" t="s">
        <v>2415</v>
      </c>
      <c r="D9" s="554" t="s">
        <v>2416</v>
      </c>
      <c r="E9" s="587" t="s">
        <v>1596</v>
      </c>
      <c r="F9" s="554" t="s">
        <v>2417</v>
      </c>
    </row>
    <row r="10" spans="1:8" ht="27.75" customHeight="1" x14ac:dyDescent="0.2">
      <c r="A10" s="578" t="s">
        <v>2418</v>
      </c>
      <c r="B10" s="584" t="s">
        <v>2419</v>
      </c>
      <c r="C10" s="575" t="s">
        <v>2420</v>
      </c>
      <c r="D10" s="550" t="s">
        <v>2421</v>
      </c>
      <c r="E10" s="585" t="s">
        <v>2422</v>
      </c>
      <c r="F10" s="550" t="s">
        <v>2423</v>
      </c>
    </row>
    <row r="13" spans="1:8" ht="18" customHeight="1" x14ac:dyDescent="0.2">
      <c r="A13" s="1524" t="s">
        <v>2424</v>
      </c>
      <c r="B13" s="1524"/>
      <c r="C13" s="1524"/>
      <c r="D13" s="1524"/>
      <c r="E13" s="1524"/>
      <c r="F13" s="1524"/>
    </row>
    <row r="14" spans="1:8" ht="15.75" customHeight="1" x14ac:dyDescent="0.2">
      <c r="A14" s="545" t="s">
        <v>2425</v>
      </c>
      <c r="B14" s="545" t="s">
        <v>319</v>
      </c>
      <c r="C14" s="545" t="s">
        <v>2426</v>
      </c>
      <c r="D14" s="545" t="s">
        <v>2427</v>
      </c>
      <c r="E14" s="545" t="s">
        <v>282</v>
      </c>
      <c r="F14" s="545"/>
    </row>
    <row r="15" spans="1:8" ht="15.75" customHeight="1" x14ac:dyDescent="0.2">
      <c r="A15" s="574">
        <v>1</v>
      </c>
      <c r="B15" s="574" t="s">
        <v>271</v>
      </c>
      <c r="C15" s="575" t="s">
        <v>2428</v>
      </c>
      <c r="D15" s="575" t="s">
        <v>2429</v>
      </c>
      <c r="E15" s="575" t="s">
        <v>2430</v>
      </c>
      <c r="F15" s="575"/>
    </row>
    <row r="16" spans="1:8" ht="15.75" customHeight="1" x14ac:dyDescent="0.2">
      <c r="A16" s="576">
        <v>2</v>
      </c>
      <c r="B16" s="576" t="s">
        <v>270</v>
      </c>
      <c r="C16" s="577" t="s">
        <v>2431</v>
      </c>
      <c r="D16" s="577" t="s">
        <v>2432</v>
      </c>
      <c r="E16" s="577" t="s">
        <v>2433</v>
      </c>
      <c r="F16" s="577"/>
    </row>
    <row r="17" spans="1:6" ht="15.75" customHeight="1" x14ac:dyDescent="0.2">
      <c r="A17" s="574">
        <v>3</v>
      </c>
      <c r="B17" s="574" t="s">
        <v>269</v>
      </c>
      <c r="C17" s="575" t="s">
        <v>2434</v>
      </c>
      <c r="D17" s="575" t="s">
        <v>2435</v>
      </c>
      <c r="E17" s="575" t="s">
        <v>2436</v>
      </c>
      <c r="F17" s="575"/>
    </row>
    <row r="18" spans="1:6" ht="15.75" customHeight="1" x14ac:dyDescent="0.2">
      <c r="A18" s="576">
        <v>4</v>
      </c>
      <c r="B18" s="576" t="s">
        <v>268</v>
      </c>
      <c r="C18" s="577" t="s">
        <v>2437</v>
      </c>
      <c r="D18" s="577" t="s">
        <v>2438</v>
      </c>
      <c r="E18" s="577" t="s">
        <v>2439</v>
      </c>
      <c r="F18" s="577"/>
    </row>
    <row r="19" spans="1:6" ht="15.75" customHeight="1" x14ac:dyDescent="0.2">
      <c r="A19" s="574">
        <v>5</v>
      </c>
      <c r="B19" s="574" t="s">
        <v>272</v>
      </c>
      <c r="C19" s="575" t="s">
        <v>2440</v>
      </c>
      <c r="D19" s="575" t="s">
        <v>2441</v>
      </c>
      <c r="E19" s="575" t="s">
        <v>2442</v>
      </c>
      <c r="F19" s="575"/>
    </row>
    <row r="22" spans="1:6" ht="18" customHeight="1" x14ac:dyDescent="0.2">
      <c r="A22" s="1524" t="s">
        <v>2443</v>
      </c>
      <c r="B22" s="1524"/>
      <c r="C22" s="1524"/>
      <c r="D22" s="1524"/>
      <c r="E22" s="1524"/>
      <c r="F22" s="1524"/>
    </row>
    <row r="23" spans="1:6" ht="79.5" customHeight="1" x14ac:dyDescent="0.2">
      <c r="A23" s="1526" t="s">
        <v>2444</v>
      </c>
      <c r="B23" s="1526"/>
      <c r="C23" s="1526"/>
      <c r="D23" s="1526"/>
      <c r="E23" s="1526"/>
      <c r="F23" s="1526"/>
    </row>
    <row r="25" spans="1:6" ht="54.75" customHeight="1" x14ac:dyDescent="0.2">
      <c r="A25" s="588" t="s">
        <v>2445</v>
      </c>
      <c r="B25" s="589" t="s">
        <v>2446</v>
      </c>
    </row>
  </sheetData>
  <mergeCells count="6">
    <mergeCell ref="A23:F23"/>
    <mergeCell ref="A1:F1"/>
    <mergeCell ref="A2:F2"/>
    <mergeCell ref="A4:F4"/>
    <mergeCell ref="A13:F13"/>
    <mergeCell ref="A22:F22"/>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565C0"/>
  </sheetPr>
  <dimension ref="A1:H36"/>
  <sheetViews>
    <sheetView zoomScaleNormal="100" workbookViewId="0"/>
  </sheetViews>
  <sheetFormatPr defaultColWidth="8.609375" defaultRowHeight="15" x14ac:dyDescent="0.2"/>
  <cols>
    <col min="1" max="2" width="16.0078125" customWidth="1"/>
    <col min="3" max="3" width="18.0234375" customWidth="1"/>
    <col min="4" max="4" width="16.0078125" customWidth="1"/>
    <col min="5" max="5" width="11.97265625" customWidth="1"/>
    <col min="6" max="6" width="50.04296875" customWidth="1"/>
  </cols>
  <sheetData>
    <row r="1" spans="1:8" ht="21.75" customHeight="1" x14ac:dyDescent="0.2">
      <c r="A1" s="1522" t="s">
        <v>2447</v>
      </c>
      <c r="B1" s="1522"/>
      <c r="C1" s="1522"/>
      <c r="D1" s="1522"/>
      <c r="E1" s="1522"/>
      <c r="F1" s="1522"/>
      <c r="H1" s="544" t="s">
        <v>2214</v>
      </c>
    </row>
    <row r="2" spans="1:8" ht="24" customHeight="1" x14ac:dyDescent="0.2">
      <c r="A2" s="1523" t="s">
        <v>2448</v>
      </c>
      <c r="B2" s="1523"/>
      <c r="C2" s="1523"/>
      <c r="D2" s="1523"/>
      <c r="E2" s="1523"/>
      <c r="F2" s="1523"/>
    </row>
    <row r="4" spans="1:8" ht="18" customHeight="1" x14ac:dyDescent="0.2">
      <c r="A4" s="1524" t="s">
        <v>2449</v>
      </c>
      <c r="B4" s="1524"/>
      <c r="C4" s="1524"/>
      <c r="D4" s="1524"/>
      <c r="E4" s="1524"/>
      <c r="F4" s="1524"/>
    </row>
    <row r="5" spans="1:8" ht="15.75" customHeight="1" x14ac:dyDescent="0.2">
      <c r="A5" s="545" t="s">
        <v>2450</v>
      </c>
      <c r="B5" s="545" t="s">
        <v>344</v>
      </c>
      <c r="C5" s="545" t="s">
        <v>2451</v>
      </c>
      <c r="D5" s="545" t="s">
        <v>2452</v>
      </c>
      <c r="E5" s="545" t="s">
        <v>2453</v>
      </c>
      <c r="F5" s="545" t="s">
        <v>2045</v>
      </c>
    </row>
    <row r="6" spans="1:8" ht="27.75" customHeight="1" x14ac:dyDescent="0.2">
      <c r="A6" s="578" t="s">
        <v>2454</v>
      </c>
      <c r="B6" s="548" t="s">
        <v>2455</v>
      </c>
      <c r="C6" s="575" t="s">
        <v>2456</v>
      </c>
      <c r="D6" s="575" t="s">
        <v>2457</v>
      </c>
      <c r="E6" s="585" t="s">
        <v>1589</v>
      </c>
      <c r="F6" s="550" t="s">
        <v>2458</v>
      </c>
    </row>
    <row r="7" spans="1:8" ht="27.75" customHeight="1" x14ac:dyDescent="0.2">
      <c r="A7" s="580" t="s">
        <v>2459</v>
      </c>
      <c r="B7" s="552" t="s">
        <v>2460</v>
      </c>
      <c r="C7" s="577" t="s">
        <v>2461</v>
      </c>
      <c r="D7" s="577" t="s">
        <v>2462</v>
      </c>
      <c r="E7" s="571" t="s">
        <v>1584</v>
      </c>
      <c r="F7" s="554" t="s">
        <v>2463</v>
      </c>
    </row>
    <row r="8" spans="1:8" ht="27.75" customHeight="1" x14ac:dyDescent="0.2">
      <c r="A8" s="578" t="s">
        <v>2464</v>
      </c>
      <c r="B8" s="548" t="s">
        <v>2465</v>
      </c>
      <c r="C8" s="575" t="s">
        <v>2466</v>
      </c>
      <c r="D8" s="575" t="s">
        <v>2466</v>
      </c>
      <c r="E8" s="566" t="s">
        <v>1572</v>
      </c>
      <c r="F8" s="550" t="s">
        <v>2467</v>
      </c>
    </row>
    <row r="9" spans="1:8" ht="27.75" customHeight="1" x14ac:dyDescent="0.2">
      <c r="A9" s="580" t="s">
        <v>2468</v>
      </c>
      <c r="B9" s="552" t="s">
        <v>2469</v>
      </c>
      <c r="C9" s="577" t="s">
        <v>2462</v>
      </c>
      <c r="D9" s="577" t="s">
        <v>2461</v>
      </c>
      <c r="E9" s="571" t="s">
        <v>1584</v>
      </c>
      <c r="F9" s="554" t="s">
        <v>2470</v>
      </c>
    </row>
    <row r="10" spans="1:8" ht="27.75" customHeight="1" x14ac:dyDescent="0.2">
      <c r="A10" s="578" t="s">
        <v>2471</v>
      </c>
      <c r="B10" s="548" t="s">
        <v>2472</v>
      </c>
      <c r="C10" s="575" t="s">
        <v>2457</v>
      </c>
      <c r="D10" s="575" t="s">
        <v>2456</v>
      </c>
      <c r="E10" s="585" t="s">
        <v>1594</v>
      </c>
      <c r="F10" s="550" t="s">
        <v>2473</v>
      </c>
    </row>
    <row r="13" spans="1:8" ht="18" customHeight="1" x14ac:dyDescent="0.2">
      <c r="A13" s="1524" t="s">
        <v>2474</v>
      </c>
      <c r="B13" s="1524"/>
      <c r="C13" s="1524"/>
      <c r="D13" s="1524"/>
      <c r="E13" s="1524"/>
      <c r="F13" s="1524"/>
    </row>
    <row r="14" spans="1:8" ht="15.75" customHeight="1" x14ac:dyDescent="0.2">
      <c r="A14" s="545" t="s">
        <v>2475</v>
      </c>
      <c r="B14" s="545" t="s">
        <v>2450</v>
      </c>
      <c r="C14" s="545" t="s">
        <v>344</v>
      </c>
      <c r="D14" s="545" t="s">
        <v>2476</v>
      </c>
      <c r="E14" s="545" t="s">
        <v>2267</v>
      </c>
      <c r="F14" s="545" t="s">
        <v>2280</v>
      </c>
    </row>
    <row r="15" spans="1:8" ht="24" customHeight="1" x14ac:dyDescent="0.2">
      <c r="A15" s="563">
        <v>1</v>
      </c>
      <c r="B15" s="578" t="s">
        <v>2477</v>
      </c>
      <c r="C15" s="550" t="s">
        <v>2478</v>
      </c>
      <c r="D15" s="575" t="s">
        <v>2479</v>
      </c>
      <c r="E15" s="550" t="s">
        <v>2480</v>
      </c>
      <c r="F15" s="550" t="s">
        <v>2481</v>
      </c>
    </row>
    <row r="16" spans="1:8" ht="24" customHeight="1" x14ac:dyDescent="0.2">
      <c r="A16" s="567">
        <v>2</v>
      </c>
      <c r="B16" s="580" t="s">
        <v>2482</v>
      </c>
      <c r="C16" s="554" t="s">
        <v>2483</v>
      </c>
      <c r="D16" s="577" t="s">
        <v>2484</v>
      </c>
      <c r="E16" s="554" t="s">
        <v>2485</v>
      </c>
      <c r="F16" s="554" t="s">
        <v>2486</v>
      </c>
    </row>
    <row r="17" spans="1:6" ht="24" customHeight="1" x14ac:dyDescent="0.2">
      <c r="A17" s="563">
        <v>3</v>
      </c>
      <c r="B17" s="578" t="s">
        <v>2487</v>
      </c>
      <c r="C17" s="550" t="s">
        <v>2487</v>
      </c>
      <c r="D17" s="575" t="s">
        <v>2488</v>
      </c>
      <c r="E17" s="550" t="s">
        <v>2489</v>
      </c>
      <c r="F17" s="550" t="s">
        <v>2490</v>
      </c>
    </row>
    <row r="18" spans="1:6" ht="24" customHeight="1" x14ac:dyDescent="0.2">
      <c r="A18" s="567">
        <v>4</v>
      </c>
      <c r="B18" s="580" t="s">
        <v>2491</v>
      </c>
      <c r="C18" s="554" t="s">
        <v>2492</v>
      </c>
      <c r="D18" s="577" t="s">
        <v>2493</v>
      </c>
      <c r="E18" s="554" t="s">
        <v>2494</v>
      </c>
      <c r="F18" s="554" t="s">
        <v>2495</v>
      </c>
    </row>
    <row r="19" spans="1:6" ht="24" customHeight="1" x14ac:dyDescent="0.2">
      <c r="A19" s="563">
        <v>5</v>
      </c>
      <c r="B19" s="578" t="s">
        <v>2496</v>
      </c>
      <c r="C19" s="550" t="s">
        <v>2497</v>
      </c>
      <c r="D19" s="575" t="s">
        <v>2498</v>
      </c>
      <c r="E19" s="550" t="s">
        <v>2499</v>
      </c>
      <c r="F19" s="550" t="s">
        <v>2500</v>
      </c>
    </row>
    <row r="20" spans="1:6" ht="24" customHeight="1" x14ac:dyDescent="0.2">
      <c r="A20" s="567">
        <v>6</v>
      </c>
      <c r="B20" s="580" t="s">
        <v>2501</v>
      </c>
      <c r="C20" s="554" t="s">
        <v>2502</v>
      </c>
      <c r="D20" s="577" t="s">
        <v>2503</v>
      </c>
      <c r="E20" s="554" t="s">
        <v>2504</v>
      </c>
      <c r="F20" s="554" t="s">
        <v>2505</v>
      </c>
    </row>
    <row r="21" spans="1:6" ht="24" customHeight="1" x14ac:dyDescent="0.2">
      <c r="A21" s="563">
        <v>7</v>
      </c>
      <c r="B21" s="578" t="s">
        <v>2506</v>
      </c>
      <c r="C21" s="550" t="s">
        <v>2507</v>
      </c>
      <c r="D21" s="575" t="s">
        <v>2508</v>
      </c>
      <c r="E21" s="550" t="s">
        <v>2509</v>
      </c>
      <c r="F21" s="550" t="s">
        <v>2510</v>
      </c>
    </row>
    <row r="22" spans="1:6" ht="24" customHeight="1" x14ac:dyDescent="0.2">
      <c r="A22" s="567">
        <v>8</v>
      </c>
      <c r="B22" s="580" t="s">
        <v>2511</v>
      </c>
      <c r="C22" s="554" t="s">
        <v>2512</v>
      </c>
      <c r="D22" s="577" t="s">
        <v>2513</v>
      </c>
      <c r="E22" s="554" t="s">
        <v>2514</v>
      </c>
      <c r="F22" s="554" t="s">
        <v>2515</v>
      </c>
    </row>
    <row r="23" spans="1:6" ht="24" customHeight="1" x14ac:dyDescent="0.2">
      <c r="A23" s="563">
        <v>9</v>
      </c>
      <c r="B23" s="578" t="s">
        <v>2516</v>
      </c>
      <c r="C23" s="550" t="s">
        <v>2517</v>
      </c>
      <c r="D23" s="575" t="s">
        <v>2518</v>
      </c>
      <c r="E23" s="550" t="s">
        <v>2519</v>
      </c>
      <c r="F23" s="550" t="s">
        <v>2520</v>
      </c>
    </row>
    <row r="24" spans="1:6" ht="24" customHeight="1" x14ac:dyDescent="0.2">
      <c r="A24" s="567">
        <v>10</v>
      </c>
      <c r="B24" s="580" t="s">
        <v>2521</v>
      </c>
      <c r="C24" s="554" t="s">
        <v>2522</v>
      </c>
      <c r="D24" s="577" t="s">
        <v>2523</v>
      </c>
      <c r="E24" s="554" t="s">
        <v>2524</v>
      </c>
      <c r="F24" s="554" t="s">
        <v>2525</v>
      </c>
    </row>
    <row r="25" spans="1:6" ht="24" customHeight="1" x14ac:dyDescent="0.2">
      <c r="A25" s="563">
        <v>11</v>
      </c>
      <c r="B25" s="578" t="s">
        <v>2526</v>
      </c>
      <c r="C25" s="550" t="s">
        <v>2527</v>
      </c>
      <c r="D25" s="575" t="s">
        <v>2528</v>
      </c>
      <c r="E25" s="550" t="s">
        <v>2529</v>
      </c>
      <c r="F25" s="550" t="s">
        <v>2530</v>
      </c>
    </row>
    <row r="26" spans="1:6" ht="24" customHeight="1" x14ac:dyDescent="0.2">
      <c r="A26" s="567">
        <v>12</v>
      </c>
      <c r="B26" s="580" t="s">
        <v>2531</v>
      </c>
      <c r="C26" s="554" t="s">
        <v>2532</v>
      </c>
      <c r="D26" s="577" t="s">
        <v>2533</v>
      </c>
      <c r="E26" s="554" t="s">
        <v>2534</v>
      </c>
      <c r="F26" s="554" t="s">
        <v>2535</v>
      </c>
    </row>
    <row r="28" spans="1:6" ht="18" customHeight="1" x14ac:dyDescent="0.2">
      <c r="A28" s="1524" t="s">
        <v>2536</v>
      </c>
      <c r="B28" s="1524"/>
      <c r="C28" s="1524"/>
      <c r="D28" s="1524"/>
      <c r="E28" s="1524"/>
      <c r="F28" s="1524"/>
    </row>
    <row r="29" spans="1:6" ht="15.75" customHeight="1" x14ac:dyDescent="0.2">
      <c r="A29" s="545" t="s">
        <v>2537</v>
      </c>
      <c r="B29" s="545" t="s">
        <v>2450</v>
      </c>
      <c r="C29" s="545" t="s">
        <v>2315</v>
      </c>
      <c r="D29" s="545" t="s">
        <v>2538</v>
      </c>
      <c r="E29" s="545" t="s">
        <v>282</v>
      </c>
      <c r="F29" s="545"/>
    </row>
    <row r="30" spans="1:6" ht="19.5" customHeight="1" x14ac:dyDescent="0.2">
      <c r="A30" s="574" t="s">
        <v>2539</v>
      </c>
      <c r="B30" s="574" t="s">
        <v>2540</v>
      </c>
      <c r="C30" s="575" t="s">
        <v>2541</v>
      </c>
      <c r="D30" s="575" t="s">
        <v>2542</v>
      </c>
      <c r="E30" s="575" t="s">
        <v>2543</v>
      </c>
      <c r="F30" s="575"/>
    </row>
    <row r="31" spans="1:6" ht="19.5" customHeight="1" x14ac:dyDescent="0.2">
      <c r="A31" s="576" t="s">
        <v>2539</v>
      </c>
      <c r="B31" s="576" t="s">
        <v>2544</v>
      </c>
      <c r="C31" s="577" t="s">
        <v>2545</v>
      </c>
      <c r="D31" s="577" t="s">
        <v>2546</v>
      </c>
      <c r="E31" s="577" t="s">
        <v>2547</v>
      </c>
      <c r="F31" s="577"/>
    </row>
    <row r="32" spans="1:6" ht="19.5" customHeight="1" x14ac:dyDescent="0.2">
      <c r="A32" s="574" t="s">
        <v>2539</v>
      </c>
      <c r="B32" s="574" t="s">
        <v>2548</v>
      </c>
      <c r="C32" s="575" t="s">
        <v>2549</v>
      </c>
      <c r="D32" s="575" t="s">
        <v>2550</v>
      </c>
      <c r="E32" s="575" t="s">
        <v>2551</v>
      </c>
      <c r="F32" s="575"/>
    </row>
    <row r="33" spans="1:6" ht="19.5" customHeight="1" x14ac:dyDescent="0.2">
      <c r="A33" s="576" t="s">
        <v>2539</v>
      </c>
      <c r="B33" s="576" t="s">
        <v>2552</v>
      </c>
      <c r="C33" s="577" t="s">
        <v>2553</v>
      </c>
      <c r="D33" s="577" t="s">
        <v>2550</v>
      </c>
      <c r="E33" s="577" t="s">
        <v>2554</v>
      </c>
      <c r="F33" s="577"/>
    </row>
    <row r="34" spans="1:6" ht="19.5" customHeight="1" x14ac:dyDescent="0.2">
      <c r="A34" s="574" t="s">
        <v>2555</v>
      </c>
      <c r="B34" s="574" t="s">
        <v>2556</v>
      </c>
      <c r="C34" s="575" t="s">
        <v>2557</v>
      </c>
      <c r="D34" s="575" t="s">
        <v>2558</v>
      </c>
      <c r="E34" s="575" t="s">
        <v>2559</v>
      </c>
      <c r="F34" s="575"/>
    </row>
    <row r="35" spans="1:6" ht="19.5" customHeight="1" x14ac:dyDescent="0.2">
      <c r="A35" s="576" t="s">
        <v>2555</v>
      </c>
      <c r="B35" s="576" t="s">
        <v>2560</v>
      </c>
      <c r="C35" s="577" t="s">
        <v>2561</v>
      </c>
      <c r="D35" s="577" t="s">
        <v>2558</v>
      </c>
      <c r="E35" s="577" t="s">
        <v>2562</v>
      </c>
      <c r="F35" s="577"/>
    </row>
    <row r="36" spans="1:6" ht="19.5" customHeight="1" x14ac:dyDescent="0.2">
      <c r="A36" s="574" t="s">
        <v>2555</v>
      </c>
      <c r="B36" s="574" t="s">
        <v>2563</v>
      </c>
      <c r="C36" s="575" t="s">
        <v>2564</v>
      </c>
      <c r="D36" s="575" t="s">
        <v>2550</v>
      </c>
      <c r="E36" s="575" t="s">
        <v>2565</v>
      </c>
      <c r="F36" s="575"/>
    </row>
  </sheetData>
  <mergeCells count="5">
    <mergeCell ref="A1:F1"/>
    <mergeCell ref="A2:F2"/>
    <mergeCell ref="A4:F4"/>
    <mergeCell ref="A13:F13"/>
    <mergeCell ref="A28:F28"/>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565C0"/>
  </sheetPr>
  <dimension ref="A1:I30"/>
  <sheetViews>
    <sheetView zoomScaleNormal="100" workbookViewId="0"/>
  </sheetViews>
  <sheetFormatPr defaultColWidth="8.609375" defaultRowHeight="15" x14ac:dyDescent="0.2"/>
  <cols>
    <col min="1" max="1" width="6.05078125" customWidth="1"/>
    <col min="2" max="2" width="11.97265625" customWidth="1"/>
    <col min="3" max="3" width="13.98828125" customWidth="1"/>
    <col min="4" max="6" width="9.953125" customWidth="1"/>
    <col min="7" max="7" width="50.04296875" customWidth="1"/>
  </cols>
  <sheetData>
    <row r="1" spans="1:9" ht="21.75" customHeight="1" x14ac:dyDescent="0.2">
      <c r="A1" s="1522" t="s">
        <v>2566</v>
      </c>
      <c r="B1" s="1522"/>
      <c r="C1" s="1522"/>
      <c r="D1" s="1522"/>
      <c r="E1" s="1522"/>
      <c r="F1" s="1522"/>
      <c r="G1" s="1522"/>
      <c r="I1" s="544" t="s">
        <v>2214</v>
      </c>
    </row>
    <row r="2" spans="1:9" ht="24" customHeight="1" x14ac:dyDescent="0.2">
      <c r="A2" s="1523" t="s">
        <v>2567</v>
      </c>
      <c r="B2" s="1523"/>
      <c r="C2" s="1523"/>
      <c r="D2" s="1523"/>
      <c r="E2" s="1523"/>
      <c r="F2" s="1523"/>
      <c r="G2" s="1523"/>
    </row>
    <row r="4" spans="1:9" ht="18" customHeight="1" x14ac:dyDescent="0.2">
      <c r="A4" s="1524" t="s">
        <v>2568</v>
      </c>
      <c r="B4" s="1524"/>
      <c r="C4" s="1524"/>
      <c r="D4" s="1524"/>
      <c r="E4" s="1524"/>
      <c r="F4" s="1524"/>
      <c r="G4" s="1524"/>
    </row>
    <row r="5" spans="1:9" ht="15.75" customHeight="1" x14ac:dyDescent="0.2">
      <c r="A5" s="545" t="s">
        <v>2475</v>
      </c>
      <c r="B5" s="545" t="s">
        <v>2067</v>
      </c>
      <c r="C5" s="545" t="s">
        <v>2569</v>
      </c>
      <c r="D5" s="545" t="s">
        <v>2570</v>
      </c>
      <c r="E5" s="545" t="s">
        <v>2571</v>
      </c>
      <c r="F5" s="545" t="s">
        <v>2572</v>
      </c>
      <c r="G5" s="545" t="s">
        <v>2334</v>
      </c>
    </row>
    <row r="6" spans="1:9" ht="24" customHeight="1" x14ac:dyDescent="0.2">
      <c r="A6" s="590">
        <v>1</v>
      </c>
      <c r="B6" s="578" t="s">
        <v>2573</v>
      </c>
      <c r="C6" s="575" t="s">
        <v>2074</v>
      </c>
      <c r="D6" s="572">
        <v>3.5</v>
      </c>
      <c r="E6" s="575">
        <v>1</v>
      </c>
      <c r="F6" s="591" t="s">
        <v>2574</v>
      </c>
      <c r="G6" s="550" t="s">
        <v>2575</v>
      </c>
    </row>
    <row r="7" spans="1:9" ht="24" customHeight="1" x14ac:dyDescent="0.2">
      <c r="A7" s="592">
        <v>2</v>
      </c>
      <c r="B7" s="580" t="s">
        <v>2576</v>
      </c>
      <c r="C7" s="577" t="s">
        <v>2115</v>
      </c>
      <c r="D7" s="593">
        <v>1</v>
      </c>
      <c r="E7" s="577">
        <v>0</v>
      </c>
      <c r="F7" s="594" t="s">
        <v>2577</v>
      </c>
      <c r="G7" s="554" t="s">
        <v>2578</v>
      </c>
    </row>
    <row r="8" spans="1:9" ht="24" customHeight="1" x14ac:dyDescent="0.2">
      <c r="A8" s="590">
        <v>3</v>
      </c>
      <c r="B8" s="578" t="s">
        <v>2579</v>
      </c>
      <c r="C8" s="575" t="s">
        <v>2103</v>
      </c>
      <c r="D8" s="572">
        <v>1</v>
      </c>
      <c r="E8" s="575">
        <v>1</v>
      </c>
      <c r="F8" s="579" t="s">
        <v>2580</v>
      </c>
      <c r="G8" s="550" t="s">
        <v>2581</v>
      </c>
    </row>
    <row r="9" spans="1:9" ht="24" customHeight="1" x14ac:dyDescent="0.2">
      <c r="A9" s="592">
        <v>4</v>
      </c>
      <c r="B9" s="580" t="s">
        <v>2582</v>
      </c>
      <c r="C9" s="577" t="s">
        <v>2119</v>
      </c>
      <c r="D9" s="593">
        <v>0.5</v>
      </c>
      <c r="E9" s="577">
        <v>0</v>
      </c>
      <c r="F9" s="594" t="s">
        <v>2577</v>
      </c>
      <c r="G9" s="554" t="s">
        <v>2583</v>
      </c>
    </row>
    <row r="10" spans="1:9" ht="24" customHeight="1" x14ac:dyDescent="0.2">
      <c r="A10" s="590">
        <v>5</v>
      </c>
      <c r="B10" s="578" t="s">
        <v>2584</v>
      </c>
      <c r="C10" s="575" t="s">
        <v>2097</v>
      </c>
      <c r="D10" s="572">
        <v>0.5</v>
      </c>
      <c r="E10" s="575">
        <v>1</v>
      </c>
      <c r="F10" s="579" t="s">
        <v>2585</v>
      </c>
      <c r="G10" s="550" t="s">
        <v>2586</v>
      </c>
    </row>
    <row r="11" spans="1:9" ht="24" customHeight="1" x14ac:dyDescent="0.2">
      <c r="A11" s="592">
        <v>6</v>
      </c>
      <c r="B11" s="580" t="s">
        <v>2587</v>
      </c>
      <c r="C11" s="577" t="s">
        <v>2080</v>
      </c>
      <c r="D11" s="593">
        <v>3</v>
      </c>
      <c r="E11" s="577">
        <v>2</v>
      </c>
      <c r="F11" s="595" t="s">
        <v>2588</v>
      </c>
      <c r="G11" s="554" t="s">
        <v>2589</v>
      </c>
    </row>
    <row r="12" spans="1:9" ht="24" customHeight="1" x14ac:dyDescent="0.2">
      <c r="A12" s="590">
        <v>7</v>
      </c>
      <c r="B12" s="578" t="s">
        <v>2590</v>
      </c>
      <c r="C12" s="575" t="s">
        <v>2086</v>
      </c>
      <c r="D12" s="572">
        <v>1.5</v>
      </c>
      <c r="E12" s="575">
        <v>0</v>
      </c>
      <c r="F12" s="579" t="s">
        <v>2591</v>
      </c>
      <c r="G12" s="550" t="s">
        <v>2592</v>
      </c>
    </row>
    <row r="13" spans="1:9" ht="24" customHeight="1" x14ac:dyDescent="0.2">
      <c r="A13" s="592">
        <v>8</v>
      </c>
      <c r="B13" s="580" t="s">
        <v>2593</v>
      </c>
      <c r="C13" s="577" t="s">
        <v>2091</v>
      </c>
      <c r="D13" s="593">
        <v>0.5</v>
      </c>
      <c r="E13" s="577">
        <v>1</v>
      </c>
      <c r="F13" s="583" t="s">
        <v>2594</v>
      </c>
      <c r="G13" s="554" t="s">
        <v>2595</v>
      </c>
    </row>
    <row r="14" spans="1:9" ht="24" customHeight="1" x14ac:dyDescent="0.2">
      <c r="A14" s="590">
        <v>9</v>
      </c>
      <c r="B14" s="578" t="s">
        <v>2596</v>
      </c>
      <c r="C14" s="575" t="s">
        <v>2597</v>
      </c>
      <c r="D14" s="572">
        <v>2</v>
      </c>
      <c r="E14" s="575">
        <v>0</v>
      </c>
      <c r="F14" s="596" t="s">
        <v>2577</v>
      </c>
      <c r="G14" s="550" t="s">
        <v>2598</v>
      </c>
    </row>
    <row r="15" spans="1:9" ht="24" customHeight="1" x14ac:dyDescent="0.2">
      <c r="A15" s="592">
        <v>10</v>
      </c>
      <c r="B15" s="580" t="s">
        <v>2599</v>
      </c>
      <c r="C15" s="577" t="s">
        <v>2600</v>
      </c>
      <c r="D15" s="593">
        <v>0.5</v>
      </c>
      <c r="E15" s="577">
        <v>0</v>
      </c>
      <c r="F15" s="594" t="s">
        <v>2577</v>
      </c>
      <c r="G15" s="554" t="s">
        <v>2601</v>
      </c>
    </row>
    <row r="16" spans="1:9" ht="24" customHeight="1" x14ac:dyDescent="0.2">
      <c r="A16" s="590">
        <v>11</v>
      </c>
      <c r="B16" s="578" t="s">
        <v>2602</v>
      </c>
      <c r="C16" s="575" t="s">
        <v>2603</v>
      </c>
      <c r="D16" s="572">
        <v>0.5</v>
      </c>
      <c r="E16" s="575">
        <v>0</v>
      </c>
      <c r="F16" s="596" t="s">
        <v>2577</v>
      </c>
      <c r="G16" s="550" t="s">
        <v>2604</v>
      </c>
    </row>
    <row r="17" spans="1:7" ht="24" customHeight="1" x14ac:dyDescent="0.2">
      <c r="A17" s="592">
        <v>12</v>
      </c>
      <c r="B17" s="580" t="s">
        <v>2605</v>
      </c>
      <c r="C17" s="577" t="s">
        <v>2606</v>
      </c>
      <c r="D17" s="593">
        <v>0.5</v>
      </c>
      <c r="E17" s="577">
        <v>0</v>
      </c>
      <c r="F17" s="594" t="s">
        <v>2577</v>
      </c>
      <c r="G17" s="554" t="s">
        <v>2607</v>
      </c>
    </row>
    <row r="18" spans="1:7" ht="24" customHeight="1" x14ac:dyDescent="0.2">
      <c r="A18" s="590">
        <v>13</v>
      </c>
      <c r="B18" s="578" t="s">
        <v>2608</v>
      </c>
      <c r="C18" s="575" t="s">
        <v>2609</v>
      </c>
      <c r="D18" s="572">
        <v>1</v>
      </c>
      <c r="E18" s="575">
        <v>1</v>
      </c>
      <c r="F18" s="596" t="s">
        <v>2577</v>
      </c>
      <c r="G18" s="550" t="s">
        <v>2610</v>
      </c>
    </row>
    <row r="19" spans="1:7" ht="24" customHeight="1" x14ac:dyDescent="0.2">
      <c r="A19" s="592">
        <v>14</v>
      </c>
      <c r="B19" s="580" t="s">
        <v>2611</v>
      </c>
      <c r="C19" s="577" t="s">
        <v>2612</v>
      </c>
      <c r="D19" s="593">
        <v>0.5</v>
      </c>
      <c r="E19" s="577">
        <v>0</v>
      </c>
      <c r="F19" s="594" t="s">
        <v>2577</v>
      </c>
      <c r="G19" s="554" t="s">
        <v>2613</v>
      </c>
    </row>
    <row r="20" spans="1:7" ht="24" customHeight="1" x14ac:dyDescent="0.2">
      <c r="A20" s="590">
        <v>15</v>
      </c>
      <c r="B20" s="578" t="s">
        <v>2614</v>
      </c>
      <c r="C20" s="575" t="s">
        <v>2615</v>
      </c>
      <c r="D20" s="572">
        <v>0.5</v>
      </c>
      <c r="E20" s="575">
        <v>0</v>
      </c>
      <c r="F20" s="596" t="s">
        <v>2577</v>
      </c>
      <c r="G20" s="550" t="s">
        <v>2616</v>
      </c>
    </row>
    <row r="21" spans="1:7" ht="24" customHeight="1" x14ac:dyDescent="0.2">
      <c r="A21" s="592">
        <v>16</v>
      </c>
      <c r="B21" s="580" t="s">
        <v>2617</v>
      </c>
      <c r="C21" s="577" t="s">
        <v>2108</v>
      </c>
      <c r="D21" s="593">
        <v>4</v>
      </c>
      <c r="E21" s="577">
        <v>2</v>
      </c>
      <c r="F21" s="594" t="s">
        <v>2618</v>
      </c>
      <c r="G21" s="554" t="s">
        <v>2619</v>
      </c>
    </row>
    <row r="22" spans="1:7" ht="15.75" customHeight="1" x14ac:dyDescent="0.2">
      <c r="A22" s="597" t="s">
        <v>36</v>
      </c>
      <c r="B22" s="598" t="s">
        <v>2620</v>
      </c>
      <c r="C22" s="599"/>
      <c r="D22" s="598">
        <v>20</v>
      </c>
      <c r="E22" s="597">
        <v>7</v>
      </c>
      <c r="F22" s="600" t="s">
        <v>2621</v>
      </c>
      <c r="G22" s="599"/>
    </row>
    <row r="24" spans="1:7" ht="18" customHeight="1" x14ac:dyDescent="0.2">
      <c r="A24" s="1524" t="s">
        <v>2622</v>
      </c>
      <c r="B24" s="1524"/>
      <c r="C24" s="1524"/>
      <c r="D24" s="1524"/>
      <c r="E24" s="1524"/>
      <c r="F24" s="1524"/>
      <c r="G24" s="1524"/>
    </row>
    <row r="25" spans="1:7" ht="15.75" customHeight="1" x14ac:dyDescent="0.2">
      <c r="A25" s="545" t="s">
        <v>2623</v>
      </c>
      <c r="B25" s="545" t="s">
        <v>344</v>
      </c>
      <c r="C25" s="545" t="s">
        <v>2570</v>
      </c>
      <c r="D25" s="545" t="s">
        <v>2571</v>
      </c>
      <c r="E25" s="545" t="s">
        <v>282</v>
      </c>
      <c r="F25" s="545"/>
      <c r="G25" s="545"/>
    </row>
    <row r="26" spans="1:7" ht="19.5" customHeight="1" x14ac:dyDescent="0.2">
      <c r="A26" s="574" t="s">
        <v>2624</v>
      </c>
      <c r="B26" s="574" t="s">
        <v>2625</v>
      </c>
      <c r="C26" s="575" t="s">
        <v>2626</v>
      </c>
      <c r="D26" s="575" t="s">
        <v>2626</v>
      </c>
      <c r="E26" s="575" t="s">
        <v>2627</v>
      </c>
      <c r="F26" s="575"/>
      <c r="G26" s="575"/>
    </row>
    <row r="27" spans="1:7" ht="19.5" customHeight="1" x14ac:dyDescent="0.2">
      <c r="A27" s="576" t="s">
        <v>678</v>
      </c>
      <c r="B27" s="576" t="s">
        <v>1078</v>
      </c>
      <c r="C27" s="577" t="s">
        <v>2628</v>
      </c>
      <c r="D27" s="577" t="s">
        <v>2628</v>
      </c>
      <c r="E27" s="577" t="s">
        <v>2629</v>
      </c>
      <c r="F27" s="577"/>
      <c r="G27" s="577"/>
    </row>
    <row r="28" spans="1:7" ht="19.5" customHeight="1" x14ac:dyDescent="0.2">
      <c r="A28" s="574" t="s">
        <v>1087</v>
      </c>
      <c r="B28" s="574" t="s">
        <v>1088</v>
      </c>
      <c r="C28" s="575" t="s">
        <v>2630</v>
      </c>
      <c r="D28" s="575" t="s">
        <v>2630</v>
      </c>
      <c r="E28" s="575" t="s">
        <v>2631</v>
      </c>
      <c r="F28" s="575"/>
      <c r="G28" s="575"/>
    </row>
    <row r="29" spans="1:7" ht="19.5" customHeight="1" x14ac:dyDescent="0.2">
      <c r="A29" s="576" t="s">
        <v>1091</v>
      </c>
      <c r="B29" s="576" t="s">
        <v>1092</v>
      </c>
      <c r="C29" s="577" t="s">
        <v>2632</v>
      </c>
      <c r="D29" s="577" t="s">
        <v>2632</v>
      </c>
      <c r="E29" s="577" t="s">
        <v>2633</v>
      </c>
      <c r="F29" s="577"/>
      <c r="G29" s="577"/>
    </row>
    <row r="30" spans="1:7" ht="19.5" customHeight="1" x14ac:dyDescent="0.2">
      <c r="A30" s="574" t="s">
        <v>2634</v>
      </c>
      <c r="B30" s="574" t="s">
        <v>2635</v>
      </c>
      <c r="C30" s="575" t="s">
        <v>2636</v>
      </c>
      <c r="D30" s="575" t="s">
        <v>2636</v>
      </c>
      <c r="E30" s="575" t="s">
        <v>2637</v>
      </c>
      <c r="F30" s="575"/>
      <c r="G30" s="575"/>
    </row>
  </sheetData>
  <mergeCells count="4">
    <mergeCell ref="A1:G1"/>
    <mergeCell ref="A2:G2"/>
    <mergeCell ref="A4:G4"/>
    <mergeCell ref="A24:G24"/>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565C0"/>
  </sheetPr>
  <dimension ref="A1:J30"/>
  <sheetViews>
    <sheetView zoomScaleNormal="100" workbookViewId="0"/>
  </sheetViews>
  <sheetFormatPr defaultColWidth="8.609375" defaultRowHeight="15" x14ac:dyDescent="0.2"/>
  <cols>
    <col min="1" max="1" width="6.05078125" customWidth="1"/>
    <col min="2" max="4" width="16.0078125" customWidth="1"/>
    <col min="5" max="5" width="13.98828125" customWidth="1"/>
    <col min="6" max="6" width="11.97265625" customWidth="1"/>
    <col min="7" max="7" width="13.98828125" customWidth="1"/>
    <col min="8" max="8" width="39.953125" customWidth="1"/>
  </cols>
  <sheetData>
    <row r="1" spans="1:10" ht="21.75" customHeight="1" x14ac:dyDescent="0.2">
      <c r="A1" s="1522" t="s">
        <v>2638</v>
      </c>
      <c r="B1" s="1522"/>
      <c r="C1" s="1522"/>
      <c r="D1" s="1522"/>
      <c r="E1" s="1522"/>
      <c r="F1" s="1522"/>
      <c r="G1" s="1522"/>
      <c r="H1" s="1522"/>
      <c r="J1" s="601" t="s">
        <v>2214</v>
      </c>
    </row>
    <row r="2" spans="1:10" ht="24" customHeight="1" x14ac:dyDescent="0.2">
      <c r="A2" s="1523" t="s">
        <v>2639</v>
      </c>
      <c r="B2" s="1523"/>
      <c r="C2" s="1523"/>
      <c r="D2" s="1523"/>
      <c r="E2" s="1523"/>
      <c r="F2" s="1523"/>
      <c r="G2" s="1523"/>
      <c r="H2" s="1523"/>
    </row>
    <row r="4" spans="1:10" ht="18" customHeight="1" x14ac:dyDescent="0.2">
      <c r="A4" s="1524" t="s">
        <v>2640</v>
      </c>
      <c r="B4" s="1524"/>
      <c r="C4" s="1524"/>
      <c r="D4" s="1524"/>
      <c r="E4" s="1524"/>
      <c r="F4" s="1524"/>
      <c r="G4" s="1524"/>
      <c r="H4" s="1524"/>
    </row>
    <row r="5" spans="1:10" ht="15.75" customHeight="1" x14ac:dyDescent="0.2">
      <c r="A5" s="545" t="s">
        <v>2641</v>
      </c>
      <c r="B5" s="545" t="s">
        <v>1121</v>
      </c>
      <c r="C5" s="545" t="s">
        <v>417</v>
      </c>
      <c r="D5" s="545" t="s">
        <v>2642</v>
      </c>
      <c r="E5" s="545" t="s">
        <v>2643</v>
      </c>
      <c r="F5" s="545" t="s">
        <v>2644</v>
      </c>
      <c r="G5" s="545" t="s">
        <v>2645</v>
      </c>
      <c r="H5" s="545" t="s">
        <v>282</v>
      </c>
    </row>
    <row r="6" spans="1:10" ht="18" customHeight="1" x14ac:dyDescent="0.2">
      <c r="A6" s="563">
        <v>1</v>
      </c>
      <c r="B6" s="578" t="s">
        <v>345</v>
      </c>
      <c r="C6" s="548" t="s">
        <v>2646</v>
      </c>
      <c r="D6" s="602">
        <v>6</v>
      </c>
      <c r="E6" s="550" t="s">
        <v>2647</v>
      </c>
      <c r="F6" s="603" t="s">
        <v>2648</v>
      </c>
      <c r="G6" s="566">
        <v>6</v>
      </c>
      <c r="H6" s="550" t="s">
        <v>2649</v>
      </c>
    </row>
    <row r="7" spans="1:10" ht="18" customHeight="1" x14ac:dyDescent="0.2">
      <c r="A7" s="567">
        <v>2</v>
      </c>
      <c r="B7" s="580" t="s">
        <v>346</v>
      </c>
      <c r="C7" s="552" t="s">
        <v>2650</v>
      </c>
      <c r="D7" s="571">
        <v>4</v>
      </c>
      <c r="E7" s="554" t="s">
        <v>2651</v>
      </c>
      <c r="F7" s="604" t="s">
        <v>588</v>
      </c>
      <c r="G7" s="570">
        <v>4</v>
      </c>
      <c r="H7" s="554" t="s">
        <v>2652</v>
      </c>
    </row>
    <row r="8" spans="1:10" ht="18" customHeight="1" x14ac:dyDescent="0.2">
      <c r="A8" s="563">
        <v>3</v>
      </c>
      <c r="B8" s="578" t="s">
        <v>329</v>
      </c>
      <c r="C8" s="548" t="s">
        <v>2653</v>
      </c>
      <c r="D8" s="602">
        <v>2</v>
      </c>
      <c r="E8" s="550" t="s">
        <v>2654</v>
      </c>
      <c r="F8" s="603" t="s">
        <v>927</v>
      </c>
      <c r="G8" s="566">
        <v>2</v>
      </c>
      <c r="H8" s="550" t="s">
        <v>2655</v>
      </c>
    </row>
    <row r="9" spans="1:10" ht="18" customHeight="1" x14ac:dyDescent="0.2">
      <c r="A9" s="567">
        <v>4</v>
      </c>
      <c r="B9" s="580" t="s">
        <v>347</v>
      </c>
      <c r="C9" s="552" t="s">
        <v>2646</v>
      </c>
      <c r="D9" s="571">
        <v>10</v>
      </c>
      <c r="E9" s="554" t="s">
        <v>2656</v>
      </c>
      <c r="F9" s="604" t="s">
        <v>588</v>
      </c>
      <c r="G9" s="570">
        <v>10</v>
      </c>
      <c r="H9" s="554" t="s">
        <v>2657</v>
      </c>
    </row>
    <row r="10" spans="1:10" ht="18" customHeight="1" x14ac:dyDescent="0.2">
      <c r="A10" s="563">
        <v>5</v>
      </c>
      <c r="B10" s="578" t="s">
        <v>334</v>
      </c>
      <c r="C10" s="548" t="s">
        <v>2650</v>
      </c>
      <c r="D10" s="602">
        <v>9</v>
      </c>
      <c r="E10" s="550" t="s">
        <v>2658</v>
      </c>
      <c r="F10" s="603" t="s">
        <v>927</v>
      </c>
      <c r="G10" s="566">
        <v>9</v>
      </c>
      <c r="H10" s="550" t="s">
        <v>2659</v>
      </c>
    </row>
    <row r="11" spans="1:10" ht="18" customHeight="1" x14ac:dyDescent="0.2">
      <c r="A11" s="567">
        <v>6</v>
      </c>
      <c r="B11" s="580" t="s">
        <v>348</v>
      </c>
      <c r="C11" s="552" t="s">
        <v>2653</v>
      </c>
      <c r="D11" s="571">
        <v>8</v>
      </c>
      <c r="E11" s="554" t="s">
        <v>2660</v>
      </c>
      <c r="F11" s="604" t="s">
        <v>588</v>
      </c>
      <c r="G11" s="570">
        <v>8</v>
      </c>
      <c r="H11" s="554" t="s">
        <v>2661</v>
      </c>
    </row>
    <row r="12" spans="1:10" ht="18" customHeight="1" x14ac:dyDescent="0.2">
      <c r="A12" s="563">
        <v>7</v>
      </c>
      <c r="B12" s="578" t="s">
        <v>349</v>
      </c>
      <c r="C12" s="548" t="s">
        <v>2646</v>
      </c>
      <c r="D12" s="602">
        <v>1</v>
      </c>
      <c r="E12" s="550" t="s">
        <v>2662</v>
      </c>
      <c r="F12" s="603" t="s">
        <v>927</v>
      </c>
      <c r="G12" s="566">
        <v>1</v>
      </c>
      <c r="H12" s="550" t="s">
        <v>2663</v>
      </c>
    </row>
    <row r="13" spans="1:10" ht="18" customHeight="1" x14ac:dyDescent="0.2">
      <c r="A13" s="567">
        <v>8</v>
      </c>
      <c r="B13" s="580" t="s">
        <v>350</v>
      </c>
      <c r="C13" s="552" t="s">
        <v>2650</v>
      </c>
      <c r="D13" s="571">
        <v>11</v>
      </c>
      <c r="E13" s="554" t="s">
        <v>2664</v>
      </c>
      <c r="F13" s="604" t="s">
        <v>588</v>
      </c>
      <c r="G13" s="570">
        <v>11</v>
      </c>
      <c r="H13" s="554" t="s">
        <v>2665</v>
      </c>
    </row>
    <row r="14" spans="1:10" ht="18" customHeight="1" x14ac:dyDescent="0.2">
      <c r="A14" s="563">
        <v>9</v>
      </c>
      <c r="B14" s="578" t="s">
        <v>351</v>
      </c>
      <c r="C14" s="548" t="s">
        <v>2653</v>
      </c>
      <c r="D14" s="602">
        <v>5</v>
      </c>
      <c r="E14" s="550" t="s">
        <v>2666</v>
      </c>
      <c r="F14" s="603" t="s">
        <v>927</v>
      </c>
      <c r="G14" s="566">
        <v>5</v>
      </c>
      <c r="H14" s="550" t="s">
        <v>2667</v>
      </c>
    </row>
    <row r="15" spans="1:10" ht="18" customHeight="1" x14ac:dyDescent="0.2">
      <c r="A15" s="567">
        <v>10</v>
      </c>
      <c r="B15" s="580" t="s">
        <v>352</v>
      </c>
      <c r="C15" s="552" t="s">
        <v>2646</v>
      </c>
      <c r="D15" s="571">
        <v>7</v>
      </c>
      <c r="E15" s="554" t="s">
        <v>2668</v>
      </c>
      <c r="F15" s="604" t="s">
        <v>588</v>
      </c>
      <c r="G15" s="570">
        <v>7</v>
      </c>
      <c r="H15" s="554" t="s">
        <v>2669</v>
      </c>
    </row>
    <row r="16" spans="1:10" ht="18" customHeight="1" x14ac:dyDescent="0.2">
      <c r="A16" s="563">
        <v>11</v>
      </c>
      <c r="B16" s="578" t="s">
        <v>325</v>
      </c>
      <c r="C16" s="548" t="s">
        <v>2650</v>
      </c>
      <c r="D16" s="602">
        <v>12</v>
      </c>
      <c r="E16" s="550" t="s">
        <v>2670</v>
      </c>
      <c r="F16" s="603" t="s">
        <v>927</v>
      </c>
      <c r="G16" s="566">
        <v>12</v>
      </c>
      <c r="H16" s="550" t="s">
        <v>2671</v>
      </c>
    </row>
    <row r="17" spans="1:8" ht="18" customHeight="1" x14ac:dyDescent="0.2">
      <c r="A17" s="567">
        <v>12</v>
      </c>
      <c r="B17" s="580" t="s">
        <v>323</v>
      </c>
      <c r="C17" s="552" t="s">
        <v>2653</v>
      </c>
      <c r="D17" s="571">
        <v>3</v>
      </c>
      <c r="E17" s="554" t="s">
        <v>2672</v>
      </c>
      <c r="F17" s="604" t="s">
        <v>588</v>
      </c>
      <c r="G17" s="570">
        <v>3</v>
      </c>
      <c r="H17" s="554" t="s">
        <v>2673</v>
      </c>
    </row>
    <row r="20" spans="1:8" ht="18" customHeight="1" x14ac:dyDescent="0.2">
      <c r="A20" s="1524" t="s">
        <v>2674</v>
      </c>
      <c r="B20" s="1524"/>
      <c r="C20" s="1524"/>
      <c r="D20" s="1524"/>
      <c r="E20" s="1524"/>
      <c r="F20" s="1524"/>
      <c r="G20" s="1524"/>
      <c r="H20" s="1524"/>
    </row>
    <row r="21" spans="1:8" ht="15.75" customHeight="1" x14ac:dyDescent="0.2">
      <c r="A21" s="545" t="s">
        <v>2393</v>
      </c>
      <c r="B21" s="545" t="s">
        <v>2314</v>
      </c>
      <c r="C21" s="545" t="s">
        <v>481</v>
      </c>
      <c r="D21" s="545" t="s">
        <v>2675</v>
      </c>
      <c r="E21" s="545" t="s">
        <v>2267</v>
      </c>
      <c r="F21" s="545" t="s">
        <v>2280</v>
      </c>
      <c r="G21" s="545"/>
      <c r="H21" s="545"/>
    </row>
    <row r="22" spans="1:8" ht="21.75" customHeight="1" x14ac:dyDescent="0.2">
      <c r="A22" s="574" t="s">
        <v>2676</v>
      </c>
      <c r="B22" s="574" t="s">
        <v>2677</v>
      </c>
      <c r="C22" s="574" t="s">
        <v>2678</v>
      </c>
      <c r="D22" s="575" t="s">
        <v>2679</v>
      </c>
      <c r="E22" s="575" t="s">
        <v>2680</v>
      </c>
      <c r="F22" s="575" t="s">
        <v>2681</v>
      </c>
      <c r="G22" s="575"/>
      <c r="H22" s="575"/>
    </row>
    <row r="23" spans="1:8" ht="21.75" customHeight="1" x14ac:dyDescent="0.2">
      <c r="A23" s="576" t="s">
        <v>2682</v>
      </c>
      <c r="B23" s="576" t="s">
        <v>2683</v>
      </c>
      <c r="C23" s="576" t="s">
        <v>2684</v>
      </c>
      <c r="D23" s="577" t="s">
        <v>2679</v>
      </c>
      <c r="E23" s="577" t="s">
        <v>2685</v>
      </c>
      <c r="F23" s="577" t="s">
        <v>2681</v>
      </c>
      <c r="G23" s="577"/>
      <c r="H23" s="577"/>
    </row>
    <row r="24" spans="1:8" ht="21.75" customHeight="1" x14ac:dyDescent="0.2">
      <c r="A24" s="574" t="s">
        <v>2686</v>
      </c>
      <c r="B24" s="574" t="s">
        <v>2687</v>
      </c>
      <c r="C24" s="574" t="s">
        <v>2688</v>
      </c>
      <c r="D24" s="575" t="s">
        <v>2689</v>
      </c>
      <c r="E24" s="575" t="s">
        <v>2690</v>
      </c>
      <c r="F24" s="575" t="s">
        <v>2691</v>
      </c>
      <c r="G24" s="575"/>
      <c r="H24" s="575"/>
    </row>
    <row r="25" spans="1:8" ht="21.75" customHeight="1" x14ac:dyDescent="0.2">
      <c r="A25" s="576" t="s">
        <v>2692</v>
      </c>
      <c r="B25" s="576" t="s">
        <v>2693</v>
      </c>
      <c r="C25" s="576" t="s">
        <v>2694</v>
      </c>
      <c r="D25" s="577" t="s">
        <v>2689</v>
      </c>
      <c r="E25" s="577" t="s">
        <v>2695</v>
      </c>
      <c r="F25" s="577" t="s">
        <v>2691</v>
      </c>
      <c r="G25" s="577"/>
      <c r="H25" s="577"/>
    </row>
    <row r="26" spans="1:8" ht="21.75" customHeight="1" x14ac:dyDescent="0.2">
      <c r="A26" s="574" t="s">
        <v>2696</v>
      </c>
      <c r="B26" s="574" t="s">
        <v>2697</v>
      </c>
      <c r="C26" s="574" t="s">
        <v>2698</v>
      </c>
      <c r="D26" s="575" t="s">
        <v>2699</v>
      </c>
      <c r="E26" s="575" t="s">
        <v>2700</v>
      </c>
      <c r="F26" s="575" t="s">
        <v>2701</v>
      </c>
      <c r="G26" s="575"/>
      <c r="H26" s="575"/>
    </row>
    <row r="29" spans="1:8" ht="18" customHeight="1" x14ac:dyDescent="0.2">
      <c r="A29" s="1524" t="s">
        <v>2702</v>
      </c>
      <c r="B29" s="1524"/>
      <c r="C29" s="1524"/>
      <c r="D29" s="1524"/>
      <c r="E29" s="1524"/>
      <c r="F29" s="1524"/>
      <c r="G29" s="1524"/>
      <c r="H29" s="1524"/>
    </row>
    <row r="30" spans="1:8" ht="109.5" customHeight="1" x14ac:dyDescent="0.2">
      <c r="A30" s="1526" t="s">
        <v>2703</v>
      </c>
      <c r="B30" s="1526"/>
      <c r="C30" s="1526"/>
      <c r="D30" s="1526"/>
      <c r="E30" s="1526"/>
      <c r="F30" s="1526"/>
      <c r="G30" s="1526"/>
      <c r="H30" s="1526"/>
    </row>
  </sheetData>
  <mergeCells count="6">
    <mergeCell ref="A30:H30"/>
    <mergeCell ref="A1:H1"/>
    <mergeCell ref="A2:H2"/>
    <mergeCell ref="A4:H4"/>
    <mergeCell ref="A20:H20"/>
    <mergeCell ref="A29:H29"/>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565C0"/>
  </sheetPr>
  <dimension ref="A1:H69"/>
  <sheetViews>
    <sheetView zoomScaleNormal="100" workbookViewId="0"/>
  </sheetViews>
  <sheetFormatPr defaultColWidth="8.609375" defaultRowHeight="15" x14ac:dyDescent="0.2"/>
  <cols>
    <col min="1" max="1" width="4.03515625" customWidth="1"/>
    <col min="2" max="2" width="6.05078125" customWidth="1"/>
    <col min="3" max="4" width="18.0234375" customWidth="1"/>
    <col min="5" max="6" width="29.99609375" customWidth="1"/>
  </cols>
  <sheetData>
    <row r="1" spans="1:8" ht="21.75" customHeight="1" x14ac:dyDescent="0.2">
      <c r="A1" s="1522" t="s">
        <v>2704</v>
      </c>
      <c r="B1" s="1522"/>
      <c r="C1" s="1522"/>
      <c r="D1" s="1522"/>
      <c r="E1" s="1522"/>
      <c r="F1" s="1522"/>
      <c r="H1" s="601" t="s">
        <v>2214</v>
      </c>
    </row>
    <row r="2" spans="1:8" ht="24" customHeight="1" x14ac:dyDescent="0.2">
      <c r="A2" s="1523" t="s">
        <v>2705</v>
      </c>
      <c r="B2" s="1523"/>
      <c r="C2" s="1523"/>
      <c r="D2" s="1523"/>
      <c r="E2" s="1523"/>
      <c r="F2" s="1523"/>
    </row>
    <row r="4" spans="1:8" ht="18" customHeight="1" x14ac:dyDescent="0.2">
      <c r="A4" s="1524" t="s">
        <v>2706</v>
      </c>
      <c r="B4" s="1524"/>
      <c r="C4" s="1524"/>
      <c r="D4" s="1524"/>
      <c r="E4" s="1524"/>
      <c r="F4" s="1524"/>
    </row>
    <row r="5" spans="1:8" ht="15.75" customHeight="1" x14ac:dyDescent="0.2">
      <c r="A5" s="545" t="s">
        <v>2707</v>
      </c>
      <c r="B5" s="545" t="s">
        <v>2708</v>
      </c>
      <c r="C5" s="545" t="s">
        <v>642</v>
      </c>
      <c r="D5" s="545" t="s">
        <v>2709</v>
      </c>
      <c r="E5" s="545" t="s">
        <v>2710</v>
      </c>
      <c r="F5" s="545" t="s">
        <v>2711</v>
      </c>
    </row>
    <row r="6" spans="1:8" ht="13.5" customHeight="1" x14ac:dyDescent="0.2">
      <c r="A6" s="590">
        <v>1</v>
      </c>
      <c r="B6" s="605" t="s">
        <v>2712</v>
      </c>
      <c r="C6" s="578" t="s">
        <v>2713</v>
      </c>
      <c r="D6" s="585" t="s">
        <v>701</v>
      </c>
      <c r="E6" s="606" t="s">
        <v>2714</v>
      </c>
      <c r="F6" s="550" t="s">
        <v>2715</v>
      </c>
    </row>
    <row r="7" spans="1:8" ht="13.5" customHeight="1" x14ac:dyDescent="0.2">
      <c r="A7" s="592">
        <v>2</v>
      </c>
      <c r="B7" s="607" t="s">
        <v>2716</v>
      </c>
      <c r="C7" s="580" t="s">
        <v>1253</v>
      </c>
      <c r="D7" s="587" t="s">
        <v>701</v>
      </c>
      <c r="E7" s="608" t="s">
        <v>2717</v>
      </c>
      <c r="F7" s="554" t="s">
        <v>2715</v>
      </c>
    </row>
    <row r="8" spans="1:8" ht="13.5" customHeight="1" x14ac:dyDescent="0.2">
      <c r="A8" s="590">
        <v>3</v>
      </c>
      <c r="B8" s="605" t="s">
        <v>2718</v>
      </c>
      <c r="C8" s="578" t="s">
        <v>1222</v>
      </c>
      <c r="D8" s="566" t="s">
        <v>704</v>
      </c>
      <c r="E8" s="606" t="s">
        <v>2719</v>
      </c>
      <c r="F8" s="550" t="s">
        <v>2720</v>
      </c>
    </row>
    <row r="9" spans="1:8" ht="13.5" customHeight="1" x14ac:dyDescent="0.2">
      <c r="A9" s="592">
        <v>4</v>
      </c>
      <c r="B9" s="607" t="s">
        <v>2721</v>
      </c>
      <c r="C9" s="580" t="s">
        <v>2722</v>
      </c>
      <c r="D9" s="570" t="s">
        <v>704</v>
      </c>
      <c r="E9" s="608" t="s">
        <v>2723</v>
      </c>
      <c r="F9" s="554" t="s">
        <v>2720</v>
      </c>
    </row>
    <row r="10" spans="1:8" ht="13.5" customHeight="1" x14ac:dyDescent="0.2">
      <c r="A10" s="590">
        <v>5</v>
      </c>
      <c r="B10" s="605" t="s">
        <v>2724</v>
      </c>
      <c r="C10" s="578" t="s">
        <v>2725</v>
      </c>
      <c r="D10" s="609" t="s">
        <v>706</v>
      </c>
      <c r="E10" s="606" t="s">
        <v>2726</v>
      </c>
      <c r="F10" s="550" t="s">
        <v>2727</v>
      </c>
    </row>
    <row r="11" spans="1:8" ht="13.5" customHeight="1" x14ac:dyDescent="0.2">
      <c r="A11" s="592">
        <v>6</v>
      </c>
      <c r="B11" s="607" t="s">
        <v>2728</v>
      </c>
      <c r="C11" s="580" t="s">
        <v>2729</v>
      </c>
      <c r="D11" s="570" t="s">
        <v>704</v>
      </c>
      <c r="E11" s="608" t="s">
        <v>2730</v>
      </c>
      <c r="F11" s="554" t="s">
        <v>2720</v>
      </c>
    </row>
    <row r="12" spans="1:8" ht="13.5" customHeight="1" x14ac:dyDescent="0.2">
      <c r="A12" s="590">
        <v>7</v>
      </c>
      <c r="B12" s="605" t="s">
        <v>2731</v>
      </c>
      <c r="C12" s="578" t="s">
        <v>2732</v>
      </c>
      <c r="D12" s="585" t="s">
        <v>701</v>
      </c>
      <c r="E12" s="606" t="s">
        <v>2733</v>
      </c>
      <c r="F12" s="550" t="s">
        <v>2715</v>
      </c>
    </row>
    <row r="13" spans="1:8" ht="13.5" customHeight="1" x14ac:dyDescent="0.2">
      <c r="A13" s="592">
        <v>8</v>
      </c>
      <c r="B13" s="607" t="s">
        <v>2734</v>
      </c>
      <c r="C13" s="580" t="s">
        <v>2735</v>
      </c>
      <c r="D13" s="587" t="s">
        <v>701</v>
      </c>
      <c r="E13" s="608" t="s">
        <v>2736</v>
      </c>
      <c r="F13" s="554" t="s">
        <v>2715</v>
      </c>
    </row>
    <row r="14" spans="1:8" ht="13.5" customHeight="1" x14ac:dyDescent="0.2">
      <c r="A14" s="590">
        <v>9</v>
      </c>
      <c r="B14" s="605" t="s">
        <v>2737</v>
      </c>
      <c r="C14" s="578" t="s">
        <v>2738</v>
      </c>
      <c r="D14" s="585" t="s">
        <v>701</v>
      </c>
      <c r="E14" s="606" t="s">
        <v>2739</v>
      </c>
      <c r="F14" s="550" t="s">
        <v>2715</v>
      </c>
    </row>
    <row r="15" spans="1:8" ht="13.5" customHeight="1" x14ac:dyDescent="0.2">
      <c r="A15" s="592">
        <v>10</v>
      </c>
      <c r="B15" s="607" t="s">
        <v>2740</v>
      </c>
      <c r="C15" s="580" t="s">
        <v>2741</v>
      </c>
      <c r="D15" s="571" t="s">
        <v>795</v>
      </c>
      <c r="E15" s="608" t="s">
        <v>2742</v>
      </c>
      <c r="F15" s="554" t="s">
        <v>2727</v>
      </c>
    </row>
    <row r="16" spans="1:8" ht="13.5" customHeight="1" x14ac:dyDescent="0.2">
      <c r="A16" s="590">
        <v>11</v>
      </c>
      <c r="B16" s="605" t="s">
        <v>2743</v>
      </c>
      <c r="C16" s="578" t="s">
        <v>2744</v>
      </c>
      <c r="D16" s="585" t="s">
        <v>701</v>
      </c>
      <c r="E16" s="606" t="s">
        <v>2745</v>
      </c>
      <c r="F16" s="550" t="s">
        <v>2715</v>
      </c>
    </row>
    <row r="17" spans="1:6" ht="13.5" customHeight="1" x14ac:dyDescent="0.2">
      <c r="A17" s="592">
        <v>12</v>
      </c>
      <c r="B17" s="607" t="s">
        <v>2746</v>
      </c>
      <c r="C17" s="580" t="s">
        <v>2747</v>
      </c>
      <c r="D17" s="587" t="s">
        <v>701</v>
      </c>
      <c r="E17" s="608" t="s">
        <v>2748</v>
      </c>
      <c r="F17" s="554" t="s">
        <v>2715</v>
      </c>
    </row>
    <row r="18" spans="1:6" ht="13.5" customHeight="1" x14ac:dyDescent="0.2">
      <c r="A18" s="590">
        <v>13</v>
      </c>
      <c r="B18" s="605" t="s">
        <v>2749</v>
      </c>
      <c r="C18" s="578" t="s">
        <v>2750</v>
      </c>
      <c r="D18" s="566" t="s">
        <v>704</v>
      </c>
      <c r="E18" s="606" t="s">
        <v>2751</v>
      </c>
      <c r="F18" s="550" t="s">
        <v>2720</v>
      </c>
    </row>
    <row r="19" spans="1:6" ht="13.5" customHeight="1" x14ac:dyDescent="0.2">
      <c r="A19" s="592">
        <v>14</v>
      </c>
      <c r="B19" s="607" t="s">
        <v>2752</v>
      </c>
      <c r="C19" s="580" t="s">
        <v>2753</v>
      </c>
      <c r="D19" s="571" t="s">
        <v>795</v>
      </c>
      <c r="E19" s="608" t="s">
        <v>2754</v>
      </c>
      <c r="F19" s="554" t="s">
        <v>2727</v>
      </c>
    </row>
    <row r="20" spans="1:6" ht="13.5" customHeight="1" x14ac:dyDescent="0.2">
      <c r="A20" s="590">
        <v>15</v>
      </c>
      <c r="B20" s="605" t="s">
        <v>2755</v>
      </c>
      <c r="C20" s="578" t="s">
        <v>2756</v>
      </c>
      <c r="D20" s="585" t="s">
        <v>701</v>
      </c>
      <c r="E20" s="606" t="s">
        <v>2757</v>
      </c>
      <c r="F20" s="550" t="s">
        <v>2715</v>
      </c>
    </row>
    <row r="21" spans="1:6" ht="13.5" customHeight="1" x14ac:dyDescent="0.2">
      <c r="A21" s="592">
        <v>16</v>
      </c>
      <c r="B21" s="607" t="s">
        <v>2758</v>
      </c>
      <c r="C21" s="580" t="s">
        <v>2759</v>
      </c>
      <c r="D21" s="587" t="s">
        <v>701</v>
      </c>
      <c r="E21" s="608" t="s">
        <v>2760</v>
      </c>
      <c r="F21" s="554" t="s">
        <v>2715</v>
      </c>
    </row>
    <row r="22" spans="1:6" ht="13.5" customHeight="1" x14ac:dyDescent="0.2">
      <c r="A22" s="590">
        <v>17</v>
      </c>
      <c r="B22" s="605" t="s">
        <v>2761</v>
      </c>
      <c r="C22" s="578" t="s">
        <v>2762</v>
      </c>
      <c r="D22" s="566" t="s">
        <v>704</v>
      </c>
      <c r="E22" s="606" t="s">
        <v>2763</v>
      </c>
      <c r="F22" s="550" t="s">
        <v>2720</v>
      </c>
    </row>
    <row r="23" spans="1:6" ht="13.5" customHeight="1" x14ac:dyDescent="0.2">
      <c r="A23" s="592">
        <v>18</v>
      </c>
      <c r="B23" s="607" t="s">
        <v>2764</v>
      </c>
      <c r="C23" s="580" t="s">
        <v>2765</v>
      </c>
      <c r="D23" s="570" t="s">
        <v>704</v>
      </c>
      <c r="E23" s="608" t="s">
        <v>2766</v>
      </c>
      <c r="F23" s="554" t="s">
        <v>2720</v>
      </c>
    </row>
    <row r="24" spans="1:6" ht="13.5" customHeight="1" x14ac:dyDescent="0.2">
      <c r="A24" s="590">
        <v>19</v>
      </c>
      <c r="B24" s="605" t="s">
        <v>2767</v>
      </c>
      <c r="C24" s="578" t="s">
        <v>2768</v>
      </c>
      <c r="D24" s="566" t="s">
        <v>704</v>
      </c>
      <c r="E24" s="606" t="s">
        <v>2769</v>
      </c>
      <c r="F24" s="550" t="s">
        <v>2720</v>
      </c>
    </row>
    <row r="25" spans="1:6" ht="13.5" customHeight="1" x14ac:dyDescent="0.2">
      <c r="A25" s="592">
        <v>20</v>
      </c>
      <c r="B25" s="607" t="s">
        <v>2770</v>
      </c>
      <c r="C25" s="580" t="s">
        <v>2771</v>
      </c>
      <c r="D25" s="570" t="s">
        <v>704</v>
      </c>
      <c r="E25" s="608" t="s">
        <v>2772</v>
      </c>
      <c r="F25" s="554" t="s">
        <v>2720</v>
      </c>
    </row>
    <row r="26" spans="1:6" ht="13.5" customHeight="1" x14ac:dyDescent="0.2">
      <c r="A26" s="590">
        <v>21</v>
      </c>
      <c r="B26" s="605" t="s">
        <v>2773</v>
      </c>
      <c r="C26" s="578" t="s">
        <v>2774</v>
      </c>
      <c r="D26" s="602" t="s">
        <v>795</v>
      </c>
      <c r="E26" s="606" t="s">
        <v>2775</v>
      </c>
      <c r="F26" s="550" t="s">
        <v>2727</v>
      </c>
    </row>
    <row r="27" spans="1:6" ht="13.5" customHeight="1" x14ac:dyDescent="0.2">
      <c r="A27" s="592">
        <v>22</v>
      </c>
      <c r="B27" s="607" t="s">
        <v>2776</v>
      </c>
      <c r="C27" s="580" t="s">
        <v>2777</v>
      </c>
      <c r="D27" s="570" t="s">
        <v>704</v>
      </c>
      <c r="E27" s="608" t="s">
        <v>2778</v>
      </c>
      <c r="F27" s="554" t="s">
        <v>2720</v>
      </c>
    </row>
    <row r="28" spans="1:6" ht="13.5" customHeight="1" x14ac:dyDescent="0.2">
      <c r="A28" s="590">
        <v>23</v>
      </c>
      <c r="B28" s="605" t="s">
        <v>2779</v>
      </c>
      <c r="C28" s="578" t="s">
        <v>2780</v>
      </c>
      <c r="D28" s="566" t="s">
        <v>704</v>
      </c>
      <c r="E28" s="606" t="s">
        <v>2781</v>
      </c>
      <c r="F28" s="550" t="s">
        <v>2720</v>
      </c>
    </row>
    <row r="29" spans="1:6" ht="13.5" customHeight="1" x14ac:dyDescent="0.2">
      <c r="A29" s="592">
        <v>24</v>
      </c>
      <c r="B29" s="607" t="s">
        <v>2782</v>
      </c>
      <c r="C29" s="580" t="s">
        <v>2783</v>
      </c>
      <c r="D29" s="570" t="s">
        <v>704</v>
      </c>
      <c r="E29" s="608" t="s">
        <v>2784</v>
      </c>
      <c r="F29" s="554" t="s">
        <v>2720</v>
      </c>
    </row>
    <row r="30" spans="1:6" ht="13.5" customHeight="1" x14ac:dyDescent="0.2">
      <c r="A30" s="590">
        <v>25</v>
      </c>
      <c r="B30" s="605" t="s">
        <v>2785</v>
      </c>
      <c r="C30" s="578" t="s">
        <v>1222</v>
      </c>
      <c r="D30" s="566" t="s">
        <v>704</v>
      </c>
      <c r="E30" s="606" t="s">
        <v>2786</v>
      </c>
      <c r="F30" s="550" t="s">
        <v>2720</v>
      </c>
    </row>
    <row r="31" spans="1:6" ht="13.5" customHeight="1" x14ac:dyDescent="0.2">
      <c r="A31" s="592">
        <v>26</v>
      </c>
      <c r="B31" s="607" t="s">
        <v>2787</v>
      </c>
      <c r="C31" s="580" t="s">
        <v>1289</v>
      </c>
      <c r="D31" s="571" t="s">
        <v>795</v>
      </c>
      <c r="E31" s="608" t="s">
        <v>2788</v>
      </c>
      <c r="F31" s="554" t="s">
        <v>2727</v>
      </c>
    </row>
    <row r="32" spans="1:6" ht="13.5" customHeight="1" x14ac:dyDescent="0.2">
      <c r="A32" s="590">
        <v>27</v>
      </c>
      <c r="B32" s="605" t="s">
        <v>2789</v>
      </c>
      <c r="C32" s="578" t="s">
        <v>2790</v>
      </c>
      <c r="D32" s="585" t="s">
        <v>701</v>
      </c>
      <c r="E32" s="606" t="s">
        <v>2791</v>
      </c>
      <c r="F32" s="550" t="s">
        <v>2715</v>
      </c>
    </row>
    <row r="33" spans="1:6" ht="13.5" customHeight="1" x14ac:dyDescent="0.2">
      <c r="A33" s="592">
        <v>28</v>
      </c>
      <c r="B33" s="607" t="s">
        <v>2792</v>
      </c>
      <c r="C33" s="580" t="s">
        <v>2793</v>
      </c>
      <c r="D33" s="570" t="s">
        <v>704</v>
      </c>
      <c r="E33" s="608" t="s">
        <v>2794</v>
      </c>
      <c r="F33" s="554" t="s">
        <v>2720</v>
      </c>
    </row>
    <row r="34" spans="1:6" ht="13.5" customHeight="1" x14ac:dyDescent="0.2">
      <c r="A34" s="590">
        <v>29</v>
      </c>
      <c r="B34" s="605" t="s">
        <v>2795</v>
      </c>
      <c r="C34" s="578" t="s">
        <v>2777</v>
      </c>
      <c r="D34" s="566" t="s">
        <v>704</v>
      </c>
      <c r="E34" s="606" t="s">
        <v>2796</v>
      </c>
      <c r="F34" s="550" t="s">
        <v>2720</v>
      </c>
    </row>
    <row r="35" spans="1:6" ht="13.5" customHeight="1" x14ac:dyDescent="0.2">
      <c r="A35" s="592">
        <v>30</v>
      </c>
      <c r="B35" s="607" t="s">
        <v>2797</v>
      </c>
      <c r="C35" s="580" t="s">
        <v>2798</v>
      </c>
      <c r="D35" s="571" t="s">
        <v>795</v>
      </c>
      <c r="E35" s="608" t="s">
        <v>2799</v>
      </c>
      <c r="F35" s="554" t="s">
        <v>2727</v>
      </c>
    </row>
    <row r="36" spans="1:6" ht="13.5" customHeight="1" x14ac:dyDescent="0.2">
      <c r="A36" s="590">
        <v>31</v>
      </c>
      <c r="B36" s="605" t="s">
        <v>2800</v>
      </c>
      <c r="C36" s="578" t="s">
        <v>2801</v>
      </c>
      <c r="D36" s="609" t="s">
        <v>706</v>
      </c>
      <c r="E36" s="606" t="s">
        <v>2802</v>
      </c>
      <c r="F36" s="550" t="s">
        <v>2727</v>
      </c>
    </row>
    <row r="37" spans="1:6" ht="13.5" customHeight="1" x14ac:dyDescent="0.2">
      <c r="A37" s="592">
        <v>32</v>
      </c>
      <c r="B37" s="607" t="s">
        <v>2803</v>
      </c>
      <c r="C37" s="580" t="s">
        <v>2756</v>
      </c>
      <c r="D37" s="587" t="s">
        <v>701</v>
      </c>
      <c r="E37" s="608" t="s">
        <v>2804</v>
      </c>
      <c r="F37" s="554" t="s">
        <v>2715</v>
      </c>
    </row>
    <row r="38" spans="1:6" ht="13.5" customHeight="1" x14ac:dyDescent="0.2">
      <c r="A38" s="590">
        <v>33</v>
      </c>
      <c r="B38" s="605" t="s">
        <v>2805</v>
      </c>
      <c r="C38" s="578" t="s">
        <v>2806</v>
      </c>
      <c r="D38" s="585" t="s">
        <v>701</v>
      </c>
      <c r="E38" s="606" t="s">
        <v>2807</v>
      </c>
      <c r="F38" s="550" t="s">
        <v>2715</v>
      </c>
    </row>
    <row r="39" spans="1:6" ht="13.5" customHeight="1" x14ac:dyDescent="0.2">
      <c r="A39" s="592">
        <v>34</v>
      </c>
      <c r="B39" s="607" t="s">
        <v>2808</v>
      </c>
      <c r="C39" s="580" t="s">
        <v>2809</v>
      </c>
      <c r="D39" s="570" t="s">
        <v>704</v>
      </c>
      <c r="E39" s="608" t="s">
        <v>2810</v>
      </c>
      <c r="F39" s="554" t="s">
        <v>2720</v>
      </c>
    </row>
    <row r="40" spans="1:6" ht="13.5" customHeight="1" x14ac:dyDescent="0.2">
      <c r="A40" s="590">
        <v>35</v>
      </c>
      <c r="B40" s="605" t="s">
        <v>2811</v>
      </c>
      <c r="C40" s="578" t="s">
        <v>2762</v>
      </c>
      <c r="D40" s="566" t="s">
        <v>704</v>
      </c>
      <c r="E40" s="606" t="s">
        <v>2812</v>
      </c>
      <c r="F40" s="550" t="s">
        <v>2720</v>
      </c>
    </row>
    <row r="41" spans="1:6" ht="13.5" customHeight="1" x14ac:dyDescent="0.2">
      <c r="A41" s="592">
        <v>36</v>
      </c>
      <c r="B41" s="607" t="s">
        <v>2813</v>
      </c>
      <c r="C41" s="580" t="s">
        <v>2814</v>
      </c>
      <c r="D41" s="570" t="s">
        <v>704</v>
      </c>
      <c r="E41" s="608" t="s">
        <v>2815</v>
      </c>
      <c r="F41" s="554" t="s">
        <v>2720</v>
      </c>
    </row>
    <row r="42" spans="1:6" ht="13.5" customHeight="1" x14ac:dyDescent="0.2">
      <c r="A42" s="590">
        <v>37</v>
      </c>
      <c r="B42" s="605" t="s">
        <v>2816</v>
      </c>
      <c r="C42" s="578" t="s">
        <v>2817</v>
      </c>
      <c r="D42" s="585" t="s">
        <v>701</v>
      </c>
      <c r="E42" s="606" t="s">
        <v>2818</v>
      </c>
      <c r="F42" s="550" t="s">
        <v>2715</v>
      </c>
    </row>
    <row r="43" spans="1:6" ht="13.5" customHeight="1" x14ac:dyDescent="0.2">
      <c r="A43" s="592">
        <v>38</v>
      </c>
      <c r="B43" s="607" t="s">
        <v>2819</v>
      </c>
      <c r="C43" s="580" t="s">
        <v>2820</v>
      </c>
      <c r="D43" s="587" t="s">
        <v>701</v>
      </c>
      <c r="E43" s="608" t="s">
        <v>2821</v>
      </c>
      <c r="F43" s="554" t="s">
        <v>2715</v>
      </c>
    </row>
    <row r="44" spans="1:6" ht="13.5" customHeight="1" x14ac:dyDescent="0.2">
      <c r="A44" s="590">
        <v>39</v>
      </c>
      <c r="B44" s="605" t="s">
        <v>2822</v>
      </c>
      <c r="C44" s="578" t="s">
        <v>2823</v>
      </c>
      <c r="D44" s="585" t="s">
        <v>701</v>
      </c>
      <c r="E44" s="606" t="s">
        <v>2824</v>
      </c>
      <c r="F44" s="550" t="s">
        <v>2715</v>
      </c>
    </row>
    <row r="45" spans="1:6" ht="13.5" customHeight="1" x14ac:dyDescent="0.2">
      <c r="A45" s="592">
        <v>40</v>
      </c>
      <c r="B45" s="607" t="s">
        <v>2825</v>
      </c>
      <c r="C45" s="580" t="s">
        <v>2826</v>
      </c>
      <c r="D45" s="587" t="s">
        <v>701</v>
      </c>
      <c r="E45" s="608" t="s">
        <v>2827</v>
      </c>
      <c r="F45" s="554" t="s">
        <v>2715</v>
      </c>
    </row>
    <row r="46" spans="1:6" ht="13.5" customHeight="1" x14ac:dyDescent="0.2">
      <c r="A46" s="590">
        <v>41</v>
      </c>
      <c r="B46" s="605" t="s">
        <v>2828</v>
      </c>
      <c r="C46" s="578" t="s">
        <v>2756</v>
      </c>
      <c r="D46" s="585" t="s">
        <v>701</v>
      </c>
      <c r="E46" s="606" t="s">
        <v>2804</v>
      </c>
      <c r="F46" s="550" t="s">
        <v>2715</v>
      </c>
    </row>
    <row r="47" spans="1:6" ht="13.5" customHeight="1" x14ac:dyDescent="0.2">
      <c r="A47" s="592">
        <v>42</v>
      </c>
      <c r="B47" s="607" t="s">
        <v>2829</v>
      </c>
      <c r="C47" s="580" t="s">
        <v>2759</v>
      </c>
      <c r="D47" s="587" t="s">
        <v>701</v>
      </c>
      <c r="E47" s="608" t="s">
        <v>2830</v>
      </c>
      <c r="F47" s="554" t="s">
        <v>2715</v>
      </c>
    </row>
    <row r="48" spans="1:6" ht="13.5" customHeight="1" x14ac:dyDescent="0.2">
      <c r="A48" s="590">
        <v>43</v>
      </c>
      <c r="B48" s="605" t="s">
        <v>2831</v>
      </c>
      <c r="C48" s="578" t="s">
        <v>2762</v>
      </c>
      <c r="D48" s="566" t="s">
        <v>704</v>
      </c>
      <c r="E48" s="606" t="s">
        <v>2812</v>
      </c>
      <c r="F48" s="550" t="s">
        <v>2720</v>
      </c>
    </row>
    <row r="49" spans="1:6" ht="13.5" customHeight="1" x14ac:dyDescent="0.2">
      <c r="A49" s="592">
        <v>44</v>
      </c>
      <c r="B49" s="607" t="s">
        <v>2832</v>
      </c>
      <c r="C49" s="580" t="s">
        <v>2833</v>
      </c>
      <c r="D49" s="570" t="s">
        <v>704</v>
      </c>
      <c r="E49" s="608" t="s">
        <v>2834</v>
      </c>
      <c r="F49" s="554" t="s">
        <v>2720</v>
      </c>
    </row>
    <row r="50" spans="1:6" ht="13.5" customHeight="1" x14ac:dyDescent="0.2">
      <c r="A50" s="590">
        <v>45</v>
      </c>
      <c r="B50" s="605" t="s">
        <v>2835</v>
      </c>
      <c r="C50" s="578" t="s">
        <v>2836</v>
      </c>
      <c r="D50" s="566" t="s">
        <v>704</v>
      </c>
      <c r="E50" s="606" t="s">
        <v>2837</v>
      </c>
      <c r="F50" s="550" t="s">
        <v>2720</v>
      </c>
    </row>
    <row r="51" spans="1:6" ht="13.5" customHeight="1" x14ac:dyDescent="0.2">
      <c r="A51" s="592">
        <v>46</v>
      </c>
      <c r="B51" s="607" t="s">
        <v>2838</v>
      </c>
      <c r="C51" s="580" t="s">
        <v>2839</v>
      </c>
      <c r="D51" s="587" t="s">
        <v>701</v>
      </c>
      <c r="E51" s="608" t="s">
        <v>2840</v>
      </c>
      <c r="F51" s="554" t="s">
        <v>2715</v>
      </c>
    </row>
    <row r="52" spans="1:6" ht="13.5" customHeight="1" x14ac:dyDescent="0.2">
      <c r="A52" s="590">
        <v>47</v>
      </c>
      <c r="B52" s="605" t="s">
        <v>2841</v>
      </c>
      <c r="C52" s="578" t="s">
        <v>2842</v>
      </c>
      <c r="D52" s="602" t="s">
        <v>795</v>
      </c>
      <c r="E52" s="606" t="s">
        <v>2843</v>
      </c>
      <c r="F52" s="550" t="s">
        <v>2727</v>
      </c>
    </row>
    <row r="53" spans="1:6" ht="13.5" customHeight="1" x14ac:dyDescent="0.2">
      <c r="A53" s="592">
        <v>48</v>
      </c>
      <c r="B53" s="607" t="s">
        <v>2844</v>
      </c>
      <c r="C53" s="580" t="s">
        <v>2845</v>
      </c>
      <c r="D53" s="570" t="s">
        <v>704</v>
      </c>
      <c r="E53" s="608" t="s">
        <v>2846</v>
      </c>
      <c r="F53" s="554" t="s">
        <v>2720</v>
      </c>
    </row>
    <row r="54" spans="1:6" ht="13.5" customHeight="1" x14ac:dyDescent="0.2">
      <c r="A54" s="590">
        <v>49</v>
      </c>
      <c r="B54" s="605" t="s">
        <v>2847</v>
      </c>
      <c r="C54" s="578" t="s">
        <v>2848</v>
      </c>
      <c r="D54" s="566" t="s">
        <v>704</v>
      </c>
      <c r="E54" s="606" t="s">
        <v>2849</v>
      </c>
      <c r="F54" s="550" t="s">
        <v>2720</v>
      </c>
    </row>
    <row r="55" spans="1:6" ht="13.5" customHeight="1" x14ac:dyDescent="0.2">
      <c r="A55" s="592">
        <v>50</v>
      </c>
      <c r="B55" s="607" t="s">
        <v>2850</v>
      </c>
      <c r="C55" s="580" t="s">
        <v>2851</v>
      </c>
      <c r="D55" s="587" t="s">
        <v>701</v>
      </c>
      <c r="E55" s="608" t="s">
        <v>2852</v>
      </c>
      <c r="F55" s="554" t="s">
        <v>2715</v>
      </c>
    </row>
    <row r="56" spans="1:6" ht="13.5" customHeight="1" x14ac:dyDescent="0.2">
      <c r="A56" s="590">
        <v>51</v>
      </c>
      <c r="B56" s="605" t="s">
        <v>2853</v>
      </c>
      <c r="C56" s="578" t="s">
        <v>2854</v>
      </c>
      <c r="D56" s="566" t="s">
        <v>704</v>
      </c>
      <c r="E56" s="606" t="s">
        <v>2855</v>
      </c>
      <c r="F56" s="550" t="s">
        <v>2720</v>
      </c>
    </row>
    <row r="57" spans="1:6" ht="13.5" customHeight="1" x14ac:dyDescent="0.2">
      <c r="A57" s="592">
        <v>52</v>
      </c>
      <c r="B57" s="607" t="s">
        <v>2856</v>
      </c>
      <c r="C57" s="580" t="s">
        <v>2790</v>
      </c>
      <c r="D57" s="587" t="s">
        <v>701</v>
      </c>
      <c r="E57" s="608" t="s">
        <v>2857</v>
      </c>
      <c r="F57" s="554" t="s">
        <v>2715</v>
      </c>
    </row>
    <row r="58" spans="1:6" ht="13.5" customHeight="1" x14ac:dyDescent="0.2">
      <c r="A58" s="590">
        <v>53</v>
      </c>
      <c r="B58" s="605" t="s">
        <v>2858</v>
      </c>
      <c r="C58" s="578" t="s">
        <v>2759</v>
      </c>
      <c r="D58" s="585" t="s">
        <v>701</v>
      </c>
      <c r="E58" s="606" t="s">
        <v>2830</v>
      </c>
      <c r="F58" s="550" t="s">
        <v>2715</v>
      </c>
    </row>
    <row r="59" spans="1:6" ht="13.5" customHeight="1" x14ac:dyDescent="0.2">
      <c r="A59" s="592">
        <v>54</v>
      </c>
      <c r="B59" s="607" t="s">
        <v>2859</v>
      </c>
      <c r="C59" s="580" t="s">
        <v>2768</v>
      </c>
      <c r="D59" s="570" t="s">
        <v>704</v>
      </c>
      <c r="E59" s="608" t="s">
        <v>2860</v>
      </c>
      <c r="F59" s="554" t="s">
        <v>2720</v>
      </c>
    </row>
    <row r="60" spans="1:6" ht="13.5" customHeight="1" x14ac:dyDescent="0.2">
      <c r="A60" s="590">
        <v>55</v>
      </c>
      <c r="B60" s="605" t="s">
        <v>2861</v>
      </c>
      <c r="C60" s="578" t="s">
        <v>2848</v>
      </c>
      <c r="D60" s="566" t="s">
        <v>704</v>
      </c>
      <c r="E60" s="606" t="s">
        <v>2862</v>
      </c>
      <c r="F60" s="550" t="s">
        <v>2720</v>
      </c>
    </row>
    <row r="61" spans="1:6" ht="13.5" customHeight="1" x14ac:dyDescent="0.2">
      <c r="A61" s="592">
        <v>56</v>
      </c>
      <c r="B61" s="607" t="s">
        <v>2863</v>
      </c>
      <c r="C61" s="580" t="s">
        <v>2851</v>
      </c>
      <c r="D61" s="587" t="s">
        <v>701</v>
      </c>
      <c r="E61" s="608" t="s">
        <v>2864</v>
      </c>
      <c r="F61" s="554" t="s">
        <v>2715</v>
      </c>
    </row>
    <row r="62" spans="1:6" ht="13.5" customHeight="1" x14ac:dyDescent="0.2">
      <c r="A62" s="590">
        <v>57</v>
      </c>
      <c r="B62" s="605" t="s">
        <v>2865</v>
      </c>
      <c r="C62" s="578" t="s">
        <v>2854</v>
      </c>
      <c r="D62" s="566" t="s">
        <v>704</v>
      </c>
      <c r="E62" s="606" t="s">
        <v>2866</v>
      </c>
      <c r="F62" s="550" t="s">
        <v>2720</v>
      </c>
    </row>
    <row r="63" spans="1:6" ht="13.5" customHeight="1" x14ac:dyDescent="0.2">
      <c r="A63" s="592">
        <v>58</v>
      </c>
      <c r="B63" s="607" t="s">
        <v>2867</v>
      </c>
      <c r="C63" s="580" t="s">
        <v>2790</v>
      </c>
      <c r="D63" s="587" t="s">
        <v>701</v>
      </c>
      <c r="E63" s="608" t="s">
        <v>2857</v>
      </c>
      <c r="F63" s="554" t="s">
        <v>2715</v>
      </c>
    </row>
    <row r="64" spans="1:6" ht="13.5" customHeight="1" x14ac:dyDescent="0.2">
      <c r="A64" s="590">
        <v>59</v>
      </c>
      <c r="B64" s="605" t="s">
        <v>2868</v>
      </c>
      <c r="C64" s="578" t="s">
        <v>2762</v>
      </c>
      <c r="D64" s="566" t="s">
        <v>704</v>
      </c>
      <c r="E64" s="606" t="s">
        <v>2812</v>
      </c>
      <c r="F64" s="550" t="s">
        <v>2720</v>
      </c>
    </row>
    <row r="65" spans="1:6" ht="13.5" customHeight="1" x14ac:dyDescent="0.2">
      <c r="A65" s="592">
        <v>60</v>
      </c>
      <c r="B65" s="607" t="s">
        <v>2869</v>
      </c>
      <c r="C65" s="580" t="s">
        <v>2765</v>
      </c>
      <c r="D65" s="570" t="s">
        <v>704</v>
      </c>
      <c r="E65" s="608" t="s">
        <v>2870</v>
      </c>
      <c r="F65" s="554" t="s">
        <v>2720</v>
      </c>
    </row>
    <row r="68" spans="1:6" ht="18" customHeight="1" x14ac:dyDescent="0.2">
      <c r="A68" s="1524" t="s">
        <v>2871</v>
      </c>
      <c r="B68" s="1524"/>
      <c r="C68" s="1524"/>
      <c r="D68" s="1524"/>
      <c r="E68" s="1524"/>
      <c r="F68" s="1524"/>
    </row>
    <row r="69" spans="1:6" ht="90" customHeight="1" x14ac:dyDescent="0.2">
      <c r="A69" s="1526" t="s">
        <v>2872</v>
      </c>
      <c r="B69" s="1526"/>
      <c r="C69" s="1526"/>
      <c r="D69" s="1526"/>
      <c r="E69" s="1526"/>
      <c r="F69" s="1526"/>
    </row>
  </sheetData>
  <mergeCells count="5">
    <mergeCell ref="A1:F1"/>
    <mergeCell ref="A2:F2"/>
    <mergeCell ref="A4:F4"/>
    <mergeCell ref="A68:F68"/>
    <mergeCell ref="A69:F69"/>
  </mergeCell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565C0"/>
  </sheetPr>
  <dimension ref="A1:J52"/>
  <sheetViews>
    <sheetView zoomScaleNormal="100" workbookViewId="0"/>
  </sheetViews>
  <sheetFormatPr defaultColWidth="8.609375" defaultRowHeight="15" x14ac:dyDescent="0.2"/>
  <cols>
    <col min="1" max="1" width="6.05078125" customWidth="1"/>
    <col min="2" max="3" width="11.97265625" customWidth="1"/>
    <col min="4" max="7" width="9.953125" customWidth="1"/>
    <col min="8" max="8" width="29.99609375" customWidth="1"/>
  </cols>
  <sheetData>
    <row r="1" spans="1:10" ht="21.75" customHeight="1" x14ac:dyDescent="0.2">
      <c r="A1" s="1522" t="s">
        <v>2873</v>
      </c>
      <c r="B1" s="1522"/>
      <c r="C1" s="1522"/>
      <c r="D1" s="1522"/>
      <c r="E1" s="1522"/>
      <c r="F1" s="1522"/>
      <c r="G1" s="1522"/>
      <c r="H1" s="1522"/>
      <c r="J1" s="601" t="s">
        <v>2214</v>
      </c>
    </row>
    <row r="2" spans="1:10" ht="24" customHeight="1" x14ac:dyDescent="0.2">
      <c r="A2" s="1523" t="s">
        <v>2874</v>
      </c>
      <c r="B2" s="1523"/>
      <c r="C2" s="1523"/>
      <c r="D2" s="1523"/>
      <c r="E2" s="1523"/>
      <c r="F2" s="1523"/>
      <c r="G2" s="1523"/>
      <c r="H2" s="1523"/>
    </row>
    <row r="4" spans="1:10" ht="18" customHeight="1" x14ac:dyDescent="0.2">
      <c r="A4" s="1524" t="s">
        <v>2875</v>
      </c>
      <c r="B4" s="1524"/>
      <c r="C4" s="1524"/>
      <c r="D4" s="1524"/>
      <c r="E4" s="1524"/>
      <c r="F4" s="1524"/>
      <c r="G4" s="1524"/>
      <c r="H4" s="1524"/>
    </row>
    <row r="5" spans="1:10" ht="15.75" customHeight="1" x14ac:dyDescent="0.2">
      <c r="A5" s="545" t="s">
        <v>2876</v>
      </c>
      <c r="B5" s="545" t="s">
        <v>2877</v>
      </c>
      <c r="C5" s="545" t="s">
        <v>2878</v>
      </c>
      <c r="D5" s="545" t="s">
        <v>2879</v>
      </c>
      <c r="E5" s="545" t="s">
        <v>2880</v>
      </c>
      <c r="F5" s="545" t="s">
        <v>2881</v>
      </c>
      <c r="G5" s="545"/>
      <c r="H5" s="545"/>
    </row>
    <row r="6" spans="1:10" ht="18" customHeight="1" x14ac:dyDescent="0.2">
      <c r="A6" s="578" t="s">
        <v>274</v>
      </c>
      <c r="B6" s="574">
        <v>7</v>
      </c>
      <c r="C6" s="610" t="s">
        <v>2882</v>
      </c>
      <c r="D6" s="611" t="s">
        <v>2883</v>
      </c>
      <c r="E6" s="582" t="s">
        <v>2884</v>
      </c>
      <c r="F6" s="582" t="s">
        <v>2882</v>
      </c>
      <c r="G6" s="575"/>
      <c r="H6" s="575"/>
    </row>
    <row r="7" spans="1:10" ht="18" customHeight="1" x14ac:dyDescent="0.2">
      <c r="A7" s="580" t="s">
        <v>271</v>
      </c>
      <c r="B7" s="576">
        <v>20</v>
      </c>
      <c r="C7" s="612" t="s">
        <v>2885</v>
      </c>
      <c r="D7" s="613" t="s">
        <v>2886</v>
      </c>
      <c r="E7" s="581" t="s">
        <v>2882</v>
      </c>
      <c r="F7" s="581" t="s">
        <v>2887</v>
      </c>
      <c r="G7" s="577"/>
      <c r="H7" s="577"/>
    </row>
    <row r="8" spans="1:10" ht="18" customHeight="1" x14ac:dyDescent="0.2">
      <c r="A8" s="578" t="s">
        <v>266</v>
      </c>
      <c r="B8" s="574">
        <v>6</v>
      </c>
      <c r="C8" s="610" t="s">
        <v>2888</v>
      </c>
      <c r="D8" s="611" t="s">
        <v>2889</v>
      </c>
      <c r="E8" s="582" t="s">
        <v>2887</v>
      </c>
      <c r="F8" s="582" t="s">
        <v>2890</v>
      </c>
      <c r="G8" s="575"/>
      <c r="H8" s="575"/>
    </row>
    <row r="9" spans="1:10" ht="18" customHeight="1" x14ac:dyDescent="0.2">
      <c r="A9" s="580" t="s">
        <v>267</v>
      </c>
      <c r="B9" s="576">
        <v>10</v>
      </c>
      <c r="C9" s="612" t="s">
        <v>2891</v>
      </c>
      <c r="D9" s="613" t="s">
        <v>2892</v>
      </c>
      <c r="E9" s="581" t="s">
        <v>2890</v>
      </c>
      <c r="F9" s="581" t="s">
        <v>2893</v>
      </c>
      <c r="G9" s="577"/>
      <c r="H9" s="577"/>
    </row>
    <row r="10" spans="1:10" ht="18" customHeight="1" x14ac:dyDescent="0.2">
      <c r="A10" s="578" t="s">
        <v>268</v>
      </c>
      <c r="B10" s="574">
        <v>7</v>
      </c>
      <c r="C10" s="610" t="s">
        <v>2882</v>
      </c>
      <c r="D10" s="611" t="s">
        <v>2883</v>
      </c>
      <c r="E10" s="582" t="s">
        <v>2893</v>
      </c>
      <c r="F10" s="582" t="s">
        <v>2894</v>
      </c>
      <c r="G10" s="575"/>
      <c r="H10" s="575"/>
    </row>
    <row r="11" spans="1:10" ht="18" customHeight="1" x14ac:dyDescent="0.2">
      <c r="A11" s="580" t="s">
        <v>273</v>
      </c>
      <c r="B11" s="576">
        <v>18</v>
      </c>
      <c r="C11" s="612" t="s">
        <v>2895</v>
      </c>
      <c r="D11" s="613" t="s">
        <v>2896</v>
      </c>
      <c r="E11" s="581" t="s">
        <v>2894</v>
      </c>
      <c r="F11" s="581" t="s">
        <v>2897</v>
      </c>
      <c r="G11" s="577"/>
      <c r="H11" s="577"/>
    </row>
    <row r="12" spans="1:10" ht="18" customHeight="1" x14ac:dyDescent="0.2">
      <c r="A12" s="578" t="s">
        <v>270</v>
      </c>
      <c r="B12" s="574">
        <v>16</v>
      </c>
      <c r="C12" s="610" t="s">
        <v>2898</v>
      </c>
      <c r="D12" s="611" t="s">
        <v>2899</v>
      </c>
      <c r="E12" s="582" t="s">
        <v>2897</v>
      </c>
      <c r="F12" s="582" t="s">
        <v>2900</v>
      </c>
      <c r="G12" s="575"/>
      <c r="H12" s="575"/>
    </row>
    <row r="13" spans="1:10" ht="18" customHeight="1" x14ac:dyDescent="0.2">
      <c r="A13" s="580" t="s">
        <v>272</v>
      </c>
      <c r="B13" s="576">
        <v>19</v>
      </c>
      <c r="C13" s="612" t="s">
        <v>2901</v>
      </c>
      <c r="D13" s="613" t="s">
        <v>2902</v>
      </c>
      <c r="E13" s="581" t="s">
        <v>2900</v>
      </c>
      <c r="F13" s="581" t="s">
        <v>2903</v>
      </c>
      <c r="G13" s="577"/>
      <c r="H13" s="577"/>
    </row>
    <row r="14" spans="1:10" ht="18" customHeight="1" x14ac:dyDescent="0.2">
      <c r="A14" s="578" t="s">
        <v>269</v>
      </c>
      <c r="B14" s="574">
        <v>17</v>
      </c>
      <c r="C14" s="610" t="s">
        <v>2904</v>
      </c>
      <c r="D14" s="611" t="s">
        <v>2905</v>
      </c>
      <c r="E14" s="582" t="s">
        <v>2903</v>
      </c>
      <c r="F14" s="582" t="s">
        <v>2906</v>
      </c>
      <c r="G14" s="575"/>
      <c r="H14" s="575"/>
    </row>
    <row r="17" spans="1:8" ht="18" customHeight="1" x14ac:dyDescent="0.2">
      <c r="A17" s="1524" t="s">
        <v>2907</v>
      </c>
      <c r="B17" s="1524"/>
      <c r="C17" s="1524"/>
      <c r="D17" s="1524"/>
      <c r="E17" s="1524"/>
      <c r="F17" s="1524"/>
      <c r="G17" s="1524"/>
      <c r="H17" s="1524"/>
    </row>
    <row r="18" spans="1:8" ht="129.75" customHeight="1" x14ac:dyDescent="0.2">
      <c r="A18" s="1526" t="s">
        <v>2908</v>
      </c>
      <c r="B18" s="1526"/>
      <c r="C18" s="1526"/>
      <c r="D18" s="1526"/>
      <c r="E18" s="1526"/>
      <c r="F18" s="1526"/>
      <c r="G18" s="1526"/>
      <c r="H18" s="1526"/>
    </row>
    <row r="19" spans="1:8" ht="15" customHeight="1" x14ac:dyDescent="0.2">
      <c r="A19" s="1526"/>
      <c r="B19" s="1526"/>
      <c r="C19" s="1526"/>
      <c r="D19" s="1526"/>
      <c r="E19" s="1526"/>
      <c r="F19" s="1526"/>
      <c r="G19" s="1526"/>
      <c r="H19" s="1526"/>
    </row>
    <row r="20" spans="1:8" ht="15" customHeight="1" x14ac:dyDescent="0.2">
      <c r="A20" s="1526"/>
      <c r="B20" s="1526"/>
      <c r="C20" s="1526"/>
      <c r="D20" s="1526"/>
      <c r="E20" s="1526"/>
      <c r="F20" s="1526"/>
      <c r="G20" s="1526"/>
      <c r="H20" s="1526"/>
    </row>
    <row r="21" spans="1:8" ht="15" customHeight="1" x14ac:dyDescent="0.2">
      <c r="A21" s="1526"/>
      <c r="B21" s="1526"/>
      <c r="C21" s="1526"/>
      <c r="D21" s="1526"/>
      <c r="E21" s="1526"/>
      <c r="F21" s="1526"/>
      <c r="G21" s="1526"/>
      <c r="H21" s="1526"/>
    </row>
    <row r="22" spans="1:8" ht="15" customHeight="1" x14ac:dyDescent="0.2">
      <c r="A22" s="1526"/>
      <c r="B22" s="1526"/>
      <c r="C22" s="1526"/>
      <c r="D22" s="1526"/>
      <c r="E22" s="1526"/>
      <c r="F22" s="1526"/>
      <c r="G22" s="1526"/>
      <c r="H22" s="1526"/>
    </row>
    <row r="24" spans="1:8" ht="18" customHeight="1" x14ac:dyDescent="0.2">
      <c r="A24" s="1524" t="s">
        <v>2909</v>
      </c>
      <c r="B24" s="1524"/>
      <c r="C24" s="1524"/>
      <c r="D24" s="1524"/>
      <c r="E24" s="1524"/>
      <c r="F24" s="1524"/>
      <c r="G24" s="1524"/>
      <c r="H24" s="1524"/>
    </row>
    <row r="25" spans="1:8" ht="15.75" customHeight="1" x14ac:dyDescent="0.2">
      <c r="A25" s="545" t="s">
        <v>2160</v>
      </c>
      <c r="B25" s="545" t="s">
        <v>2159</v>
      </c>
      <c r="C25" s="545" t="s">
        <v>2910</v>
      </c>
      <c r="D25" s="545" t="s">
        <v>2911</v>
      </c>
      <c r="E25" s="545" t="s">
        <v>2912</v>
      </c>
      <c r="F25" s="545" t="s">
        <v>2913</v>
      </c>
      <c r="G25" s="545" t="s">
        <v>2914</v>
      </c>
      <c r="H25" s="545" t="s">
        <v>282</v>
      </c>
    </row>
    <row r="26" spans="1:8" ht="13.5" customHeight="1" x14ac:dyDescent="0.2">
      <c r="A26" s="590">
        <v>1</v>
      </c>
      <c r="B26" s="578" t="s">
        <v>1216</v>
      </c>
      <c r="C26" s="610" t="s">
        <v>274</v>
      </c>
      <c r="D26" s="582" t="s">
        <v>2915</v>
      </c>
      <c r="E26" s="582" t="s">
        <v>2916</v>
      </c>
      <c r="F26" s="565" t="s">
        <v>274</v>
      </c>
      <c r="G26" s="582" t="s">
        <v>2915</v>
      </c>
      <c r="H26" s="550" t="s">
        <v>2917</v>
      </c>
    </row>
    <row r="27" spans="1:8" ht="13.5" customHeight="1" x14ac:dyDescent="0.2">
      <c r="A27" s="592">
        <v>2</v>
      </c>
      <c r="B27" s="580" t="s">
        <v>1233</v>
      </c>
      <c r="C27" s="612" t="s">
        <v>271</v>
      </c>
      <c r="D27" s="581" t="s">
        <v>2916</v>
      </c>
      <c r="E27" s="581" t="s">
        <v>2918</v>
      </c>
      <c r="F27" s="569" t="s">
        <v>271</v>
      </c>
      <c r="G27" s="581" t="s">
        <v>2916</v>
      </c>
      <c r="H27" s="554" t="s">
        <v>2917</v>
      </c>
    </row>
    <row r="28" spans="1:8" ht="13.5" customHeight="1" x14ac:dyDescent="0.2">
      <c r="A28" s="590">
        <v>3</v>
      </c>
      <c r="B28" s="578" t="s">
        <v>1248</v>
      </c>
      <c r="C28" s="610" t="s">
        <v>266</v>
      </c>
      <c r="D28" s="582" t="s">
        <v>2918</v>
      </c>
      <c r="E28" s="582" t="s">
        <v>2919</v>
      </c>
      <c r="F28" s="565" t="s">
        <v>266</v>
      </c>
      <c r="G28" s="582" t="s">
        <v>2918</v>
      </c>
      <c r="H28" s="550" t="s">
        <v>2917</v>
      </c>
    </row>
    <row r="29" spans="1:8" ht="13.5" customHeight="1" x14ac:dyDescent="0.2">
      <c r="A29" s="592">
        <v>4</v>
      </c>
      <c r="B29" s="580" t="s">
        <v>1263</v>
      </c>
      <c r="C29" s="612" t="s">
        <v>267</v>
      </c>
      <c r="D29" s="581" t="s">
        <v>2919</v>
      </c>
      <c r="E29" s="581" t="s">
        <v>2920</v>
      </c>
      <c r="F29" s="569" t="s">
        <v>267</v>
      </c>
      <c r="G29" s="581" t="s">
        <v>2919</v>
      </c>
      <c r="H29" s="554" t="s">
        <v>2917</v>
      </c>
    </row>
    <row r="30" spans="1:8" ht="13.5" customHeight="1" x14ac:dyDescent="0.2">
      <c r="A30" s="590">
        <v>5</v>
      </c>
      <c r="B30" s="578" t="s">
        <v>1276</v>
      </c>
      <c r="C30" s="610" t="s">
        <v>268</v>
      </c>
      <c r="D30" s="582" t="s">
        <v>2920</v>
      </c>
      <c r="E30" s="582" t="s">
        <v>2921</v>
      </c>
      <c r="F30" s="565" t="s">
        <v>268</v>
      </c>
      <c r="G30" s="582" t="s">
        <v>2920</v>
      </c>
      <c r="H30" s="550" t="s">
        <v>2917</v>
      </c>
    </row>
    <row r="31" spans="1:8" ht="13.5" customHeight="1" x14ac:dyDescent="0.2">
      <c r="A31" s="592">
        <v>6</v>
      </c>
      <c r="B31" s="580" t="s">
        <v>1289</v>
      </c>
      <c r="C31" s="612" t="s">
        <v>273</v>
      </c>
      <c r="D31" s="581" t="s">
        <v>2921</v>
      </c>
      <c r="E31" s="581" t="s">
        <v>2922</v>
      </c>
      <c r="F31" s="569" t="s">
        <v>273</v>
      </c>
      <c r="G31" s="581" t="s">
        <v>2921</v>
      </c>
      <c r="H31" s="554" t="s">
        <v>2917</v>
      </c>
    </row>
    <row r="32" spans="1:8" ht="13.5" customHeight="1" x14ac:dyDescent="0.2">
      <c r="A32" s="590">
        <v>7</v>
      </c>
      <c r="B32" s="578" t="s">
        <v>1302</v>
      </c>
      <c r="C32" s="610" t="s">
        <v>270</v>
      </c>
      <c r="D32" s="582" t="s">
        <v>2922</v>
      </c>
      <c r="E32" s="582" t="s">
        <v>2923</v>
      </c>
      <c r="F32" s="565" t="s">
        <v>270</v>
      </c>
      <c r="G32" s="582" t="s">
        <v>2922</v>
      </c>
      <c r="H32" s="550" t="s">
        <v>2917</v>
      </c>
    </row>
    <row r="33" spans="1:8" ht="13.5" customHeight="1" x14ac:dyDescent="0.2">
      <c r="A33" s="592">
        <v>8</v>
      </c>
      <c r="B33" s="580" t="s">
        <v>1315</v>
      </c>
      <c r="C33" s="612" t="s">
        <v>272</v>
      </c>
      <c r="D33" s="581" t="s">
        <v>2923</v>
      </c>
      <c r="E33" s="581" t="s">
        <v>2924</v>
      </c>
      <c r="F33" s="569" t="s">
        <v>272</v>
      </c>
      <c r="G33" s="581" t="s">
        <v>2923</v>
      </c>
      <c r="H33" s="554" t="s">
        <v>2917</v>
      </c>
    </row>
    <row r="34" spans="1:8" ht="13.5" customHeight="1" x14ac:dyDescent="0.2">
      <c r="A34" s="590">
        <v>9</v>
      </c>
      <c r="B34" s="578" t="s">
        <v>1325</v>
      </c>
      <c r="C34" s="610" t="s">
        <v>269</v>
      </c>
      <c r="D34" s="582" t="s">
        <v>2924</v>
      </c>
      <c r="E34" s="582" t="s">
        <v>2925</v>
      </c>
      <c r="F34" s="565" t="s">
        <v>269</v>
      </c>
      <c r="G34" s="582" t="s">
        <v>2924</v>
      </c>
      <c r="H34" s="550" t="s">
        <v>2917</v>
      </c>
    </row>
    <row r="35" spans="1:8" ht="13.5" customHeight="1" x14ac:dyDescent="0.2">
      <c r="A35" s="592">
        <v>10</v>
      </c>
      <c r="B35" s="580" t="s">
        <v>1338</v>
      </c>
      <c r="C35" s="612" t="s">
        <v>274</v>
      </c>
      <c r="D35" s="581" t="s">
        <v>2925</v>
      </c>
      <c r="E35" s="581" t="s">
        <v>2926</v>
      </c>
      <c r="F35" s="569" t="s">
        <v>274</v>
      </c>
      <c r="G35" s="581" t="s">
        <v>2925</v>
      </c>
      <c r="H35" s="554" t="s">
        <v>2917</v>
      </c>
    </row>
    <row r="36" spans="1:8" ht="13.5" customHeight="1" x14ac:dyDescent="0.2">
      <c r="A36" s="590">
        <v>11</v>
      </c>
      <c r="B36" s="578" t="s">
        <v>1351</v>
      </c>
      <c r="C36" s="610" t="s">
        <v>271</v>
      </c>
      <c r="D36" s="582" t="s">
        <v>2926</v>
      </c>
      <c r="E36" s="582" t="s">
        <v>2927</v>
      </c>
      <c r="F36" s="565" t="s">
        <v>271</v>
      </c>
      <c r="G36" s="582" t="s">
        <v>2926</v>
      </c>
      <c r="H36" s="550" t="s">
        <v>2917</v>
      </c>
    </row>
    <row r="37" spans="1:8" ht="13.5" customHeight="1" x14ac:dyDescent="0.2">
      <c r="A37" s="592">
        <v>12</v>
      </c>
      <c r="B37" s="580" t="s">
        <v>1361</v>
      </c>
      <c r="C37" s="612" t="s">
        <v>266</v>
      </c>
      <c r="D37" s="581" t="s">
        <v>2927</v>
      </c>
      <c r="E37" s="581" t="s">
        <v>2928</v>
      </c>
      <c r="F37" s="569" t="s">
        <v>266</v>
      </c>
      <c r="G37" s="581" t="s">
        <v>2927</v>
      </c>
      <c r="H37" s="554" t="s">
        <v>2917</v>
      </c>
    </row>
    <row r="38" spans="1:8" ht="13.5" customHeight="1" x14ac:dyDescent="0.2">
      <c r="A38" s="590">
        <v>13</v>
      </c>
      <c r="B38" s="578" t="s">
        <v>1373</v>
      </c>
      <c r="C38" s="610" t="s">
        <v>267</v>
      </c>
      <c r="D38" s="582" t="s">
        <v>2928</v>
      </c>
      <c r="E38" s="582" t="s">
        <v>2929</v>
      </c>
      <c r="F38" s="565" t="s">
        <v>267</v>
      </c>
      <c r="G38" s="582" t="s">
        <v>2928</v>
      </c>
      <c r="H38" s="550" t="s">
        <v>2917</v>
      </c>
    </row>
    <row r="39" spans="1:8" ht="13.5" customHeight="1" x14ac:dyDescent="0.2">
      <c r="A39" s="592">
        <v>14</v>
      </c>
      <c r="B39" s="580" t="s">
        <v>1384</v>
      </c>
      <c r="C39" s="612" t="s">
        <v>268</v>
      </c>
      <c r="D39" s="581" t="s">
        <v>2929</v>
      </c>
      <c r="E39" s="581" t="s">
        <v>2930</v>
      </c>
      <c r="F39" s="569" t="s">
        <v>268</v>
      </c>
      <c r="G39" s="581" t="s">
        <v>2929</v>
      </c>
      <c r="H39" s="554" t="s">
        <v>2917</v>
      </c>
    </row>
    <row r="40" spans="1:8" ht="13.5" customHeight="1" x14ac:dyDescent="0.2">
      <c r="A40" s="590">
        <v>15</v>
      </c>
      <c r="B40" s="578" t="s">
        <v>1396</v>
      </c>
      <c r="C40" s="610" t="s">
        <v>273</v>
      </c>
      <c r="D40" s="582" t="s">
        <v>2930</v>
      </c>
      <c r="E40" s="582" t="s">
        <v>2931</v>
      </c>
      <c r="F40" s="565" t="s">
        <v>273</v>
      </c>
      <c r="G40" s="582" t="s">
        <v>2930</v>
      </c>
      <c r="H40" s="550" t="s">
        <v>2917</v>
      </c>
    </row>
    <row r="41" spans="1:8" ht="13.5" customHeight="1" x14ac:dyDescent="0.2">
      <c r="A41" s="592">
        <v>16</v>
      </c>
      <c r="B41" s="580" t="s">
        <v>1406</v>
      </c>
      <c r="C41" s="612" t="s">
        <v>270</v>
      </c>
      <c r="D41" s="581" t="s">
        <v>2931</v>
      </c>
      <c r="E41" s="581" t="s">
        <v>2932</v>
      </c>
      <c r="F41" s="569" t="s">
        <v>270</v>
      </c>
      <c r="G41" s="581" t="s">
        <v>2931</v>
      </c>
      <c r="H41" s="554" t="s">
        <v>2917</v>
      </c>
    </row>
    <row r="42" spans="1:8" ht="13.5" customHeight="1" x14ac:dyDescent="0.2">
      <c r="A42" s="590">
        <v>17</v>
      </c>
      <c r="B42" s="578" t="s">
        <v>1417</v>
      </c>
      <c r="C42" s="610" t="s">
        <v>272</v>
      </c>
      <c r="D42" s="582" t="s">
        <v>2932</v>
      </c>
      <c r="E42" s="582" t="s">
        <v>2933</v>
      </c>
      <c r="F42" s="565" t="s">
        <v>272</v>
      </c>
      <c r="G42" s="582" t="s">
        <v>2932</v>
      </c>
      <c r="H42" s="550" t="s">
        <v>2917</v>
      </c>
    </row>
    <row r="43" spans="1:8" ht="13.5" customHeight="1" x14ac:dyDescent="0.2">
      <c r="A43" s="592">
        <v>18</v>
      </c>
      <c r="B43" s="580" t="s">
        <v>1428</v>
      </c>
      <c r="C43" s="612" t="s">
        <v>269</v>
      </c>
      <c r="D43" s="581" t="s">
        <v>2933</v>
      </c>
      <c r="E43" s="581" t="s">
        <v>2934</v>
      </c>
      <c r="F43" s="569" t="s">
        <v>269</v>
      </c>
      <c r="G43" s="581" t="s">
        <v>2933</v>
      </c>
      <c r="H43" s="554" t="s">
        <v>2917</v>
      </c>
    </row>
    <row r="44" spans="1:8" ht="13.5" customHeight="1" x14ac:dyDescent="0.2">
      <c r="A44" s="590">
        <v>19</v>
      </c>
      <c r="B44" s="578" t="s">
        <v>1440</v>
      </c>
      <c r="C44" s="610" t="s">
        <v>274</v>
      </c>
      <c r="D44" s="582" t="s">
        <v>2934</v>
      </c>
      <c r="E44" s="582" t="s">
        <v>2935</v>
      </c>
      <c r="F44" s="565" t="s">
        <v>274</v>
      </c>
      <c r="G44" s="582" t="s">
        <v>2934</v>
      </c>
      <c r="H44" s="550" t="s">
        <v>2917</v>
      </c>
    </row>
    <row r="45" spans="1:8" ht="13.5" customHeight="1" x14ac:dyDescent="0.2">
      <c r="A45" s="592">
        <v>20</v>
      </c>
      <c r="B45" s="580" t="s">
        <v>1452</v>
      </c>
      <c r="C45" s="612" t="s">
        <v>271</v>
      </c>
      <c r="D45" s="581" t="s">
        <v>2935</v>
      </c>
      <c r="E45" s="581" t="s">
        <v>2936</v>
      </c>
      <c r="F45" s="569" t="s">
        <v>271</v>
      </c>
      <c r="G45" s="581" t="s">
        <v>2935</v>
      </c>
      <c r="H45" s="554" t="s">
        <v>2917</v>
      </c>
    </row>
    <row r="46" spans="1:8" ht="13.5" customHeight="1" x14ac:dyDescent="0.2">
      <c r="A46" s="590">
        <v>21</v>
      </c>
      <c r="B46" s="578" t="s">
        <v>1463</v>
      </c>
      <c r="C46" s="610" t="s">
        <v>266</v>
      </c>
      <c r="D46" s="582" t="s">
        <v>2936</v>
      </c>
      <c r="E46" s="582" t="s">
        <v>2937</v>
      </c>
      <c r="F46" s="565" t="s">
        <v>266</v>
      </c>
      <c r="G46" s="582" t="s">
        <v>2936</v>
      </c>
      <c r="H46" s="550" t="s">
        <v>2917</v>
      </c>
    </row>
    <row r="47" spans="1:8" ht="13.5" customHeight="1" x14ac:dyDescent="0.2">
      <c r="A47" s="592">
        <v>22</v>
      </c>
      <c r="B47" s="580" t="s">
        <v>1475</v>
      </c>
      <c r="C47" s="612" t="s">
        <v>267</v>
      </c>
      <c r="D47" s="581" t="s">
        <v>2937</v>
      </c>
      <c r="E47" s="581" t="s">
        <v>2938</v>
      </c>
      <c r="F47" s="569" t="s">
        <v>267</v>
      </c>
      <c r="G47" s="581" t="s">
        <v>2937</v>
      </c>
      <c r="H47" s="554" t="s">
        <v>2917</v>
      </c>
    </row>
    <row r="48" spans="1:8" ht="13.5" customHeight="1" x14ac:dyDescent="0.2">
      <c r="A48" s="590">
        <v>23</v>
      </c>
      <c r="B48" s="578" t="s">
        <v>1485</v>
      </c>
      <c r="C48" s="610" t="s">
        <v>268</v>
      </c>
      <c r="D48" s="582" t="s">
        <v>2938</v>
      </c>
      <c r="E48" s="582" t="s">
        <v>2939</v>
      </c>
      <c r="F48" s="565" t="s">
        <v>268</v>
      </c>
      <c r="G48" s="582" t="s">
        <v>2938</v>
      </c>
      <c r="H48" s="550" t="s">
        <v>2917</v>
      </c>
    </row>
    <row r="49" spans="1:8" ht="13.5" customHeight="1" x14ac:dyDescent="0.2">
      <c r="A49" s="592">
        <v>24</v>
      </c>
      <c r="B49" s="580" t="s">
        <v>1497</v>
      </c>
      <c r="C49" s="612" t="s">
        <v>273</v>
      </c>
      <c r="D49" s="581" t="s">
        <v>2939</v>
      </c>
      <c r="E49" s="581" t="s">
        <v>2940</v>
      </c>
      <c r="F49" s="569" t="s">
        <v>273</v>
      </c>
      <c r="G49" s="581" t="s">
        <v>2939</v>
      </c>
      <c r="H49" s="554" t="s">
        <v>2917</v>
      </c>
    </row>
    <row r="50" spans="1:8" ht="13.5" customHeight="1" x14ac:dyDescent="0.2">
      <c r="A50" s="590">
        <v>25</v>
      </c>
      <c r="B50" s="578" t="s">
        <v>1507</v>
      </c>
      <c r="C50" s="610" t="s">
        <v>270</v>
      </c>
      <c r="D50" s="582" t="s">
        <v>2940</v>
      </c>
      <c r="E50" s="582" t="s">
        <v>2941</v>
      </c>
      <c r="F50" s="565" t="s">
        <v>270</v>
      </c>
      <c r="G50" s="582" t="s">
        <v>2940</v>
      </c>
      <c r="H50" s="550" t="s">
        <v>2917</v>
      </c>
    </row>
    <row r="51" spans="1:8" ht="13.5" customHeight="1" x14ac:dyDescent="0.2">
      <c r="A51" s="592">
        <v>26</v>
      </c>
      <c r="B51" s="580" t="s">
        <v>1518</v>
      </c>
      <c r="C51" s="612" t="s">
        <v>272</v>
      </c>
      <c r="D51" s="581" t="s">
        <v>2941</v>
      </c>
      <c r="E51" s="581" t="s">
        <v>2942</v>
      </c>
      <c r="F51" s="569" t="s">
        <v>272</v>
      </c>
      <c r="G51" s="581" t="s">
        <v>2941</v>
      </c>
      <c r="H51" s="554" t="s">
        <v>2917</v>
      </c>
    </row>
    <row r="52" spans="1:8" ht="13.5" customHeight="1" x14ac:dyDescent="0.2">
      <c r="A52" s="590">
        <v>27</v>
      </c>
      <c r="B52" s="578" t="s">
        <v>1528</v>
      </c>
      <c r="C52" s="610" t="s">
        <v>269</v>
      </c>
      <c r="D52" s="582" t="s">
        <v>2942</v>
      </c>
      <c r="E52" s="582" t="s">
        <v>2943</v>
      </c>
      <c r="F52" s="565" t="s">
        <v>269</v>
      </c>
      <c r="G52" s="582" t="s">
        <v>2942</v>
      </c>
      <c r="H52" s="550" t="s">
        <v>2917</v>
      </c>
    </row>
  </sheetData>
  <mergeCells count="6">
    <mergeCell ref="A24:H24"/>
    <mergeCell ref="A1:H1"/>
    <mergeCell ref="A2:H2"/>
    <mergeCell ref="A4:H4"/>
    <mergeCell ref="A17:H17"/>
    <mergeCell ref="A18:H22"/>
  </mergeCell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7"/>
  <sheetViews>
    <sheetView zoomScaleNormal="100" workbookViewId="0"/>
  </sheetViews>
  <sheetFormatPr defaultColWidth="8.609375" defaultRowHeight="15" x14ac:dyDescent="0.2"/>
  <cols>
    <col min="1" max="1" width="11.97265625" customWidth="1"/>
    <col min="2" max="2" width="13.98828125" customWidth="1"/>
    <col min="3" max="3" width="18.0234375" customWidth="1"/>
    <col min="4" max="5" width="11.97265625" customWidth="1"/>
    <col min="6" max="7" width="13.98828125" customWidth="1"/>
    <col min="8" max="8" width="18.0234375" customWidth="1"/>
    <col min="9" max="9" width="22.05859375" customWidth="1"/>
  </cols>
  <sheetData>
    <row r="1" spans="1:9" ht="113.25" customHeight="1" x14ac:dyDescent="0.2">
      <c r="A1" s="614" t="s">
        <v>2944</v>
      </c>
    </row>
    <row r="2" spans="1:9" ht="39.75" customHeight="1" x14ac:dyDescent="0.2">
      <c r="A2" t="s">
        <v>2945</v>
      </c>
    </row>
    <row r="4" spans="1:9" ht="23.25" customHeight="1" x14ac:dyDescent="0.2">
      <c r="A4" s="614" t="s">
        <v>319</v>
      </c>
      <c r="B4" s="614" t="s">
        <v>2946</v>
      </c>
      <c r="C4" s="614" t="s">
        <v>2159</v>
      </c>
      <c r="D4" s="614" t="s">
        <v>2947</v>
      </c>
      <c r="E4" s="614" t="s">
        <v>2948</v>
      </c>
      <c r="F4" s="614" t="s">
        <v>2949</v>
      </c>
      <c r="G4" s="614" t="s">
        <v>2950</v>
      </c>
      <c r="H4" s="614" t="s">
        <v>2951</v>
      </c>
      <c r="I4" s="614" t="s">
        <v>2952</v>
      </c>
    </row>
    <row r="5" spans="1:9" ht="15" customHeight="1" x14ac:dyDescent="0.2">
      <c r="A5" t="s">
        <v>265</v>
      </c>
      <c r="B5">
        <f>(MATCH(INPUT_Chart!$C$5,{"Aries","Taurus","Gemini","Cancer","Leo","Virgo","Libra","Scorpio","Sagittarius","Capricorn","Aquarius","Pisces"},0)-1)*30+INPUT_Chart!$D$5</f>
        <v>37.7286</v>
      </c>
      <c r="C5" t="str">
        <f>IFERROR(INDEX({"Ashwini","Bharani","Krittika","Rohini","Mrigashira","Ardra","Punarvasu","Pushya","Ashlesha","Magha","Purva Phalguni","Uttara Phalguni","Hasta","Chitra","Swati","Vishakha","Anuradha","Jyeshtha","Mula","Purva Ashadha","Uttara Ashadha","Shravana","Dhanishtha","Shatabhisha","Purva Bhadrapada","Uttara Bhadrapada","Revati"},INT(B5/(40/3))+1),"—")</f>
        <v>Krittika</v>
      </c>
      <c r="D5" t="str">
        <f>IFERROR(INDEX({"Ketu","Venus","Sun","Moon","Mars","Rahu","Jupiter","Saturn","Mercury"},MOD(INT(B5/(40/3)),9)+1),"—")</f>
        <v>Sun</v>
      </c>
      <c r="E5">
        <f t="shared" ref="E5:E14" si="0">IFERROR(ROUND(MOD(B5,(40/3)),4),"—")</f>
        <v>11.0619</v>
      </c>
      <c r="F5" s="615" t="str">
        <f>IFERROR(IF(REF_Config!$B$6&lt;&gt;"KP","— (KP school only)",_xludf.let(al,B5,nak,INT(al/(40/3)),pos,MOD(al,(40/3)),k,MOD(nak,9),cum,{0.7778,2.9999,3.6666,4.7777,5.5555,7.5555,9.3333,11.4444,13.3333},slot,IFERROR(MATCH(TRUE(),pos&lt;cum,0),9),lords,{"Ketu","Venus","Sun","Moon","Mars","Rahu","Jupiter","Saturn","Mercury"},INDEX(lords,1,MOD(k+slot-1,9)+1))),"—")</f>
        <v>— (KP school only)</v>
      </c>
      <c r="G5" t="str">
        <f>IFERROR(IF(OR(REF_Config!$B$6&lt;&gt;"KP",F5="—"),"—",_xludf.switch(F5,"Sun",CALC_BhaveshMap!$H$6,"Moon",CALC_BhaveshMap!$H$7,"Mars",CALC_BhaveshMap!$H$8,"Mercury",CALC_BhaveshMap!$H$9,"Jupiter",CALC_BhaveshMap!$H$10,"Venus",CALC_BhaveshMap!$H$11,"Saturn",CALC_BhaveshMap!$H$12,"Rahu",CALC_BhaveshMap!$H$13,"Ketu",CALC_BhaveshMap!$H$14,"—")),"—")</f>
        <v>—</v>
      </c>
      <c r="H5" t="str">
        <f>IFERROR(IF(OR(REF_Config!$B$6&lt;&gt;"KP",G5="—"),"—",IF(ISNUMBER(MATCH(G5,{1,2,3,4,5,6,7,8,9,10,11,12},0)),IF(ISNUMBER(MATCH(G5,{1,5,9,11},0)),"✓ Benefic H","✗ Non-benefic H"),"—")),"—")</f>
        <v>—</v>
      </c>
      <c r="I5" t="str">
        <f>IF(REF_Config!$B$6="KP","▶ KP active","◦ Switch B6 to KP")</f>
        <v>◦ Switch B6 to KP</v>
      </c>
    </row>
    <row r="6" spans="1:9" ht="15" customHeight="1" x14ac:dyDescent="0.2">
      <c r="A6" t="s">
        <v>266</v>
      </c>
      <c r="B6">
        <f>CALC_PlanetPositions!$D$7</f>
        <v>117.989</v>
      </c>
      <c r="C6" t="str">
        <f>IFERROR(INDEX({"Ashwini","Bharani","Krittika","Rohini","Mrigashira","Ardra","Punarvasu","Pushya","Ashlesha","Magha","Purva Phalguni","Uttara Phalguni","Hasta","Chitra","Swati","Vishakha","Anuradha","Jyeshtha","Mula","Purva Ashadha","Uttara Ashadha","Shravana","Dhanishtha","Shatabhisha","Purva Bhadrapada","Uttara Bhadrapada","Revati"},INT(B6/(40/3))+1),"—")</f>
        <v>Ashlesha</v>
      </c>
      <c r="D6" t="str">
        <f>IFERROR(INDEX({"Ketu","Venus","Sun","Moon","Mars","Rahu","Jupiter","Saturn","Mercury"},MOD(INT(B6/(40/3)),9)+1),"—")</f>
        <v>Mercury</v>
      </c>
      <c r="E6">
        <f t="shared" si="0"/>
        <v>11.3223</v>
      </c>
      <c r="F6" s="615" t="str">
        <f>IFERROR(IF(REF_Config!$B$6&lt;&gt;"KP","— (KP school only)",_xludf.let(al,B6,nak,INT(al/(40/3)),pos,MOD(al,(40/3)),k,MOD(nak,9),cum,{0.7778,2.9999,3.6666,4.7777,5.5555,7.5555,9.3333,11.4444,13.3333},slot,IFERROR(MATCH(TRUE(),pos&lt;cum,0),9),lords,{"Ketu","Venus","Sun","Moon","Mars","Rahu","Jupiter","Saturn","Mercury"},INDEX(lords,1,MOD(k+slot-1,9)+1))),"—")</f>
        <v>— (KP school only)</v>
      </c>
      <c r="G6" t="str">
        <f>IFERROR(IF(OR(REF_Config!$B$6&lt;&gt;"KP",F6="—"),"—",_xludf.switch(F6,"Sun",CALC_BhaveshMap!$H$6,"Moon",CALC_BhaveshMap!$H$7,"Mars",CALC_BhaveshMap!$H$8,"Mercury",CALC_BhaveshMap!$H$9,"Jupiter",CALC_BhaveshMap!$H$10,"Venus",CALC_BhaveshMap!$H$11,"Saturn",CALC_BhaveshMap!$H$12,"Rahu",CALC_BhaveshMap!$H$13,"Ketu",CALC_BhaveshMap!$H$14,"—")),"—")</f>
        <v>—</v>
      </c>
      <c r="H6" t="str">
        <f>IFERROR(IF(OR(REF_Config!$B$6&lt;&gt;"KP",G6="—"),"—",IF(ISNUMBER(MATCH(G6,{1,2,3,4,5,6,7,8,9,10,11,12},0)),IF(ISNUMBER(MATCH(G6,{1,5,9,11},0)),"✓ Benefic H","✗ Non-benefic H"),"—")),"—")</f>
        <v>—</v>
      </c>
      <c r="I6" t="str">
        <f>IF(REF_Config!$B$6="KP","▶ KP active","◦ Switch B6 to KP")</f>
        <v>◦ Switch B6 to KP</v>
      </c>
    </row>
    <row r="7" spans="1:9" ht="15" customHeight="1" x14ac:dyDescent="0.2">
      <c r="A7" t="s">
        <v>267</v>
      </c>
      <c r="B7">
        <f>CALC_PlanetPositions!$D$8</f>
        <v>93.983500000000006</v>
      </c>
      <c r="C7" t="str">
        <f>IFERROR(INDEX({"Ashwini","Bharani","Krittika","Rohini","Mrigashira","Ardra","Punarvasu","Pushya","Ashlesha","Magha","Purva Phalguni","Uttara Phalguni","Hasta","Chitra","Swati","Vishakha","Anuradha","Jyeshtha","Mula","Purva Ashadha","Uttara Ashadha","Shravana","Dhanishtha","Shatabhisha","Purva Bhadrapada","Uttara Bhadrapada","Revati"},INT(B7/(40/3))+1),"—")</f>
        <v>Pushya</v>
      </c>
      <c r="D7" t="str">
        <f>IFERROR(INDEX({"Ketu","Venus","Sun","Moon","Mars","Rahu","Jupiter","Saturn","Mercury"},MOD(INT(B7/(40/3)),9)+1),"—")</f>
        <v>Saturn</v>
      </c>
      <c r="E7">
        <f t="shared" si="0"/>
        <v>0.6502</v>
      </c>
      <c r="F7" s="615" t="str">
        <f>IFERROR(IF(REF_Config!$B$6&lt;&gt;"KP","— (KP school only)",_xludf.let(al,B7,nak,INT(al/(40/3)),pos,MOD(al,(40/3)),k,MOD(nak,9),cum,{0.7778,2.9999,3.6666,4.7777,5.5555,7.5555,9.3333,11.4444,13.3333},slot,IFERROR(MATCH(TRUE(),pos&lt;cum,0),9),lords,{"Ketu","Venus","Sun","Moon","Mars","Rahu","Jupiter","Saturn","Mercury"},INDEX(lords,1,MOD(k+slot-1,9)+1))),"—")</f>
        <v>— (KP school only)</v>
      </c>
      <c r="G7" t="str">
        <f>IFERROR(IF(OR(REF_Config!$B$6&lt;&gt;"KP",F7="—"),"—",_xludf.switch(F7,"Sun",CALC_BhaveshMap!$H$6,"Moon",CALC_BhaveshMap!$H$7,"Mars",CALC_BhaveshMap!$H$8,"Mercury",CALC_BhaveshMap!$H$9,"Jupiter",CALC_BhaveshMap!$H$10,"Venus",CALC_BhaveshMap!$H$11,"Saturn",CALC_BhaveshMap!$H$12,"Rahu",CALC_BhaveshMap!$H$13,"Ketu",CALC_BhaveshMap!$H$14,"—")),"—")</f>
        <v>—</v>
      </c>
      <c r="H7" t="str">
        <f>IFERROR(IF(OR(REF_Config!$B$6&lt;&gt;"KP",G7="—"),"—",IF(ISNUMBER(MATCH(G7,{1,2,3,4,5,6,7,8,9,10,11,12},0)),IF(ISNUMBER(MATCH(G7,{1,5,9,11},0)),"✓ Benefic H","✗ Non-benefic H"),"—")),"—")</f>
        <v>—</v>
      </c>
      <c r="I7" t="str">
        <f>IF(REF_Config!$B$6="KP","▶ KP active","◦ Switch B6 to KP")</f>
        <v>◦ Switch B6 to KP</v>
      </c>
    </row>
    <row r="8" spans="1:9" ht="15" customHeight="1" x14ac:dyDescent="0.2">
      <c r="A8" t="s">
        <v>268</v>
      </c>
      <c r="B8">
        <f>CALC_PlanetPositions!$D$9</f>
        <v>67.456199999999995</v>
      </c>
      <c r="C8" t="str">
        <f>IFERROR(INDEX({"Ashwini","Bharani","Krittika","Rohini","Mrigashira","Ardra","Punarvasu","Pushya","Ashlesha","Magha","Purva Phalguni","Uttara Phalguni","Hasta","Chitra","Swati","Vishakha","Anuradha","Jyeshtha","Mula","Purva Ashadha","Uttara Ashadha","Shravana","Dhanishtha","Shatabhisha","Purva Bhadrapada","Uttara Bhadrapada","Revati"},INT(B8/(40/3))+1),"—")</f>
        <v>Ardra</v>
      </c>
      <c r="D8" t="str">
        <f>IFERROR(INDEX({"Ketu","Venus","Sun","Moon","Mars","Rahu","Jupiter","Saturn","Mercury"},MOD(INT(B8/(40/3)),9)+1),"—")</f>
        <v>Rahu</v>
      </c>
      <c r="E8">
        <f t="shared" si="0"/>
        <v>0.78949999999999998</v>
      </c>
      <c r="F8" s="615" t="str">
        <f>IFERROR(IF(REF_Config!$B$6&lt;&gt;"KP","— (KP school only)",_xludf.let(al,B8,nak,INT(al/(40/3)),pos,MOD(al,(40/3)),k,MOD(nak,9),cum,{0.7778,2.9999,3.6666,4.7777,5.5555,7.5555,9.3333,11.4444,13.3333},slot,IFERROR(MATCH(TRUE(),pos&lt;cum,0),9),lords,{"Ketu","Venus","Sun","Moon","Mars","Rahu","Jupiter","Saturn","Mercury"},INDEX(lords,1,MOD(k+slot-1,9)+1))),"—")</f>
        <v>— (KP school only)</v>
      </c>
      <c r="G8" t="str">
        <f>IFERROR(IF(OR(REF_Config!$B$6&lt;&gt;"KP",F8="—"),"—",_xludf.switch(F8,"Sun",CALC_BhaveshMap!$H$6,"Moon",CALC_BhaveshMap!$H$7,"Mars",CALC_BhaveshMap!$H$8,"Mercury",CALC_BhaveshMap!$H$9,"Jupiter",CALC_BhaveshMap!$H$10,"Venus",CALC_BhaveshMap!$H$11,"Saturn",CALC_BhaveshMap!$H$12,"Rahu",CALC_BhaveshMap!$H$13,"Ketu",CALC_BhaveshMap!$H$14,"—")),"—")</f>
        <v>—</v>
      </c>
      <c r="H8" t="str">
        <f>IFERROR(IF(OR(REF_Config!$B$6&lt;&gt;"KP",G8="—"),"—",IF(ISNUMBER(MATCH(G8,{1,2,3,4,5,6,7,8,9,10,11,12},0)),IF(ISNUMBER(MATCH(G8,{1,5,9,11},0)),"✓ Benefic H","✗ Non-benefic H"),"—")),"—")</f>
        <v>—</v>
      </c>
      <c r="I8" t="str">
        <f>IF(REF_Config!$B$6="KP","▶ KP active","◦ Switch B6 to KP")</f>
        <v>◦ Switch B6 to KP</v>
      </c>
    </row>
    <row r="9" spans="1:9" ht="15" customHeight="1" x14ac:dyDescent="0.2">
      <c r="A9" t="s">
        <v>269</v>
      </c>
      <c r="B9">
        <f>CALC_PlanetPositions!$D$10</f>
        <v>103.6743</v>
      </c>
      <c r="C9" t="str">
        <f>IFERROR(INDEX({"Ashwini","Bharani","Krittika","Rohini","Mrigashira","Ardra","Punarvasu","Pushya","Ashlesha","Magha","Purva Phalguni","Uttara Phalguni","Hasta","Chitra","Swati","Vishakha","Anuradha","Jyeshtha","Mula","Purva Ashadha","Uttara Ashadha","Shravana","Dhanishtha","Shatabhisha","Purva Bhadrapada","Uttara Bhadrapada","Revati"},INT(B9/(40/3))+1),"—")</f>
        <v>Pushya</v>
      </c>
      <c r="D9" t="str">
        <f>IFERROR(INDEX({"Ketu","Venus","Sun","Moon","Mars","Rahu","Jupiter","Saturn","Mercury"},MOD(INT(B9/(40/3)),9)+1),"—")</f>
        <v>Saturn</v>
      </c>
      <c r="E9">
        <f t="shared" si="0"/>
        <v>10.340999999999999</v>
      </c>
      <c r="F9" s="615" t="str">
        <f>IFERROR(IF(REF_Config!$B$6&lt;&gt;"KP","— (KP school only)",_xludf.let(al,B9,nak,INT(al/(40/3)),pos,MOD(al,(40/3)),k,MOD(nak,9),cum,{0.7778,2.9999,3.6666,4.7777,5.5555,7.5555,9.3333,11.4444,13.3333},slot,IFERROR(MATCH(TRUE(),pos&lt;cum,0),9),lords,{"Ketu","Venus","Sun","Moon","Mars","Rahu","Jupiter","Saturn","Mercury"},INDEX(lords,1,MOD(k+slot-1,9)+1))),"—")</f>
        <v>— (KP school only)</v>
      </c>
      <c r="G9" t="str">
        <f>IFERROR(IF(OR(REF_Config!$B$6&lt;&gt;"KP",F9="—"),"—",_xludf.switch(F9,"Sun",CALC_BhaveshMap!$H$6,"Moon",CALC_BhaveshMap!$H$7,"Mars",CALC_BhaveshMap!$H$8,"Mercury",CALC_BhaveshMap!$H$9,"Jupiter",CALC_BhaveshMap!$H$10,"Venus",CALC_BhaveshMap!$H$11,"Saturn",CALC_BhaveshMap!$H$12,"Rahu",CALC_BhaveshMap!$H$13,"Ketu",CALC_BhaveshMap!$H$14,"—")),"—")</f>
        <v>—</v>
      </c>
      <c r="H9" t="str">
        <f>IFERROR(IF(OR(REF_Config!$B$6&lt;&gt;"KP",G9="—"),"—",IF(ISNUMBER(MATCH(G9,{1,2,3,4,5,6,7,8,9,10,11,12},0)),IF(ISNUMBER(MATCH(G9,{1,5,9,11},0)),"✓ Benefic H","✗ Non-benefic H"),"—")),"—")</f>
        <v>—</v>
      </c>
      <c r="I9" t="str">
        <f>IF(REF_Config!$B$6="KP","▶ KP active","◦ Switch B6 to KP")</f>
        <v>◦ Switch B6 to KP</v>
      </c>
    </row>
    <row r="10" spans="1:9" ht="15" customHeight="1" x14ac:dyDescent="0.2">
      <c r="A10" t="s">
        <v>270</v>
      </c>
      <c r="B10">
        <f>CALC_PlanetPositions!$D$11</f>
        <v>205.8777</v>
      </c>
      <c r="C10" t="str">
        <f>IFERROR(INDEX({"Ashwini","Bharani","Krittika","Rohini","Mrigashira","Ardra","Punarvasu","Pushya","Ashlesha","Magha","Purva Phalguni","Uttara Phalguni","Hasta","Chitra","Swati","Vishakha","Anuradha","Jyeshtha","Mula","Purva Ashadha","Uttara Ashadha","Shravana","Dhanishtha","Shatabhisha","Purva Bhadrapada","Uttara Bhadrapada","Revati"},INT(B10/(40/3))+1),"—")</f>
        <v>Vishakha</v>
      </c>
      <c r="D10" t="str">
        <f>IFERROR(INDEX({"Ketu","Venus","Sun","Moon","Mars","Rahu","Jupiter","Saturn","Mercury"},MOD(INT(B10/(40/3)),9)+1),"—")</f>
        <v>Jupiter</v>
      </c>
      <c r="E10">
        <f t="shared" si="0"/>
        <v>5.8776999999999999</v>
      </c>
      <c r="F10" s="615" t="str">
        <f>IFERROR(IF(REF_Config!$B$6&lt;&gt;"KP","— (KP school only)",_xludf.let(al,B10,nak,INT(al/(40/3)),pos,MOD(al,(40/3)),k,MOD(nak,9),cum,{0.7778,2.9999,3.6666,4.7777,5.5555,7.5555,9.3333,11.4444,13.3333},slot,IFERROR(MATCH(TRUE(),pos&lt;cum,0),9),lords,{"Ketu","Venus","Sun","Moon","Mars","Rahu","Jupiter","Saturn","Mercury"},INDEX(lords,1,MOD(k+slot-1,9)+1))),"—")</f>
        <v>— (KP school only)</v>
      </c>
      <c r="G10" t="str">
        <f>IFERROR(IF(OR(REF_Config!$B$6&lt;&gt;"KP",F10="—"),"—",_xludf.switch(F10,"Sun",CALC_BhaveshMap!$H$6,"Moon",CALC_BhaveshMap!$H$7,"Mars",CALC_BhaveshMap!$H$8,"Mercury",CALC_BhaveshMap!$H$9,"Jupiter",CALC_BhaveshMap!$H$10,"Venus",CALC_BhaveshMap!$H$11,"Saturn",CALC_BhaveshMap!$H$12,"Rahu",CALC_BhaveshMap!$H$13,"Ketu",CALC_BhaveshMap!$H$14,"—")),"—")</f>
        <v>—</v>
      </c>
      <c r="H10" t="str">
        <f>IFERROR(IF(OR(REF_Config!$B$6&lt;&gt;"KP",G10="—"),"—",IF(ISNUMBER(MATCH(G10,{1,2,3,4,5,6,7,8,9,10,11,12},0)),IF(ISNUMBER(MATCH(G10,{1,5,9,11},0)),"✓ Benefic H","✗ Non-benefic H"),"—")),"—")</f>
        <v>—</v>
      </c>
      <c r="I10" t="str">
        <f>IF(REF_Config!$B$6="KP","▶ KP active","◦ Switch B6 to KP")</f>
        <v>◦ Switch B6 to KP</v>
      </c>
    </row>
    <row r="11" spans="1:9" ht="15" customHeight="1" x14ac:dyDescent="0.2">
      <c r="A11" t="s">
        <v>271</v>
      </c>
      <c r="B11">
        <f>CALC_PlanetPositions!$D$12</f>
        <v>112.5612</v>
      </c>
      <c r="C11" t="str">
        <f>IFERROR(INDEX({"Ashwini","Bharani","Krittika","Rohini","Mrigashira","Ardra","Punarvasu","Pushya","Ashlesha","Magha","Purva Phalguni","Uttara Phalguni","Hasta","Chitra","Swati","Vishakha","Anuradha","Jyeshtha","Mula","Purva Ashadha","Uttara Ashadha","Shravana","Dhanishtha","Shatabhisha","Purva Bhadrapada","Uttara Bhadrapada","Revati"},INT(B11/(40/3))+1),"—")</f>
        <v>Ashlesha</v>
      </c>
      <c r="D11" t="str">
        <f>IFERROR(INDEX({"Ketu","Venus","Sun","Moon","Mars","Rahu","Jupiter","Saturn","Mercury"},MOD(INT(B11/(40/3)),9)+1),"—")</f>
        <v>Mercury</v>
      </c>
      <c r="E11">
        <f t="shared" si="0"/>
        <v>5.8944999999999999</v>
      </c>
      <c r="F11" s="615" t="str">
        <f>IFERROR(IF(REF_Config!$B$6&lt;&gt;"KP","— (KP school only)",_xludf.let(al,B11,nak,INT(al/(40/3)),pos,MOD(al,(40/3)),k,MOD(nak,9),cum,{0.7778,2.9999,3.6666,4.7777,5.5555,7.5555,9.3333,11.4444,13.3333},slot,IFERROR(MATCH(TRUE(),pos&lt;cum,0),9),lords,{"Ketu","Venus","Sun","Moon","Mars","Rahu","Jupiter","Saturn","Mercury"},INDEX(lords,1,MOD(k+slot-1,9)+1))),"—")</f>
        <v>— (KP school only)</v>
      </c>
      <c r="G11" t="str">
        <f>IFERROR(IF(OR(REF_Config!$B$6&lt;&gt;"KP",F11="—"),"—",_xludf.switch(F11,"Sun",CALC_BhaveshMap!$H$6,"Moon",CALC_BhaveshMap!$H$7,"Mars",CALC_BhaveshMap!$H$8,"Mercury",CALC_BhaveshMap!$H$9,"Jupiter",CALC_BhaveshMap!$H$10,"Venus",CALC_BhaveshMap!$H$11,"Saturn",CALC_BhaveshMap!$H$12,"Rahu",CALC_BhaveshMap!$H$13,"Ketu",CALC_BhaveshMap!$H$14,"—")),"—")</f>
        <v>—</v>
      </c>
      <c r="H11" t="str">
        <f>IFERROR(IF(OR(REF_Config!$B$6&lt;&gt;"KP",G11="—"),"—",IF(ISNUMBER(MATCH(G11,{1,2,3,4,5,6,7,8,9,10,11,12},0)),IF(ISNUMBER(MATCH(G11,{1,5,9,11},0)),"✓ Benefic H","✗ Non-benefic H"),"—")),"—")</f>
        <v>—</v>
      </c>
      <c r="I11" t="str">
        <f>IF(REF_Config!$B$6="KP","▶ KP active","◦ Switch B6 to KP")</f>
        <v>◦ Switch B6 to KP</v>
      </c>
    </row>
    <row r="12" spans="1:9" ht="15" customHeight="1" x14ac:dyDescent="0.2">
      <c r="A12" t="s">
        <v>272</v>
      </c>
      <c r="B12">
        <f>CALC_PlanetPositions!$D$13</f>
        <v>110.473</v>
      </c>
      <c r="C12" t="str">
        <f>IFERROR(INDEX({"Ashwini","Bharani","Krittika","Rohini","Mrigashira","Ardra","Punarvasu","Pushya","Ashlesha","Magha","Purva Phalguni","Uttara Phalguni","Hasta","Chitra","Swati","Vishakha","Anuradha","Jyeshtha","Mula","Purva Ashadha","Uttara Ashadha","Shravana","Dhanishtha","Shatabhisha","Purva Bhadrapada","Uttara Bhadrapada","Revati"},INT(B12/(40/3))+1),"—")</f>
        <v>Ashlesha</v>
      </c>
      <c r="D12" t="str">
        <f>IFERROR(INDEX({"Ketu","Venus","Sun","Moon","Mars","Rahu","Jupiter","Saturn","Mercury"},MOD(INT(B12/(40/3)),9)+1),"—")</f>
        <v>Mercury</v>
      </c>
      <c r="E12">
        <f t="shared" si="0"/>
        <v>3.8062999999999998</v>
      </c>
      <c r="F12" s="615" t="str">
        <f>IFERROR(IF(REF_Config!$B$6&lt;&gt;"KP","— (KP school only)",_xludf.let(al,B12,nak,INT(al/(40/3)),pos,MOD(al,(40/3)),k,MOD(nak,9),cum,{0.7778,2.9999,3.6666,4.7777,5.5555,7.5555,9.3333,11.4444,13.3333},slot,IFERROR(MATCH(TRUE(),pos&lt;cum,0),9),lords,{"Ketu","Venus","Sun","Moon","Mars","Rahu","Jupiter","Saturn","Mercury"},INDEX(lords,1,MOD(k+slot-1,9)+1))),"—")</f>
        <v>— (KP school only)</v>
      </c>
      <c r="G12" t="str">
        <f>IFERROR(IF(OR(REF_Config!$B$6&lt;&gt;"KP",F12="—"),"—",_xludf.switch(F12,"Sun",CALC_BhaveshMap!$H$6,"Moon",CALC_BhaveshMap!$H$7,"Mars",CALC_BhaveshMap!$H$8,"Mercury",CALC_BhaveshMap!$H$9,"Jupiter",CALC_BhaveshMap!$H$10,"Venus",CALC_BhaveshMap!$H$11,"Saturn",CALC_BhaveshMap!$H$12,"Rahu",CALC_BhaveshMap!$H$13,"Ketu",CALC_BhaveshMap!$H$14,"—")),"—")</f>
        <v>—</v>
      </c>
      <c r="H12" t="str">
        <f>IFERROR(IF(OR(REF_Config!$B$6&lt;&gt;"KP",G12="—"),"—",IF(ISNUMBER(MATCH(G12,{1,2,3,4,5,6,7,8,9,10,11,12},0)),IF(ISNUMBER(MATCH(G12,{1,5,9,11},0)),"✓ Benefic H","✗ Non-benefic H"),"—")),"—")</f>
        <v>—</v>
      </c>
      <c r="I12" t="str">
        <f>IF(REF_Config!$B$6="KP","▶ KP active","◦ Switch B6 to KP")</f>
        <v>◦ Switch B6 to KP</v>
      </c>
    </row>
    <row r="13" spans="1:9" ht="15" customHeight="1" x14ac:dyDescent="0.2">
      <c r="A13" t="s">
        <v>273</v>
      </c>
      <c r="B13">
        <f>CALC_PlanetPositions!$D$14</f>
        <v>35.069699999999997</v>
      </c>
      <c r="C13" t="str">
        <f>IFERROR(INDEX({"Ashwini","Bharani","Krittika","Rohini","Mrigashira","Ardra","Punarvasu","Pushya","Ashlesha","Magha","Purva Phalguni","Uttara Phalguni","Hasta","Chitra","Swati","Vishakha","Anuradha","Jyeshtha","Mula","Purva Ashadha","Uttara Ashadha","Shravana","Dhanishtha","Shatabhisha","Purva Bhadrapada","Uttara Bhadrapada","Revati"},INT(B13/(40/3))+1),"—")</f>
        <v>Krittika</v>
      </c>
      <c r="D13" t="str">
        <f>IFERROR(INDEX({"Ketu","Venus","Sun","Moon","Mars","Rahu","Jupiter","Saturn","Mercury"},MOD(INT(B13/(40/3)),9)+1),"—")</f>
        <v>Sun</v>
      </c>
      <c r="E13">
        <f t="shared" si="0"/>
        <v>8.4030000000000005</v>
      </c>
      <c r="F13" s="615" t="str">
        <f>IFERROR(IF(REF_Config!$B$6&lt;&gt;"KP","— (KP school only)",_xludf.let(al,B13,nak,INT(al/(40/3)),pos,MOD(al,(40/3)),k,MOD(nak,9),cum,{0.7778,2.9999,3.6666,4.7777,5.5555,7.5555,9.3333,11.4444,13.3333},slot,IFERROR(MATCH(TRUE(),pos&lt;cum,0),9),lords,{"Ketu","Venus","Sun","Moon","Mars","Rahu","Jupiter","Saturn","Mercury"},INDEX(lords,1,MOD(k+slot-1,9)+1))),"—")</f>
        <v>— (KP school only)</v>
      </c>
      <c r="G13" t="str">
        <f>IFERROR(IF(OR(REF_Config!$B$6&lt;&gt;"KP",F13="—"),"—",_xludf.switch(F13,"Sun",CALC_BhaveshMap!$H$6,"Moon",CALC_BhaveshMap!$H$7,"Mars",CALC_BhaveshMap!$H$8,"Mercury",CALC_BhaveshMap!$H$9,"Jupiter",CALC_BhaveshMap!$H$10,"Venus",CALC_BhaveshMap!$H$11,"Saturn",CALC_BhaveshMap!$H$12,"Rahu",CALC_BhaveshMap!$H$13,"Ketu",CALC_BhaveshMap!$H$14,"—")),"—")</f>
        <v>—</v>
      </c>
      <c r="H13" t="str">
        <f>IFERROR(IF(OR(REF_Config!$B$6&lt;&gt;"KP",G13="—"),"—",IF(ISNUMBER(MATCH(G13,{1,2,3,4,5,6,7,8,9,10,11,12},0)),IF(ISNUMBER(MATCH(G13,{1,5,9,11},0)),"✓ Benefic H","✗ Non-benefic H"),"—")),"—")</f>
        <v>—</v>
      </c>
      <c r="I13" t="str">
        <f>IF(REF_Config!$B$6="KP","▶ KP active","◦ Switch B6 to KP")</f>
        <v>◦ Switch B6 to KP</v>
      </c>
    </row>
    <row r="14" spans="1:9" ht="15" customHeight="1" x14ac:dyDescent="0.2">
      <c r="A14" t="s">
        <v>274</v>
      </c>
      <c r="B14">
        <f>CALC_PlanetPositions!$D$15</f>
        <v>215.06970000000001</v>
      </c>
      <c r="C14" t="str">
        <f>IFERROR(INDEX({"Ashwini","Bharani","Krittika","Rohini","Mrigashira","Ardra","Punarvasu","Pushya","Ashlesha","Magha","Purva Phalguni","Uttara Phalguni","Hasta","Chitra","Swati","Vishakha","Anuradha","Jyeshtha","Mula","Purva Ashadha","Uttara Ashadha","Shravana","Dhanishtha","Shatabhisha","Purva Bhadrapada","Uttara Bhadrapada","Revati"},INT(B14/(40/3))+1),"—")</f>
        <v>Anuradha</v>
      </c>
      <c r="D14" t="str">
        <f>IFERROR(INDEX({"Ketu","Venus","Sun","Moon","Mars","Rahu","Jupiter","Saturn","Mercury"},MOD(INT(B14/(40/3)),9)+1),"—")</f>
        <v>Saturn</v>
      </c>
      <c r="E14">
        <f t="shared" si="0"/>
        <v>1.7363999999999999</v>
      </c>
      <c r="F14" s="615" t="str">
        <f>IFERROR(IF(REF_Config!$B$6&lt;&gt;"KP","— (KP school only)",_xludf.let(al,B14,nak,INT(al/(40/3)),pos,MOD(al,(40/3)),k,MOD(nak,9),cum,{0.7778,2.9999,3.6666,4.7777,5.5555,7.5555,9.3333,11.4444,13.3333},slot,IFERROR(MATCH(TRUE(),pos&lt;cum,0),9),lords,{"Ketu","Venus","Sun","Moon","Mars","Rahu","Jupiter","Saturn","Mercury"},INDEX(lords,1,MOD(k+slot-1,9)+1))),"—")</f>
        <v>— (KP school only)</v>
      </c>
      <c r="G14" t="str">
        <f>IFERROR(IF(OR(REF_Config!$B$6&lt;&gt;"KP",F14="—"),"—",_xludf.switch(F14,"Sun",CALC_BhaveshMap!$H$6,"Moon",CALC_BhaveshMap!$H$7,"Mars",CALC_BhaveshMap!$H$8,"Mercury",CALC_BhaveshMap!$H$9,"Jupiter",CALC_BhaveshMap!$H$10,"Venus",CALC_BhaveshMap!$H$11,"Saturn",CALC_BhaveshMap!$H$12,"Rahu",CALC_BhaveshMap!$H$13,"Ketu",CALC_BhaveshMap!$H$14,"—")),"—")</f>
        <v>—</v>
      </c>
      <c r="H14" t="str">
        <f>IFERROR(IF(OR(REF_Config!$B$6&lt;&gt;"KP",G14="—"),"—",IF(ISNUMBER(MATCH(G14,{1,2,3,4,5,6,7,8,9,10,11,12},0)),IF(ISNUMBER(MATCH(G14,{1,5,9,11},0)),"✓ Benefic H","✗ Non-benefic H"),"—")),"—")</f>
        <v>—</v>
      </c>
      <c r="I14" t="str">
        <f>IF(REF_Config!$B$6="KP","▶ KP active","◦ Switch B6 to KP")</f>
        <v>◦ Switch B6 to KP</v>
      </c>
    </row>
    <row r="16" spans="1:9" ht="45.75" customHeight="1" x14ac:dyDescent="0.2">
      <c r="A16" s="616" t="s">
        <v>2953</v>
      </c>
    </row>
    <row r="17" spans="1:9" ht="90" customHeight="1" x14ac:dyDescent="0.2">
      <c r="A17" s="1527" t="s">
        <v>2954</v>
      </c>
      <c r="B17" s="1527"/>
      <c r="C17" s="1527"/>
      <c r="D17" s="1527"/>
      <c r="E17" s="1527"/>
      <c r="F17" s="1527"/>
      <c r="G17" s="1527"/>
      <c r="H17" s="1527"/>
      <c r="I17" s="1527"/>
    </row>
  </sheetData>
  <mergeCells count="1">
    <mergeCell ref="A17:I17"/>
  </mergeCell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565C0"/>
  </sheetPr>
  <dimension ref="A1:H21"/>
  <sheetViews>
    <sheetView zoomScaleNormal="100" workbookViewId="0"/>
  </sheetViews>
  <sheetFormatPr defaultColWidth="8.609375" defaultRowHeight="15" x14ac:dyDescent="0.2"/>
  <cols>
    <col min="1" max="1" width="20.04296875" customWidth="1"/>
    <col min="2" max="2" width="22.05859375" customWidth="1"/>
    <col min="3" max="3" width="20.04296875" customWidth="1"/>
    <col min="4" max="5" width="16.0078125" customWidth="1"/>
    <col min="6" max="6" width="39.953125" customWidth="1"/>
  </cols>
  <sheetData>
    <row r="1" spans="1:8" ht="21.75" customHeight="1" x14ac:dyDescent="0.2">
      <c r="A1" s="1522" t="s">
        <v>2955</v>
      </c>
      <c r="B1" s="1522"/>
      <c r="C1" s="1522"/>
      <c r="D1" s="1522"/>
      <c r="E1" s="1522"/>
      <c r="F1" s="1522"/>
      <c r="H1" s="601" t="s">
        <v>2214</v>
      </c>
    </row>
    <row r="2" spans="1:8" ht="24" customHeight="1" x14ac:dyDescent="0.2">
      <c r="A2" s="1523" t="s">
        <v>2956</v>
      </c>
      <c r="B2" s="1523"/>
      <c r="C2" s="1523"/>
      <c r="D2" s="1523"/>
      <c r="E2" s="1523"/>
      <c r="F2" s="1523"/>
    </row>
    <row r="4" spans="1:8" ht="18" customHeight="1" x14ac:dyDescent="0.2">
      <c r="A4" s="1524" t="s">
        <v>2957</v>
      </c>
      <c r="B4" s="1524"/>
      <c r="C4" s="1524"/>
      <c r="D4" s="1524"/>
      <c r="E4" s="1524"/>
      <c r="F4" s="1524"/>
    </row>
    <row r="5" spans="1:8" ht="15.75" customHeight="1" x14ac:dyDescent="0.2">
      <c r="A5" s="545" t="s">
        <v>319</v>
      </c>
      <c r="B5" s="545" t="s">
        <v>2958</v>
      </c>
      <c r="C5" s="545" t="s">
        <v>2959</v>
      </c>
      <c r="D5" s="545" t="s">
        <v>2960</v>
      </c>
      <c r="E5" s="545" t="s">
        <v>2961</v>
      </c>
      <c r="F5" s="545" t="s">
        <v>282</v>
      </c>
    </row>
    <row r="6" spans="1:8" ht="18" customHeight="1" x14ac:dyDescent="0.2">
      <c r="A6" s="578" t="s">
        <v>265</v>
      </c>
      <c r="B6" s="618" t="s">
        <v>2962</v>
      </c>
      <c r="C6" s="548" t="s">
        <v>2963</v>
      </c>
      <c r="D6" s="575" t="s">
        <v>2964</v>
      </c>
      <c r="E6" s="566" t="s">
        <v>2965</v>
      </c>
      <c r="F6" s="550" t="s">
        <v>2966</v>
      </c>
    </row>
    <row r="7" spans="1:8" ht="18" customHeight="1" x14ac:dyDescent="0.2">
      <c r="A7" s="580" t="s">
        <v>266</v>
      </c>
      <c r="B7" s="619" t="s">
        <v>2967</v>
      </c>
      <c r="C7" s="552" t="s">
        <v>2968</v>
      </c>
      <c r="D7" s="577" t="s">
        <v>2964</v>
      </c>
      <c r="E7" s="570" t="s">
        <v>2969</v>
      </c>
      <c r="F7" s="554"/>
    </row>
    <row r="8" spans="1:8" ht="18" customHeight="1" x14ac:dyDescent="0.2">
      <c r="A8" s="578" t="s">
        <v>267</v>
      </c>
      <c r="B8" s="618" t="s">
        <v>2970</v>
      </c>
      <c r="C8" s="548" t="s">
        <v>2971</v>
      </c>
      <c r="D8" s="575" t="s">
        <v>2964</v>
      </c>
      <c r="E8" s="566" t="s">
        <v>2972</v>
      </c>
      <c r="F8" s="550" t="s">
        <v>2973</v>
      </c>
    </row>
    <row r="9" spans="1:8" ht="18" customHeight="1" x14ac:dyDescent="0.2">
      <c r="A9" s="580" t="s">
        <v>268</v>
      </c>
      <c r="B9" s="619" t="s">
        <v>2974</v>
      </c>
      <c r="C9" s="552" t="s">
        <v>2975</v>
      </c>
      <c r="D9" s="577" t="s">
        <v>2964</v>
      </c>
      <c r="E9" s="570" t="s">
        <v>2976</v>
      </c>
      <c r="F9" s="554"/>
    </row>
    <row r="10" spans="1:8" ht="18" customHeight="1" x14ac:dyDescent="0.2">
      <c r="A10" s="578" t="s">
        <v>269</v>
      </c>
      <c r="B10" s="618" t="s">
        <v>2977</v>
      </c>
      <c r="C10" s="548" t="s">
        <v>2978</v>
      </c>
      <c r="D10" s="575" t="s">
        <v>2964</v>
      </c>
      <c r="E10" s="566" t="s">
        <v>2979</v>
      </c>
      <c r="F10" s="550"/>
    </row>
    <row r="11" spans="1:8" ht="18" customHeight="1" x14ac:dyDescent="0.2">
      <c r="A11" s="580" t="s">
        <v>270</v>
      </c>
      <c r="B11" s="619" t="s">
        <v>2980</v>
      </c>
      <c r="C11" s="552" t="s">
        <v>2981</v>
      </c>
      <c r="D11" s="577" t="s">
        <v>2964</v>
      </c>
      <c r="E11" s="570" t="s">
        <v>2982</v>
      </c>
      <c r="F11" s="554"/>
    </row>
    <row r="12" spans="1:8" ht="18" customHeight="1" x14ac:dyDescent="0.2">
      <c r="A12" s="578" t="s">
        <v>271</v>
      </c>
      <c r="B12" s="618" t="s">
        <v>2983</v>
      </c>
      <c r="C12" s="548" t="s">
        <v>2984</v>
      </c>
      <c r="D12" s="575" t="s">
        <v>2964</v>
      </c>
      <c r="E12" s="566" t="s">
        <v>2985</v>
      </c>
      <c r="F12" s="550"/>
    </row>
    <row r="13" spans="1:8" ht="18" customHeight="1" x14ac:dyDescent="0.2">
      <c r="A13" s="580" t="s">
        <v>272</v>
      </c>
      <c r="B13" s="619" t="s">
        <v>2986</v>
      </c>
      <c r="C13" s="552" t="s">
        <v>2987</v>
      </c>
      <c r="D13" s="577" t="s">
        <v>2964</v>
      </c>
      <c r="E13" s="570" t="s">
        <v>2988</v>
      </c>
      <c r="F13" s="554"/>
    </row>
    <row r="14" spans="1:8" ht="18" customHeight="1" x14ac:dyDescent="0.2">
      <c r="A14" s="578" t="s">
        <v>273</v>
      </c>
      <c r="B14" s="618" t="s">
        <v>2989</v>
      </c>
      <c r="C14" s="548" t="s">
        <v>2990</v>
      </c>
      <c r="D14" s="575" t="s">
        <v>2964</v>
      </c>
      <c r="E14" s="566" t="s">
        <v>2991</v>
      </c>
      <c r="F14" s="550" t="s">
        <v>2992</v>
      </c>
    </row>
    <row r="15" spans="1:8" ht="18" customHeight="1" x14ac:dyDescent="0.2">
      <c r="A15" s="580" t="s">
        <v>274</v>
      </c>
      <c r="B15" s="619" t="s">
        <v>2993</v>
      </c>
      <c r="C15" s="552" t="s">
        <v>2994</v>
      </c>
      <c r="D15" s="577" t="s">
        <v>2964</v>
      </c>
      <c r="E15" s="570" t="s">
        <v>2995</v>
      </c>
      <c r="F15" s="554" t="s">
        <v>2996</v>
      </c>
    </row>
    <row r="16" spans="1:8" ht="18" customHeight="1" x14ac:dyDescent="0.2">
      <c r="A16" s="578" t="s">
        <v>2226</v>
      </c>
      <c r="B16" s="618" t="s">
        <v>2997</v>
      </c>
      <c r="C16" s="548" t="s">
        <v>2998</v>
      </c>
      <c r="D16" s="575" t="s">
        <v>7</v>
      </c>
      <c r="E16" s="566" t="s">
        <v>2999</v>
      </c>
      <c r="F16" s="550" t="s">
        <v>3000</v>
      </c>
    </row>
    <row r="17" spans="1:6" ht="18" customHeight="1" x14ac:dyDescent="0.2">
      <c r="A17" s="580" t="s">
        <v>3001</v>
      </c>
      <c r="B17" s="619" t="s">
        <v>2970</v>
      </c>
      <c r="C17" s="552" t="s">
        <v>3002</v>
      </c>
      <c r="D17" s="577" t="s">
        <v>7</v>
      </c>
      <c r="E17" s="570" t="s">
        <v>3003</v>
      </c>
      <c r="F17" s="554" t="s">
        <v>3004</v>
      </c>
    </row>
    <row r="20" spans="1:6" ht="18" customHeight="1" x14ac:dyDescent="0.2">
      <c r="A20" s="1524" t="s">
        <v>3005</v>
      </c>
      <c r="B20" s="1524"/>
      <c r="C20" s="1524"/>
      <c r="D20" s="1524"/>
      <c r="E20" s="1524"/>
      <c r="F20" s="1524"/>
    </row>
    <row r="21" spans="1:6" ht="139.5" customHeight="1" x14ac:dyDescent="0.2">
      <c r="A21" s="1526" t="s">
        <v>3006</v>
      </c>
      <c r="B21" s="1526"/>
      <c r="C21" s="1526"/>
      <c r="D21" s="1526"/>
      <c r="E21" s="1526"/>
      <c r="F21" s="1526"/>
    </row>
  </sheetData>
  <mergeCells count="5">
    <mergeCell ref="A1:F1"/>
    <mergeCell ref="A2:F2"/>
    <mergeCell ref="A4:F4"/>
    <mergeCell ref="A20:F20"/>
    <mergeCell ref="A21:F21"/>
  </mergeCell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565C0"/>
  </sheetPr>
  <dimension ref="A1:I35"/>
  <sheetViews>
    <sheetView zoomScaleNormal="100" workbookViewId="0"/>
  </sheetViews>
  <sheetFormatPr defaultColWidth="8.609375" defaultRowHeight="15" x14ac:dyDescent="0.2"/>
  <cols>
    <col min="1" max="2" width="7.93359375" customWidth="1"/>
    <col min="3" max="4" width="18.0234375" customWidth="1"/>
    <col min="5" max="5" width="13.98828125" customWidth="1"/>
    <col min="6" max="6" width="11.97265625" customWidth="1"/>
    <col min="7" max="7" width="50.04296875" customWidth="1"/>
  </cols>
  <sheetData>
    <row r="1" spans="1:9" ht="21.75" customHeight="1" x14ac:dyDescent="0.2">
      <c r="A1" s="1522" t="s">
        <v>3007</v>
      </c>
      <c r="B1" s="1522"/>
      <c r="C1" s="1522"/>
      <c r="D1" s="1522"/>
      <c r="E1" s="1522"/>
      <c r="F1" s="1522"/>
      <c r="G1" s="1522"/>
      <c r="I1" s="601" t="s">
        <v>2214</v>
      </c>
    </row>
    <row r="2" spans="1:9" ht="24" customHeight="1" x14ac:dyDescent="0.2">
      <c r="A2" s="1523" t="s">
        <v>3008</v>
      </c>
      <c r="B2" s="1523"/>
      <c r="C2" s="1523"/>
      <c r="D2" s="1523"/>
      <c r="E2" s="1523"/>
      <c r="F2" s="1523"/>
      <c r="G2" s="1523"/>
    </row>
    <row r="4" spans="1:9" ht="18" customHeight="1" x14ac:dyDescent="0.2">
      <c r="A4" s="1524" t="s">
        <v>3009</v>
      </c>
      <c r="B4" s="1524"/>
      <c r="C4" s="1524"/>
      <c r="D4" s="1524"/>
      <c r="E4" s="1524"/>
      <c r="F4" s="1524"/>
      <c r="G4" s="1524"/>
    </row>
    <row r="5" spans="1:9" ht="15.75" customHeight="1" x14ac:dyDescent="0.2">
      <c r="A5" s="545" t="s">
        <v>3010</v>
      </c>
      <c r="B5" s="545" t="s">
        <v>3011</v>
      </c>
      <c r="C5" s="545" t="s">
        <v>3012</v>
      </c>
      <c r="D5" s="545" t="s">
        <v>3013</v>
      </c>
      <c r="E5" s="545" t="s">
        <v>3014</v>
      </c>
      <c r="F5" s="545" t="s">
        <v>2310</v>
      </c>
      <c r="G5" s="545" t="s">
        <v>2281</v>
      </c>
    </row>
    <row r="6" spans="1:9" ht="21.75" customHeight="1" x14ac:dyDescent="0.2">
      <c r="A6" s="563" t="s">
        <v>3015</v>
      </c>
      <c r="B6" s="563" t="s">
        <v>3016</v>
      </c>
      <c r="C6" s="548" t="s">
        <v>3017</v>
      </c>
      <c r="D6" s="550" t="s">
        <v>3018</v>
      </c>
      <c r="E6" s="566" t="s">
        <v>3019</v>
      </c>
      <c r="F6" s="572" t="s">
        <v>3020</v>
      </c>
      <c r="G6" s="606" t="s">
        <v>3021</v>
      </c>
    </row>
    <row r="7" spans="1:9" ht="21.75" customHeight="1" x14ac:dyDescent="0.2">
      <c r="A7" s="567" t="s">
        <v>3015</v>
      </c>
      <c r="B7" s="567" t="s">
        <v>3022</v>
      </c>
      <c r="C7" s="552" t="s">
        <v>3017</v>
      </c>
      <c r="D7" s="554" t="s">
        <v>3023</v>
      </c>
      <c r="E7" s="570" t="s">
        <v>3019</v>
      </c>
      <c r="F7" s="593" t="s">
        <v>3020</v>
      </c>
      <c r="G7" s="608" t="s">
        <v>3024</v>
      </c>
    </row>
    <row r="8" spans="1:9" ht="21.75" customHeight="1" x14ac:dyDescent="0.2">
      <c r="A8" s="563" t="s">
        <v>3015</v>
      </c>
      <c r="B8" s="563" t="s">
        <v>3025</v>
      </c>
      <c r="C8" s="548" t="s">
        <v>3017</v>
      </c>
      <c r="D8" s="550" t="s">
        <v>3026</v>
      </c>
      <c r="E8" s="566" t="s">
        <v>3019</v>
      </c>
      <c r="F8" s="572" t="s">
        <v>3020</v>
      </c>
      <c r="G8" s="606" t="s">
        <v>3027</v>
      </c>
    </row>
    <row r="9" spans="1:9" ht="21.75" customHeight="1" x14ac:dyDescent="0.2">
      <c r="A9" s="567" t="s">
        <v>3028</v>
      </c>
      <c r="B9" s="567" t="s">
        <v>3016</v>
      </c>
      <c r="C9" s="552" t="s">
        <v>3029</v>
      </c>
      <c r="D9" s="554" t="s">
        <v>3030</v>
      </c>
      <c r="E9" s="570" t="s">
        <v>3019</v>
      </c>
      <c r="F9" s="593" t="s">
        <v>3031</v>
      </c>
      <c r="G9" s="608" t="s">
        <v>3032</v>
      </c>
    </row>
    <row r="10" spans="1:9" ht="21.75" customHeight="1" x14ac:dyDescent="0.2">
      <c r="A10" s="563" t="s">
        <v>3016</v>
      </c>
      <c r="B10" s="563" t="s">
        <v>3033</v>
      </c>
      <c r="C10" s="548" t="s">
        <v>3030</v>
      </c>
      <c r="D10" s="550" t="s">
        <v>3034</v>
      </c>
      <c r="E10" s="566" t="s">
        <v>3019</v>
      </c>
      <c r="F10" s="572" t="s">
        <v>3031</v>
      </c>
      <c r="G10" s="606" t="s">
        <v>3035</v>
      </c>
    </row>
    <row r="11" spans="1:9" ht="21.75" customHeight="1" x14ac:dyDescent="0.2">
      <c r="A11" s="567" t="s">
        <v>3015</v>
      </c>
      <c r="B11" s="567" t="s">
        <v>3036</v>
      </c>
      <c r="C11" s="552" t="s">
        <v>3017</v>
      </c>
      <c r="D11" s="554" t="s">
        <v>3037</v>
      </c>
      <c r="E11" s="571" t="s">
        <v>3038</v>
      </c>
      <c r="F11" s="593" t="s">
        <v>3039</v>
      </c>
      <c r="G11" s="608" t="s">
        <v>3040</v>
      </c>
    </row>
    <row r="12" spans="1:9" ht="21.75" customHeight="1" x14ac:dyDescent="0.2">
      <c r="A12" s="563" t="s">
        <v>3015</v>
      </c>
      <c r="B12" s="563" t="s">
        <v>3041</v>
      </c>
      <c r="C12" s="548" t="s">
        <v>3017</v>
      </c>
      <c r="D12" s="550" t="s">
        <v>3042</v>
      </c>
      <c r="E12" s="609" t="s">
        <v>3043</v>
      </c>
      <c r="F12" s="572" t="s">
        <v>3044</v>
      </c>
      <c r="G12" s="606" t="s">
        <v>3045</v>
      </c>
    </row>
    <row r="13" spans="1:9" ht="21.75" customHeight="1" x14ac:dyDescent="0.2">
      <c r="A13" s="567" t="s">
        <v>3015</v>
      </c>
      <c r="B13" s="567" t="s">
        <v>3046</v>
      </c>
      <c r="C13" s="552" t="s">
        <v>3017</v>
      </c>
      <c r="D13" s="554" t="s">
        <v>3047</v>
      </c>
      <c r="E13" s="571" t="s">
        <v>3038</v>
      </c>
      <c r="F13" s="593" t="s">
        <v>3048</v>
      </c>
      <c r="G13" s="608" t="s">
        <v>3049</v>
      </c>
    </row>
    <row r="14" spans="1:9" ht="21.75" customHeight="1" x14ac:dyDescent="0.2">
      <c r="A14" s="563" t="s">
        <v>3016</v>
      </c>
      <c r="B14" s="563" t="s">
        <v>3050</v>
      </c>
      <c r="C14" s="548" t="s">
        <v>3030</v>
      </c>
      <c r="D14" s="550" t="s">
        <v>3051</v>
      </c>
      <c r="E14" s="602" t="s">
        <v>3038</v>
      </c>
      <c r="F14" s="572" t="s">
        <v>3052</v>
      </c>
      <c r="G14" s="606" t="s">
        <v>3053</v>
      </c>
    </row>
    <row r="15" spans="1:9" ht="21.75" customHeight="1" x14ac:dyDescent="0.2">
      <c r="A15" s="567" t="s">
        <v>3028</v>
      </c>
      <c r="B15" s="567" t="s">
        <v>3054</v>
      </c>
      <c r="C15" s="552" t="s">
        <v>3029</v>
      </c>
      <c r="D15" s="554" t="s">
        <v>3055</v>
      </c>
      <c r="E15" s="571" t="s">
        <v>3038</v>
      </c>
      <c r="F15" s="593" t="s">
        <v>3056</v>
      </c>
      <c r="G15" s="608" t="s">
        <v>3057</v>
      </c>
    </row>
    <row r="16" spans="1:9" ht="21.75" customHeight="1" x14ac:dyDescent="0.2">
      <c r="A16" s="563" t="s">
        <v>3015</v>
      </c>
      <c r="B16" s="563" t="s">
        <v>3058</v>
      </c>
      <c r="C16" s="548" t="s">
        <v>3017</v>
      </c>
      <c r="D16" s="550" t="s">
        <v>3059</v>
      </c>
      <c r="E16" s="602" t="s">
        <v>3038</v>
      </c>
      <c r="F16" s="572" t="s">
        <v>3048</v>
      </c>
      <c r="G16" s="606" t="s">
        <v>3060</v>
      </c>
    </row>
    <row r="17" spans="1:7" ht="21.75" customHeight="1" x14ac:dyDescent="0.2">
      <c r="A17" s="567" t="s">
        <v>3028</v>
      </c>
      <c r="B17" s="567" t="s">
        <v>3061</v>
      </c>
      <c r="C17" s="552" t="s">
        <v>3029</v>
      </c>
      <c r="D17" s="554" t="s">
        <v>3062</v>
      </c>
      <c r="E17" s="571" t="s">
        <v>3038</v>
      </c>
      <c r="F17" s="593" t="s">
        <v>3063</v>
      </c>
      <c r="G17" s="608" t="s">
        <v>3064</v>
      </c>
    </row>
    <row r="18" spans="1:7" ht="21.75" customHeight="1" x14ac:dyDescent="0.2">
      <c r="A18" s="563" t="s">
        <v>3065</v>
      </c>
      <c r="B18" s="563" t="s">
        <v>3066</v>
      </c>
      <c r="C18" s="548" t="s">
        <v>3067</v>
      </c>
      <c r="D18" s="550" t="s">
        <v>3068</v>
      </c>
      <c r="E18" s="602" t="s">
        <v>3038</v>
      </c>
      <c r="F18" s="572" t="s">
        <v>3069</v>
      </c>
      <c r="G18" s="606" t="s">
        <v>3070</v>
      </c>
    </row>
    <row r="19" spans="1:7" ht="21.75" customHeight="1" x14ac:dyDescent="0.2">
      <c r="A19" s="567" t="s">
        <v>3050</v>
      </c>
      <c r="B19" s="567" t="s">
        <v>3033</v>
      </c>
      <c r="C19" s="552" t="s">
        <v>3051</v>
      </c>
      <c r="D19" s="554" t="s">
        <v>3034</v>
      </c>
      <c r="E19" s="620" t="s">
        <v>3043</v>
      </c>
      <c r="F19" s="593" t="s">
        <v>3071</v>
      </c>
      <c r="G19" s="608" t="s">
        <v>3072</v>
      </c>
    </row>
    <row r="20" spans="1:7" ht="21.75" customHeight="1" x14ac:dyDescent="0.2">
      <c r="A20" s="563" t="s">
        <v>3041</v>
      </c>
      <c r="B20" s="563" t="s">
        <v>3015</v>
      </c>
      <c r="C20" s="548" t="s">
        <v>3042</v>
      </c>
      <c r="D20" s="550" t="s">
        <v>3017</v>
      </c>
      <c r="E20" s="609" t="s">
        <v>3043</v>
      </c>
      <c r="F20" s="572" t="s">
        <v>3073</v>
      </c>
      <c r="G20" s="606" t="s">
        <v>3074</v>
      </c>
    </row>
    <row r="21" spans="1:7" ht="21.75" customHeight="1" x14ac:dyDescent="0.2">
      <c r="A21" s="567" t="s">
        <v>3061</v>
      </c>
      <c r="B21" s="567" t="s">
        <v>3028</v>
      </c>
      <c r="C21" s="552" t="s">
        <v>3062</v>
      </c>
      <c r="D21" s="554" t="s">
        <v>3075</v>
      </c>
      <c r="E21" s="621" t="s">
        <v>3076</v>
      </c>
      <c r="F21" s="593" t="s">
        <v>3077</v>
      </c>
      <c r="G21" s="608" t="s">
        <v>3078</v>
      </c>
    </row>
    <row r="22" spans="1:7" ht="21.75" customHeight="1" x14ac:dyDescent="0.2">
      <c r="A22" s="563" t="s">
        <v>3015</v>
      </c>
      <c r="B22" s="563" t="s">
        <v>3079</v>
      </c>
      <c r="C22" s="548" t="s">
        <v>3017</v>
      </c>
      <c r="D22" s="550" t="s">
        <v>3080</v>
      </c>
      <c r="E22" s="622" t="s">
        <v>3076</v>
      </c>
      <c r="F22" s="572" t="s">
        <v>3081</v>
      </c>
      <c r="G22" s="606" t="s">
        <v>3082</v>
      </c>
    </row>
    <row r="23" spans="1:7" ht="21.75" customHeight="1" x14ac:dyDescent="0.2">
      <c r="A23" s="567" t="s">
        <v>3083</v>
      </c>
      <c r="B23" s="567" t="s">
        <v>3015</v>
      </c>
      <c r="C23" s="552" t="s">
        <v>3084</v>
      </c>
      <c r="D23" s="554" t="s">
        <v>3017</v>
      </c>
      <c r="E23" s="570" t="s">
        <v>3019</v>
      </c>
      <c r="F23" s="593" t="s">
        <v>3031</v>
      </c>
      <c r="G23" s="608" t="s">
        <v>3085</v>
      </c>
    </row>
    <row r="24" spans="1:7" ht="21.75" customHeight="1" x14ac:dyDescent="0.2">
      <c r="A24" s="563" t="s">
        <v>3046</v>
      </c>
      <c r="B24" s="563" t="s">
        <v>3015</v>
      </c>
      <c r="C24" s="548" t="s">
        <v>3047</v>
      </c>
      <c r="D24" s="550" t="s">
        <v>3017</v>
      </c>
      <c r="E24" s="622" t="s">
        <v>3076</v>
      </c>
      <c r="F24" s="572" t="s">
        <v>3086</v>
      </c>
      <c r="G24" s="606" t="s">
        <v>3087</v>
      </c>
    </row>
    <row r="25" spans="1:7" ht="21.75" customHeight="1" x14ac:dyDescent="0.2">
      <c r="A25" s="567" t="s">
        <v>3041</v>
      </c>
      <c r="B25" s="567" t="s">
        <v>3022</v>
      </c>
      <c r="C25" s="552" t="s">
        <v>3042</v>
      </c>
      <c r="D25" s="554" t="s">
        <v>3023</v>
      </c>
      <c r="E25" s="621" t="s">
        <v>3076</v>
      </c>
      <c r="F25" s="593" t="s">
        <v>3088</v>
      </c>
      <c r="G25" s="608" t="s">
        <v>3089</v>
      </c>
    </row>
    <row r="26" spans="1:7" ht="21.75" customHeight="1" x14ac:dyDescent="0.2">
      <c r="A26" s="563" t="s">
        <v>3041</v>
      </c>
      <c r="B26" s="563" t="s">
        <v>3025</v>
      </c>
      <c r="C26" s="548" t="s">
        <v>3042</v>
      </c>
      <c r="D26" s="550" t="s">
        <v>3026</v>
      </c>
      <c r="E26" s="622" t="s">
        <v>3076</v>
      </c>
      <c r="F26" s="572" t="s">
        <v>3090</v>
      </c>
      <c r="G26" s="606" t="s">
        <v>3091</v>
      </c>
    </row>
    <row r="27" spans="1:7" ht="21.75" customHeight="1" x14ac:dyDescent="0.2">
      <c r="A27" s="567" t="s">
        <v>3015</v>
      </c>
      <c r="B27" s="567" t="s">
        <v>3092</v>
      </c>
      <c r="C27" s="552" t="s">
        <v>3017</v>
      </c>
      <c r="D27" s="554" t="s">
        <v>3093</v>
      </c>
      <c r="E27" s="570" t="s">
        <v>3019</v>
      </c>
      <c r="F27" s="593" t="s">
        <v>3020</v>
      </c>
      <c r="G27" s="608" t="s">
        <v>3094</v>
      </c>
    </row>
    <row r="28" spans="1:7" ht="21.75" customHeight="1" x14ac:dyDescent="0.2">
      <c r="A28" s="563" t="s">
        <v>3050</v>
      </c>
      <c r="B28" s="563" t="s">
        <v>3095</v>
      </c>
      <c r="C28" s="548" t="s">
        <v>3051</v>
      </c>
      <c r="D28" s="550" t="s">
        <v>3096</v>
      </c>
      <c r="E28" s="585" t="s">
        <v>3097</v>
      </c>
      <c r="F28" s="572" t="s">
        <v>3098</v>
      </c>
      <c r="G28" s="606" t="s">
        <v>3099</v>
      </c>
    </row>
    <row r="29" spans="1:7" ht="21.75" customHeight="1" x14ac:dyDescent="0.2">
      <c r="A29" s="567" t="s">
        <v>3061</v>
      </c>
      <c r="B29" s="567" t="s">
        <v>3041</v>
      </c>
      <c r="C29" s="552" t="s">
        <v>3062</v>
      </c>
      <c r="D29" s="554" t="s">
        <v>3042</v>
      </c>
      <c r="E29" s="587" t="s">
        <v>3097</v>
      </c>
      <c r="F29" s="593" t="s">
        <v>3100</v>
      </c>
      <c r="G29" s="608" t="s">
        <v>3101</v>
      </c>
    </row>
    <row r="30" spans="1:7" ht="21.75" customHeight="1" x14ac:dyDescent="0.2">
      <c r="A30" s="563" t="s">
        <v>3016</v>
      </c>
      <c r="B30" s="563" t="s">
        <v>3028</v>
      </c>
      <c r="C30" s="548" t="s">
        <v>3102</v>
      </c>
      <c r="D30" s="550" t="s">
        <v>3103</v>
      </c>
      <c r="E30" s="566" t="s">
        <v>3019</v>
      </c>
      <c r="F30" s="572" t="s">
        <v>3104</v>
      </c>
      <c r="G30" s="606" t="s">
        <v>3105</v>
      </c>
    </row>
    <row r="31" spans="1:7" ht="21.75" customHeight="1" x14ac:dyDescent="0.2">
      <c r="A31" s="567" t="s">
        <v>3015</v>
      </c>
      <c r="B31" s="567" t="s">
        <v>3028</v>
      </c>
      <c r="C31" s="552" t="s">
        <v>3106</v>
      </c>
      <c r="D31" s="554" t="s">
        <v>3029</v>
      </c>
      <c r="E31" s="570" t="s">
        <v>3019</v>
      </c>
      <c r="F31" s="593" t="s">
        <v>3031</v>
      </c>
      <c r="G31" s="608" t="s">
        <v>3107</v>
      </c>
    </row>
    <row r="32" spans="1:7" ht="21.75" customHeight="1" x14ac:dyDescent="0.2">
      <c r="A32" s="563" t="s">
        <v>3050</v>
      </c>
      <c r="B32" s="563" t="s">
        <v>3061</v>
      </c>
      <c r="C32" s="548" t="s">
        <v>3051</v>
      </c>
      <c r="D32" s="550" t="s">
        <v>3062</v>
      </c>
      <c r="E32" s="585" t="s">
        <v>3097</v>
      </c>
      <c r="F32" s="572" t="s">
        <v>3108</v>
      </c>
      <c r="G32" s="606" t="s">
        <v>3109</v>
      </c>
    </row>
    <row r="33" spans="1:7" ht="21.75" customHeight="1" x14ac:dyDescent="0.2">
      <c r="A33" s="567" t="s">
        <v>3036</v>
      </c>
      <c r="B33" s="567" t="s">
        <v>3041</v>
      </c>
      <c r="C33" s="552" t="s">
        <v>3037</v>
      </c>
      <c r="D33" s="554" t="s">
        <v>3042</v>
      </c>
      <c r="E33" s="587" t="s">
        <v>3097</v>
      </c>
      <c r="F33" s="593" t="s">
        <v>3110</v>
      </c>
      <c r="G33" s="608" t="s">
        <v>3111</v>
      </c>
    </row>
    <row r="34" spans="1:7" ht="21.75" customHeight="1" x14ac:dyDescent="0.2">
      <c r="A34" s="563" t="s">
        <v>3065</v>
      </c>
      <c r="B34" s="563" t="s">
        <v>3112</v>
      </c>
      <c r="C34" s="548" t="s">
        <v>3113</v>
      </c>
      <c r="D34" s="550" t="s">
        <v>3114</v>
      </c>
      <c r="E34" s="566" t="s">
        <v>3019</v>
      </c>
      <c r="F34" s="572" t="s">
        <v>3031</v>
      </c>
      <c r="G34" s="606" t="s">
        <v>3115</v>
      </c>
    </row>
    <row r="35" spans="1:7" ht="21.75" customHeight="1" x14ac:dyDescent="0.2">
      <c r="A35" s="567" t="s">
        <v>3066</v>
      </c>
      <c r="B35" s="567" t="s">
        <v>3054</v>
      </c>
      <c r="C35" s="552" t="s">
        <v>3116</v>
      </c>
      <c r="D35" s="554" t="s">
        <v>3117</v>
      </c>
      <c r="E35" s="587" t="s">
        <v>3097</v>
      </c>
      <c r="F35" s="593" t="s">
        <v>3108</v>
      </c>
      <c r="G35" s="608" t="s">
        <v>3118</v>
      </c>
    </row>
  </sheetData>
  <mergeCells count="3">
    <mergeCell ref="A1:G1"/>
    <mergeCell ref="A2:G2"/>
    <mergeCell ref="A4:G4"/>
  </mergeCell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565C0"/>
  </sheetPr>
  <dimension ref="A1:J49"/>
  <sheetViews>
    <sheetView zoomScaleNormal="100" workbookViewId="0"/>
  </sheetViews>
  <sheetFormatPr defaultColWidth="8.609375" defaultRowHeight="15" x14ac:dyDescent="0.2"/>
  <cols>
    <col min="1" max="1" width="6.05078125" customWidth="1"/>
    <col min="2" max="2" width="20.04296875" customWidth="1"/>
    <col min="3" max="3" width="13.98828125" customWidth="1"/>
    <col min="4" max="4" width="20.04296875" customWidth="1"/>
    <col min="5" max="6" width="11.97265625" customWidth="1"/>
    <col min="7" max="7" width="13.98828125" customWidth="1"/>
    <col min="8" max="8" width="39.953125" customWidth="1"/>
  </cols>
  <sheetData>
    <row r="1" spans="1:10" ht="21.75" customHeight="1" x14ac:dyDescent="0.2">
      <c r="A1" s="1522" t="s">
        <v>3119</v>
      </c>
      <c r="B1" s="1522"/>
      <c r="C1" s="1522"/>
      <c r="D1" s="1522"/>
      <c r="E1" s="1522"/>
      <c r="F1" s="1522"/>
      <c r="G1" s="1522"/>
      <c r="H1" s="1522"/>
      <c r="J1" s="601" t="s">
        <v>2214</v>
      </c>
    </row>
    <row r="2" spans="1:10" ht="24" customHeight="1" x14ac:dyDescent="0.2">
      <c r="A2" s="1523" t="s">
        <v>3120</v>
      </c>
      <c r="B2" s="1523"/>
      <c r="C2" s="1523"/>
      <c r="D2" s="1523"/>
      <c r="E2" s="1523"/>
      <c r="F2" s="1523"/>
      <c r="G2" s="1523"/>
      <c r="H2" s="1523"/>
    </row>
    <row r="4" spans="1:10" ht="18" customHeight="1" x14ac:dyDescent="0.2">
      <c r="A4" s="1524" t="s">
        <v>3121</v>
      </c>
      <c r="B4" s="1524"/>
      <c r="C4" s="1524"/>
      <c r="D4" s="1524"/>
      <c r="E4" s="1524"/>
      <c r="F4" s="1524"/>
      <c r="G4" s="1524"/>
      <c r="H4" s="1524"/>
    </row>
    <row r="5" spans="1:10" ht="15.75" customHeight="1" x14ac:dyDescent="0.2">
      <c r="A5" s="545" t="s">
        <v>3122</v>
      </c>
      <c r="B5" s="545" t="s">
        <v>3123</v>
      </c>
      <c r="C5" s="545" t="s">
        <v>3124</v>
      </c>
      <c r="D5" s="545" t="s">
        <v>3125</v>
      </c>
      <c r="E5" s="545" t="s">
        <v>3126</v>
      </c>
      <c r="F5" s="545" t="s">
        <v>3127</v>
      </c>
      <c r="G5" s="545"/>
      <c r="H5" s="545" t="s">
        <v>282</v>
      </c>
    </row>
    <row r="6" spans="1:10" ht="18" customHeight="1" x14ac:dyDescent="0.2">
      <c r="A6" s="563">
        <v>1</v>
      </c>
      <c r="B6" s="578" t="s">
        <v>3128</v>
      </c>
      <c r="C6" s="548" t="s">
        <v>3129</v>
      </c>
      <c r="D6" s="575" t="s">
        <v>3130</v>
      </c>
      <c r="E6" s="566" t="s">
        <v>927</v>
      </c>
      <c r="F6" s="623" t="s">
        <v>3131</v>
      </c>
      <c r="G6" s="575"/>
      <c r="H6" s="550" t="s">
        <v>3132</v>
      </c>
    </row>
    <row r="7" spans="1:10" ht="18" customHeight="1" x14ac:dyDescent="0.2">
      <c r="A7" s="567">
        <v>2</v>
      </c>
      <c r="B7" s="580" t="s">
        <v>3133</v>
      </c>
      <c r="C7" s="552" t="s">
        <v>3129</v>
      </c>
      <c r="D7" s="577" t="s">
        <v>3134</v>
      </c>
      <c r="E7" s="570" t="s">
        <v>927</v>
      </c>
      <c r="F7" s="624" t="s">
        <v>36</v>
      </c>
      <c r="G7" s="577"/>
      <c r="H7" s="554" t="s">
        <v>3135</v>
      </c>
    </row>
    <row r="8" spans="1:10" ht="18" customHeight="1" x14ac:dyDescent="0.2">
      <c r="A8" s="563">
        <v>3</v>
      </c>
      <c r="B8" s="578" t="s">
        <v>3136</v>
      </c>
      <c r="C8" s="548" t="s">
        <v>3137</v>
      </c>
      <c r="D8" s="575" t="s">
        <v>3138</v>
      </c>
      <c r="E8" s="566" t="s">
        <v>927</v>
      </c>
      <c r="F8" s="623" t="s">
        <v>36</v>
      </c>
      <c r="G8" s="575"/>
      <c r="H8" s="550" t="s">
        <v>3139</v>
      </c>
    </row>
    <row r="9" spans="1:10" ht="18" customHeight="1" x14ac:dyDescent="0.2">
      <c r="A9" s="567">
        <v>4</v>
      </c>
      <c r="B9" s="580" t="s">
        <v>3140</v>
      </c>
      <c r="C9" s="552" t="s">
        <v>3141</v>
      </c>
      <c r="D9" s="577" t="s">
        <v>3142</v>
      </c>
      <c r="E9" s="570" t="s">
        <v>927</v>
      </c>
      <c r="F9" s="624" t="s">
        <v>36</v>
      </c>
      <c r="G9" s="577"/>
      <c r="H9" s="554" t="s">
        <v>3143</v>
      </c>
    </row>
    <row r="10" spans="1:10" ht="18" customHeight="1" x14ac:dyDescent="0.2">
      <c r="A10" s="563">
        <v>5</v>
      </c>
      <c r="B10" s="578" t="s">
        <v>3144</v>
      </c>
      <c r="C10" s="548" t="s">
        <v>3145</v>
      </c>
      <c r="D10" s="575" t="s">
        <v>3146</v>
      </c>
      <c r="E10" s="566" t="s">
        <v>927</v>
      </c>
      <c r="F10" s="623" t="s">
        <v>36</v>
      </c>
      <c r="G10" s="575"/>
      <c r="H10" s="550" t="s">
        <v>3147</v>
      </c>
    </row>
    <row r="11" spans="1:10" ht="18" customHeight="1" x14ac:dyDescent="0.2">
      <c r="A11" s="567">
        <v>6</v>
      </c>
      <c r="B11" s="580" t="s">
        <v>3148</v>
      </c>
      <c r="C11" s="552" t="s">
        <v>3149</v>
      </c>
      <c r="D11" s="577" t="s">
        <v>2086</v>
      </c>
      <c r="E11" s="570" t="s">
        <v>927</v>
      </c>
      <c r="F11" s="624" t="s">
        <v>105</v>
      </c>
      <c r="G11" s="577"/>
      <c r="H11" s="554" t="s">
        <v>3150</v>
      </c>
    </row>
    <row r="12" spans="1:10" ht="18" customHeight="1" x14ac:dyDescent="0.2">
      <c r="A12" s="563">
        <v>7</v>
      </c>
      <c r="B12" s="578" t="s">
        <v>3151</v>
      </c>
      <c r="C12" s="548" t="s">
        <v>3152</v>
      </c>
      <c r="D12" s="575" t="s">
        <v>2115</v>
      </c>
      <c r="E12" s="611" t="s">
        <v>588</v>
      </c>
      <c r="F12" s="623" t="s">
        <v>36</v>
      </c>
      <c r="G12" s="575"/>
      <c r="H12" s="550" t="s">
        <v>3153</v>
      </c>
    </row>
    <row r="13" spans="1:10" ht="18" customHeight="1" x14ac:dyDescent="0.2">
      <c r="A13" s="567">
        <v>8</v>
      </c>
      <c r="B13" s="580" t="s">
        <v>3154</v>
      </c>
      <c r="C13" s="552" t="s">
        <v>3155</v>
      </c>
      <c r="D13" s="577" t="s">
        <v>3156</v>
      </c>
      <c r="E13" s="613" t="s">
        <v>3157</v>
      </c>
      <c r="F13" s="624" t="s">
        <v>3158</v>
      </c>
      <c r="G13" s="577"/>
      <c r="H13" s="554" t="s">
        <v>3159</v>
      </c>
    </row>
    <row r="14" spans="1:10" ht="18" customHeight="1" x14ac:dyDescent="0.2">
      <c r="A14" s="563">
        <v>9</v>
      </c>
      <c r="B14" s="578" t="s">
        <v>3160</v>
      </c>
      <c r="C14" s="548" t="s">
        <v>3161</v>
      </c>
      <c r="D14" s="575" t="s">
        <v>269</v>
      </c>
      <c r="E14" s="611" t="s">
        <v>3157</v>
      </c>
      <c r="F14" s="623" t="s">
        <v>44</v>
      </c>
      <c r="G14" s="575"/>
      <c r="H14" s="550" t="s">
        <v>3162</v>
      </c>
    </row>
    <row r="15" spans="1:10" ht="18" customHeight="1" x14ac:dyDescent="0.2">
      <c r="A15" s="567">
        <v>10</v>
      </c>
      <c r="B15" s="580" t="s">
        <v>3163</v>
      </c>
      <c r="C15" s="552" t="s">
        <v>3161</v>
      </c>
      <c r="D15" s="577" t="s">
        <v>271</v>
      </c>
      <c r="E15" s="613" t="s">
        <v>3157</v>
      </c>
      <c r="F15" s="624" t="s">
        <v>3164</v>
      </c>
      <c r="G15" s="577"/>
      <c r="H15" s="554" t="s">
        <v>3165</v>
      </c>
    </row>
    <row r="16" spans="1:10" ht="18" customHeight="1" x14ac:dyDescent="0.2">
      <c r="A16" s="563">
        <v>11</v>
      </c>
      <c r="B16" s="578" t="s">
        <v>3166</v>
      </c>
      <c r="C16" s="548" t="s">
        <v>3167</v>
      </c>
      <c r="D16" s="575" t="s">
        <v>2074</v>
      </c>
      <c r="E16" s="566" t="s">
        <v>927</v>
      </c>
      <c r="F16" s="623" t="s">
        <v>36</v>
      </c>
      <c r="G16" s="575"/>
      <c r="H16" s="550" t="s">
        <v>3168</v>
      </c>
    </row>
    <row r="17" spans="1:9" ht="18" customHeight="1" x14ac:dyDescent="0.2">
      <c r="A17" s="567">
        <v>12</v>
      </c>
      <c r="B17" s="580" t="s">
        <v>3169</v>
      </c>
      <c r="C17" s="552" t="s">
        <v>3170</v>
      </c>
      <c r="D17" s="577" t="s">
        <v>2115</v>
      </c>
      <c r="E17" s="570" t="s">
        <v>927</v>
      </c>
      <c r="F17" s="624" t="s">
        <v>36</v>
      </c>
      <c r="G17" s="577"/>
      <c r="H17" s="554" t="s">
        <v>3171</v>
      </c>
    </row>
    <row r="18" spans="1:9" ht="18" customHeight="1" x14ac:dyDescent="0.2">
      <c r="A18" s="563">
        <v>13</v>
      </c>
      <c r="B18" s="578" t="s">
        <v>3172</v>
      </c>
      <c r="C18" s="548" t="s">
        <v>3173</v>
      </c>
      <c r="D18" s="575" t="s">
        <v>3174</v>
      </c>
      <c r="E18" s="611" t="s">
        <v>588</v>
      </c>
      <c r="F18" s="623" t="s">
        <v>36</v>
      </c>
      <c r="G18" s="575"/>
      <c r="H18" s="550" t="s">
        <v>3175</v>
      </c>
    </row>
    <row r="19" spans="1:9" ht="18" customHeight="1" x14ac:dyDescent="0.2">
      <c r="A19" s="567">
        <v>14</v>
      </c>
      <c r="B19" s="580" t="s">
        <v>3176</v>
      </c>
      <c r="C19" s="552" t="s">
        <v>3167</v>
      </c>
      <c r="D19" s="577" t="s">
        <v>2074</v>
      </c>
      <c r="E19" s="613" t="s">
        <v>3157</v>
      </c>
      <c r="F19" s="624" t="s">
        <v>3177</v>
      </c>
      <c r="G19" s="577"/>
      <c r="H19" s="554" t="s">
        <v>3178</v>
      </c>
    </row>
    <row r="20" spans="1:9" ht="18" customHeight="1" x14ac:dyDescent="0.2">
      <c r="A20" s="563">
        <v>15</v>
      </c>
      <c r="B20" s="578" t="s">
        <v>3179</v>
      </c>
      <c r="C20" s="548" t="s">
        <v>3167</v>
      </c>
      <c r="D20" s="575" t="s">
        <v>2113</v>
      </c>
      <c r="E20" s="611" t="s">
        <v>3157</v>
      </c>
      <c r="F20" s="623" t="s">
        <v>2247</v>
      </c>
      <c r="G20" s="575"/>
      <c r="H20" s="550"/>
    </row>
    <row r="21" spans="1:9" ht="18" customHeight="1" x14ac:dyDescent="0.2">
      <c r="A21" s="567">
        <v>16</v>
      </c>
      <c r="B21" s="580" t="s">
        <v>3180</v>
      </c>
      <c r="C21" s="552" t="s">
        <v>3167</v>
      </c>
      <c r="D21" s="577" t="s">
        <v>2074</v>
      </c>
      <c r="E21" s="613" t="s">
        <v>3157</v>
      </c>
      <c r="F21" s="624" t="s">
        <v>3181</v>
      </c>
      <c r="G21" s="577"/>
      <c r="H21" s="554"/>
    </row>
    <row r="22" spans="1:9" ht="18" customHeight="1" x14ac:dyDescent="0.2">
      <c r="A22" s="563">
        <v>17</v>
      </c>
      <c r="B22" s="578" t="s">
        <v>3182</v>
      </c>
      <c r="C22" s="548" t="s">
        <v>3167</v>
      </c>
      <c r="D22" s="575" t="s">
        <v>2113</v>
      </c>
      <c r="E22" s="611" t="s">
        <v>3157</v>
      </c>
      <c r="F22" s="623" t="s">
        <v>3183</v>
      </c>
      <c r="G22" s="575"/>
      <c r="H22" s="550"/>
    </row>
    <row r="23" spans="1:9" ht="18" customHeight="1" x14ac:dyDescent="0.2">
      <c r="A23" s="567">
        <v>18</v>
      </c>
      <c r="B23" s="580" t="s">
        <v>3184</v>
      </c>
      <c r="C23" s="552" t="s">
        <v>3155</v>
      </c>
      <c r="D23" s="577" t="s">
        <v>3185</v>
      </c>
      <c r="E23" s="613" t="s">
        <v>3157</v>
      </c>
      <c r="F23" s="624" t="s">
        <v>3186</v>
      </c>
      <c r="G23" s="577"/>
      <c r="H23" s="554" t="s">
        <v>3187</v>
      </c>
    </row>
    <row r="26" spans="1:9" ht="18" customHeight="1" x14ac:dyDescent="0.2">
      <c r="A26" s="1524" t="s">
        <v>3188</v>
      </c>
      <c r="B26" s="1524"/>
      <c r="C26" s="1524"/>
      <c r="D26" s="1524"/>
      <c r="E26" s="1524"/>
      <c r="F26" s="1524"/>
      <c r="G26" s="1524"/>
      <c r="H26" s="1524"/>
    </row>
    <row r="27" spans="1:9" ht="15.75" customHeight="1" x14ac:dyDescent="0.2">
      <c r="A27" s="545" t="s">
        <v>3189</v>
      </c>
      <c r="B27" s="545" t="s">
        <v>3190</v>
      </c>
      <c r="C27" s="545" t="s">
        <v>3191</v>
      </c>
      <c r="D27" s="545" t="s">
        <v>3192</v>
      </c>
      <c r="E27" s="545" t="s">
        <v>3193</v>
      </c>
      <c r="F27" s="545" t="s">
        <v>3194</v>
      </c>
      <c r="G27" s="545" t="s">
        <v>3195</v>
      </c>
      <c r="H27" s="545" t="s">
        <v>3196</v>
      </c>
    </row>
    <row r="28" spans="1:9" ht="27.75" customHeight="1" x14ac:dyDescent="0.2">
      <c r="A28" s="605" t="s">
        <v>3130</v>
      </c>
      <c r="B28" s="625">
        <v>26283</v>
      </c>
      <c r="C28" s="626" t="s">
        <v>3197</v>
      </c>
      <c r="D28" s="627">
        <v>10</v>
      </c>
      <c r="E28" s="575" t="s">
        <v>3198</v>
      </c>
      <c r="F28" s="628">
        <v>3.5</v>
      </c>
      <c r="G28" s="629" t="s">
        <v>272</v>
      </c>
      <c r="H28" s="626">
        <v>1</v>
      </c>
      <c r="I28" s="550" t="s">
        <v>3199</v>
      </c>
    </row>
    <row r="29" spans="1:9" ht="27.75" customHeight="1" x14ac:dyDescent="0.2">
      <c r="A29" s="607" t="s">
        <v>3200</v>
      </c>
      <c r="B29" s="630">
        <v>33443</v>
      </c>
      <c r="C29" s="631" t="s">
        <v>3201</v>
      </c>
      <c r="D29" s="632">
        <v>11</v>
      </c>
      <c r="E29" s="577" t="s">
        <v>3202</v>
      </c>
      <c r="F29" s="633">
        <v>2</v>
      </c>
      <c r="G29" s="634" t="s">
        <v>270</v>
      </c>
      <c r="H29" s="631">
        <v>1</v>
      </c>
      <c r="I29" s="554" t="s">
        <v>3203</v>
      </c>
    </row>
    <row r="30" spans="1:9" ht="27.75" customHeight="1" x14ac:dyDescent="0.2">
      <c r="A30" s="605" t="s">
        <v>3204</v>
      </c>
      <c r="B30" s="625">
        <v>37238</v>
      </c>
      <c r="C30" s="626" t="s">
        <v>3205</v>
      </c>
      <c r="D30" s="627">
        <v>6</v>
      </c>
      <c r="E30" s="575" t="s">
        <v>3206</v>
      </c>
      <c r="F30" s="628">
        <v>-2.5</v>
      </c>
      <c r="G30" s="629" t="s">
        <v>272</v>
      </c>
      <c r="H30" s="626">
        <v>1</v>
      </c>
      <c r="I30" s="550" t="s">
        <v>3207</v>
      </c>
    </row>
    <row r="31" spans="1:9" ht="15.75" customHeight="1" x14ac:dyDescent="0.2">
      <c r="A31" s="635" t="s">
        <v>3208</v>
      </c>
      <c r="B31" s="636"/>
      <c r="C31" s="636"/>
      <c r="D31" s="636"/>
      <c r="E31" s="636"/>
      <c r="F31" s="636"/>
      <c r="G31" s="636"/>
      <c r="H31" s="636"/>
    </row>
    <row r="32" spans="1:9" ht="36" customHeight="1" x14ac:dyDescent="0.2">
      <c r="A32" s="1529" t="s">
        <v>3209</v>
      </c>
      <c r="B32" s="1529"/>
      <c r="C32" s="1529"/>
      <c r="D32" s="1529"/>
      <c r="E32" s="1529"/>
      <c r="F32" s="1529"/>
      <c r="G32" s="1529"/>
      <c r="H32" s="1529"/>
      <c r="I32" s="1529"/>
    </row>
    <row r="33" spans="1:8" ht="15.75" customHeight="1" x14ac:dyDescent="0.2">
      <c r="A33" s="635" t="s">
        <v>3210</v>
      </c>
      <c r="B33" s="636"/>
      <c r="C33" s="636"/>
      <c r="D33" s="636"/>
      <c r="E33" s="636"/>
      <c r="F33" s="636"/>
      <c r="G33" s="636"/>
      <c r="H33" s="636"/>
    </row>
    <row r="34" spans="1:8" ht="15.75" customHeight="1" x14ac:dyDescent="0.2">
      <c r="A34" s="637" t="s">
        <v>3211</v>
      </c>
      <c r="B34" s="638"/>
      <c r="C34" s="638"/>
      <c r="D34" s="638"/>
      <c r="E34" s="638"/>
      <c r="F34" s="638"/>
      <c r="G34" s="638"/>
      <c r="H34" s="638"/>
    </row>
    <row r="35" spans="1:8" ht="15.75" customHeight="1" x14ac:dyDescent="0.2">
      <c r="A35" s="635" t="s">
        <v>3212</v>
      </c>
      <c r="B35" s="636"/>
      <c r="C35" s="636"/>
      <c r="D35" s="636"/>
      <c r="E35" s="636"/>
      <c r="F35" s="636"/>
      <c r="G35" s="636"/>
      <c r="H35" s="636"/>
    </row>
    <row r="36" spans="1:8" ht="15.75" customHeight="1" x14ac:dyDescent="0.2">
      <c r="A36" s="637" t="s">
        <v>3213</v>
      </c>
      <c r="B36" s="638"/>
      <c r="C36" s="638"/>
      <c r="D36" s="638"/>
      <c r="E36" s="638"/>
      <c r="F36" s="638"/>
      <c r="G36" s="638"/>
      <c r="H36" s="638"/>
    </row>
    <row r="37" spans="1:8" ht="15.75" customHeight="1" x14ac:dyDescent="0.2">
      <c r="A37" s="635" t="s">
        <v>3214</v>
      </c>
      <c r="B37" s="636"/>
      <c r="C37" s="636"/>
      <c r="D37" s="636"/>
      <c r="E37" s="636"/>
      <c r="F37" s="636"/>
      <c r="G37" s="636"/>
      <c r="H37" s="636"/>
    </row>
    <row r="38" spans="1:8" ht="15.75" customHeight="1" x14ac:dyDescent="0.2">
      <c r="A38" s="637" t="s">
        <v>3215</v>
      </c>
      <c r="B38" s="638"/>
      <c r="C38" s="638"/>
      <c r="D38" s="638"/>
      <c r="E38" s="638"/>
      <c r="F38" s="638"/>
      <c r="G38" s="638"/>
      <c r="H38" s="638"/>
    </row>
    <row r="39" spans="1:8" ht="15.75" customHeight="1" x14ac:dyDescent="0.2">
      <c r="A39" s="635" t="s">
        <v>3216</v>
      </c>
      <c r="B39" s="636"/>
      <c r="C39" s="636"/>
      <c r="D39" s="636"/>
      <c r="E39" s="636"/>
      <c r="F39" s="636"/>
      <c r="G39" s="636"/>
      <c r="H39" s="636"/>
    </row>
    <row r="40" spans="1:8" ht="15.75" customHeight="1" x14ac:dyDescent="0.2">
      <c r="A40" s="637" t="s">
        <v>3217</v>
      </c>
      <c r="B40" s="638"/>
      <c r="C40" s="638"/>
      <c r="D40" s="638"/>
      <c r="E40" s="638"/>
      <c r="F40" s="638"/>
      <c r="G40" s="638"/>
      <c r="H40" s="638"/>
    </row>
    <row r="41" spans="1:8" ht="15.75" customHeight="1" x14ac:dyDescent="0.2">
      <c r="A41" s="635" t="s">
        <v>3218</v>
      </c>
      <c r="B41" s="636"/>
      <c r="C41" s="636"/>
      <c r="D41" s="636"/>
      <c r="E41" s="636"/>
      <c r="F41" s="636"/>
      <c r="G41" s="636"/>
      <c r="H41" s="636"/>
    </row>
    <row r="42" spans="1:8" ht="15.75" customHeight="1" x14ac:dyDescent="0.2">
      <c r="A42" s="637" t="s">
        <v>3219</v>
      </c>
      <c r="B42" s="638"/>
      <c r="C42" s="638"/>
      <c r="D42" s="638"/>
      <c r="E42" s="638"/>
      <c r="F42" s="638"/>
      <c r="G42" s="638"/>
      <c r="H42" s="638"/>
    </row>
    <row r="43" spans="1:8" ht="15.75" customHeight="1" x14ac:dyDescent="0.2">
      <c r="A43" s="635" t="s">
        <v>3220</v>
      </c>
      <c r="B43" s="636"/>
      <c r="C43" s="636"/>
      <c r="D43" s="636"/>
      <c r="E43" s="636"/>
      <c r="F43" s="636"/>
      <c r="G43" s="636"/>
      <c r="H43" s="636"/>
    </row>
    <row r="44" spans="1:8" ht="15.75" customHeight="1" x14ac:dyDescent="0.2">
      <c r="A44" s="637" t="s">
        <v>3221</v>
      </c>
      <c r="B44" s="638"/>
      <c r="C44" s="638"/>
      <c r="D44" s="638"/>
      <c r="E44" s="638"/>
      <c r="F44" s="638"/>
      <c r="G44" s="638"/>
      <c r="H44" s="638"/>
    </row>
    <row r="45" spans="1:8" ht="15.75" customHeight="1" x14ac:dyDescent="0.2">
      <c r="A45" s="635" t="s">
        <v>3222</v>
      </c>
      <c r="B45" s="636"/>
      <c r="C45" s="636"/>
      <c r="D45" s="636"/>
      <c r="E45" s="636"/>
      <c r="F45" s="636"/>
      <c r="G45" s="636"/>
      <c r="H45" s="636"/>
    </row>
    <row r="46" spans="1:8" ht="15.75" customHeight="1" x14ac:dyDescent="0.2">
      <c r="A46" s="637" t="s">
        <v>3223</v>
      </c>
      <c r="B46" s="638"/>
      <c r="C46" s="638"/>
      <c r="D46" s="638"/>
      <c r="E46" s="638"/>
      <c r="F46" s="638"/>
      <c r="G46" s="638"/>
      <c r="H46" s="638"/>
    </row>
    <row r="47" spans="1:8" ht="15.75" customHeight="1" x14ac:dyDescent="0.2">
      <c r="A47" s="635" t="s">
        <v>3224</v>
      </c>
      <c r="B47" s="636"/>
      <c r="C47" s="636"/>
      <c r="D47" s="636"/>
      <c r="E47" s="636"/>
      <c r="F47" s="636"/>
      <c r="G47" s="636"/>
      <c r="H47" s="636"/>
    </row>
    <row r="49" spans="1:8" ht="18" customHeight="1" x14ac:dyDescent="0.2">
      <c r="A49" s="1528" t="s">
        <v>3225</v>
      </c>
      <c r="B49" s="1528"/>
      <c r="C49" s="1528"/>
      <c r="D49" s="1528"/>
      <c r="E49" s="1528"/>
      <c r="F49" s="1528"/>
      <c r="G49" s="1528"/>
      <c r="H49" s="1528"/>
    </row>
  </sheetData>
  <mergeCells count="6">
    <mergeCell ref="A49:H49"/>
    <mergeCell ref="A1:H1"/>
    <mergeCell ref="A2:H2"/>
    <mergeCell ref="A4:H4"/>
    <mergeCell ref="A26:H26"/>
    <mergeCell ref="A32:I32"/>
  </mergeCell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565C0"/>
  </sheetPr>
  <dimension ref="A1:G35"/>
  <sheetViews>
    <sheetView zoomScaleNormal="100" workbookViewId="0"/>
  </sheetViews>
  <sheetFormatPr defaultColWidth="8.609375" defaultRowHeight="15" x14ac:dyDescent="0.2"/>
  <cols>
    <col min="1" max="1" width="22.05859375" customWidth="1"/>
    <col min="2" max="2" width="13.98828125" customWidth="1"/>
    <col min="3" max="3" width="11.97265625" customWidth="1"/>
    <col min="4" max="4" width="18.0234375" customWidth="1"/>
    <col min="5" max="5" width="55.01953125" customWidth="1"/>
  </cols>
  <sheetData>
    <row r="1" spans="1:7" ht="21.75" customHeight="1" x14ac:dyDescent="0.2">
      <c r="A1" s="1522" t="s">
        <v>3226</v>
      </c>
      <c r="B1" s="1522"/>
      <c r="C1" s="1522"/>
      <c r="D1" s="1522"/>
      <c r="E1" s="1522"/>
      <c r="G1" s="601" t="s">
        <v>2214</v>
      </c>
    </row>
    <row r="2" spans="1:7" ht="24" customHeight="1" x14ac:dyDescent="0.2">
      <c r="A2" s="1523" t="s">
        <v>3227</v>
      </c>
      <c r="B2" s="1523"/>
      <c r="C2" s="1523"/>
      <c r="D2" s="1523"/>
      <c r="E2" s="1523"/>
    </row>
    <row r="4" spans="1:7" ht="15.75" customHeight="1" x14ac:dyDescent="0.2">
      <c r="A4" s="545" t="s">
        <v>3228</v>
      </c>
      <c r="B4" s="545" t="s">
        <v>3229</v>
      </c>
      <c r="C4" s="545" t="s">
        <v>3230</v>
      </c>
      <c r="D4" s="545" t="s">
        <v>3231</v>
      </c>
      <c r="E4" s="545" t="s">
        <v>3232</v>
      </c>
    </row>
    <row r="5" spans="1:7" ht="27.75" customHeight="1" x14ac:dyDescent="0.2">
      <c r="A5" s="578" t="s">
        <v>265</v>
      </c>
      <c r="B5" s="546" t="s">
        <v>3233</v>
      </c>
      <c r="C5" s="549" t="s">
        <v>3234</v>
      </c>
      <c r="D5" s="639" t="s">
        <v>3235</v>
      </c>
      <c r="E5" s="611" t="s">
        <v>3236</v>
      </c>
    </row>
    <row r="6" spans="1:7" ht="27.75" customHeight="1" x14ac:dyDescent="0.2">
      <c r="A6" s="580" t="s">
        <v>3237</v>
      </c>
      <c r="B6" s="551" t="s">
        <v>3238</v>
      </c>
      <c r="C6" s="553" t="s">
        <v>3239</v>
      </c>
      <c r="D6" s="640" t="s">
        <v>3240</v>
      </c>
      <c r="E6" s="613" t="s">
        <v>3241</v>
      </c>
    </row>
    <row r="7" spans="1:7" ht="27.75" customHeight="1" x14ac:dyDescent="0.2">
      <c r="A7" s="578" t="s">
        <v>3242</v>
      </c>
      <c r="B7" s="546" t="s">
        <v>3243</v>
      </c>
      <c r="C7" s="549" t="s">
        <v>3244</v>
      </c>
      <c r="D7" s="639" t="s">
        <v>3240</v>
      </c>
      <c r="E7" s="611" t="s">
        <v>3245</v>
      </c>
    </row>
    <row r="8" spans="1:7" ht="27.75" customHeight="1" x14ac:dyDescent="0.2">
      <c r="A8" s="580" t="s">
        <v>3246</v>
      </c>
      <c r="B8" s="551" t="s">
        <v>3247</v>
      </c>
      <c r="C8" s="553" t="s">
        <v>3244</v>
      </c>
      <c r="D8" s="640" t="s">
        <v>3248</v>
      </c>
      <c r="E8" s="613" t="s">
        <v>3249</v>
      </c>
    </row>
    <row r="9" spans="1:7" ht="27.75" customHeight="1" x14ac:dyDescent="0.2">
      <c r="A9" s="578" t="s">
        <v>539</v>
      </c>
      <c r="B9" s="546" t="s">
        <v>3250</v>
      </c>
      <c r="C9" s="549" t="s">
        <v>3251</v>
      </c>
      <c r="D9" s="639" t="s">
        <v>3252</v>
      </c>
      <c r="E9" s="611" t="s">
        <v>3253</v>
      </c>
    </row>
    <row r="10" spans="1:7" ht="27.75" customHeight="1" x14ac:dyDescent="0.2">
      <c r="A10" s="580" t="s">
        <v>543</v>
      </c>
      <c r="B10" s="551" t="s">
        <v>3254</v>
      </c>
      <c r="C10" s="553" t="s">
        <v>3251</v>
      </c>
      <c r="D10" s="640" t="s">
        <v>3255</v>
      </c>
      <c r="E10" s="613" t="s">
        <v>3256</v>
      </c>
    </row>
    <row r="11" spans="1:7" ht="27.75" customHeight="1" x14ac:dyDescent="0.2">
      <c r="A11" s="578" t="s">
        <v>3257</v>
      </c>
      <c r="B11" s="546" t="s">
        <v>3258</v>
      </c>
      <c r="C11" s="549" t="s">
        <v>3251</v>
      </c>
      <c r="D11" s="639" t="s">
        <v>3259</v>
      </c>
      <c r="E11" s="611" t="s">
        <v>3260</v>
      </c>
    </row>
    <row r="12" spans="1:7" ht="27.75" customHeight="1" x14ac:dyDescent="0.2">
      <c r="A12" s="580" t="s">
        <v>1078</v>
      </c>
      <c r="B12" s="551" t="s">
        <v>1077</v>
      </c>
      <c r="C12" s="553" t="s">
        <v>3261</v>
      </c>
      <c r="D12" s="640" t="s">
        <v>3262</v>
      </c>
      <c r="E12" s="613" t="s">
        <v>3263</v>
      </c>
    </row>
    <row r="13" spans="1:7" ht="27.75" customHeight="1" x14ac:dyDescent="0.2">
      <c r="A13" s="578" t="s">
        <v>1100</v>
      </c>
      <c r="B13" s="546" t="s">
        <v>1099</v>
      </c>
      <c r="C13" s="549" t="s">
        <v>3261</v>
      </c>
      <c r="D13" s="639" t="s">
        <v>3262</v>
      </c>
      <c r="E13" s="611" t="s">
        <v>3264</v>
      </c>
    </row>
    <row r="14" spans="1:7" ht="27.75" customHeight="1" x14ac:dyDescent="0.2">
      <c r="A14" s="580" t="s">
        <v>402</v>
      </c>
      <c r="B14" s="551" t="s">
        <v>3265</v>
      </c>
      <c r="C14" s="553" t="s">
        <v>3261</v>
      </c>
      <c r="D14" s="640" t="s">
        <v>3266</v>
      </c>
      <c r="E14" s="613" t="s">
        <v>3267</v>
      </c>
    </row>
    <row r="15" spans="1:7" ht="27.75" customHeight="1" x14ac:dyDescent="0.2">
      <c r="A15" s="578" t="s">
        <v>2060</v>
      </c>
      <c r="B15" s="546" t="s">
        <v>3268</v>
      </c>
      <c r="C15" s="549" t="s">
        <v>3269</v>
      </c>
      <c r="D15" s="639" t="s">
        <v>3270</v>
      </c>
      <c r="E15" s="611" t="s">
        <v>3271</v>
      </c>
    </row>
    <row r="16" spans="1:7" ht="27.75" customHeight="1" x14ac:dyDescent="0.2">
      <c r="A16" s="580" t="s">
        <v>3272</v>
      </c>
      <c r="B16" s="551" t="s">
        <v>3273</v>
      </c>
      <c r="C16" s="553" t="s">
        <v>3274</v>
      </c>
      <c r="D16" s="640" t="s">
        <v>44</v>
      </c>
      <c r="E16" s="613" t="s">
        <v>3275</v>
      </c>
    </row>
    <row r="17" spans="1:5" ht="27.75" customHeight="1" x14ac:dyDescent="0.2">
      <c r="A17" s="578" t="s">
        <v>3276</v>
      </c>
      <c r="B17" s="546" t="s">
        <v>3277</v>
      </c>
      <c r="C17" s="549" t="s">
        <v>3274</v>
      </c>
      <c r="D17" s="639" t="s">
        <v>3164</v>
      </c>
      <c r="E17" s="611" t="s">
        <v>3278</v>
      </c>
    </row>
    <row r="18" spans="1:5" ht="27.75" customHeight="1" x14ac:dyDescent="0.2">
      <c r="A18" s="580" t="s">
        <v>3279</v>
      </c>
      <c r="B18" s="551" t="s">
        <v>3280</v>
      </c>
      <c r="C18" s="553" t="s">
        <v>3281</v>
      </c>
      <c r="D18" s="640" t="s">
        <v>48</v>
      </c>
      <c r="E18" s="613" t="s">
        <v>3282</v>
      </c>
    </row>
    <row r="19" spans="1:5" ht="27.75" customHeight="1" x14ac:dyDescent="0.2">
      <c r="A19" s="578" t="s">
        <v>2159</v>
      </c>
      <c r="B19" s="546" t="s">
        <v>3283</v>
      </c>
      <c r="C19" s="549" t="s">
        <v>3261</v>
      </c>
      <c r="D19" s="639" t="s">
        <v>3284</v>
      </c>
      <c r="E19" s="611" t="s">
        <v>3285</v>
      </c>
    </row>
    <row r="20" spans="1:5" ht="27.75" customHeight="1" x14ac:dyDescent="0.2">
      <c r="A20" s="580" t="s">
        <v>3286</v>
      </c>
      <c r="B20" s="551" t="s">
        <v>3287</v>
      </c>
      <c r="C20" s="553" t="s">
        <v>3288</v>
      </c>
      <c r="D20" s="640" t="s">
        <v>3289</v>
      </c>
      <c r="E20" s="613" t="s">
        <v>3290</v>
      </c>
    </row>
    <row r="21" spans="1:5" ht="27.75" customHeight="1" x14ac:dyDescent="0.2">
      <c r="A21" s="578" t="s">
        <v>3291</v>
      </c>
      <c r="B21" s="546" t="s">
        <v>3292</v>
      </c>
      <c r="C21" s="549" t="s">
        <v>3293</v>
      </c>
      <c r="D21" s="639" t="s">
        <v>41</v>
      </c>
      <c r="E21" s="611" t="s">
        <v>3294</v>
      </c>
    </row>
    <row r="22" spans="1:5" ht="27.75" customHeight="1" x14ac:dyDescent="0.2">
      <c r="A22" s="580" t="s">
        <v>3295</v>
      </c>
      <c r="B22" s="551" t="s">
        <v>3296</v>
      </c>
      <c r="C22" s="553" t="s">
        <v>3293</v>
      </c>
      <c r="D22" s="640" t="s">
        <v>3297</v>
      </c>
      <c r="E22" s="613" t="s">
        <v>3298</v>
      </c>
    </row>
    <row r="23" spans="1:5" ht="27.75" customHeight="1" x14ac:dyDescent="0.2">
      <c r="A23" s="578" t="s">
        <v>3299</v>
      </c>
      <c r="B23" s="546" t="s">
        <v>3300</v>
      </c>
      <c r="C23" s="549" t="s">
        <v>3261</v>
      </c>
      <c r="D23" s="639" t="s">
        <v>3301</v>
      </c>
      <c r="E23" s="611" t="s">
        <v>3302</v>
      </c>
    </row>
    <row r="24" spans="1:5" ht="27.75" customHeight="1" x14ac:dyDescent="0.2">
      <c r="A24" s="580" t="s">
        <v>3303</v>
      </c>
      <c r="B24" s="551" t="s">
        <v>3304</v>
      </c>
      <c r="C24" s="553" t="s">
        <v>3261</v>
      </c>
      <c r="D24" s="640" t="s">
        <v>3305</v>
      </c>
      <c r="E24" s="613" t="s">
        <v>3306</v>
      </c>
    </row>
    <row r="25" spans="1:5" ht="27.75" customHeight="1" x14ac:dyDescent="0.2">
      <c r="A25" s="578" t="s">
        <v>3307</v>
      </c>
      <c r="B25" s="546" t="s">
        <v>3308</v>
      </c>
      <c r="C25" s="549" t="s">
        <v>3309</v>
      </c>
      <c r="D25" s="639" t="s">
        <v>3310</v>
      </c>
      <c r="E25" s="611" t="s">
        <v>3311</v>
      </c>
    </row>
    <row r="26" spans="1:5" ht="27.75" customHeight="1" x14ac:dyDescent="0.2">
      <c r="A26" s="580" t="s">
        <v>3312</v>
      </c>
      <c r="B26" s="551" t="s">
        <v>3313</v>
      </c>
      <c r="C26" s="553" t="s">
        <v>3314</v>
      </c>
      <c r="D26" s="640" t="s">
        <v>3315</v>
      </c>
      <c r="E26" s="613" t="s">
        <v>3316</v>
      </c>
    </row>
    <row r="27" spans="1:5" ht="27.75" customHeight="1" x14ac:dyDescent="0.2">
      <c r="A27" s="578" t="s">
        <v>3317</v>
      </c>
      <c r="B27" s="546" t="s">
        <v>3318</v>
      </c>
      <c r="C27" s="549" t="s">
        <v>3319</v>
      </c>
      <c r="D27" s="639" t="s">
        <v>3320</v>
      </c>
      <c r="E27" s="611" t="s">
        <v>3321</v>
      </c>
    </row>
    <row r="28" spans="1:5" ht="27.75" customHeight="1" x14ac:dyDescent="0.2">
      <c r="A28" s="580" t="s">
        <v>3322</v>
      </c>
      <c r="B28" s="551" t="s">
        <v>3323</v>
      </c>
      <c r="C28" s="553" t="s">
        <v>3324</v>
      </c>
      <c r="D28" s="640" t="s">
        <v>3325</v>
      </c>
      <c r="E28" s="613" t="s">
        <v>3326</v>
      </c>
    </row>
    <row r="29" spans="1:5" ht="27.75" customHeight="1" x14ac:dyDescent="0.2">
      <c r="A29" s="578" t="s">
        <v>3327</v>
      </c>
      <c r="B29" s="546" t="s">
        <v>3328</v>
      </c>
      <c r="C29" s="549" t="s">
        <v>2319</v>
      </c>
      <c r="D29" s="639" t="s">
        <v>59</v>
      </c>
      <c r="E29" s="611" t="s">
        <v>3329</v>
      </c>
    </row>
    <row r="30" spans="1:5" ht="27.75" customHeight="1" x14ac:dyDescent="0.2">
      <c r="A30" s="580" t="s">
        <v>3330</v>
      </c>
      <c r="B30" s="551" t="s">
        <v>3331</v>
      </c>
      <c r="C30" s="553" t="s">
        <v>3261</v>
      </c>
      <c r="D30" s="640" t="s">
        <v>3332</v>
      </c>
      <c r="E30" s="613" t="s">
        <v>3333</v>
      </c>
    </row>
    <row r="31" spans="1:5" ht="27.75" customHeight="1" x14ac:dyDescent="0.2">
      <c r="A31" s="578" t="s">
        <v>3334</v>
      </c>
      <c r="B31" s="546" t="s">
        <v>3335</v>
      </c>
      <c r="C31" s="549" t="s">
        <v>3336</v>
      </c>
      <c r="D31" s="639" t="s">
        <v>66</v>
      </c>
      <c r="E31" s="611" t="s">
        <v>3337</v>
      </c>
    </row>
    <row r="32" spans="1:5" ht="27.75" customHeight="1" x14ac:dyDescent="0.2">
      <c r="A32" s="580" t="s">
        <v>3338</v>
      </c>
      <c r="B32" s="551" t="s">
        <v>3339</v>
      </c>
      <c r="C32" s="553" t="s">
        <v>3340</v>
      </c>
      <c r="D32" s="640" t="s">
        <v>3341</v>
      </c>
      <c r="E32" s="613" t="s">
        <v>3342</v>
      </c>
    </row>
    <row r="33" spans="1:5" ht="27.75" customHeight="1" x14ac:dyDescent="0.2">
      <c r="A33" s="578" t="s">
        <v>1176</v>
      </c>
      <c r="B33" s="546" t="s">
        <v>3343</v>
      </c>
      <c r="C33" s="549" t="s">
        <v>3344</v>
      </c>
      <c r="D33" s="639" t="s">
        <v>3345</v>
      </c>
      <c r="E33" s="611" t="s">
        <v>3346</v>
      </c>
    </row>
    <row r="34" spans="1:5" ht="27.75" customHeight="1" x14ac:dyDescent="0.2">
      <c r="A34" s="580" t="s">
        <v>3347</v>
      </c>
      <c r="B34" s="551" t="s">
        <v>3348</v>
      </c>
      <c r="C34" s="553" t="s">
        <v>3349</v>
      </c>
      <c r="D34" s="640" t="s">
        <v>174</v>
      </c>
      <c r="E34" s="613" t="s">
        <v>3350</v>
      </c>
    </row>
    <row r="35" spans="1:5" ht="27.75" customHeight="1" x14ac:dyDescent="0.2">
      <c r="A35" s="578" t="s">
        <v>3351</v>
      </c>
      <c r="B35" s="546" t="s">
        <v>3352</v>
      </c>
      <c r="C35" s="549" t="s">
        <v>3353</v>
      </c>
      <c r="D35" s="639" t="s">
        <v>140</v>
      </c>
      <c r="E35" s="611" t="s">
        <v>3354</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565C0"/>
  </sheetPr>
  <dimension ref="A1:M38"/>
  <sheetViews>
    <sheetView zoomScaleNormal="100" workbookViewId="0">
      <pane ySplit="8" topLeftCell="A9" activePane="bottomLeft" state="frozen"/>
      <selection pane="bottomLeft"/>
    </sheetView>
  </sheetViews>
  <sheetFormatPr defaultColWidth="8.609375" defaultRowHeight="15" x14ac:dyDescent="0.2"/>
  <cols>
    <col min="1" max="1" width="6.05078125" customWidth="1"/>
    <col min="2" max="2" width="27.98046875" customWidth="1"/>
    <col min="3" max="3" width="18.0234375" customWidth="1"/>
    <col min="4" max="4" width="11.97265625" customWidth="1"/>
    <col min="5" max="6" width="9.953125" customWidth="1"/>
    <col min="7" max="7" width="45.0625" customWidth="1"/>
  </cols>
  <sheetData>
    <row r="1" spans="1:13" ht="21.75" customHeight="1" x14ac:dyDescent="0.2">
      <c r="A1" s="1530" t="s">
        <v>3355</v>
      </c>
      <c r="B1" s="1530"/>
      <c r="C1" s="1530"/>
      <c r="D1" s="1530"/>
      <c r="E1" s="1530"/>
      <c r="F1" s="1530"/>
      <c r="G1" s="1530"/>
      <c r="H1" s="1530"/>
      <c r="I1" s="1530"/>
      <c r="J1" s="1530"/>
      <c r="K1" s="1530"/>
      <c r="L1" s="1530"/>
      <c r="M1" s="641" t="s">
        <v>2214</v>
      </c>
    </row>
    <row r="2" spans="1:13" ht="15.75" customHeight="1" x14ac:dyDescent="0.2">
      <c r="A2" s="1531" t="s">
        <v>3356</v>
      </c>
      <c r="B2" s="1531"/>
      <c r="C2" s="1531"/>
      <c r="D2" s="1531"/>
      <c r="E2" s="1531"/>
      <c r="F2" s="1531"/>
      <c r="G2" s="1531"/>
      <c r="H2" s="1531"/>
      <c r="I2" s="1531"/>
      <c r="J2" s="1531"/>
      <c r="K2" s="1531"/>
      <c r="L2" s="1531"/>
    </row>
    <row r="4" spans="1:13" ht="18" customHeight="1" x14ac:dyDescent="0.2">
      <c r="A4" s="1524" t="s">
        <v>3357</v>
      </c>
      <c r="B4" s="1524"/>
      <c r="C4" s="1524"/>
      <c r="D4" s="1524"/>
      <c r="E4" s="1524"/>
      <c r="F4" s="1524"/>
      <c r="G4" s="1524"/>
      <c r="H4" s="1524"/>
      <c r="I4" s="1524"/>
      <c r="J4" s="1524"/>
      <c r="K4" s="1524"/>
      <c r="L4" s="1524"/>
    </row>
    <row r="5" spans="1:13" ht="27.75" customHeight="1" x14ac:dyDescent="0.2">
      <c r="A5" s="1532" t="s">
        <v>3358</v>
      </c>
      <c r="B5" s="1532"/>
      <c r="C5" s="1532"/>
      <c r="D5" s="1532"/>
      <c r="E5" s="1532"/>
      <c r="F5" s="1532"/>
      <c r="G5" s="1532"/>
      <c r="H5" s="1532"/>
      <c r="I5" s="1532"/>
      <c r="J5" s="1532"/>
      <c r="K5" s="1532"/>
      <c r="L5" s="1532"/>
    </row>
    <row r="7" spans="1:13" ht="18" customHeight="1" x14ac:dyDescent="0.2">
      <c r="A7" s="1521" t="s">
        <v>3359</v>
      </c>
      <c r="B7" s="1521"/>
      <c r="C7" s="1521"/>
      <c r="D7" s="1521"/>
      <c r="E7" s="1521"/>
      <c r="F7" s="1521"/>
      <c r="G7" s="1521"/>
      <c r="H7" s="1521"/>
      <c r="I7" s="1521"/>
      <c r="J7" s="1521"/>
      <c r="K7" s="1521"/>
      <c r="L7" s="1521"/>
    </row>
    <row r="8" spans="1:13" ht="15" customHeight="1" x14ac:dyDescent="0.2">
      <c r="A8" s="545" t="s">
        <v>2393</v>
      </c>
      <c r="B8" s="545" t="s">
        <v>3360</v>
      </c>
      <c r="C8" s="545" t="s">
        <v>3141</v>
      </c>
      <c r="D8" s="642" t="s">
        <v>3361</v>
      </c>
      <c r="E8" s="545" t="s">
        <v>3362</v>
      </c>
      <c r="F8" s="545" t="s">
        <v>3363</v>
      </c>
      <c r="G8" s="545" t="s">
        <v>3364</v>
      </c>
      <c r="H8" s="545"/>
      <c r="I8" s="545"/>
      <c r="J8" s="545"/>
      <c r="K8" s="545"/>
      <c r="L8" s="545"/>
    </row>
    <row r="9" spans="1:13" ht="15.75" customHeight="1" x14ac:dyDescent="0.2">
      <c r="A9" s="643" t="s">
        <v>3365</v>
      </c>
      <c r="B9" s="644" t="s">
        <v>3366</v>
      </c>
      <c r="C9" s="645" t="s">
        <v>3367</v>
      </c>
      <c r="D9" s="646">
        <v>0.5</v>
      </c>
      <c r="E9" s="647">
        <v>0.5</v>
      </c>
      <c r="F9" s="648">
        <v>0.5</v>
      </c>
      <c r="G9" s="649" t="s">
        <v>3368</v>
      </c>
    </row>
    <row r="10" spans="1:13" ht="15.75" customHeight="1" x14ac:dyDescent="0.2">
      <c r="A10" s="547" t="s">
        <v>3016</v>
      </c>
      <c r="B10" s="650" t="s">
        <v>3369</v>
      </c>
      <c r="C10" s="651" t="s">
        <v>3367</v>
      </c>
      <c r="D10" s="652">
        <v>1</v>
      </c>
      <c r="E10" s="653">
        <v>1</v>
      </c>
      <c r="F10" s="654">
        <v>1</v>
      </c>
      <c r="G10" s="655" t="s">
        <v>3370</v>
      </c>
    </row>
    <row r="11" spans="1:13" ht="15.75" customHeight="1" x14ac:dyDescent="0.2">
      <c r="A11" s="643" t="s">
        <v>3065</v>
      </c>
      <c r="B11" s="644" t="s">
        <v>3067</v>
      </c>
      <c r="C11" s="645" t="s">
        <v>3367</v>
      </c>
      <c r="D11" s="646">
        <v>0.75</v>
      </c>
      <c r="E11" s="647">
        <v>0.5</v>
      </c>
      <c r="F11" s="648">
        <v>0.75</v>
      </c>
      <c r="G11" s="649" t="s">
        <v>3371</v>
      </c>
    </row>
    <row r="12" spans="1:13" ht="15.75" customHeight="1" x14ac:dyDescent="0.2">
      <c r="A12" s="547" t="s">
        <v>3015</v>
      </c>
      <c r="B12" s="650" t="s">
        <v>3017</v>
      </c>
      <c r="C12" s="651" t="s">
        <v>3372</v>
      </c>
      <c r="D12" s="652">
        <v>2</v>
      </c>
      <c r="E12" s="653">
        <v>1.5</v>
      </c>
      <c r="F12" s="654">
        <v>1.5</v>
      </c>
      <c r="G12" s="655" t="s">
        <v>3373</v>
      </c>
    </row>
    <row r="13" spans="1:13" ht="15.75" customHeight="1" x14ac:dyDescent="0.2">
      <c r="A13" s="643" t="s">
        <v>3092</v>
      </c>
      <c r="B13" s="644" t="s">
        <v>3374</v>
      </c>
      <c r="C13" s="645" t="s">
        <v>3372</v>
      </c>
      <c r="D13" s="646">
        <v>0.5</v>
      </c>
      <c r="E13" s="647">
        <v>0.5</v>
      </c>
      <c r="F13" s="648">
        <v>0.5</v>
      </c>
      <c r="G13" s="649" t="s">
        <v>3370</v>
      </c>
    </row>
    <row r="14" spans="1:13" ht="15.75" customHeight="1" x14ac:dyDescent="0.2">
      <c r="A14" s="547" t="s">
        <v>3028</v>
      </c>
      <c r="B14" s="650" t="s">
        <v>3375</v>
      </c>
      <c r="C14" s="651" t="s">
        <v>3372</v>
      </c>
      <c r="D14" s="652">
        <v>1</v>
      </c>
      <c r="E14" s="653">
        <v>1</v>
      </c>
      <c r="F14" s="654">
        <v>1</v>
      </c>
      <c r="G14" s="655" t="s">
        <v>3370</v>
      </c>
    </row>
    <row r="15" spans="1:13" ht="15.75" customHeight="1" x14ac:dyDescent="0.2">
      <c r="A15" s="643" t="s">
        <v>3112</v>
      </c>
      <c r="B15" s="644" t="s">
        <v>3376</v>
      </c>
      <c r="C15" s="645" t="s">
        <v>3372</v>
      </c>
      <c r="D15" s="646">
        <v>0.5</v>
      </c>
      <c r="E15" s="647">
        <v>0.5</v>
      </c>
      <c r="F15" s="648">
        <v>0.5</v>
      </c>
      <c r="G15" s="649" t="s">
        <v>3370</v>
      </c>
    </row>
    <row r="16" spans="1:13" ht="15.75" customHeight="1" x14ac:dyDescent="0.2">
      <c r="A16" s="547" t="s">
        <v>3033</v>
      </c>
      <c r="B16" s="650" t="s">
        <v>3377</v>
      </c>
      <c r="C16" s="651" t="s">
        <v>3378</v>
      </c>
      <c r="D16" s="652">
        <v>0.75</v>
      </c>
      <c r="E16" s="653">
        <v>0.75</v>
      </c>
      <c r="F16" s="654">
        <v>0.5</v>
      </c>
      <c r="G16" s="655" t="s">
        <v>3379</v>
      </c>
    </row>
    <row r="17" spans="1:7" ht="15.75" customHeight="1" x14ac:dyDescent="0.2">
      <c r="A17" s="643" t="s">
        <v>3050</v>
      </c>
      <c r="B17" s="644" t="s">
        <v>3051</v>
      </c>
      <c r="C17" s="645" t="s">
        <v>3380</v>
      </c>
      <c r="D17" s="646">
        <v>-1</v>
      </c>
      <c r="E17" s="647">
        <v>-1</v>
      </c>
      <c r="F17" s="648">
        <v>-1</v>
      </c>
      <c r="G17" s="649" t="s">
        <v>3370</v>
      </c>
    </row>
    <row r="18" spans="1:7" ht="15.75" customHeight="1" x14ac:dyDescent="0.2">
      <c r="A18" s="547" t="s">
        <v>3066</v>
      </c>
      <c r="B18" s="650" t="s">
        <v>3068</v>
      </c>
      <c r="C18" s="651" t="s">
        <v>3380</v>
      </c>
      <c r="D18" s="652">
        <v>-0.5</v>
      </c>
      <c r="E18" s="653">
        <v>-0.5</v>
      </c>
      <c r="F18" s="654">
        <v>-0.5</v>
      </c>
      <c r="G18" s="655" t="s">
        <v>3370</v>
      </c>
    </row>
    <row r="19" spans="1:7" ht="15.75" customHeight="1" x14ac:dyDescent="0.2">
      <c r="A19" s="643" t="s">
        <v>3061</v>
      </c>
      <c r="B19" s="644" t="s">
        <v>3062</v>
      </c>
      <c r="C19" s="645" t="s">
        <v>3380</v>
      </c>
      <c r="D19" s="646">
        <v>-1.25</v>
      </c>
      <c r="E19" s="647">
        <v>-1.25</v>
      </c>
      <c r="F19" s="648">
        <v>-1</v>
      </c>
      <c r="G19" s="649" t="s">
        <v>3381</v>
      </c>
    </row>
    <row r="20" spans="1:7" ht="15.75" customHeight="1" x14ac:dyDescent="0.2">
      <c r="A20" s="547" t="s">
        <v>3095</v>
      </c>
      <c r="B20" s="650" t="s">
        <v>3382</v>
      </c>
      <c r="C20" s="651" t="s">
        <v>3380</v>
      </c>
      <c r="D20" s="652">
        <v>-0.75</v>
      </c>
      <c r="E20" s="653">
        <v>-0.75</v>
      </c>
      <c r="F20" s="654">
        <v>-0.5</v>
      </c>
      <c r="G20" s="655" t="s">
        <v>3379</v>
      </c>
    </row>
    <row r="21" spans="1:7" ht="15.75" customHeight="1" x14ac:dyDescent="0.2">
      <c r="A21" s="643" t="s">
        <v>3036</v>
      </c>
      <c r="B21" s="644" t="s">
        <v>3383</v>
      </c>
      <c r="C21" s="645" t="s">
        <v>3380</v>
      </c>
      <c r="D21" s="646">
        <v>-0.5</v>
      </c>
      <c r="E21" s="647">
        <v>-0.5</v>
      </c>
      <c r="F21" s="648">
        <v>-0.5</v>
      </c>
      <c r="G21" s="649" t="s">
        <v>3370</v>
      </c>
    </row>
    <row r="22" spans="1:7" ht="15.75" customHeight="1" x14ac:dyDescent="0.2">
      <c r="A22" s="547" t="s">
        <v>3054</v>
      </c>
      <c r="B22" s="650" t="s">
        <v>3384</v>
      </c>
      <c r="C22" s="651" t="s">
        <v>3380</v>
      </c>
      <c r="D22" s="652">
        <v>-0.5</v>
      </c>
      <c r="E22" s="653">
        <v>-0.5</v>
      </c>
      <c r="F22" s="654">
        <v>-0.5</v>
      </c>
      <c r="G22" s="655" t="s">
        <v>3370</v>
      </c>
    </row>
    <row r="23" spans="1:7" ht="15.75" customHeight="1" x14ac:dyDescent="0.2">
      <c r="A23" s="643" t="s">
        <v>3041</v>
      </c>
      <c r="B23" s="644" t="s">
        <v>3042</v>
      </c>
      <c r="C23" s="645" t="s">
        <v>3372</v>
      </c>
      <c r="D23" s="646">
        <v>-2</v>
      </c>
      <c r="E23" s="647">
        <v>-1.75</v>
      </c>
      <c r="F23" s="648">
        <v>-2</v>
      </c>
      <c r="G23" s="649" t="s">
        <v>3385</v>
      </c>
    </row>
    <row r="24" spans="1:7" ht="15.75" customHeight="1" x14ac:dyDescent="0.2">
      <c r="A24" s="547" t="s">
        <v>3058</v>
      </c>
      <c r="B24" s="650" t="s">
        <v>3386</v>
      </c>
      <c r="C24" s="651" t="s">
        <v>3372</v>
      </c>
      <c r="D24" s="652">
        <v>-0.75</v>
      </c>
      <c r="E24" s="653">
        <v>-0.75</v>
      </c>
      <c r="F24" s="654">
        <v>-0.75</v>
      </c>
      <c r="G24" s="655" t="s">
        <v>3370</v>
      </c>
    </row>
    <row r="25" spans="1:7" ht="15.75" customHeight="1" x14ac:dyDescent="0.2">
      <c r="A25" s="643" t="s">
        <v>3083</v>
      </c>
      <c r="B25" s="644" t="s">
        <v>3387</v>
      </c>
      <c r="C25" s="645" t="s">
        <v>3388</v>
      </c>
      <c r="D25" s="646">
        <v>0.5</v>
      </c>
      <c r="E25" s="647">
        <v>0.5</v>
      </c>
      <c r="F25" s="648">
        <v>0.75</v>
      </c>
      <c r="G25" s="649" t="s">
        <v>3389</v>
      </c>
    </row>
    <row r="26" spans="1:7" ht="15.75" customHeight="1" x14ac:dyDescent="0.2">
      <c r="A26" s="547" t="s">
        <v>3390</v>
      </c>
      <c r="B26" s="650" t="s">
        <v>3391</v>
      </c>
      <c r="C26" s="651" t="s">
        <v>3388</v>
      </c>
      <c r="D26" s="652">
        <v>-0.5</v>
      </c>
      <c r="E26" s="653">
        <v>-0.5</v>
      </c>
      <c r="F26" s="654">
        <v>-0.75</v>
      </c>
      <c r="G26" s="655" t="s">
        <v>3389</v>
      </c>
    </row>
    <row r="27" spans="1:7" ht="15.75" customHeight="1" x14ac:dyDescent="0.2">
      <c r="A27" s="643" t="s">
        <v>3046</v>
      </c>
      <c r="B27" s="644" t="s">
        <v>3392</v>
      </c>
      <c r="C27" s="645" t="s">
        <v>3372</v>
      </c>
      <c r="D27" s="646">
        <v>-1</v>
      </c>
      <c r="E27" s="647">
        <v>-1</v>
      </c>
      <c r="F27" s="648">
        <v>-1</v>
      </c>
      <c r="G27" s="649" t="s">
        <v>3370</v>
      </c>
    </row>
    <row r="28" spans="1:7" ht="15.75" customHeight="1" x14ac:dyDescent="0.2">
      <c r="A28" s="547" t="s">
        <v>3025</v>
      </c>
      <c r="B28" s="650" t="s">
        <v>3393</v>
      </c>
      <c r="C28" s="651" t="s">
        <v>1565</v>
      </c>
      <c r="D28" s="652">
        <v>0.25</v>
      </c>
      <c r="E28" s="653">
        <v>0.5</v>
      </c>
      <c r="F28" s="654">
        <v>0.25</v>
      </c>
      <c r="G28" s="655" t="s">
        <v>3394</v>
      </c>
    </row>
    <row r="29" spans="1:7" ht="15.75" customHeight="1" x14ac:dyDescent="0.2">
      <c r="A29" s="643" t="s">
        <v>3022</v>
      </c>
      <c r="B29" s="644" t="s">
        <v>3395</v>
      </c>
      <c r="C29" s="645" t="s">
        <v>1565</v>
      </c>
      <c r="D29" s="646">
        <v>0.5</v>
      </c>
      <c r="E29" s="647">
        <v>0.5</v>
      </c>
      <c r="F29" s="648">
        <v>0.25</v>
      </c>
      <c r="G29" s="649" t="s">
        <v>3396</v>
      </c>
    </row>
    <row r="30" spans="1:7" ht="15.75" customHeight="1" x14ac:dyDescent="0.2">
      <c r="A30" s="547" t="s">
        <v>3079</v>
      </c>
      <c r="B30" s="650" t="s">
        <v>3397</v>
      </c>
      <c r="C30" s="651" t="s">
        <v>1565</v>
      </c>
      <c r="D30" s="652">
        <v>0.25</v>
      </c>
      <c r="E30" s="653">
        <v>0.25</v>
      </c>
      <c r="F30" s="654">
        <v>0.25</v>
      </c>
      <c r="G30" s="655" t="s">
        <v>3398</v>
      </c>
    </row>
    <row r="31" spans="1:7" ht="15.75" customHeight="1" x14ac:dyDescent="0.2">
      <c r="A31" s="643" t="s">
        <v>3399</v>
      </c>
      <c r="B31" s="644" t="s">
        <v>3400</v>
      </c>
      <c r="C31" s="645" t="s">
        <v>1565</v>
      </c>
      <c r="D31" s="646">
        <v>0.5</v>
      </c>
      <c r="E31" s="647">
        <v>0.25</v>
      </c>
      <c r="F31" s="648">
        <v>0.5</v>
      </c>
      <c r="G31" s="649" t="s">
        <v>3401</v>
      </c>
    </row>
    <row r="34" spans="1:12" ht="18" customHeight="1" x14ac:dyDescent="0.2">
      <c r="A34" s="1521" t="s">
        <v>3402</v>
      </c>
      <c r="B34" s="1521"/>
      <c r="C34" s="1521"/>
      <c r="D34" s="1521"/>
      <c r="E34" s="1521"/>
      <c r="F34" s="1521"/>
      <c r="G34" s="1521"/>
      <c r="H34" s="1521"/>
      <c r="I34" s="1521"/>
      <c r="J34" s="1521"/>
      <c r="K34" s="1521"/>
      <c r="L34" s="1521"/>
    </row>
    <row r="35" spans="1:12" ht="15" customHeight="1" x14ac:dyDescent="0.2">
      <c r="A35" s="545" t="s">
        <v>1567</v>
      </c>
      <c r="B35" s="545" t="s">
        <v>3403</v>
      </c>
      <c r="C35" s="545" t="s">
        <v>282</v>
      </c>
      <c r="D35" s="545"/>
      <c r="E35" s="545"/>
      <c r="F35" s="545"/>
      <c r="G35" s="545"/>
      <c r="H35" s="545"/>
      <c r="I35" s="545"/>
      <c r="J35" s="545"/>
      <c r="K35" s="545"/>
      <c r="L35" s="545"/>
    </row>
    <row r="36" spans="1:12" ht="15.75" customHeight="1" x14ac:dyDescent="0.2">
      <c r="A36" s="547" t="s">
        <v>2222</v>
      </c>
      <c r="B36" s="656" t="s">
        <v>3404</v>
      </c>
      <c r="C36" s="655" t="s">
        <v>3405</v>
      </c>
    </row>
    <row r="37" spans="1:12" ht="15.75" customHeight="1" x14ac:dyDescent="0.2">
      <c r="A37" s="643" t="s">
        <v>3362</v>
      </c>
      <c r="B37" s="657" t="s">
        <v>3404</v>
      </c>
      <c r="C37" s="649" t="s">
        <v>3406</v>
      </c>
    </row>
    <row r="38" spans="1:12" ht="15.75" customHeight="1" x14ac:dyDescent="0.2">
      <c r="A38" s="547" t="s">
        <v>3363</v>
      </c>
      <c r="B38" s="656" t="s">
        <v>3407</v>
      </c>
      <c r="C38" s="655" t="s">
        <v>3408</v>
      </c>
    </row>
  </sheetData>
  <mergeCells count="6">
    <mergeCell ref="A34:L34"/>
    <mergeCell ref="A1:L1"/>
    <mergeCell ref="A2:L2"/>
    <mergeCell ref="A4:L4"/>
    <mergeCell ref="A5:L5"/>
    <mergeCell ref="A7:L7"/>
  </mergeCell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6A1B9A"/>
  </sheetPr>
  <dimension ref="A1:L17"/>
  <sheetViews>
    <sheetView zoomScaleNormal="100" workbookViewId="0"/>
  </sheetViews>
  <sheetFormatPr defaultColWidth="8.609375" defaultRowHeight="15" x14ac:dyDescent="0.2"/>
  <cols>
    <col min="1" max="1" width="16.0078125" customWidth="1"/>
    <col min="2" max="3" width="13.98828125" customWidth="1"/>
    <col min="4" max="4" width="11.97265625" customWidth="1"/>
    <col min="5" max="5" width="13.98828125" customWidth="1"/>
    <col min="6" max="6" width="18.0234375" customWidth="1"/>
    <col min="7" max="9" width="11.97265625" customWidth="1"/>
    <col min="10" max="10" width="22.05859375" customWidth="1"/>
  </cols>
  <sheetData>
    <row r="1" spans="1:12" ht="27.75" customHeight="1" x14ac:dyDescent="0.2">
      <c r="A1" s="1533" t="s">
        <v>3409</v>
      </c>
      <c r="B1" s="1533"/>
      <c r="C1" s="1533"/>
      <c r="D1" s="1533"/>
      <c r="E1" s="1533"/>
      <c r="F1" s="1533"/>
      <c r="G1" s="1533"/>
      <c r="H1" s="1533"/>
      <c r="I1" s="1533"/>
      <c r="L1" s="29" t="str">
        <f>HYPERLINK("#'00_INDEX'!A1","&lt;- Index")</f>
        <v>&lt;- Index</v>
      </c>
    </row>
    <row r="2" spans="1:12" ht="27.75" customHeight="1" x14ac:dyDescent="0.2">
      <c r="A2" s="1534" t="s">
        <v>3410</v>
      </c>
      <c r="B2" s="1534"/>
      <c r="C2" s="1534"/>
      <c r="D2" s="1534"/>
      <c r="E2" s="1534"/>
      <c r="F2" s="1534"/>
      <c r="G2" s="1534"/>
      <c r="H2" s="1534"/>
      <c r="I2" s="1534"/>
    </row>
    <row r="3" spans="1:12" ht="19.5" customHeight="1" x14ac:dyDescent="0.2">
      <c r="A3" s="87" t="s">
        <v>319</v>
      </c>
      <c r="B3" s="658" t="s">
        <v>3411</v>
      </c>
      <c r="C3" s="658" t="s">
        <v>3412</v>
      </c>
      <c r="D3" s="517" t="s">
        <v>3413</v>
      </c>
      <c r="E3" s="537" t="s">
        <v>1121</v>
      </c>
      <c r="F3" s="537" t="s">
        <v>3414</v>
      </c>
      <c r="G3" s="89" t="s">
        <v>3415</v>
      </c>
      <c r="H3" s="659" t="s">
        <v>3416</v>
      </c>
      <c r="I3" s="89" t="s">
        <v>282</v>
      </c>
      <c r="J3" s="660" t="s">
        <v>3417</v>
      </c>
    </row>
    <row r="4" spans="1:12" ht="15.75" customHeight="1" x14ac:dyDescent="0.2">
      <c r="A4" s="1535" t="s">
        <v>3418</v>
      </c>
      <c r="B4" s="1535"/>
      <c r="C4" s="1535"/>
    </row>
    <row r="5" spans="1:12" ht="19.5" customHeight="1" x14ac:dyDescent="0.2">
      <c r="A5" s="661" t="s">
        <v>3419</v>
      </c>
      <c r="B5" s="662" t="str">
        <f>IFERROR((INPUT_BirthData!$B$19 - 0.5 + (HOUR(TIMEVALUE(INPUT_BirthData!$B$6))+MINUTE(TIMEVALUE(INPUT_BirthData!$B$6))/60-INPUT_BirthData!$B$9)/24) - 2451545, "Enter birth data")</f>
        <v>Enter birth data</v>
      </c>
      <c r="C5" s="663" t="s">
        <v>3420</v>
      </c>
      <c r="D5" s="664" t="str">
        <f>IFERROR(23.8531 + 0.000037252 * B5, "—")</f>
        <v>—</v>
      </c>
      <c r="E5" s="665" t="s">
        <v>3421</v>
      </c>
      <c r="F5" s="666" t="str">
        <f>IFERROR(23.4393 - 0.000013*B5, "—")</f>
        <v>—</v>
      </c>
    </row>
    <row r="6" spans="1:12" ht="13.5" customHeight="1" x14ac:dyDescent="0.2">
      <c r="A6" s="1536" t="s">
        <v>3422</v>
      </c>
      <c r="B6" s="1536"/>
      <c r="C6" s="1536"/>
      <c r="D6" s="1536"/>
      <c r="E6" s="1536"/>
      <c r="F6" s="1536"/>
      <c r="G6" s="1536"/>
      <c r="H6" s="1536"/>
      <c r="I6" s="1536"/>
    </row>
    <row r="7" spans="1:12" ht="27.75" customHeight="1" x14ac:dyDescent="0.2">
      <c r="A7" s="94" t="s">
        <v>265</v>
      </c>
      <c r="B7" s="667" t="str">
        <f>IFERROR(MOD(MOD(IF(AND(MOD(280.46061837+360.98564736629*$B$5,360)+INPUT_BirthData!$B$15&gt;=90,MOD(280.46061837+360.98564736629*$B$5,360)+INPUT_BirthData!$B$15&lt;270),MOD(DEGREES(ATAN2(SIN(RADIANS($F$5))*TAN(RADIANS(INPUT_BirthData!$B$14))+COS(RADIANS($F$5))*SIN(RADIANS(MOD(280.46061837+360.98564736629*$B$5+INPUT_BirthData!$B$15,360))),-COS(RADIANS(MOD(280.46061837+360.98564736629*$B$5+INPUT_BirthData!$B$15,360)))))+180,360),MOD(DEGREES(ATAN2(SIN(RADIANS($F$5))*TAN(RADIANS(INPUT_BirthData!$B$14))+COS(RADIANS($F$5))*SIN(RADIANS(MOD(280.46061837+360.98564736629*$B$5+INPUT_BirthData!$B$15,360))),-COS(RADIANS(MOD(280.46061837+360.98564736629*$B$5+INPUT_BirthData!$B$15,360))))),360)),360),360),"—")</f>
        <v>—</v>
      </c>
      <c r="C7" s="668" t="str">
        <f t="shared" ref="C7:C16" si="0">$D$5</f>
        <v>—</v>
      </c>
      <c r="D7" s="669">
        <f>IFERROR(CALC_SwissEphemeris_Live!$B$5,0)</f>
        <v>37.7286</v>
      </c>
      <c r="E7" s="670" t="str">
        <f>IFERROR(INDEX({"Aries","Taurus","Gemini","Cancer","Leo","Virgo","Libra","Scorpio","Sagittarius","Capricorn","Aquarius","Pisces"},INT(D7/30)+1),"—")</f>
        <v>Taurus</v>
      </c>
      <c r="F7" s="671">
        <f t="shared" ref="F7:F16" si="1">IFERROR(MOD(D7,30),"—")</f>
        <v>7.7286000000000001</v>
      </c>
      <c r="G7" s="672" t="s">
        <v>3423</v>
      </c>
      <c r="H7" s="74" t="str">
        <f>IFERROR(IF(OR(MOD(D7,30)&lt;0.5,MOD(D7,30)&gt;(30-0.5)),"⚠ Check","·"),"—")</f>
        <v>·</v>
      </c>
      <c r="I7" s="673" t="s">
        <v>3424</v>
      </c>
      <c r="J7">
        <f>IFERROR((MATCH(INPUT_Chart!$C$5,{"Aries","Taurus","Gemini","Cancer","Leo","Virgo","Libra","Scorpio","Sagittarius","Capricorn","Aquarius","Pisces"},0)-1)*30+INPUT_Chart!$D$5,0)</f>
        <v>37.7286</v>
      </c>
    </row>
    <row r="8" spans="1:12" ht="27.75" customHeight="1" x14ac:dyDescent="0.2">
      <c r="A8" s="90" t="s">
        <v>266</v>
      </c>
      <c r="B8" s="674" t="str">
        <f>IFERROR(MOD((280.46+0.9856474*$B$5)+1.9148*SIN(RADIANS(MOD(357.528+0.9856003*$B$5,360)))+0.02*SIN(RADIANS(2*MOD(357.528+0.9856003*$B$5,360)))+0.0003*SIN(RADIANS(3*MOD(357.528+0.9856003*$B$5,360))),360),"—")</f>
        <v>—</v>
      </c>
      <c r="C8" s="675" t="str">
        <f t="shared" si="0"/>
        <v>—</v>
      </c>
      <c r="D8" s="669">
        <f>IFERROR(CALC_SwissEphemeris_Live!$B$6,0)</f>
        <v>117.989</v>
      </c>
      <c r="E8" s="670" t="str">
        <f>IFERROR(INDEX({"Aries","Taurus","Gemini","Cancer","Leo","Virgo","Libra","Scorpio","Sagittarius","Capricorn","Aquarius","Pisces"},INT(D8/30)+1),"—")</f>
        <v>Cancer</v>
      </c>
      <c r="F8" s="671">
        <f t="shared" si="1"/>
        <v>27.989000000000004</v>
      </c>
      <c r="G8" s="676" t="s">
        <v>3425</v>
      </c>
      <c r="H8" s="71" t="str">
        <f>IFERROR(IF(OR(MOD(D8,30)&lt;0.01,MOD(D8,30)&gt;(30-0.01)),"⚠ Check","·"),"—")</f>
        <v>·</v>
      </c>
      <c r="I8" s="677" t="s">
        <v>3426</v>
      </c>
      <c r="J8">
        <f>IFERROR((MATCH(INPUT_Chart!$C$6,{"Aries","Taurus","Gemini","Cancer","Leo","Virgo","Libra","Scorpio","Sagittarius","Capricorn","Aquarius","Pisces"},0)-1)*30+INPUT_Chart!$D$6,0)</f>
        <v>117.989</v>
      </c>
    </row>
    <row r="9" spans="1:12" ht="27.75" customHeight="1" x14ac:dyDescent="0.2">
      <c r="A9" s="94" t="s">
        <v>267</v>
      </c>
      <c r="B9" s="667" t="str">
        <f>IFERROR(MOD((MOD(218.316+13.176396*$B$5,360))+6.289*SIN(RADIANS(MOD(134.963+13.064993*$B$5,360)))-1.274*SIN(RADIANS(2*MOD(297.85+12.190749*$B$5,360)-(MOD(134.963+13.064993*$B$5,360))))+0.658*SIN(RADIANS(2*MOD(297.85+12.190749*$B$5,360)))-0.186*SIN(RADIANS(MOD(357.528+0.9856003*$B$5,360)))-0.059*SIN(RADIANS(2*MOD(297.85+12.190749*$B$5,360)-2*(MOD(134.963+13.064993*$B$5,360))))-0.057*SIN(RADIANS(2*MOD(297.85+12.190749*$B$5,360)-(MOD(134.963+13.064993*$B$5,360))+(MOD(357.528+0.9856003*$B$5,360))))+0.053*SIN(RADIANS(2*MOD(297.85+12.190749*$B$5,360)+(MOD(134.963+13.064993*$B$5,360))))+0.046*SIN(RADIANS(2*MOD(297.85+12.190749*$B$5,360)-(MOD(357.528+0.9856003*$B$5,360))))+0.041*SIN(RADIANS((MOD(134.963+13.064993*$B$5,360))-(MOD(357.528+0.9856003*$B$5,360))))-0.035*SIN(RADIANS(MOD(297.85+12.190749*$B$5,360)))-0.031*SIN(RADIANS((MOD(134.963+13.064993*$B$5,360))+(MOD(357.528+0.9856003*$B$5,360)))),360),"—")</f>
        <v>—</v>
      </c>
      <c r="C9" s="668" t="str">
        <f t="shared" si="0"/>
        <v>—</v>
      </c>
      <c r="D9" s="669">
        <f>IFERROR(CALC_SwissEphemeris_Live!$B$7,0)</f>
        <v>93.983500000000006</v>
      </c>
      <c r="E9" s="670" t="str">
        <f>IFERROR(INDEX({"Aries","Taurus","Gemini","Cancer","Leo","Virgo","Libra","Scorpio","Sagittarius","Capricorn","Aquarius","Pisces"},INT(D9/30)+1),"—")</f>
        <v>Cancer</v>
      </c>
      <c r="F9" s="671">
        <f t="shared" si="1"/>
        <v>3.9835000000000065</v>
      </c>
      <c r="G9" s="672" t="s">
        <v>3427</v>
      </c>
      <c r="H9" s="74" t="str">
        <f>IFERROR(IF(OR(MOD(D9,30)&lt;0.3,MOD(D9,30)&gt;(30-0.3)),"⚠ Check","·"),"—")</f>
        <v>·</v>
      </c>
      <c r="I9" s="673" t="s">
        <v>3428</v>
      </c>
      <c r="J9">
        <f>IFERROR((MATCH(INPUT_Chart!$C$7,{"Aries","Taurus","Gemini","Cancer","Leo","Virgo","Libra","Scorpio","Sagittarius","Capricorn","Aquarius","Pisces"},0)-1)*30+INPUT_Chart!$D$7,0)</f>
        <v>93.983500000000006</v>
      </c>
    </row>
    <row r="10" spans="1:12" ht="27.75" customHeight="1" x14ac:dyDescent="0.2">
      <c r="A10" s="90" t="s">
        <v>268</v>
      </c>
      <c r="B10" s="674" t="str">
        <f>IFERROR(MOD((MOD(355.433+19141.6964*$B$5/36525,360))+10.691*SIN(RADIANS(MOD(19.373+19140.301*$B$5/36525,360)))+0.623*SIN(RADIANS(2*MOD(19.373+19140.301*$B$5/36525,360)))+0.05*SIN(RADIANS(3*MOD(19.373+19140.301*$B$5/36525,360)))-0.997*SIN(RADIANS(MOD(20.02+3034.9057*$B$5/36525,360)))+0.099*SIN(RADIANS((MOD(19.373+19140.301*$B$5/36525,360))-(MOD(20.02+3034.9057*$B$5/36525,360)))),360),"—")</f>
        <v>—</v>
      </c>
      <c r="C10" s="675" t="str">
        <f t="shared" si="0"/>
        <v>—</v>
      </c>
      <c r="D10" s="669">
        <f>IFERROR(CALC_SwissEphemeris_Live!$B$8,0)</f>
        <v>67.456199999999995</v>
      </c>
      <c r="E10" s="670" t="str">
        <f>IFERROR(INDEX({"Aries","Taurus","Gemini","Cancer","Leo","Virgo","Libra","Scorpio","Sagittarius","Capricorn","Aquarius","Pisces"},INT(D10/30)+1),"—")</f>
        <v>Gemini</v>
      </c>
      <c r="F10" s="671">
        <f t="shared" si="1"/>
        <v>7.4561999999999955</v>
      </c>
      <c r="G10" s="676" t="s">
        <v>3429</v>
      </c>
      <c r="H10" s="71" t="str">
        <f>IFERROR(IF(OR(MOD(D10,30)&lt;1,MOD(D10,30)&gt;(30-1)),"⚠ Check","·"),"—")</f>
        <v>·</v>
      </c>
      <c r="I10" s="677" t="s">
        <v>3430</v>
      </c>
      <c r="J10">
        <f>IFERROR((MATCH(INPUT_Chart!$C$8,{"Aries","Taurus","Gemini","Cancer","Leo","Virgo","Libra","Scorpio","Sagittarius","Capricorn","Aquarius","Pisces"},0)-1)*30+INPUT_Chart!$D$8,0)</f>
        <v>67.456199999999995</v>
      </c>
    </row>
    <row r="11" spans="1:12" ht="27.75" customHeight="1" x14ac:dyDescent="0.2">
      <c r="A11" s="94" t="s">
        <v>269</v>
      </c>
      <c r="B11" s="667" t="str">
        <f>IFERROR(MOD((MOD(252.251+149474.0722*$B$5/36525,360))+23.44*SIN(RADIANS(MOD(174.795+149472.5153*$B$5/36525,360)))+2.904*SIN(RADIANS(2*MOD(174.795+149472.5153*$B$5/36525,360)))+0.563*SIN(RADIANS(3*MOD(174.795+149472.5153*$B$5/36525,360)))+0.146*SIN(RADIANS(4*MOD(174.795+149472.5153*$B$5/36525,360)))-0.064*SIN(RADIANS(MOD(212.551+58518.267*$B$5/36525,360)))+0.204*SIN(RADIANS((MOD(174.795+149472.5153*$B$5/36525,360))-(MOD(212.551+58518.267*$B$5/36525,360)))),360),"—")</f>
        <v>—</v>
      </c>
      <c r="C11" s="668" t="str">
        <f t="shared" si="0"/>
        <v>—</v>
      </c>
      <c r="D11" s="669">
        <f>IFERROR(CALC_SwissEphemeris_Live!$B$9,0)</f>
        <v>103.6743</v>
      </c>
      <c r="E11" s="670" t="str">
        <f>IFERROR(INDEX({"Aries","Taurus","Gemini","Cancer","Leo","Virgo","Libra","Scorpio","Sagittarius","Capricorn","Aquarius","Pisces"},INT(D11/30)+1),"—")</f>
        <v>Cancer</v>
      </c>
      <c r="F11" s="671">
        <f t="shared" si="1"/>
        <v>13.674300000000002</v>
      </c>
      <c r="G11" s="672" t="s">
        <v>3431</v>
      </c>
      <c r="H11" s="74" t="str">
        <f>IFERROR(IF(OR(MOD(D11,30)&lt;2,MOD(D11,30)&gt;(30-2)),"⚠ Check","·"),"—")</f>
        <v>·</v>
      </c>
      <c r="I11" s="673" t="s">
        <v>3432</v>
      </c>
      <c r="J11">
        <f>IFERROR((MATCH(INPUT_Chart!$C$9,{"Aries","Taurus","Gemini","Cancer","Leo","Virgo","Libra","Scorpio","Sagittarius","Capricorn","Aquarius","Pisces"},0)-1)*30+INPUT_Chart!$D$9,0)</f>
        <v>103.6743</v>
      </c>
    </row>
    <row r="12" spans="1:12" ht="27.75" customHeight="1" x14ac:dyDescent="0.2">
      <c r="A12" s="90" t="s">
        <v>270</v>
      </c>
      <c r="B12" s="674" t="str">
        <f>IFERROR(MOD((MOD(34.396+3036.3018*$B$5/36525,360))+5.555*SIN(RADIANS(MOD(20.02+3034.9057*$B$5/36525,360)))+0.168*SIN(RADIANS(2*MOD(20.02+3034.9057*$B$5/36525,360)))+0.059*SIN(RADIANS((MOD(20.02+3034.9057*$B$5/36525,360))-(MOD(317.02+1222.1138*$B$5/36525,360))))-0.058*SIN(RADIANS((MOD(20.02+3034.9057*$B$5/36525,360))+(MOD(317.02+1222.1138*$B$5/36525,360)))),360),"—")</f>
        <v>—</v>
      </c>
      <c r="C12" s="675" t="str">
        <f t="shared" si="0"/>
        <v>—</v>
      </c>
      <c r="D12" s="669">
        <f>IFERROR(CALC_SwissEphemeris_Live!$B$10,0)</f>
        <v>205.8777</v>
      </c>
      <c r="E12" s="670" t="str">
        <f>IFERROR(INDEX({"Aries","Taurus","Gemini","Cancer","Leo","Virgo","Libra","Scorpio","Sagittarius","Capricorn","Aquarius","Pisces"},INT(D12/30)+1),"—")</f>
        <v>Libra</v>
      </c>
      <c r="F12" s="671">
        <f t="shared" si="1"/>
        <v>25.877700000000004</v>
      </c>
      <c r="G12" s="676" t="s">
        <v>3423</v>
      </c>
      <c r="H12" s="71" t="str">
        <f>IFERROR(IF(OR(MOD(D12,30)&lt;0.5,MOD(D12,30)&gt;(30-0.5)),"⚠ Check","·"),"—")</f>
        <v>·</v>
      </c>
      <c r="I12" s="677" t="s">
        <v>3433</v>
      </c>
      <c r="J12">
        <f>IFERROR((MATCH(INPUT_Chart!$C$10,{"Aries","Taurus","Gemini","Cancer","Leo","Virgo","Libra","Scorpio","Sagittarius","Capricorn","Aquarius","Pisces"},0)-1)*30+INPUT_Chart!$D$10,0)</f>
        <v>205.8777</v>
      </c>
    </row>
    <row r="13" spans="1:12" ht="27.75" customHeight="1" x14ac:dyDescent="0.2">
      <c r="A13" s="94" t="s">
        <v>271</v>
      </c>
      <c r="B13" s="667" t="str">
        <f>IFERROR(MOD((MOD(181.98+58519.213*$B$5/36525,360))+0.776*SIN(RADIANS(MOD(211.268+58517.8039*$B$5/36525,360)))+0.033*SIN(RADIANS(2*MOD(211.268+58517.8039*$B$5/36525,360)))-0.1*SIN(RADIANS(MOD(174.795+149472.5153*$B$5/36525,360)))+0.042*SIN(RADIANS(2*MOD(174.795+149472.5153*$B$5/36525,360))),360),"—")</f>
        <v>—</v>
      </c>
      <c r="C13" s="668" t="str">
        <f t="shared" si="0"/>
        <v>—</v>
      </c>
      <c r="D13" s="669">
        <f>IFERROR(CALC_SwissEphemeris_Live!$B$11,0)</f>
        <v>112.5612</v>
      </c>
      <c r="E13" s="670" t="str">
        <f>IFERROR(INDEX({"Aries","Taurus","Gemini","Cancer","Leo","Virgo","Libra","Scorpio","Sagittarius","Capricorn","Aquarius","Pisces"},INT(D13/30)+1),"—")</f>
        <v>Cancer</v>
      </c>
      <c r="F13" s="671">
        <f t="shared" si="1"/>
        <v>22.561199999999999</v>
      </c>
      <c r="G13" s="672" t="s">
        <v>3431</v>
      </c>
      <c r="H13" s="74" t="str">
        <f>IFERROR(IF(OR(MOD(D13,30)&lt;2,MOD(D13,30)&gt;(30-2)),"⚠ Check","·"),"—")</f>
        <v>·</v>
      </c>
      <c r="I13" s="673" t="s">
        <v>3434</v>
      </c>
      <c r="J13">
        <f>IFERROR((MATCH(INPUT_Chart!$C$11,{"Aries","Taurus","Gemini","Cancer","Leo","Virgo","Libra","Scorpio","Sagittarius","Capricorn","Aquarius","Pisces"},0)-1)*30+INPUT_Chart!$D$11,0)</f>
        <v>112.5612</v>
      </c>
    </row>
    <row r="14" spans="1:12" ht="27.75" customHeight="1" x14ac:dyDescent="0.2">
      <c r="A14" s="90" t="s">
        <v>272</v>
      </c>
      <c r="B14" s="674" t="str">
        <f>IFERROR(MOD((MOD(50.078+1223.5096*$B$5/36525,360))+6.393*SIN(RADIANS(MOD(317.02+1222.1138*$B$5/36525,360)))+0.15*SIN(RADIANS(2*MOD(317.02+1222.1138*$B$5/36525,360)))-0.58*SIN(RADIANS(MOD(20.02+3034.9057*$B$5/36525,360)))+0.096*SIN(RADIANS((MOD(317.02+1222.1138*$B$5/36525,360))-(MOD(20.02+3034.9057*$B$5/36525,360))))+0.14*SIN(RADIANS((MOD(317.02+1222.1138*$B$5/36525,360))+(MOD(20.02+3034.9057*$B$5/36525,360)))),360),"—")</f>
        <v>—</v>
      </c>
      <c r="C14" s="675" t="str">
        <f t="shared" si="0"/>
        <v>—</v>
      </c>
      <c r="D14" s="669">
        <f>IFERROR(CALC_SwissEphemeris_Live!$B$12,0)</f>
        <v>110.473</v>
      </c>
      <c r="E14" s="670" t="str">
        <f>IFERROR(INDEX({"Aries","Taurus","Gemini","Cancer","Leo","Virgo","Libra","Scorpio","Sagittarius","Capricorn","Aquarius","Pisces"},INT(D14/30)+1),"—")</f>
        <v>Cancer</v>
      </c>
      <c r="F14" s="671">
        <f t="shared" si="1"/>
        <v>20.472999999999999</v>
      </c>
      <c r="G14" s="676" t="s">
        <v>3423</v>
      </c>
      <c r="H14" s="71" t="str">
        <f>IFERROR(IF(OR(MOD(D14,30)&lt;0.5,MOD(D14,30)&gt;(30-0.5)),"⚠ Check","·"),"—")</f>
        <v>·</v>
      </c>
      <c r="I14" s="677" t="s">
        <v>3435</v>
      </c>
      <c r="J14">
        <f>IFERROR((MATCH(INPUT_Chart!$C$12,{"Aries","Taurus","Gemini","Cancer","Leo","Virgo","Libra","Scorpio","Sagittarius","Capricorn","Aquarius","Pisces"},0)-1)*30+INPUT_Chart!$D$12,0)</f>
        <v>110.473</v>
      </c>
    </row>
    <row r="15" spans="1:12" ht="27.75" customHeight="1" x14ac:dyDescent="0.2">
      <c r="A15" s="94" t="s">
        <v>273</v>
      </c>
      <c r="B15" s="667" t="str">
        <f>IFERROR(MOD((125.044-0.052954*$B$5)-1.274*SIN(RADIANS(MOD(297.85+12.190749*$B$5,360)*2-(MOD(134.963+13.064993*$B$5,360))))+0.213*SIN(RADIANS(2*MOD(297.85+12.190749*$B$5,360)))-0.17*SIN(RADIANS(MOD(357.528+0.9856003*$B$5,360)))-0.111*SIN(RADIANS(2*MOD(134.963+13.064993*$B$5,360))),360),"—")</f>
        <v>—</v>
      </c>
      <c r="C15" s="668" t="str">
        <f t="shared" si="0"/>
        <v>—</v>
      </c>
      <c r="D15" s="669">
        <f>IFERROR(CALC_SwissEphemeris_Live!$B$13,0)</f>
        <v>35.069699999999997</v>
      </c>
      <c r="E15" s="670" t="str">
        <f>IFERROR(INDEX({"Aries","Taurus","Gemini","Cancer","Leo","Virgo","Libra","Scorpio","Sagittarius","Capricorn","Aquarius","Pisces"},INT(D15/30)+1),"—")</f>
        <v>Taurus</v>
      </c>
      <c r="F15" s="671">
        <f t="shared" si="1"/>
        <v>5.0696999999999974</v>
      </c>
      <c r="G15" s="672" t="s">
        <v>3423</v>
      </c>
      <c r="H15" s="74" t="str">
        <f>IFERROR(IF(OR(MOD(D15,30)&lt;0.5,MOD(D15,30)&gt;(30-0.5)),"⚠ Check","·"),"—")</f>
        <v>·</v>
      </c>
      <c r="I15" s="673" t="s">
        <v>3436</v>
      </c>
      <c r="J15">
        <f>IFERROR((MATCH(INPUT_Chart!$C$13,{"Aries","Taurus","Gemini","Cancer","Leo","Virgo","Libra","Scorpio","Sagittarius","Capricorn","Aquarius","Pisces"},0)-1)*30+INPUT_Chart!$D$13,0)</f>
        <v>35.069699999999997</v>
      </c>
    </row>
    <row r="16" spans="1:12" ht="27.75" customHeight="1" x14ac:dyDescent="0.2">
      <c r="A16" s="90" t="s">
        <v>274</v>
      </c>
      <c r="B16" s="674" t="str">
        <f>IFERROR(MOD(B15+180,360),"—")</f>
        <v>—</v>
      </c>
      <c r="C16" s="678" t="str">
        <f t="shared" si="0"/>
        <v>—</v>
      </c>
      <c r="D16" s="669">
        <f>IFERROR(CALC_SwissEphemeris_Live!$B$14,0)</f>
        <v>215.06970000000001</v>
      </c>
      <c r="E16" s="670" t="str">
        <f>IFERROR(INDEX({"Aries","Taurus","Gemini","Cancer","Leo","Virgo","Libra","Scorpio","Sagittarius","Capricorn","Aquarius","Pisces"},INT(D16/30)+1),"—")</f>
        <v>Scorpio</v>
      </c>
      <c r="F16" s="671">
        <f t="shared" si="1"/>
        <v>5.0697000000000116</v>
      </c>
      <c r="G16" s="676" t="s">
        <v>219</v>
      </c>
      <c r="H16" s="676" t="s">
        <v>185</v>
      </c>
      <c r="I16" s="540" t="s">
        <v>3437</v>
      </c>
      <c r="J16">
        <f>IFERROR((MATCH(INPUT_Chart!$C$14,{"Aries","Taurus","Gemini","Cancer","Leo","Virgo","Libra","Scorpio","Sagittarius","Capricorn","Aquarius","Pisces"},0)-1)*30+INPUT_Chart!$D$14,0)</f>
        <v>215.06970000000001</v>
      </c>
    </row>
    <row r="17" spans="1:9" ht="31.5" customHeight="1" x14ac:dyDescent="0.2">
      <c r="A17" s="1537" t="s">
        <v>3438</v>
      </c>
      <c r="B17" s="1537"/>
      <c r="C17" s="1537"/>
      <c r="D17" s="1537"/>
      <c r="E17" s="1537"/>
      <c r="F17" s="1537"/>
      <c r="G17" s="1537"/>
      <c r="H17" s="1537"/>
      <c r="I17" s="1537"/>
    </row>
  </sheetData>
  <mergeCells count="5">
    <mergeCell ref="A1:I1"/>
    <mergeCell ref="A2:I2"/>
    <mergeCell ref="A4:C4"/>
    <mergeCell ref="A6:I6"/>
    <mergeCell ref="A17:I17"/>
  </mergeCell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6A1B9A"/>
  </sheetPr>
  <dimension ref="A1:P18"/>
  <sheetViews>
    <sheetView zoomScaleNormal="100" workbookViewId="0">
      <pane xSplit="1" ySplit="5" topLeftCell="B6" activePane="bottomRight" state="frozen"/>
      <selection pane="bottomLeft" activeCell="A6" sqref="A6"/>
      <selection pane="topRight" activeCell="B1" sqref="B1"/>
      <selection pane="bottomRight"/>
    </sheetView>
  </sheetViews>
  <sheetFormatPr defaultColWidth="8.609375" defaultRowHeight="15" x14ac:dyDescent="0.2"/>
  <cols>
    <col min="1" max="1" width="13.98828125" customWidth="1"/>
    <col min="2" max="2" width="16.0078125" customWidth="1"/>
    <col min="3" max="4" width="13.046875" customWidth="1"/>
    <col min="5" max="5" width="16.0078125" customWidth="1"/>
    <col min="6" max="6" width="7.93359375" customWidth="1"/>
    <col min="7" max="7" width="6.9921875" customWidth="1"/>
    <col min="8" max="8" width="16.0078125" customWidth="1"/>
    <col min="9" max="9" width="13.046875" customWidth="1"/>
    <col min="10" max="10" width="9.953125" customWidth="1"/>
    <col min="11" max="11" width="18.0234375" customWidth="1"/>
    <col min="12" max="12" width="9.953125" customWidth="1"/>
    <col min="13" max="13" width="18.0234375" customWidth="1"/>
    <col min="14" max="14" width="29.99609375" customWidth="1"/>
    <col min="15" max="15" width="34.03125" customWidth="1"/>
  </cols>
  <sheetData>
    <row r="1" spans="1:16" ht="27.75" customHeight="1" x14ac:dyDescent="0.2">
      <c r="A1" s="1507" t="s">
        <v>3439</v>
      </c>
      <c r="B1" s="1507"/>
      <c r="C1" s="1507"/>
      <c r="D1" s="1507"/>
      <c r="E1" s="1507"/>
      <c r="F1" s="1507"/>
      <c r="G1" s="1507"/>
      <c r="H1" s="1507"/>
      <c r="I1" s="1507"/>
      <c r="J1" s="1507"/>
      <c r="K1" s="1507"/>
      <c r="L1" s="1507"/>
      <c r="M1" s="1507"/>
      <c r="N1" s="1507"/>
      <c r="O1" s="1507"/>
      <c r="P1" s="29" t="str">
        <f>HYPERLINK("#'00_INDEX'!A1","&lt;- Index")</f>
        <v>&lt;- Index</v>
      </c>
    </row>
    <row r="2" spans="1:16" ht="19.5" customHeight="1" x14ac:dyDescent="0.2">
      <c r="A2" s="1508" t="s">
        <v>3440</v>
      </c>
      <c r="B2" s="1508"/>
      <c r="C2" s="1508"/>
      <c r="D2" s="1508"/>
      <c r="E2" s="1508"/>
      <c r="F2" s="1508"/>
      <c r="G2" s="1508"/>
      <c r="H2" s="1508"/>
      <c r="I2" s="1508"/>
      <c r="J2" s="1508"/>
      <c r="K2" s="1508"/>
      <c r="L2" s="1508"/>
      <c r="M2" s="1508"/>
      <c r="N2" s="1508"/>
      <c r="O2" s="1508"/>
    </row>
    <row r="3" spans="1:16" ht="15.75" customHeight="1" x14ac:dyDescent="0.2">
      <c r="A3" s="1541" t="s">
        <v>3441</v>
      </c>
      <c r="B3" s="1541"/>
      <c r="C3" s="1541"/>
      <c r="D3" s="1541"/>
      <c r="E3" s="1542" t="s">
        <v>3442</v>
      </c>
      <c r="F3" s="1542"/>
      <c r="G3" s="1542"/>
      <c r="H3" s="679" t="s">
        <v>3443</v>
      </c>
      <c r="I3" s="1543" t="s">
        <v>3444</v>
      </c>
      <c r="J3" s="1543"/>
      <c r="K3" s="1544" t="s">
        <v>3445</v>
      </c>
      <c r="L3" s="1544"/>
      <c r="M3" s="680" t="s">
        <v>3446</v>
      </c>
      <c r="N3" s="1545" t="s">
        <v>3447</v>
      </c>
      <c r="O3" s="1545"/>
    </row>
    <row r="4" spans="1:16" ht="27.75" customHeight="1" x14ac:dyDescent="0.2">
      <c r="A4" s="87" t="s">
        <v>319</v>
      </c>
      <c r="B4" s="516" t="s">
        <v>3448</v>
      </c>
      <c r="C4" s="516" t="s">
        <v>321</v>
      </c>
      <c r="D4" s="516" t="s">
        <v>3449</v>
      </c>
      <c r="E4" s="682" t="s">
        <v>2159</v>
      </c>
      <c r="F4" s="682" t="s">
        <v>2160</v>
      </c>
      <c r="G4" s="682" t="s">
        <v>3450</v>
      </c>
      <c r="H4" s="658" t="s">
        <v>3451</v>
      </c>
      <c r="I4" s="517" t="s">
        <v>1161</v>
      </c>
      <c r="J4" s="517" t="s">
        <v>3452</v>
      </c>
      <c r="K4" s="658" t="s">
        <v>3453</v>
      </c>
      <c r="L4" s="658" t="s">
        <v>3454</v>
      </c>
      <c r="M4" s="517" t="s">
        <v>3455</v>
      </c>
      <c r="N4" s="89" t="s">
        <v>3456</v>
      </c>
      <c r="O4" s="89" t="s">
        <v>3457</v>
      </c>
    </row>
    <row r="5" spans="1:16" ht="13.5" customHeight="1" x14ac:dyDescent="0.2">
      <c r="A5" s="683" t="s">
        <v>641</v>
      </c>
      <c r="B5" s="684" t="s">
        <v>355</v>
      </c>
      <c r="C5" s="684" t="s">
        <v>3458</v>
      </c>
      <c r="D5" s="684" t="s">
        <v>3459</v>
      </c>
      <c r="E5" s="685" t="s">
        <v>2159</v>
      </c>
      <c r="F5" s="685" t="s">
        <v>1188</v>
      </c>
      <c r="G5" s="685" t="s">
        <v>3450</v>
      </c>
      <c r="H5" s="686" t="s">
        <v>2079</v>
      </c>
      <c r="I5" s="687" t="s">
        <v>1196</v>
      </c>
      <c r="J5" s="687" t="s">
        <v>3460</v>
      </c>
      <c r="K5" s="686" t="s">
        <v>3334</v>
      </c>
      <c r="L5" s="686" t="s">
        <v>3461</v>
      </c>
      <c r="M5" s="687" t="s">
        <v>3462</v>
      </c>
      <c r="N5" s="460" t="s">
        <v>3463</v>
      </c>
      <c r="O5" s="460" t="s">
        <v>3464</v>
      </c>
    </row>
    <row r="6" spans="1:16" ht="24" customHeight="1" x14ac:dyDescent="0.2">
      <c r="A6" s="688" t="s">
        <v>265</v>
      </c>
      <c r="B6" s="689" t="str">
        <f>INPUT_Chart!C5</f>
        <v>Taurus</v>
      </c>
      <c r="C6" s="690">
        <f>INPUT_Chart!D5</f>
        <v>7.7286000000000001</v>
      </c>
      <c r="D6" s="368" t="str">
        <f>""</f>
        <v/>
      </c>
      <c r="E6" s="368" t="str">
        <f>""</f>
        <v/>
      </c>
      <c r="F6" s="368" t="str">
        <f>""</f>
        <v/>
      </c>
      <c r="G6" s="368" t="str">
        <f>""</f>
        <v/>
      </c>
      <c r="H6" s="368" t="str">
        <f>""</f>
        <v/>
      </c>
      <c r="I6" s="368" t="str">
        <f>""</f>
        <v/>
      </c>
      <c r="J6" s="368" t="str">
        <f>""</f>
        <v/>
      </c>
      <c r="K6" s="368" t="str">
        <f>""</f>
        <v/>
      </c>
      <c r="L6" s="368" t="str">
        <f>""</f>
        <v/>
      </c>
      <c r="M6" s="368" t="str">
        <f>""</f>
        <v/>
      </c>
      <c r="N6" s="368" t="str">
        <f>""</f>
        <v/>
      </c>
      <c r="O6" s="369" t="str">
        <f>"Ascendant — no Nakshatra lookup"</f>
        <v>Ascendant — no Nakshatra lookup</v>
      </c>
    </row>
    <row r="7" spans="1:16" ht="24" customHeight="1" x14ac:dyDescent="0.2">
      <c r="A7" s="263" t="s">
        <v>266</v>
      </c>
      <c r="B7" s="691" t="str">
        <f>INPUT_Chart!C6</f>
        <v>Cancer</v>
      </c>
      <c r="C7" s="692">
        <f>INPUT_Chart!D6</f>
        <v>27.989000000000004</v>
      </c>
      <c r="D7" s="691">
        <f>IFERROR((MATCH(B7,{"Aries","Taurus","Gemini","Cancer","Leo","Virgo","Libra","Scorpio","Sagittarius","Capricorn","Aquarius","Pisces"},0)-1)*30+C7,"")</f>
        <v>117.989</v>
      </c>
      <c r="E7" s="311" t="str">
        <f>IFERROR(INDEX(REF_Nakshatra!$B$6:$B$32,MATCH(D7,REF_Nakshatra!$H$6:$H$32,1)),"")</f>
        <v>Ashlesha</v>
      </c>
      <c r="F7" s="693">
        <f>IFERROR(INDEX(REF_Nakshatra!$A$6:$A$32,MATCH(D7,REF_Nakshatra!$H$6:$H$32,1)),"")</f>
        <v>9</v>
      </c>
      <c r="G7" s="693">
        <f t="shared" ref="G7:G15" si="0">IFERROR(MIN(4,INT((D7-(F7-1)*(40/3))/(40/12))+1),"")</f>
        <v>4</v>
      </c>
      <c r="H7" s="694" t="str">
        <f>IFERROR(CHOOSE(G7,INDEX(REF_Nakshatra!$P$6:$P$32,MATCH(F7,REF_Nakshatra!$A$6:$A$32,0)),INDEX(REF_Nakshatra!$S$6:$S$32,MATCH(F7,REF_Nakshatra!$A$6:$A$32,0)),INDEX(REF_Nakshatra!$V$6:$V$32,MATCH(F7,REF_Nakshatra!$A$6:$A$32,0)),INDEX(REF_Nakshatra!$Y$6:$Y$32,MATCH(F7,REF_Nakshatra!$A$6:$A$32,0))),"")</f>
        <v>Pisces</v>
      </c>
      <c r="I7" s="271" t="str">
        <f>IFERROR(INDEX(REF_Nakshatra!$L$6:$L$32,MATCH(F7,REF_Nakshatra!$A$6:$A$32,0)),"")</f>
        <v>Mercury</v>
      </c>
      <c r="J7" s="695" t="str">
        <f>IFERROR(IF(LEFT(INDEX(REF_Nakshatra!$N$6:$N$32,MATCH(F7,REF_Nakshatra!$A$6:$A$32,0)),3)="Yes","Yes","No"),"")</f>
        <v>Yes</v>
      </c>
      <c r="K7" s="696" t="str">
        <f>IFERROR(IF(AND(B7=REF_Dignity!$C$4,ABS(C7-VALUE(SUBSTITUTE(REF_Dignity!$D$4,"°","")))&lt;=5),"Deep exalt",IF(AND(B7=REF_Dignity!$F$4,ABS(C7-VALUE(SUBSTITUTE(REF_Dignity!$G$4,"°","")))&lt;=5),"Deep debil",INDEX(REF_Dignity!$B$35:$B$46,MATCH(B7,REF_Dignity!$A$35:$A$46,0)))),"")</f>
        <v>Friendly sign</v>
      </c>
      <c r="L7" s="697" t="b">
        <f t="shared" ref="L7:L13" si="1">IFERROR(OR(K7="Deep exalt",K7="Deep debil"),FALSE())</f>
        <v>0</v>
      </c>
      <c r="M7" s="698" t="str">
        <f>IFERROR(INDEX(REF_ShubhAshubh!$B$5:$M$5,MATCH(INPUT_Chart!$C$5,REF_ShubhAshubh!$B$4:$M$4,0)),"")</f>
        <v>Malefic</v>
      </c>
      <c r="N7" s="299" t="str">
        <f>IFERROR("H"&amp;MOD(MATCH(B7,{"Aries","Taurus","Gemini","Cancer","Leo","Virgo","Libra","Scorpio","Sagittarius","Capricorn","Aquarius","Pisces"},0)-MATCH(INPUT_Chart!$C$5,{"Aries","Taurus","Gemini","Cancer","Leo","Virgo","Libra","Scorpio","Sagittarius","Capricorn","Aquarius","Pisces"},0),12)+1&amp;" → 7th","")</f>
        <v>H3 → 7th</v>
      </c>
      <c r="O7" s="299" t="str">
        <f ca="1">IFERROR(_xludf.textjoin(" · ",TRUE(),IF(J7="Yes",IF(OR(G7=1,G7=4),"Ganda Mool crit.","Mool"),""),IF(L7=TRUE(),K7,""),IF(M7="Yogakaraka","Yogakaraka","")),"—")</f>
        <v>—</v>
      </c>
    </row>
    <row r="8" spans="1:16" ht="24" customHeight="1" x14ac:dyDescent="0.2">
      <c r="A8" s="276" t="s">
        <v>267</v>
      </c>
      <c r="B8" s="689" t="str">
        <f>INPUT_Chart!C7</f>
        <v>Cancer</v>
      </c>
      <c r="C8" s="690">
        <f>INPUT_Chart!D7</f>
        <v>3.9835000000000065</v>
      </c>
      <c r="D8" s="689">
        <f>IFERROR((MATCH(B8,{"Aries","Taurus","Gemini","Cancer","Leo","Virgo","Libra","Scorpio","Sagittarius","Capricorn","Aquarius","Pisces"},0)-1)*30+C8,"")</f>
        <v>93.983500000000006</v>
      </c>
      <c r="E8" s="452" t="str">
        <f>IFERROR(INDEX(REF_Nakshatra!$B$6:$B$32,MATCH(D8,REF_Nakshatra!$H$6:$H$32,1)),"")</f>
        <v>Pushya</v>
      </c>
      <c r="F8" s="699">
        <f>IFERROR(INDEX(REF_Nakshatra!$A$6:$A$32,MATCH(D8,REF_Nakshatra!$H$6:$H$32,1)),"")</f>
        <v>8</v>
      </c>
      <c r="G8" s="699">
        <f t="shared" si="0"/>
        <v>1</v>
      </c>
      <c r="H8" s="194" t="str">
        <f>IFERROR(CHOOSE(G8,INDEX(REF_Nakshatra!$P$6:$P$32,MATCH(F8,REF_Nakshatra!$A$6:$A$32,0)),INDEX(REF_Nakshatra!$S$6:$S$32,MATCH(F8,REF_Nakshatra!$A$6:$A$32,0)),INDEX(REF_Nakshatra!$V$6:$V$32,MATCH(F8,REF_Nakshatra!$A$6:$A$32,0)),INDEX(REF_Nakshatra!$Y$6:$Y$32,MATCH(F8,REF_Nakshatra!$A$6:$A$32,0))),"")</f>
        <v>Leo</v>
      </c>
      <c r="I8" s="700" t="str">
        <f>IFERROR(INDEX(REF_Nakshatra!$L$6:$L$32,MATCH(F8,REF_Nakshatra!$A$6:$A$32,0)),"")</f>
        <v>Saturn</v>
      </c>
      <c r="J8" s="499" t="str">
        <f>IFERROR(IF(LEFT(INDEX(REF_Nakshatra!$N$6:$N$32,MATCH(F8,REF_Nakshatra!$A$6:$A$32,0)),3)="Yes","Yes","No"),"")</f>
        <v>No</v>
      </c>
      <c r="K8" s="701" t="str">
        <f>IFERROR(IF(AND(B8=REF_Dignity!$C$5,ABS(C8-VALUE(SUBSTITUTE(REF_Dignity!$D$5,"°","")))&lt;=5),"Deep exalt",IF(AND(B8=REF_Dignity!$F$5,ABS(C8-VALUE(SUBSTITUTE(REF_Dignity!$G$5,"°","")))&lt;=5),"Deep debil",INDEX(REF_Dignity!$C$35:$C$46,MATCH(B8,REF_Dignity!$A$35:$A$46,0)))),"")</f>
        <v>Own sign</v>
      </c>
      <c r="L8" s="702" t="b">
        <f t="shared" si="1"/>
        <v>0</v>
      </c>
      <c r="M8" s="703" t="str">
        <f>IFERROR(INDEX(REF_ShubhAshubh!$B$6:$M$6,MATCH(INPUT_Chart!$C$5,REF_ShubhAshubh!$B$4:$M$4,0)),"")</f>
        <v>Yogakaraka</v>
      </c>
      <c r="N8" s="296" t="str">
        <f>IFERROR("H"&amp;MOD(MATCH(B8,{"Aries","Taurus","Gemini","Cancer","Leo","Virgo","Libra","Scorpio","Sagittarius","Capricorn","Aquarius","Pisces"},0)-MATCH(INPUT_Chart!$C$5,{"Aries","Taurus","Gemini","Cancer","Leo","Virgo","Libra","Scorpio","Sagittarius","Capricorn","Aquarius","Pisces"},0),12)+1&amp;" → 7th","")</f>
        <v>H3 → 7th</v>
      </c>
      <c r="O8" s="296" t="str">
        <f ca="1">IFERROR(_xludf.textjoin(" · ",TRUE(),IF(J8="Yes",IF(OR(G8=1,G8=4),"Ganda Mool crit.","Mool"),""),IF(L8=TRUE(),K8,""),IF(M8="Yogakaraka","Yogakaraka","")),"—")</f>
        <v>—</v>
      </c>
    </row>
    <row r="9" spans="1:16" ht="24" customHeight="1" x14ac:dyDescent="0.2">
      <c r="A9" s="279" t="s">
        <v>268</v>
      </c>
      <c r="B9" s="691" t="str">
        <f>INPUT_Chart!C8</f>
        <v>Gemini</v>
      </c>
      <c r="C9" s="692">
        <f>INPUT_Chart!D8</f>
        <v>7.4561999999999955</v>
      </c>
      <c r="D9" s="691">
        <f>IFERROR((MATCH(B9,{"Aries","Taurus","Gemini","Cancer","Leo","Virgo","Libra","Scorpio","Sagittarius","Capricorn","Aquarius","Pisces"},0)-1)*30+C9,"")</f>
        <v>67.456199999999995</v>
      </c>
      <c r="E9" s="311" t="str">
        <f>IFERROR(INDEX(REF_Nakshatra!$B$6:$B$32,MATCH(D9,REF_Nakshatra!$H$6:$H$32,1)),"")</f>
        <v>Ardra</v>
      </c>
      <c r="F9" s="693">
        <f>IFERROR(INDEX(REF_Nakshatra!$A$6:$A$32,MATCH(D9,REF_Nakshatra!$H$6:$H$32,1)),"")</f>
        <v>6</v>
      </c>
      <c r="G9" s="693">
        <f t="shared" si="0"/>
        <v>1</v>
      </c>
      <c r="H9" s="694" t="str">
        <f>IFERROR(CHOOSE(G9,INDEX(REF_Nakshatra!$P$6:$P$32,MATCH(F9,REF_Nakshatra!$A$6:$A$32,0)),INDEX(REF_Nakshatra!$S$6:$S$32,MATCH(F9,REF_Nakshatra!$A$6:$A$32,0)),INDEX(REF_Nakshatra!$V$6:$V$32,MATCH(F9,REF_Nakshatra!$A$6:$A$32,0)),INDEX(REF_Nakshatra!$Y$6:$Y$32,MATCH(F9,REF_Nakshatra!$A$6:$A$32,0))),"")</f>
        <v>Sagittarius</v>
      </c>
      <c r="I9" s="271" t="str">
        <f>IFERROR(INDEX(REF_Nakshatra!$L$6:$L$32,MATCH(F9,REF_Nakshatra!$A$6:$A$32,0)),"")</f>
        <v>Rahu</v>
      </c>
      <c r="J9" s="695" t="str">
        <f>IFERROR(IF(LEFT(INDEX(REF_Nakshatra!$N$6:$N$32,MATCH(F9,REF_Nakshatra!$A$6:$A$32,0)),3)="Yes","Yes","No"),"")</f>
        <v>No</v>
      </c>
      <c r="K9" s="696" t="str">
        <f>IFERROR(IF(AND(B9=REF_Dignity!$C$6,ABS(C9-VALUE(SUBSTITUTE(REF_Dignity!$D$6,"°","")))&lt;=5),"Deep exalt",IF(AND(B9=REF_Dignity!$F$6,ABS(C9-VALUE(SUBSTITUTE(REF_Dignity!$G$6,"°","")))&lt;=5),"Deep debil",INDEX(REF_Dignity!$D$35:$D$46,MATCH(B9,REF_Dignity!$A$35:$A$46,0)))),"")</f>
        <v>Enemy sign</v>
      </c>
      <c r="L9" s="697" t="b">
        <f t="shared" si="1"/>
        <v>0</v>
      </c>
      <c r="M9" s="698" t="str">
        <f>IFERROR(INDEX(REF_ShubhAshubh!$B$7:$M$7,MATCH(INPUT_Chart!$C$5,REF_ShubhAshubh!$B$4:$M$4,0)),"")</f>
        <v>Malefic</v>
      </c>
      <c r="N9" s="299" t="str">
        <f>IFERROR("H"&amp;MOD(MATCH(B9,{"Aries","Taurus","Gemini","Cancer","Leo","Virgo","Libra","Scorpio","Sagittarius","Capricorn","Aquarius","Pisces"},0)-MATCH(INPUT_Chart!$C$5,{"Aries","Taurus","Gemini","Cancer","Leo","Virgo","Libra","Scorpio","Sagittarius","Capricorn","Aquarius","Pisces"},0),12)+1&amp;" → 4th · 7th · 8th","")</f>
        <v>H2 → 4th · 7th · 8th</v>
      </c>
      <c r="O9" s="299" t="str">
        <f ca="1">IFERROR(_xludf.textjoin(" · ",TRUE(),IF(J9="Yes",IF(OR(G9=1,G9=4),"Ganda Mool crit.","Mool"),""),IF(L9=TRUE(),K9,""),IF(M9="Yogakaraka","Yogakaraka","")),"—")</f>
        <v>—</v>
      </c>
    </row>
    <row r="10" spans="1:16" ht="24" customHeight="1" x14ac:dyDescent="0.2">
      <c r="A10" s="281" t="s">
        <v>269</v>
      </c>
      <c r="B10" s="689" t="str">
        <f>INPUT_Chart!C9</f>
        <v>Cancer</v>
      </c>
      <c r="C10" s="690">
        <f>INPUT_Chart!D9</f>
        <v>13.674300000000002</v>
      </c>
      <c r="D10" s="689">
        <f>IFERROR((MATCH(B10,{"Aries","Taurus","Gemini","Cancer","Leo","Virgo","Libra","Scorpio","Sagittarius","Capricorn","Aquarius","Pisces"},0)-1)*30+C10,"")</f>
        <v>103.6743</v>
      </c>
      <c r="E10" s="452" t="str">
        <f>IFERROR(INDEX(REF_Nakshatra!$B$6:$B$32,MATCH(D10,REF_Nakshatra!$H$6:$H$32,1)),"")</f>
        <v>Pushya</v>
      </c>
      <c r="F10" s="699">
        <f>IFERROR(INDEX(REF_Nakshatra!$A$6:$A$32,MATCH(D10,REF_Nakshatra!$H$6:$H$32,1)),"")</f>
        <v>8</v>
      </c>
      <c r="G10" s="699">
        <f t="shared" si="0"/>
        <v>4</v>
      </c>
      <c r="H10" s="194" t="str">
        <f>IFERROR(CHOOSE(G10,INDEX(REF_Nakshatra!$P$6:$P$32,MATCH(F10,REF_Nakshatra!$A$6:$A$32,0)),INDEX(REF_Nakshatra!$S$6:$S$32,MATCH(F10,REF_Nakshatra!$A$6:$A$32,0)),INDEX(REF_Nakshatra!$V$6:$V$32,MATCH(F10,REF_Nakshatra!$A$6:$A$32,0)),INDEX(REF_Nakshatra!$Y$6:$Y$32,MATCH(F10,REF_Nakshatra!$A$6:$A$32,0))),"")</f>
        <v>Scorpio</v>
      </c>
      <c r="I10" s="700" t="str">
        <f>IFERROR(INDEX(REF_Nakshatra!$L$6:$L$32,MATCH(F10,REF_Nakshatra!$A$6:$A$32,0)),"")</f>
        <v>Saturn</v>
      </c>
      <c r="J10" s="499" t="str">
        <f>IFERROR(IF(LEFT(INDEX(REF_Nakshatra!$N$6:$N$32,MATCH(F10,REF_Nakshatra!$A$6:$A$32,0)),3)="Yes","Yes","No"),"")</f>
        <v>No</v>
      </c>
      <c r="K10" s="701" t="str">
        <f>IFERROR(IF(AND(B10=REF_Dignity!$C$7,ABS(C10-VALUE(SUBSTITUTE(REF_Dignity!$D$7,"°","")))&lt;=5),"Deep exalt",IF(AND(B10=REF_Dignity!$F$7,ABS(C10-VALUE(SUBSTITUTE(REF_Dignity!$G$7,"°","")))&lt;=5),"Deep debil",INDEX(REF_Dignity!$E$35:$E$46,MATCH(B10,REF_Dignity!$A$35:$A$46,0)))),"")</f>
        <v>Enemy sign</v>
      </c>
      <c r="L10" s="702" t="b">
        <f t="shared" si="1"/>
        <v>0</v>
      </c>
      <c r="M10" s="703" t="str">
        <f>IFERROR(INDEX(REF_ShubhAshubh!$B$8:$M$8,MATCH(INPUT_Chart!$C$5,REF_ShubhAshubh!$B$4:$M$4,0)),"")</f>
        <v>Benefic</v>
      </c>
      <c r="N10" s="296" t="str">
        <f>IFERROR("H"&amp;MOD(MATCH(B10,{"Aries","Taurus","Gemini","Cancer","Leo","Virgo","Libra","Scorpio","Sagittarius","Capricorn","Aquarius","Pisces"},0)-MATCH(INPUT_Chart!$C$5,{"Aries","Taurus","Gemini","Cancer","Leo","Virgo","Libra","Scorpio","Sagittarius","Capricorn","Aquarius","Pisces"},0),12)+1&amp;" → 7th","")</f>
        <v>H3 → 7th</v>
      </c>
      <c r="O10" s="296" t="str">
        <f ca="1">IFERROR(_xludf.textjoin(" · ",TRUE(),IF(J10="Yes",IF(OR(G10=1,G10=4),"Ganda Mool crit.","Mool"),""),IF(L10=TRUE(),K10,""),IF(M10="Yogakaraka","Yogakaraka","")),"—")</f>
        <v>—</v>
      </c>
    </row>
    <row r="11" spans="1:16" ht="24" customHeight="1" x14ac:dyDescent="0.2">
      <c r="A11" s="283" t="s">
        <v>270</v>
      </c>
      <c r="B11" s="691" t="str">
        <f>INPUT_Chart!C10</f>
        <v>Libra</v>
      </c>
      <c r="C11" s="692">
        <f>INPUT_Chart!D10</f>
        <v>25.877700000000004</v>
      </c>
      <c r="D11" s="691">
        <f>IFERROR((MATCH(B11,{"Aries","Taurus","Gemini","Cancer","Leo","Virgo","Libra","Scorpio","Sagittarius","Capricorn","Aquarius","Pisces"},0)-1)*30+C11,"")</f>
        <v>205.8777</v>
      </c>
      <c r="E11" s="311" t="str">
        <f>IFERROR(INDEX(REF_Nakshatra!$B$6:$B$32,MATCH(D11,REF_Nakshatra!$H$6:$H$32,1)),"")</f>
        <v>Vishakha</v>
      </c>
      <c r="F11" s="693">
        <f>IFERROR(INDEX(REF_Nakshatra!$A$6:$A$32,MATCH(D11,REF_Nakshatra!$H$6:$H$32,1)),"")</f>
        <v>16</v>
      </c>
      <c r="G11" s="693">
        <f t="shared" si="0"/>
        <v>2</v>
      </c>
      <c r="H11" s="694" t="str">
        <f>IFERROR(CHOOSE(G11,INDEX(REF_Nakshatra!$P$6:$P$32,MATCH(F11,REF_Nakshatra!$A$6:$A$32,0)),INDEX(REF_Nakshatra!$S$6:$S$32,MATCH(F11,REF_Nakshatra!$A$6:$A$32,0)),INDEX(REF_Nakshatra!$V$6:$V$32,MATCH(F11,REF_Nakshatra!$A$6:$A$32,0)),INDEX(REF_Nakshatra!$Y$6:$Y$32,MATCH(F11,REF_Nakshatra!$A$6:$A$32,0))),"")</f>
        <v>Taurus</v>
      </c>
      <c r="I11" s="271" t="str">
        <f>IFERROR(INDEX(REF_Nakshatra!$L$6:$L$32,MATCH(F11,REF_Nakshatra!$A$6:$A$32,0)),"")</f>
        <v>Jupiter</v>
      </c>
      <c r="J11" s="695" t="str">
        <f>IFERROR(IF(LEFT(INDEX(REF_Nakshatra!$N$6:$N$32,MATCH(F11,REF_Nakshatra!$A$6:$A$32,0)),3)="Yes","Yes","No"),"")</f>
        <v>No</v>
      </c>
      <c r="K11" s="696" t="str">
        <f>IFERROR(IF(AND(B11=REF_Dignity!$C$8,ABS(C11-VALUE(SUBSTITUTE(REF_Dignity!$D$8,"°","")))&lt;=5),"Deep exalt",IF(AND(B11=REF_Dignity!$F$8,ABS(C11-VALUE(SUBSTITUTE(REF_Dignity!$G$8,"°","")))&lt;=5),"Deep debil",INDEX(REF_Dignity!$F$35:$F$46,MATCH(B11,REF_Dignity!$A$35:$A$46,0)))),"")</f>
        <v>Enemy sign</v>
      </c>
      <c r="L11" s="697" t="b">
        <f t="shared" si="1"/>
        <v>0</v>
      </c>
      <c r="M11" s="698" t="str">
        <f>IFERROR(INDEX(REF_ShubhAshubh!$B$9:$M$9,MATCH(INPUT_Chart!$C$5,REF_ShubhAshubh!$B$4:$M$4,0)),"")</f>
        <v>Malefic</v>
      </c>
      <c r="N11" s="299" t="str">
        <f>IFERROR("H"&amp;MOD(MATCH(B11,{"Aries","Taurus","Gemini","Cancer","Leo","Virgo","Libra","Scorpio","Sagittarius","Capricorn","Aquarius","Pisces"},0)-MATCH(INPUT_Chart!$C$5,{"Aries","Taurus","Gemini","Cancer","Leo","Virgo","Libra","Scorpio","Sagittarius","Capricorn","Aquarius","Pisces"},0),12)+1&amp;" → 5th · 7th · 9th","")</f>
        <v>H6 → 5th · 7th · 9th</v>
      </c>
      <c r="O11" s="299" t="str">
        <f ca="1">IFERROR(_xludf.textjoin(" · ",TRUE(),IF(J11="Yes",IF(OR(G11=1,G11=4),"Ganda Mool crit.","Mool"),""),IF(L11=TRUE(),K11,""),IF(M11="Yogakaraka","Yogakaraka","")),"—")</f>
        <v>—</v>
      </c>
    </row>
    <row r="12" spans="1:16" ht="24" customHeight="1" x14ac:dyDescent="0.2">
      <c r="A12" s="285" t="s">
        <v>271</v>
      </c>
      <c r="B12" s="689" t="str">
        <f>INPUT_Chart!C11</f>
        <v>Cancer</v>
      </c>
      <c r="C12" s="690">
        <f>INPUT_Chart!D11</f>
        <v>22.561199999999999</v>
      </c>
      <c r="D12" s="689">
        <f>IFERROR((MATCH(B12,{"Aries","Taurus","Gemini","Cancer","Leo","Virgo","Libra","Scorpio","Sagittarius","Capricorn","Aquarius","Pisces"},0)-1)*30+C12,"")</f>
        <v>112.5612</v>
      </c>
      <c r="E12" s="452" t="str">
        <f>IFERROR(INDEX(REF_Nakshatra!$B$6:$B$32,MATCH(D12,REF_Nakshatra!$H$6:$H$32,1)),"")</f>
        <v>Ashlesha</v>
      </c>
      <c r="F12" s="699">
        <f>IFERROR(INDEX(REF_Nakshatra!$A$6:$A$32,MATCH(D12,REF_Nakshatra!$H$6:$H$32,1)),"")</f>
        <v>9</v>
      </c>
      <c r="G12" s="699">
        <f t="shared" si="0"/>
        <v>2</v>
      </c>
      <c r="H12" s="194" t="str">
        <f>IFERROR(CHOOSE(G12,INDEX(REF_Nakshatra!$P$6:$P$32,MATCH(F12,REF_Nakshatra!$A$6:$A$32,0)),INDEX(REF_Nakshatra!$S$6:$S$32,MATCH(F12,REF_Nakshatra!$A$6:$A$32,0)),INDEX(REF_Nakshatra!$V$6:$V$32,MATCH(F12,REF_Nakshatra!$A$6:$A$32,0)),INDEX(REF_Nakshatra!$Y$6:$Y$32,MATCH(F12,REF_Nakshatra!$A$6:$A$32,0))),"")</f>
        <v>Capricorn</v>
      </c>
      <c r="I12" s="700" t="str">
        <f>IFERROR(INDEX(REF_Nakshatra!$L$6:$L$32,MATCH(F12,REF_Nakshatra!$A$6:$A$32,0)),"")</f>
        <v>Mercury</v>
      </c>
      <c r="J12" s="499" t="str">
        <f>IFERROR(IF(LEFT(INDEX(REF_Nakshatra!$N$6:$N$32,MATCH(F12,REF_Nakshatra!$A$6:$A$32,0)),3)="Yes","Yes","No"),"")</f>
        <v>Yes</v>
      </c>
      <c r="K12" s="701" t="str">
        <f>IFERROR(IF(AND(B12=REF_Dignity!$C$9,ABS(C12-VALUE(SUBSTITUTE(REF_Dignity!$D$9,"°","")))&lt;=5),"Deep exalt",IF(AND(B12=REF_Dignity!$F$9,ABS(C12-VALUE(SUBSTITUTE(REF_Dignity!$G$9,"°","")))&lt;=5),"Deep debil",INDEX(REF_Dignity!$G$35:$G$46,MATCH(B12,REF_Dignity!$A$35:$A$46,0)))),"")</f>
        <v>Neutral sign</v>
      </c>
      <c r="L12" s="702" t="b">
        <f t="shared" si="1"/>
        <v>0</v>
      </c>
      <c r="M12" s="703" t="str">
        <f>IFERROR(INDEX(REF_ShubhAshubh!$B$10:$M$10,MATCH(INPUT_Chart!$C$5,REF_ShubhAshubh!$B$4:$M$4,0)),"")</f>
        <v>Benefic</v>
      </c>
      <c r="N12" s="296" t="str">
        <f>IFERROR("H"&amp;MOD(MATCH(B12,{"Aries","Taurus","Gemini","Cancer","Leo","Virgo","Libra","Scorpio","Sagittarius","Capricorn","Aquarius","Pisces"},0)-MATCH(INPUT_Chart!$C$5,{"Aries","Taurus","Gemini","Cancer","Leo","Virgo","Libra","Scorpio","Sagittarius","Capricorn","Aquarius","Pisces"},0),12)+1&amp;" → 7th","")</f>
        <v>H3 → 7th</v>
      </c>
      <c r="O12" s="296" t="str">
        <f ca="1">IFERROR(_xludf.textjoin(" · ",TRUE(),IF(J12="Yes",IF(OR(G12=1,G12=4),"Ganda Mool crit.","Mool"),""),IF(L12=TRUE(),K12,""),IF(M12="Yogakaraka","Yogakaraka","")),"—")</f>
        <v>—</v>
      </c>
    </row>
    <row r="13" spans="1:16" ht="24" customHeight="1" x14ac:dyDescent="0.2">
      <c r="A13" s="287" t="s">
        <v>272</v>
      </c>
      <c r="B13" s="691" t="str">
        <f>INPUT_Chart!C12</f>
        <v>Cancer</v>
      </c>
      <c r="C13" s="692">
        <f>INPUT_Chart!D12</f>
        <v>20.472999999999999</v>
      </c>
      <c r="D13" s="691">
        <f>IFERROR((MATCH(B13,{"Aries","Taurus","Gemini","Cancer","Leo","Virgo","Libra","Scorpio","Sagittarius","Capricorn","Aquarius","Pisces"},0)-1)*30+C13,"")</f>
        <v>110.473</v>
      </c>
      <c r="E13" s="311" t="str">
        <f>IFERROR(INDEX(REF_Nakshatra!$B$6:$B$32,MATCH(D13,REF_Nakshatra!$H$6:$H$32,1)),"")</f>
        <v>Ashlesha</v>
      </c>
      <c r="F13" s="693">
        <f>IFERROR(INDEX(REF_Nakshatra!$A$6:$A$32,MATCH(D13,REF_Nakshatra!$H$6:$H$32,1)),"")</f>
        <v>9</v>
      </c>
      <c r="G13" s="693">
        <f t="shared" si="0"/>
        <v>2</v>
      </c>
      <c r="H13" s="694" t="str">
        <f>IFERROR(CHOOSE(G13,INDEX(REF_Nakshatra!$P$6:$P$32,MATCH(F13,REF_Nakshatra!$A$6:$A$32,0)),INDEX(REF_Nakshatra!$S$6:$S$32,MATCH(F13,REF_Nakshatra!$A$6:$A$32,0)),INDEX(REF_Nakshatra!$V$6:$V$32,MATCH(F13,REF_Nakshatra!$A$6:$A$32,0)),INDEX(REF_Nakshatra!$Y$6:$Y$32,MATCH(F13,REF_Nakshatra!$A$6:$A$32,0))),"")</f>
        <v>Capricorn</v>
      </c>
      <c r="I13" s="271" t="str">
        <f>IFERROR(INDEX(REF_Nakshatra!$L$6:$L$32,MATCH(F13,REF_Nakshatra!$A$6:$A$32,0)),"")</f>
        <v>Mercury</v>
      </c>
      <c r="J13" s="695" t="str">
        <f>IFERROR(IF(LEFT(INDEX(REF_Nakshatra!$N$6:$N$32,MATCH(F13,REF_Nakshatra!$A$6:$A$32,0)),3)="Yes","Yes","No"),"")</f>
        <v>Yes</v>
      </c>
      <c r="K13" s="696" t="str">
        <f>IFERROR(IF(AND(B13=REF_Dignity!$C$10,ABS(C13-VALUE(SUBSTITUTE(REF_Dignity!$D$10,"°","")))&lt;=5),"Deep exalt",IF(AND(B13=REF_Dignity!$F$10,ABS(C13-VALUE(SUBSTITUTE(REF_Dignity!$G$10,"°","")))&lt;=5),"Deep debil",INDEX(REF_Dignity!$H$35:$H$46,MATCH(B13,REF_Dignity!$A$35:$A$46,0)))),"")</f>
        <v>Enemy sign</v>
      </c>
      <c r="L13" s="697" t="b">
        <f t="shared" si="1"/>
        <v>0</v>
      </c>
      <c r="M13" s="698" t="str">
        <f>IFERROR(INDEX(REF_ShubhAshubh!$B$11:$M$11,MATCH(INPUT_Chart!$C$5,REF_ShubhAshubh!$B$4:$M$4,0)),"")</f>
        <v>Yogakaraka</v>
      </c>
      <c r="N13" s="299" t="str">
        <f>IFERROR("H"&amp;MOD(MATCH(B13,{"Aries","Taurus","Gemini","Cancer","Leo","Virgo","Libra","Scorpio","Sagittarius","Capricorn","Aquarius","Pisces"},0)-MATCH(INPUT_Chart!$C$5,{"Aries","Taurus","Gemini","Cancer","Leo","Virgo","Libra","Scorpio","Sagittarius","Capricorn","Aquarius","Pisces"},0),12)+1&amp;" → 3rd · 7th · 10th","")</f>
        <v>H3 → 3rd · 7th · 10th</v>
      </c>
      <c r="O13" s="299" t="str">
        <f ca="1">IFERROR(_xludf.textjoin(" · ",TRUE(),IF(J13="Yes",IF(OR(G13=1,G13=4),"Ganda Mool crit.","Mool"),""),IF(L13=TRUE(),K13,""),IF(M13="Yogakaraka","Yogakaraka","")),"—")</f>
        <v>—</v>
      </c>
    </row>
    <row r="14" spans="1:16" ht="24" customHeight="1" x14ac:dyDescent="0.2">
      <c r="A14" s="289" t="s">
        <v>273</v>
      </c>
      <c r="B14" s="689" t="str">
        <f>INPUT_Chart!C13</f>
        <v>Taurus</v>
      </c>
      <c r="C14" s="690">
        <f>INPUT_Chart!D13</f>
        <v>5.0696999999999974</v>
      </c>
      <c r="D14" s="689">
        <f>IFERROR((MATCH(B14,{"Aries","Taurus","Gemini","Cancer","Leo","Virgo","Libra","Scorpio","Sagittarius","Capricorn","Aquarius","Pisces"},0)-1)*30+C14,"")</f>
        <v>35.069699999999997</v>
      </c>
      <c r="E14" s="452" t="str">
        <f>IFERROR(INDEX(REF_Nakshatra!$B$6:$B$32,MATCH(D14,REF_Nakshatra!$H$6:$H$32,1)),"")</f>
        <v>Krittika</v>
      </c>
      <c r="F14" s="699">
        <f>IFERROR(INDEX(REF_Nakshatra!$A$6:$A$32,MATCH(D14,REF_Nakshatra!$H$6:$H$32,1)),"")</f>
        <v>3</v>
      </c>
      <c r="G14" s="699">
        <f t="shared" si="0"/>
        <v>3</v>
      </c>
      <c r="H14" s="194" t="str">
        <f>IFERROR(CHOOSE(G14,INDEX(REF_Nakshatra!$P$6:$P$32,MATCH(F14,REF_Nakshatra!$A$6:$A$32,0)),INDEX(REF_Nakshatra!$S$6:$S$32,MATCH(F14,REF_Nakshatra!$A$6:$A$32,0)),INDEX(REF_Nakshatra!$V$6:$V$32,MATCH(F14,REF_Nakshatra!$A$6:$A$32,0)),INDEX(REF_Nakshatra!$Y$6:$Y$32,MATCH(F14,REF_Nakshatra!$A$6:$A$32,0))),"")</f>
        <v>Aquarius</v>
      </c>
      <c r="I14" s="700" t="str">
        <f>IFERROR(INDEX(REF_Nakshatra!$L$6:$L$32,MATCH(F14,REF_Nakshatra!$A$6:$A$32,0)),"")</f>
        <v>Sun</v>
      </c>
      <c r="J14" s="499" t="str">
        <f>IFERROR(IF(LEFT(INDEX(REF_Nakshatra!$N$6:$N$32,MATCH(F14,REF_Nakshatra!$A$6:$A$32,0)),3)="Yes","Yes","No"),"")</f>
        <v>No</v>
      </c>
      <c r="K14" s="701" t="str">
        <f>"Shadow node"</f>
        <v>Shadow node</v>
      </c>
      <c r="L14" s="702" t="b">
        <f>FALSE()</f>
        <v>0</v>
      </c>
      <c r="M14" s="703" t="str">
        <f>"Malefic"</f>
        <v>Malefic</v>
      </c>
      <c r="N14" s="296" t="str">
        <f>IFERROR("H"&amp;MOD(MATCH(B14,{"Aries","Taurus","Gemini","Cancer","Leo","Virgo","Libra","Scorpio","Sagittarius","Capricorn","Aquarius","Pisces"},0)-MATCH(INPUT_Chart!$C$5,{"Aries","Taurus","Gemini","Cancer","Leo","Virgo","Libra","Scorpio","Sagittarius","Capricorn","Aquarius","Pisces"},0),12)+1&amp;" → 5th · 7th · 9th","")</f>
        <v>H1 → 5th · 7th · 9th</v>
      </c>
      <c r="O14" s="296" t="str">
        <f ca="1">IFERROR(_xludf.textjoin(" · ",TRUE(),IF(J14="Yes",IF(OR(G14=1,G14=4),"Ganda Mool crit.","Mool"),""),IF(L14=TRUE(),K14,""),IF(M14="Yogakaraka","Yogakaraka","")),"—")</f>
        <v>—</v>
      </c>
    </row>
    <row r="15" spans="1:16" ht="24" customHeight="1" x14ac:dyDescent="0.2">
      <c r="A15" s="291" t="s">
        <v>274</v>
      </c>
      <c r="B15" s="691" t="str">
        <f>INPUT_Chart!C14</f>
        <v>Scorpio</v>
      </c>
      <c r="C15" s="692">
        <f>INPUT_Chart!D14</f>
        <v>5.0697000000000116</v>
      </c>
      <c r="D15" s="691">
        <f>IFERROR((MATCH(B15,{"Aries","Taurus","Gemini","Cancer","Leo","Virgo","Libra","Scorpio","Sagittarius","Capricorn","Aquarius","Pisces"},0)-1)*30+C15,"")</f>
        <v>215.06970000000001</v>
      </c>
      <c r="E15" s="311" t="str">
        <f>IFERROR(INDEX(REF_Nakshatra!$B$6:$B$32,MATCH(D15,REF_Nakshatra!$H$6:$H$32,1)),"")</f>
        <v>Anuradha</v>
      </c>
      <c r="F15" s="693">
        <f>IFERROR(INDEX(REF_Nakshatra!$A$6:$A$32,MATCH(D15,REF_Nakshatra!$H$6:$H$32,1)),"")</f>
        <v>17</v>
      </c>
      <c r="G15" s="693">
        <f t="shared" si="0"/>
        <v>1</v>
      </c>
      <c r="H15" s="694" t="str">
        <f>IFERROR(CHOOSE(G15,INDEX(REF_Nakshatra!$P$6:$P$32,MATCH(F15,REF_Nakshatra!$A$6:$A$32,0)),INDEX(REF_Nakshatra!$S$6:$S$32,MATCH(F15,REF_Nakshatra!$A$6:$A$32,0)),INDEX(REF_Nakshatra!$V$6:$V$32,MATCH(F15,REF_Nakshatra!$A$6:$A$32,0)),INDEX(REF_Nakshatra!$Y$6:$Y$32,MATCH(F15,REF_Nakshatra!$A$6:$A$32,0))),"")</f>
        <v>Leo</v>
      </c>
      <c r="I15" s="271" t="str">
        <f>IFERROR(INDEX(REF_Nakshatra!$L$6:$L$32,MATCH(F15,REF_Nakshatra!$A$6:$A$32,0)),"")</f>
        <v>Saturn</v>
      </c>
      <c r="J15" s="695" t="str">
        <f>IFERROR(IF(LEFT(INDEX(REF_Nakshatra!$N$6:$N$32,MATCH(F15,REF_Nakshatra!$A$6:$A$32,0)),3)="Yes","Yes","No"),"")</f>
        <v>No</v>
      </c>
      <c r="K15" s="696" t="str">
        <f>"Shadow node"</f>
        <v>Shadow node</v>
      </c>
      <c r="L15" s="697" t="b">
        <f>FALSE()</f>
        <v>0</v>
      </c>
      <c r="M15" s="698" t="str">
        <f>"Malefic"</f>
        <v>Malefic</v>
      </c>
      <c r="N15" s="299" t="str">
        <f>IFERROR("H"&amp;MOD(MATCH(B15,{"Aries","Taurus","Gemini","Cancer","Leo","Virgo","Libra","Scorpio","Sagittarius","Capricorn","Aquarius","Pisces"},0)-MATCH(INPUT_Chart!$C$5,{"Aries","Taurus","Gemini","Cancer","Leo","Virgo","Libra","Scorpio","Sagittarius","Capricorn","Aquarius","Pisces"},0),12)+1&amp;" → 5th · 7th · 9th","")</f>
        <v>H7 → 5th · 7th · 9th</v>
      </c>
      <c r="O15" s="299" t="str">
        <f ca="1">IFERROR(_xludf.textjoin(" · ",TRUE(),IF(J15="Yes",IF(OR(G15=1,G15=4),"Ganda Mool crit.","Mool"),""),IF(L15=TRUE(),K15,""),IF(M15="Yogakaraka","Yogakaraka","")),"—")</f>
        <v>—</v>
      </c>
    </row>
    <row r="16" spans="1:16" ht="7.5" customHeight="1" x14ac:dyDescent="0.2"/>
    <row r="17" spans="1:15" ht="19.5" customHeight="1" x14ac:dyDescent="0.2">
      <c r="A17" s="1538" t="s">
        <v>3465</v>
      </c>
      <c r="B17" s="1538"/>
      <c r="C17" s="1538"/>
      <c r="D17" s="1538"/>
      <c r="E17" s="1538"/>
      <c r="F17" s="1538"/>
      <c r="G17" s="1538"/>
      <c r="H17" s="1538"/>
      <c r="I17" s="1538"/>
      <c r="J17" s="1538"/>
      <c r="K17" s="1538"/>
      <c r="L17" s="1538"/>
      <c r="M17" s="1538"/>
      <c r="N17" s="1538"/>
      <c r="O17" s="1538"/>
    </row>
    <row r="18" spans="1:15" ht="60" customHeight="1" x14ac:dyDescent="0.2">
      <c r="A18" s="1539" t="s">
        <v>3466</v>
      </c>
      <c r="B18" s="1539"/>
      <c r="C18" s="1539"/>
      <c r="D18" s="1539"/>
      <c r="E18" s="1539"/>
      <c r="F18" s="1539"/>
      <c r="G18" s="1539"/>
      <c r="H18" s="1539"/>
      <c r="I18" s="1540" t="s">
        <v>3467</v>
      </c>
      <c r="J18" s="1540"/>
      <c r="K18" s="1540"/>
      <c r="L18" s="1540"/>
      <c r="M18" s="1540"/>
      <c r="N18" s="1540"/>
      <c r="O18" s="1540"/>
    </row>
  </sheetData>
  <mergeCells count="10">
    <mergeCell ref="A17:O17"/>
    <mergeCell ref="A18:H18"/>
    <mergeCell ref="I18:O18"/>
    <mergeCell ref="A1:O1"/>
    <mergeCell ref="A2:O2"/>
    <mergeCell ref="A3:D3"/>
    <mergeCell ref="E3:G3"/>
    <mergeCell ref="I3:J3"/>
    <mergeCell ref="K3:L3"/>
    <mergeCell ref="N3:O3"/>
  </mergeCell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6A1B9A"/>
  </sheetPr>
  <dimension ref="A1:O30"/>
  <sheetViews>
    <sheetView zoomScaleNormal="100" workbookViewId="0">
      <pane xSplit="3" ySplit="4" topLeftCell="D5" activePane="bottomRight" state="frozen"/>
      <selection pane="bottomLeft" activeCell="A5" sqref="A5"/>
      <selection pane="topRight" activeCell="D1" sqref="D1"/>
      <selection pane="bottomRight"/>
    </sheetView>
  </sheetViews>
  <sheetFormatPr defaultColWidth="8.609375" defaultRowHeight="15" x14ac:dyDescent="0.2"/>
  <cols>
    <col min="1" max="1" width="4.9765625" customWidth="1"/>
    <col min="2" max="2" width="20.04296875" customWidth="1"/>
    <col min="3" max="5" width="13.98828125" customWidth="1"/>
    <col min="6" max="6" width="9.01171875" customWidth="1"/>
    <col min="7" max="7" width="13.98828125" customWidth="1"/>
    <col min="8" max="8" width="11.02734375" customWidth="1"/>
    <col min="9" max="11" width="9.01171875" customWidth="1"/>
    <col min="12" max="12" width="16.0078125" customWidth="1"/>
    <col min="13" max="13" width="13.98828125" customWidth="1"/>
    <col min="14" max="14" width="52.05859375" customWidth="1"/>
  </cols>
  <sheetData>
    <row r="1" spans="1:15" ht="27.75" customHeight="1" x14ac:dyDescent="0.2">
      <c r="A1" s="1507" t="s">
        <v>3468</v>
      </c>
      <c r="B1" s="1507"/>
      <c r="C1" s="1507"/>
      <c r="D1" s="1507"/>
      <c r="E1" s="1507"/>
      <c r="F1" s="1507"/>
      <c r="G1" s="1507"/>
      <c r="H1" s="1507"/>
      <c r="I1" s="1507"/>
      <c r="J1" s="1507"/>
      <c r="K1" s="1507"/>
      <c r="L1" s="1507"/>
      <c r="M1" s="1507"/>
      <c r="N1" s="1507"/>
      <c r="O1" s="29" t="str">
        <f>HYPERLINK("#'00_INDEX'!A1","&lt;- Index")</f>
        <v>&lt;- Index</v>
      </c>
    </row>
    <row r="2" spans="1:15" ht="19.5" customHeight="1" x14ac:dyDescent="0.2">
      <c r="A2" s="1508" t="s">
        <v>3469</v>
      </c>
      <c r="B2" s="1508"/>
      <c r="C2" s="1508"/>
      <c r="D2" s="1508"/>
      <c r="E2" s="1508"/>
      <c r="F2" s="1508"/>
      <c r="G2" s="1508"/>
      <c r="H2" s="1508"/>
      <c r="I2" s="1508"/>
      <c r="J2" s="1508"/>
      <c r="K2" s="1508"/>
      <c r="L2" s="1508"/>
      <c r="M2" s="1508"/>
      <c r="N2" s="1508"/>
    </row>
    <row r="3" spans="1:15" ht="15.75" customHeight="1" x14ac:dyDescent="0.2">
      <c r="A3" s="1541" t="s">
        <v>3470</v>
      </c>
      <c r="B3" s="1541"/>
      <c r="C3" s="1541"/>
      <c r="D3" s="1543" t="s">
        <v>3471</v>
      </c>
      <c r="E3" s="1543"/>
      <c r="F3" s="1543"/>
      <c r="G3" s="1544" t="s">
        <v>3472</v>
      </c>
      <c r="H3" s="1544"/>
      <c r="I3" s="1542" t="s">
        <v>3473</v>
      </c>
      <c r="J3" s="1542"/>
      <c r="K3" s="1542"/>
      <c r="L3" s="1544" t="s">
        <v>3474</v>
      </c>
      <c r="M3" s="1544"/>
      <c r="N3" s="681" t="s">
        <v>3475</v>
      </c>
    </row>
    <row r="4" spans="1:15" ht="30" customHeight="1" x14ac:dyDescent="0.2">
      <c r="A4" s="87" t="s">
        <v>3476</v>
      </c>
      <c r="B4" s="516" t="s">
        <v>3477</v>
      </c>
      <c r="C4" s="516" t="s">
        <v>3478</v>
      </c>
      <c r="D4" s="517" t="s">
        <v>3479</v>
      </c>
      <c r="E4" s="517" t="s">
        <v>3480</v>
      </c>
      <c r="F4" s="517" t="s">
        <v>3481</v>
      </c>
      <c r="G4" s="658" t="s">
        <v>3482</v>
      </c>
      <c r="H4" s="658" t="s">
        <v>3483</v>
      </c>
      <c r="I4" s="682" t="s">
        <v>3484</v>
      </c>
      <c r="J4" s="682" t="s">
        <v>3485</v>
      </c>
      <c r="K4" s="682" t="s">
        <v>3486</v>
      </c>
      <c r="L4" s="658" t="s">
        <v>3487</v>
      </c>
      <c r="M4" s="517" t="s">
        <v>3488</v>
      </c>
      <c r="N4" s="89" t="s">
        <v>3489</v>
      </c>
    </row>
    <row r="5" spans="1:15" ht="24" customHeight="1" x14ac:dyDescent="0.2">
      <c r="A5" s="704">
        <v>1</v>
      </c>
      <c r="B5" s="303" t="s">
        <v>1801</v>
      </c>
      <c r="C5" s="705" t="str">
        <f>IFERROR(INDEX(REF_Zodiac!$D$3:$O$3,MOD(MATCH(INPUT_Chart!$C$5,REF_Zodiac!$D$3:$O$3,0)-1+0,12)+1),"")</f>
        <v>Taurus</v>
      </c>
      <c r="D5" s="497" t="str">
        <f>IFERROR(INDEX(REF_Zodiac!$D$7:$O$7,MATCH(C5,REF_Zodiac!$D$3:$O$3,0)),"")</f>
        <v>Venus</v>
      </c>
      <c r="E5" s="706" t="str">
        <f>IFERROR(INDEX(REF_Zodiac!$D$8:$O$8,MATCH(C5,REF_Zodiac!$D$3:$O$3,0)),"")</f>
        <v>Shukra</v>
      </c>
      <c r="F5" s="338" t="str">
        <f>"Lagnesh"</f>
        <v>Lagnesh</v>
      </c>
      <c r="G5" s="107" t="str">
        <f>IFERROR(INDEX(CALC_PlanetPositions!$B$7:$B$15,MATCH(D5,CALC_PlanetPositions!$A$7:$A$15,0)),"")</f>
        <v>Cancer</v>
      </c>
      <c r="H5" s="707">
        <f>IFERROR(MOD(MATCH(G5,REF_Zodiac!$D$3:$O$3,0)-MATCH(INPUT_Chart!$C$5,REF_Zodiac!$D$3:$O$3,0),12)+1,"")</f>
        <v>3</v>
      </c>
      <c r="I5" s="708" t="str">
        <f>IFERROR(IF(ISNUMBER(MATCH(H5,{1,4,7,10},0)),"Yes","·"),"")</f>
        <v>·</v>
      </c>
      <c r="J5" s="708" t="str">
        <f>IFERROR(IF(ISNUMBER(MATCH(H5,{1,5,9},0)),"Yes","·"),"")</f>
        <v>·</v>
      </c>
      <c r="K5" s="708" t="str">
        <f>IFERROR(IF(ISNUMBER(MATCH(H5,{6,8,12},0)),"Yes","·"),"")</f>
        <v>·</v>
      </c>
      <c r="L5" s="701" t="str">
        <f>IFERROR(INDEX(CALC_PlanetPositions!$K$7:$K$15,MATCH(D5,CALC_PlanetPositions!$A$7:$A$15,0)),"")</f>
        <v>Neutral sign</v>
      </c>
      <c r="M5" s="495" t="str">
        <f>IFERROR(INDEX(CALC_PlanetPositions!$M$7:$M$15,MATCH(D5,CALC_PlanetPositions!$A$7:$A$15,0)),"")</f>
        <v>Benefic</v>
      </c>
      <c r="N5" s="709" t="str">
        <f>IFERROR("H1 Bhavesh: "&amp;D5&amp;" in H"&amp;H5&amp;" ("&amp;L5&amp;")"&amp;" | "&amp;M5&amp;IF(I5="Yes"," | Kendra ✓","")&amp;IF(J5="Yes"," | Trikon ✓","")&amp;IF(K5="Yes"," | Dukshthan ✗",""),"")</f>
        <v>H1 Bhavesh: Venus in H3 (Neutral sign) | Benefic</v>
      </c>
    </row>
    <row r="6" spans="1:15" ht="24" customHeight="1" x14ac:dyDescent="0.2">
      <c r="A6" s="710">
        <v>2</v>
      </c>
      <c r="B6" s="302" t="s">
        <v>1814</v>
      </c>
      <c r="C6" s="705" t="str">
        <f>IFERROR(INDEX(REF_Zodiac!$D$3:$O$3,MOD(MATCH(INPUT_Chart!$C$5,REF_Zodiac!$D$3:$O$3,0)-1+1,12)+1),"")</f>
        <v>Gemini</v>
      </c>
      <c r="D6" s="497" t="str">
        <f>IFERROR(INDEX(REF_Zodiac!$D$7:$O$7,MATCH(C6,REF_Zodiac!$D$3:$O$3,0)),"")</f>
        <v>Mercury</v>
      </c>
      <c r="E6" s="498" t="str">
        <f>IFERROR(INDEX(REF_Zodiac!$D$8:$O$8,MATCH(C6,REF_Zodiac!$D$3:$O$3,0)),"")</f>
        <v>Budh</v>
      </c>
      <c r="F6" s="711" t="str">
        <f>""</f>
        <v/>
      </c>
      <c r="G6" s="107" t="str">
        <f>IFERROR(INDEX(CALC_PlanetPositions!$B$7:$B$15,MATCH(D6,CALC_PlanetPositions!$A$7:$A$15,0)),"")</f>
        <v>Cancer</v>
      </c>
      <c r="H6" s="707">
        <f>IFERROR(MOD(MATCH(G6,REF_Zodiac!$D$3:$O$3,0)-MATCH(INPUT_Chart!$C$5,REF_Zodiac!$D$3:$O$3,0),12)+1,"")</f>
        <v>3</v>
      </c>
      <c r="I6" s="712" t="str">
        <f>IFERROR(IF(ISNUMBER(MATCH(H6,{1,4,7,10},0)),"Yes","·"),"")</f>
        <v>·</v>
      </c>
      <c r="J6" s="712" t="str">
        <f>IFERROR(IF(ISNUMBER(MATCH(H6,{1,5,9},0)),"Yes","·"),"")</f>
        <v>·</v>
      </c>
      <c r="K6" s="712" t="str">
        <f>IFERROR(IF(ISNUMBER(MATCH(H6,{6,8,12},0)),"Yes","·"),"")</f>
        <v>·</v>
      </c>
      <c r="L6" s="701" t="str">
        <f>IFERROR(INDEX(CALC_PlanetPositions!$K$7:$K$15,MATCH(D6,CALC_PlanetPositions!$A$7:$A$15,0)),"")</f>
        <v>Enemy sign</v>
      </c>
      <c r="M6" s="467" t="str">
        <f>IFERROR(INDEX(CALC_PlanetPositions!$M$7:$M$15,MATCH(D6,CALC_PlanetPositions!$A$7:$A$15,0)),"")</f>
        <v>Benefic</v>
      </c>
      <c r="N6" s="713" t="str">
        <f>IFERROR("H2 Bhavesh: "&amp;D6&amp;" in H"&amp;H6&amp;" ("&amp;L6&amp;")"&amp;" | "&amp;M6&amp;IF(I6="Yes"," | Kendra ✓","")&amp;IF(J6="Yes"," | Trikon ✓","")&amp;IF(K6="Yes"," | Dukshthan ✗",""),"")</f>
        <v>H2 Bhavesh: Mercury in H3 (Enemy sign) | Benefic</v>
      </c>
    </row>
    <row r="7" spans="1:15" ht="24" customHeight="1" x14ac:dyDescent="0.2">
      <c r="A7" s="714">
        <v>3</v>
      </c>
      <c r="B7" s="715" t="s">
        <v>1829</v>
      </c>
      <c r="C7" s="705" t="str">
        <f>IFERROR(INDEX(REF_Zodiac!$D$3:$O$3,MOD(MATCH(INPUT_Chart!$C$5,REF_Zodiac!$D$3:$O$3,0)-1+2,12)+1),"")</f>
        <v>Cancer</v>
      </c>
      <c r="D7" s="497" t="str">
        <f>IFERROR(INDEX(REF_Zodiac!$D$7:$O$7,MATCH(C7,REF_Zodiac!$D$3:$O$3,0)),"")</f>
        <v>Moon</v>
      </c>
      <c r="E7" s="706" t="str">
        <f>IFERROR(INDEX(REF_Zodiac!$D$8:$O$8,MATCH(C7,REF_Zodiac!$D$3:$O$3,0)),"")</f>
        <v>Chandramaa</v>
      </c>
      <c r="F7" s="716" t="str">
        <f>""</f>
        <v/>
      </c>
      <c r="G7" s="107" t="str">
        <f>IFERROR(INDEX(CALC_PlanetPositions!$B$7:$B$15,MATCH(D7,CALC_PlanetPositions!$A$7:$A$15,0)),"")</f>
        <v>Cancer</v>
      </c>
      <c r="H7" s="707">
        <f>IFERROR(MOD(MATCH(G7,REF_Zodiac!$D$3:$O$3,0)-MATCH(INPUT_Chart!$C$5,REF_Zodiac!$D$3:$O$3,0),12)+1,"")</f>
        <v>3</v>
      </c>
      <c r="I7" s="708" t="str">
        <f>IFERROR(IF(ISNUMBER(MATCH(H7,{1,4,7,10},0)),"Yes","·"),"")</f>
        <v>·</v>
      </c>
      <c r="J7" s="708" t="str">
        <f>IFERROR(IF(ISNUMBER(MATCH(H7,{1,5,9},0)),"Yes","·"),"")</f>
        <v>·</v>
      </c>
      <c r="K7" s="708" t="str">
        <f>IFERROR(IF(ISNUMBER(MATCH(H7,{6,8,12},0)),"Yes","·"),"")</f>
        <v>·</v>
      </c>
      <c r="L7" s="701" t="str">
        <f>IFERROR(INDEX(CALC_PlanetPositions!$K$7:$K$15,MATCH(D7,CALC_PlanetPositions!$A$7:$A$15,0)),"")</f>
        <v>Own sign</v>
      </c>
      <c r="M7" s="495" t="str">
        <f>IFERROR(INDEX(CALC_PlanetPositions!$M$7:$M$15,MATCH(D7,CALC_PlanetPositions!$A$7:$A$15,0)),"")</f>
        <v>Yogakaraka</v>
      </c>
      <c r="N7" s="709" t="str">
        <f>IFERROR("H3 Bhavesh: "&amp;D7&amp;" in H"&amp;H7&amp;" ("&amp;L7&amp;")"&amp;" | "&amp;M7&amp;IF(I7="Yes"," | Kendra ✓","")&amp;IF(J7="Yes"," | Trikon ✓","")&amp;IF(K7="Yes"," | Dukshthan ✗",""),"")</f>
        <v>H3 Bhavesh: Moon in H3 (Own sign) | Yogakaraka</v>
      </c>
    </row>
    <row r="8" spans="1:15" ht="24" customHeight="1" x14ac:dyDescent="0.2">
      <c r="A8" s="717">
        <v>4</v>
      </c>
      <c r="B8" s="448" t="s">
        <v>1844</v>
      </c>
      <c r="C8" s="705" t="str">
        <f>IFERROR(INDEX(REF_Zodiac!$D$3:$O$3,MOD(MATCH(INPUT_Chart!$C$5,REF_Zodiac!$D$3:$O$3,0)-1+3,12)+1),"")</f>
        <v>Leo</v>
      </c>
      <c r="D8" s="497" t="str">
        <f>IFERROR(INDEX(REF_Zodiac!$D$7:$O$7,MATCH(C8,REF_Zodiac!$D$3:$O$3,0)),"")</f>
        <v>Sun</v>
      </c>
      <c r="E8" s="498" t="str">
        <f>IFERROR(INDEX(REF_Zodiac!$D$8:$O$8,MATCH(C8,REF_Zodiac!$D$3:$O$3,0)),"")</f>
        <v>Surya</v>
      </c>
      <c r="F8" s="711" t="str">
        <f>""</f>
        <v/>
      </c>
      <c r="G8" s="107" t="str">
        <f>IFERROR(INDEX(CALC_PlanetPositions!$B$7:$B$15,MATCH(D8,CALC_PlanetPositions!$A$7:$A$15,0)),"")</f>
        <v>Cancer</v>
      </c>
      <c r="H8" s="707">
        <f>IFERROR(MOD(MATCH(G8,REF_Zodiac!$D$3:$O$3,0)-MATCH(INPUT_Chart!$C$5,REF_Zodiac!$D$3:$O$3,0),12)+1,"")</f>
        <v>3</v>
      </c>
      <c r="I8" s="712" t="str">
        <f>IFERROR(IF(ISNUMBER(MATCH(H8,{1,4,7,10},0)),"Yes","·"),"")</f>
        <v>·</v>
      </c>
      <c r="J8" s="712" t="str">
        <f>IFERROR(IF(ISNUMBER(MATCH(H8,{1,5,9},0)),"Yes","·"),"")</f>
        <v>·</v>
      </c>
      <c r="K8" s="712" t="str">
        <f>IFERROR(IF(ISNUMBER(MATCH(H8,{6,8,12},0)),"Yes","·"),"")</f>
        <v>·</v>
      </c>
      <c r="L8" s="701" t="str">
        <f>IFERROR(INDEX(CALC_PlanetPositions!$K$7:$K$15,MATCH(D8,CALC_PlanetPositions!$A$7:$A$15,0)),"")</f>
        <v>Friendly sign</v>
      </c>
      <c r="M8" s="467" t="str">
        <f>IFERROR(INDEX(CALC_PlanetPositions!$M$7:$M$15,MATCH(D8,CALC_PlanetPositions!$A$7:$A$15,0)),"")</f>
        <v>Malefic</v>
      </c>
      <c r="N8" s="713" t="str">
        <f>IFERROR("H4 Bhavesh: "&amp;D8&amp;" in H"&amp;H8&amp;" ("&amp;L8&amp;")"&amp;" | "&amp;M8&amp;IF(I8="Yes"," | Kendra ✓","")&amp;IF(J8="Yes"," | Trikon ✓","")&amp;IF(K8="Yes"," | Dukshthan ✗",""),"")</f>
        <v>H4 Bhavesh: Sun in H3 (Friendly sign) | Malefic</v>
      </c>
    </row>
    <row r="9" spans="1:15" ht="24" customHeight="1" x14ac:dyDescent="0.2">
      <c r="A9" s="718">
        <v>5</v>
      </c>
      <c r="B9" s="450" t="s">
        <v>1859</v>
      </c>
      <c r="C9" s="705" t="str">
        <f>IFERROR(INDEX(REF_Zodiac!$D$3:$O$3,MOD(MATCH(INPUT_Chart!$C$5,REF_Zodiac!$D$3:$O$3,0)-1+4,12)+1),"")</f>
        <v>Virgo</v>
      </c>
      <c r="D9" s="497" t="str">
        <f>IFERROR(INDEX(REF_Zodiac!$D$7:$O$7,MATCH(C9,REF_Zodiac!$D$3:$O$3,0)),"")</f>
        <v>Mercury</v>
      </c>
      <c r="E9" s="706" t="str">
        <f>IFERROR(INDEX(REF_Zodiac!$D$8:$O$8,MATCH(C9,REF_Zodiac!$D$3:$O$3,0)),"")</f>
        <v>Budh</v>
      </c>
      <c r="F9" s="716" t="str">
        <f>""</f>
        <v/>
      </c>
      <c r="G9" s="107" t="str">
        <f>IFERROR(INDEX(CALC_PlanetPositions!$B$7:$B$15,MATCH(D9,CALC_PlanetPositions!$A$7:$A$15,0)),"")</f>
        <v>Cancer</v>
      </c>
      <c r="H9" s="707">
        <f>IFERROR(MOD(MATCH(G9,REF_Zodiac!$D$3:$O$3,0)-MATCH(INPUT_Chart!$C$5,REF_Zodiac!$D$3:$O$3,0),12)+1,"")</f>
        <v>3</v>
      </c>
      <c r="I9" s="708" t="str">
        <f>IFERROR(IF(ISNUMBER(MATCH(H9,{1,4,7,10},0)),"Yes","·"),"")</f>
        <v>·</v>
      </c>
      <c r="J9" s="708" t="str">
        <f>IFERROR(IF(ISNUMBER(MATCH(H9,{1,5,9},0)),"Yes","·"),"")</f>
        <v>·</v>
      </c>
      <c r="K9" s="708" t="str">
        <f>IFERROR(IF(ISNUMBER(MATCH(H9,{6,8,12},0)),"Yes","·"),"")</f>
        <v>·</v>
      </c>
      <c r="L9" s="701" t="str">
        <f>IFERROR(INDEX(CALC_PlanetPositions!$K$7:$K$15,MATCH(D9,CALC_PlanetPositions!$A$7:$A$15,0)),"")</f>
        <v>Enemy sign</v>
      </c>
      <c r="M9" s="495" t="str">
        <f>IFERROR(INDEX(CALC_PlanetPositions!$M$7:$M$15,MATCH(D9,CALC_PlanetPositions!$A$7:$A$15,0)),"")</f>
        <v>Benefic</v>
      </c>
      <c r="N9" s="709" t="str">
        <f>IFERROR("H5 Bhavesh: "&amp;D9&amp;" in H"&amp;H9&amp;" ("&amp;L9&amp;")"&amp;" | "&amp;M9&amp;IF(I9="Yes"," | Kendra ✓","")&amp;IF(J9="Yes"," | Trikon ✓","")&amp;IF(K9="Yes"," | Dukshthan ✗",""),"")</f>
        <v>H5 Bhavesh: Mercury in H3 (Enemy sign) | Benefic</v>
      </c>
    </row>
    <row r="10" spans="1:15" ht="24" customHeight="1" x14ac:dyDescent="0.2">
      <c r="A10" s="719">
        <v>6</v>
      </c>
      <c r="B10" s="307" t="s">
        <v>1873</v>
      </c>
      <c r="C10" s="705" t="str">
        <f>IFERROR(INDEX(REF_Zodiac!$D$3:$O$3,MOD(MATCH(INPUT_Chart!$C$5,REF_Zodiac!$D$3:$O$3,0)-1+5,12)+1),"")</f>
        <v>Libra</v>
      </c>
      <c r="D10" s="497" t="str">
        <f>IFERROR(INDEX(REF_Zodiac!$D$7:$O$7,MATCH(C10,REF_Zodiac!$D$3:$O$3,0)),"")</f>
        <v>Venus</v>
      </c>
      <c r="E10" s="498" t="str">
        <f>IFERROR(INDEX(REF_Zodiac!$D$8:$O$8,MATCH(C10,REF_Zodiac!$D$3:$O$3,0)),"")</f>
        <v>Shukra</v>
      </c>
      <c r="F10" s="711" t="str">
        <f>""</f>
        <v/>
      </c>
      <c r="G10" s="107" t="str">
        <f>IFERROR(INDEX(CALC_PlanetPositions!$B$7:$B$15,MATCH(D10,CALC_PlanetPositions!$A$7:$A$15,0)),"")</f>
        <v>Cancer</v>
      </c>
      <c r="H10" s="707">
        <f>IFERROR(MOD(MATCH(G10,REF_Zodiac!$D$3:$O$3,0)-MATCH(INPUT_Chart!$C$5,REF_Zodiac!$D$3:$O$3,0),12)+1,"")</f>
        <v>3</v>
      </c>
      <c r="I10" s="712" t="str">
        <f>IFERROR(IF(ISNUMBER(MATCH(H10,{1,4,7,10},0)),"Yes","·"),"")</f>
        <v>·</v>
      </c>
      <c r="J10" s="712" t="str">
        <f>IFERROR(IF(ISNUMBER(MATCH(H10,{1,5,9},0)),"Yes","·"),"")</f>
        <v>·</v>
      </c>
      <c r="K10" s="712" t="str">
        <f>IFERROR(IF(ISNUMBER(MATCH(H10,{6,8,12},0)),"Yes","·"),"")</f>
        <v>·</v>
      </c>
      <c r="L10" s="701" t="str">
        <f>IFERROR(INDEX(CALC_PlanetPositions!$K$7:$K$15,MATCH(D10,CALC_PlanetPositions!$A$7:$A$15,0)),"")</f>
        <v>Neutral sign</v>
      </c>
      <c r="M10" s="467" t="str">
        <f>IFERROR(INDEX(CALC_PlanetPositions!$M$7:$M$15,MATCH(D10,CALC_PlanetPositions!$A$7:$A$15,0)),"")</f>
        <v>Benefic</v>
      </c>
      <c r="N10" s="713" t="str">
        <f>IFERROR("H6 Bhavesh: "&amp;D10&amp;" in H"&amp;H10&amp;" ("&amp;L10&amp;")"&amp;" | "&amp;M10&amp;IF(I10="Yes"," | Kendra ✓","")&amp;IF(J10="Yes"," | Trikon ✓","")&amp;IF(K10="Yes"," | Dukshthan ✗",""),"")</f>
        <v>H6 Bhavesh: Venus in H3 (Neutral sign) | Benefic</v>
      </c>
    </row>
    <row r="11" spans="1:15" ht="24" customHeight="1" x14ac:dyDescent="0.2">
      <c r="A11" s="720">
        <v>7</v>
      </c>
      <c r="B11" s="721" t="s">
        <v>1888</v>
      </c>
      <c r="C11" s="705" t="str">
        <f>IFERROR(INDEX(REF_Zodiac!$D$3:$O$3,MOD(MATCH(INPUT_Chart!$C$5,REF_Zodiac!$D$3:$O$3,0)-1+6,12)+1),"")</f>
        <v>Scorpio</v>
      </c>
      <c r="D11" s="497" t="str">
        <f>IFERROR(INDEX(REF_Zodiac!$D$7:$O$7,MATCH(C11,REF_Zodiac!$D$3:$O$3,0)),"")</f>
        <v>Mars</v>
      </c>
      <c r="E11" s="706" t="str">
        <f>IFERROR(INDEX(REF_Zodiac!$D$8:$O$8,MATCH(C11,REF_Zodiac!$D$3:$O$3,0)),"")</f>
        <v>Mangal</v>
      </c>
      <c r="F11" s="716" t="str">
        <f>""</f>
        <v/>
      </c>
      <c r="G11" s="107" t="str">
        <f>IFERROR(INDEX(CALC_PlanetPositions!$B$7:$B$15,MATCH(D11,CALC_PlanetPositions!$A$7:$A$15,0)),"")</f>
        <v>Gemini</v>
      </c>
      <c r="H11" s="707">
        <f>IFERROR(MOD(MATCH(G11,REF_Zodiac!$D$3:$O$3,0)-MATCH(INPUT_Chart!$C$5,REF_Zodiac!$D$3:$O$3,0),12)+1,"")</f>
        <v>2</v>
      </c>
      <c r="I11" s="708" t="str">
        <f>IFERROR(IF(ISNUMBER(MATCH(H11,{1,4,7,10},0)),"Yes","·"),"")</f>
        <v>·</v>
      </c>
      <c r="J11" s="708" t="str">
        <f>IFERROR(IF(ISNUMBER(MATCH(H11,{1,5,9},0)),"Yes","·"),"")</f>
        <v>·</v>
      </c>
      <c r="K11" s="708" t="str">
        <f>IFERROR(IF(ISNUMBER(MATCH(H11,{6,8,12},0)),"Yes","·"),"")</f>
        <v>·</v>
      </c>
      <c r="L11" s="701" t="str">
        <f>IFERROR(INDEX(CALC_PlanetPositions!$K$7:$K$15,MATCH(D11,CALC_PlanetPositions!$A$7:$A$15,0)),"")</f>
        <v>Enemy sign</v>
      </c>
      <c r="M11" s="495" t="str">
        <f>IFERROR(INDEX(CALC_PlanetPositions!$M$7:$M$15,MATCH(D11,CALC_PlanetPositions!$A$7:$A$15,0)),"")</f>
        <v>Malefic</v>
      </c>
      <c r="N11" s="709" t="str">
        <f>IFERROR("H7 Bhavesh: "&amp;D11&amp;" in H"&amp;H11&amp;" ("&amp;L11&amp;")"&amp;" | "&amp;M11&amp;IF(I11="Yes"," | Kendra ✓","")&amp;IF(J11="Yes"," | Trikon ✓","")&amp;IF(K11="Yes"," | Dukshthan ✗",""),"")</f>
        <v>H7 Bhavesh: Mars in H2 (Enemy sign) | Malefic</v>
      </c>
    </row>
    <row r="12" spans="1:15" ht="24" customHeight="1" x14ac:dyDescent="0.2">
      <c r="A12" s="722">
        <v>8</v>
      </c>
      <c r="B12" s="723" t="s">
        <v>1903</v>
      </c>
      <c r="C12" s="705" t="str">
        <f>IFERROR(INDEX(REF_Zodiac!$D$3:$O$3,MOD(MATCH(INPUT_Chart!$C$5,REF_Zodiac!$D$3:$O$3,0)-1+7,12)+1),"")</f>
        <v>Sagittarius</v>
      </c>
      <c r="D12" s="497" t="str">
        <f>IFERROR(INDEX(REF_Zodiac!$D$7:$O$7,MATCH(C12,REF_Zodiac!$D$3:$O$3,0)),"")</f>
        <v>Jupiter</v>
      </c>
      <c r="E12" s="498" t="str">
        <f>IFERROR(INDEX(REF_Zodiac!$D$8:$O$8,MATCH(C12,REF_Zodiac!$D$3:$O$3,0)),"")</f>
        <v>Brihaspati</v>
      </c>
      <c r="F12" s="711" t="str">
        <f>""</f>
        <v/>
      </c>
      <c r="G12" s="107" t="str">
        <f>IFERROR(INDEX(CALC_PlanetPositions!$B$7:$B$15,MATCH(D12,CALC_PlanetPositions!$A$7:$A$15,0)),"")</f>
        <v>Libra</v>
      </c>
      <c r="H12" s="707">
        <f>IFERROR(MOD(MATCH(G12,REF_Zodiac!$D$3:$O$3,0)-MATCH(INPUT_Chart!$C$5,REF_Zodiac!$D$3:$O$3,0),12)+1,"")</f>
        <v>6</v>
      </c>
      <c r="I12" s="712" t="str">
        <f>IFERROR(IF(ISNUMBER(MATCH(H12,{1,4,7,10},0)),"Yes","·"),"")</f>
        <v>·</v>
      </c>
      <c r="J12" s="712" t="str">
        <f>IFERROR(IF(ISNUMBER(MATCH(H12,{1,5,9},0)),"Yes","·"),"")</f>
        <v>·</v>
      </c>
      <c r="K12" s="712" t="str">
        <f>IFERROR(IF(ISNUMBER(MATCH(H12,{6,8,12},0)),"Yes","·"),"")</f>
        <v>Yes</v>
      </c>
      <c r="L12" s="701" t="str">
        <f>IFERROR(INDEX(CALC_PlanetPositions!$K$7:$K$15,MATCH(D12,CALC_PlanetPositions!$A$7:$A$15,0)),"")</f>
        <v>Enemy sign</v>
      </c>
      <c r="M12" s="467" t="str">
        <f>IFERROR(INDEX(CALC_PlanetPositions!$M$7:$M$15,MATCH(D12,CALC_PlanetPositions!$A$7:$A$15,0)),"")</f>
        <v>Malefic</v>
      </c>
      <c r="N12" s="713" t="str">
        <f>IFERROR("H8 Bhavesh: "&amp;D12&amp;" in H"&amp;H12&amp;" ("&amp;L12&amp;")"&amp;" | "&amp;M12&amp;IF(I12="Yes"," | Kendra ✓","")&amp;IF(J12="Yes"," | Trikon ✓","")&amp;IF(K12="Yes"," | Dukshthan ✗",""),"")</f>
        <v>H8 Bhavesh: Jupiter in H6 (Enemy sign) | Malefic | Dukshthan ✗</v>
      </c>
    </row>
    <row r="13" spans="1:15" ht="24" customHeight="1" x14ac:dyDescent="0.2">
      <c r="A13" s="724">
        <v>9</v>
      </c>
      <c r="B13" s="449" t="s">
        <v>1917</v>
      </c>
      <c r="C13" s="705" t="str">
        <f>IFERROR(INDEX(REF_Zodiac!$D$3:$O$3,MOD(MATCH(INPUT_Chart!$C$5,REF_Zodiac!$D$3:$O$3,0)-1+8,12)+1),"")</f>
        <v>Capricorn</v>
      </c>
      <c r="D13" s="497" t="str">
        <f>IFERROR(INDEX(REF_Zodiac!$D$7:$O$7,MATCH(C13,REF_Zodiac!$D$3:$O$3,0)),"")</f>
        <v>Saturn</v>
      </c>
      <c r="E13" s="706" t="str">
        <f>IFERROR(INDEX(REF_Zodiac!$D$8:$O$8,MATCH(C13,REF_Zodiac!$D$3:$O$3,0)),"")</f>
        <v>Shani</v>
      </c>
      <c r="F13" s="716" t="str">
        <f>""</f>
        <v/>
      </c>
      <c r="G13" s="107" t="str">
        <f>IFERROR(INDEX(CALC_PlanetPositions!$B$7:$B$15,MATCH(D13,CALC_PlanetPositions!$A$7:$A$15,0)),"")</f>
        <v>Cancer</v>
      </c>
      <c r="H13" s="707">
        <f>IFERROR(MOD(MATCH(G13,REF_Zodiac!$D$3:$O$3,0)-MATCH(INPUT_Chart!$C$5,REF_Zodiac!$D$3:$O$3,0),12)+1,"")</f>
        <v>3</v>
      </c>
      <c r="I13" s="708" t="str">
        <f>IFERROR(IF(ISNUMBER(MATCH(H13,{1,4,7,10},0)),"Yes","·"),"")</f>
        <v>·</v>
      </c>
      <c r="J13" s="708" t="str">
        <f>IFERROR(IF(ISNUMBER(MATCH(H13,{1,5,9},0)),"Yes","·"),"")</f>
        <v>·</v>
      </c>
      <c r="K13" s="708" t="str">
        <f>IFERROR(IF(ISNUMBER(MATCH(H13,{6,8,12},0)),"Yes","·"),"")</f>
        <v>·</v>
      </c>
      <c r="L13" s="701" t="str">
        <f>IFERROR(INDEX(CALC_PlanetPositions!$K$7:$K$15,MATCH(D13,CALC_PlanetPositions!$A$7:$A$15,0)),"")</f>
        <v>Enemy sign</v>
      </c>
      <c r="M13" s="495" t="str">
        <f>IFERROR(INDEX(CALC_PlanetPositions!$M$7:$M$15,MATCH(D13,CALC_PlanetPositions!$A$7:$A$15,0)),"")</f>
        <v>Yogakaraka</v>
      </c>
      <c r="N13" s="709" t="str">
        <f>IFERROR("H9 Bhavesh: "&amp;D13&amp;" in H"&amp;H13&amp;" ("&amp;L13&amp;")"&amp;" | "&amp;M13&amp;IF(I13="Yes"," | Kendra ✓","")&amp;IF(J13="Yes"," | Trikon ✓","")&amp;IF(K13="Yes"," | Dukshthan ✗",""),"")</f>
        <v>H9 Bhavesh: Saturn in H3 (Enemy sign) | Yogakaraka</v>
      </c>
    </row>
    <row r="14" spans="1:15" ht="24" customHeight="1" x14ac:dyDescent="0.2">
      <c r="A14" s="725">
        <v>10</v>
      </c>
      <c r="B14" s="726" t="s">
        <v>1932</v>
      </c>
      <c r="C14" s="705" t="str">
        <f>IFERROR(INDEX(REF_Zodiac!$D$3:$O$3,MOD(MATCH(INPUT_Chart!$C$5,REF_Zodiac!$D$3:$O$3,0)-1+9,12)+1),"")</f>
        <v>Aquarius</v>
      </c>
      <c r="D14" s="497" t="str">
        <f>IFERROR(INDEX(REF_Zodiac!$D$7:$O$7,MATCH(C14,REF_Zodiac!$D$3:$O$3,0)),"")</f>
        <v>Saturn</v>
      </c>
      <c r="E14" s="498" t="str">
        <f>IFERROR(INDEX(REF_Zodiac!$D$8:$O$8,MATCH(C14,REF_Zodiac!$D$3:$O$3,0)),"")</f>
        <v>Shani</v>
      </c>
      <c r="F14" s="711" t="str">
        <f>""</f>
        <v/>
      </c>
      <c r="G14" s="107" t="str">
        <f>IFERROR(INDEX(CALC_PlanetPositions!$B$7:$B$15,MATCH(D14,CALC_PlanetPositions!$A$7:$A$15,0)),"")</f>
        <v>Cancer</v>
      </c>
      <c r="H14" s="707">
        <f>IFERROR(MOD(MATCH(G14,REF_Zodiac!$D$3:$O$3,0)-MATCH(INPUT_Chart!$C$5,REF_Zodiac!$D$3:$O$3,0),12)+1,"")</f>
        <v>3</v>
      </c>
      <c r="I14" s="712" t="str">
        <f>IFERROR(IF(ISNUMBER(MATCH(H14,{1,4,7,10},0)),"Yes","·"),"")</f>
        <v>·</v>
      </c>
      <c r="J14" s="712" t="str">
        <f>IFERROR(IF(ISNUMBER(MATCH(H14,{1,5,9},0)),"Yes","·"),"")</f>
        <v>·</v>
      </c>
      <c r="K14" s="712" t="str">
        <f>IFERROR(IF(ISNUMBER(MATCH(H14,{6,8,12},0)),"Yes","·"),"")</f>
        <v>·</v>
      </c>
      <c r="L14" s="701" t="str">
        <f>IFERROR(INDEX(CALC_PlanetPositions!$K$7:$K$15,MATCH(D14,CALC_PlanetPositions!$A$7:$A$15,0)),"")</f>
        <v>Enemy sign</v>
      </c>
      <c r="M14" s="467" t="str">
        <f>IFERROR(INDEX(CALC_PlanetPositions!$M$7:$M$15,MATCH(D14,CALC_PlanetPositions!$A$7:$A$15,0)),"")</f>
        <v>Yogakaraka</v>
      </c>
      <c r="N14" s="713" t="str">
        <f>IFERROR("H10 Bhavesh: "&amp;D14&amp;" in H"&amp;H14&amp;" ("&amp;L14&amp;")"&amp;" | "&amp;M14&amp;IF(I14="Yes"," | Kendra ✓","")&amp;IF(J14="Yes"," | Trikon ✓","")&amp;IF(K14="Yes"," | Dukshthan ✗",""),"")</f>
        <v>H10 Bhavesh: Saturn in H3 (Enemy sign) | Yogakaraka</v>
      </c>
    </row>
    <row r="15" spans="1:15" ht="24" customHeight="1" x14ac:dyDescent="0.2">
      <c r="A15" s="727">
        <v>11</v>
      </c>
      <c r="B15" s="728" t="s">
        <v>1947</v>
      </c>
      <c r="C15" s="705" t="str">
        <f>IFERROR(INDEX(REF_Zodiac!$D$3:$O$3,MOD(MATCH(INPUT_Chart!$C$5,REF_Zodiac!$D$3:$O$3,0)-1+10,12)+1),"")</f>
        <v>Pisces</v>
      </c>
      <c r="D15" s="497" t="str">
        <f>IFERROR(INDEX(REF_Zodiac!$D$7:$O$7,MATCH(C15,REF_Zodiac!$D$3:$O$3,0)),"")</f>
        <v>Jupiter</v>
      </c>
      <c r="E15" s="706" t="str">
        <f>IFERROR(INDEX(REF_Zodiac!$D$8:$O$8,MATCH(C15,REF_Zodiac!$D$3:$O$3,0)),"")</f>
        <v>Brihaspati</v>
      </c>
      <c r="F15" s="716" t="str">
        <f>""</f>
        <v/>
      </c>
      <c r="G15" s="107" t="str">
        <f>IFERROR(INDEX(CALC_PlanetPositions!$B$7:$B$15,MATCH(D15,CALC_PlanetPositions!$A$7:$A$15,0)),"")</f>
        <v>Libra</v>
      </c>
      <c r="H15" s="707">
        <f>IFERROR(MOD(MATCH(G15,REF_Zodiac!$D$3:$O$3,0)-MATCH(INPUT_Chart!$C$5,REF_Zodiac!$D$3:$O$3,0),12)+1,"")</f>
        <v>6</v>
      </c>
      <c r="I15" s="708" t="str">
        <f>IFERROR(IF(ISNUMBER(MATCH(H15,{1,4,7,10},0)),"Yes","·"),"")</f>
        <v>·</v>
      </c>
      <c r="J15" s="708" t="str">
        <f>IFERROR(IF(ISNUMBER(MATCH(H15,{1,5,9},0)),"Yes","·"),"")</f>
        <v>·</v>
      </c>
      <c r="K15" s="708" t="str">
        <f>IFERROR(IF(ISNUMBER(MATCH(H15,{6,8,12},0)),"Yes","·"),"")</f>
        <v>Yes</v>
      </c>
      <c r="L15" s="701" t="str">
        <f>IFERROR(INDEX(CALC_PlanetPositions!$K$7:$K$15,MATCH(D15,CALC_PlanetPositions!$A$7:$A$15,0)),"")</f>
        <v>Enemy sign</v>
      </c>
      <c r="M15" s="495" t="str">
        <f>IFERROR(INDEX(CALC_PlanetPositions!$M$7:$M$15,MATCH(D15,CALC_PlanetPositions!$A$7:$A$15,0)),"")</f>
        <v>Malefic</v>
      </c>
      <c r="N15" s="709" t="str">
        <f>IFERROR("H11 Bhavesh: "&amp;D15&amp;" in H"&amp;H15&amp;" ("&amp;L15&amp;")"&amp;" | "&amp;M15&amp;IF(I15="Yes"," | Kendra ✓","")&amp;IF(J15="Yes"," | Trikon ✓","")&amp;IF(K15="Yes"," | Dukshthan ✗",""),"")</f>
        <v>H11 Bhavesh: Jupiter in H6 (Enemy sign) | Malefic | Dukshthan ✗</v>
      </c>
    </row>
    <row r="16" spans="1:15" ht="24" customHeight="1" x14ac:dyDescent="0.2">
      <c r="A16" s="729">
        <v>12</v>
      </c>
      <c r="B16" s="452" t="s">
        <v>1960</v>
      </c>
      <c r="C16" s="705" t="str">
        <f>IFERROR(INDEX(REF_Zodiac!$D$3:$O$3,MOD(MATCH(INPUT_Chart!$C$5,REF_Zodiac!$D$3:$O$3,0)-1+11,12)+1),"")</f>
        <v>Aries</v>
      </c>
      <c r="D16" s="497" t="str">
        <f>IFERROR(INDEX(REF_Zodiac!$D$7:$O$7,MATCH(C16,REF_Zodiac!$D$3:$O$3,0)),"")</f>
        <v>Mars</v>
      </c>
      <c r="E16" s="498" t="str">
        <f>IFERROR(INDEX(REF_Zodiac!$D$8:$O$8,MATCH(C16,REF_Zodiac!$D$3:$O$3,0)),"")</f>
        <v>Mangal</v>
      </c>
      <c r="F16" s="711" t="str">
        <f>""</f>
        <v/>
      </c>
      <c r="G16" s="107" t="str">
        <f>IFERROR(INDEX(CALC_PlanetPositions!$B$7:$B$15,MATCH(D16,CALC_PlanetPositions!$A$7:$A$15,0)),"")</f>
        <v>Gemini</v>
      </c>
      <c r="H16" s="707">
        <f>IFERROR(MOD(MATCH(G16,REF_Zodiac!$D$3:$O$3,0)-MATCH(INPUT_Chart!$C$5,REF_Zodiac!$D$3:$O$3,0),12)+1,"")</f>
        <v>2</v>
      </c>
      <c r="I16" s="712" t="str">
        <f>IFERROR(IF(ISNUMBER(MATCH(H16,{1,4,7,10},0)),"Yes","·"),"")</f>
        <v>·</v>
      </c>
      <c r="J16" s="712" t="str">
        <f>IFERROR(IF(ISNUMBER(MATCH(H16,{1,5,9},0)),"Yes","·"),"")</f>
        <v>·</v>
      </c>
      <c r="K16" s="712" t="str">
        <f>IFERROR(IF(ISNUMBER(MATCH(H16,{6,8,12},0)),"Yes","·"),"")</f>
        <v>·</v>
      </c>
      <c r="L16" s="701" t="str">
        <f>IFERROR(INDEX(CALC_PlanetPositions!$K$7:$K$15,MATCH(D16,CALC_PlanetPositions!$A$7:$A$15,0)),"")</f>
        <v>Enemy sign</v>
      </c>
      <c r="M16" s="467" t="str">
        <f>IFERROR(INDEX(CALC_PlanetPositions!$M$7:$M$15,MATCH(D16,CALC_PlanetPositions!$A$7:$A$15,0)),"")</f>
        <v>Malefic</v>
      </c>
      <c r="N16" s="713" t="str">
        <f>IFERROR("H12 Bhavesh: "&amp;D16&amp;" in H"&amp;H16&amp;" ("&amp;L16&amp;")"&amp;" | "&amp;M16&amp;IF(I16="Yes"," | Kendra ✓","")&amp;IF(J16="Yes"," | Trikon ✓","")&amp;IF(K16="Yes"," | Dukshthan ✗",""),"")</f>
        <v>H12 Bhavesh: Mars in H2 (Enemy sign) | Malefic</v>
      </c>
    </row>
    <row r="17" spans="1:14" ht="7.5" customHeight="1" x14ac:dyDescent="0.2"/>
    <row r="18" spans="1:14" ht="18" customHeight="1" x14ac:dyDescent="0.2">
      <c r="A18" s="1546" t="s">
        <v>3490</v>
      </c>
      <c r="B18" s="1546"/>
      <c r="C18" s="1546"/>
      <c r="D18" s="1546"/>
      <c r="E18" s="1546"/>
      <c r="F18" s="1546"/>
      <c r="G18" s="1546"/>
      <c r="H18" s="1546"/>
      <c r="I18" s="1546"/>
      <c r="J18" s="1546"/>
      <c r="K18" s="1546"/>
      <c r="L18" s="1546"/>
      <c r="M18" s="1546"/>
      <c r="N18" s="1546"/>
    </row>
    <row r="19" spans="1:14" ht="15.75" customHeight="1" x14ac:dyDescent="0.2">
      <c r="A19" s="1547" t="s">
        <v>3491</v>
      </c>
      <c r="B19" s="1547"/>
      <c r="C19" s="1547"/>
      <c r="D19" s="1547"/>
      <c r="E19" s="1547"/>
      <c r="F19" s="1547"/>
      <c r="G19" s="1547"/>
      <c r="H19" s="1547"/>
      <c r="I19" s="1547"/>
      <c r="J19" s="1547"/>
      <c r="K19" s="1547"/>
      <c r="L19" s="1547"/>
      <c r="M19" s="1547"/>
      <c r="N19" s="1547"/>
    </row>
    <row r="20" spans="1:14" ht="7.5" customHeight="1" x14ac:dyDescent="0.2"/>
    <row r="21" spans="1:14" ht="18" customHeight="1" x14ac:dyDescent="0.2">
      <c r="A21" s="1548" t="s">
        <v>3492</v>
      </c>
      <c r="B21" s="1548"/>
      <c r="C21" s="1548"/>
      <c r="D21" s="1548"/>
      <c r="E21" s="1548"/>
      <c r="F21" s="1548"/>
      <c r="G21" s="1548"/>
      <c r="H21" s="1548"/>
      <c r="I21" s="1548"/>
      <c r="J21" s="1548"/>
      <c r="K21" s="1548"/>
      <c r="L21" s="1548"/>
      <c r="M21" s="1548"/>
      <c r="N21" s="1548"/>
    </row>
    <row r="22" spans="1:14" ht="18" customHeight="1" x14ac:dyDescent="0.2">
      <c r="A22" s="377" t="s">
        <v>3493</v>
      </c>
      <c r="B22" s="377" t="s">
        <v>958</v>
      </c>
      <c r="C22" s="1502" t="s">
        <v>3494</v>
      </c>
      <c r="D22" s="1502"/>
      <c r="E22" s="1502"/>
      <c r="F22" s="1502"/>
      <c r="G22" s="1502"/>
      <c r="H22" s="1502"/>
      <c r="I22" s="1502"/>
      <c r="J22" s="1502"/>
      <c r="K22" s="1502"/>
      <c r="L22" s="1502"/>
      <c r="M22" s="1502"/>
      <c r="N22" s="1502"/>
    </row>
    <row r="23" spans="1:14" ht="19.5" customHeight="1" x14ac:dyDescent="0.2">
      <c r="A23" s="730" t="s">
        <v>3495</v>
      </c>
      <c r="B23" s="182"/>
      <c r="C23" s="1549" t="s">
        <v>3496</v>
      </c>
      <c r="D23" s="1549"/>
      <c r="E23" s="1549"/>
      <c r="F23" s="1549"/>
      <c r="G23" s="1549"/>
      <c r="H23" s="1549"/>
      <c r="I23" s="1549"/>
      <c r="J23" s="1549"/>
      <c r="K23" s="1549"/>
      <c r="L23" s="1549"/>
      <c r="M23" s="1549"/>
      <c r="N23" s="1549"/>
    </row>
    <row r="24" spans="1:14" ht="19.5" customHeight="1" x14ac:dyDescent="0.2">
      <c r="A24" s="731" t="s">
        <v>3497</v>
      </c>
      <c r="B24" s="182"/>
      <c r="C24" s="1550" t="s">
        <v>3498</v>
      </c>
      <c r="D24" s="1550"/>
      <c r="E24" s="1550"/>
      <c r="F24" s="1550"/>
      <c r="G24" s="1550"/>
      <c r="H24" s="1550"/>
      <c r="I24" s="1550"/>
      <c r="J24" s="1550"/>
      <c r="K24" s="1550"/>
      <c r="L24" s="1550"/>
      <c r="M24" s="1550"/>
      <c r="N24" s="1550"/>
    </row>
    <row r="25" spans="1:14" ht="19.5" customHeight="1" x14ac:dyDescent="0.2">
      <c r="A25" s="730" t="s">
        <v>3499</v>
      </c>
      <c r="B25" s="182"/>
      <c r="C25" s="1549" t="s">
        <v>3500</v>
      </c>
      <c r="D25" s="1549"/>
      <c r="E25" s="1549"/>
      <c r="F25" s="1549"/>
      <c r="G25" s="1549"/>
      <c r="H25" s="1549"/>
      <c r="I25" s="1549"/>
      <c r="J25" s="1549"/>
      <c r="K25" s="1549"/>
      <c r="L25" s="1549"/>
      <c r="M25" s="1549"/>
      <c r="N25" s="1549"/>
    </row>
    <row r="26" spans="1:14" ht="19.5" customHeight="1" x14ac:dyDescent="0.2">
      <c r="A26" s="731" t="s">
        <v>3501</v>
      </c>
      <c r="B26" s="182"/>
      <c r="C26" s="1550" t="s">
        <v>3502</v>
      </c>
      <c r="D26" s="1550"/>
      <c r="E26" s="1550"/>
      <c r="F26" s="1550"/>
      <c r="G26" s="1550"/>
      <c r="H26" s="1550"/>
      <c r="I26" s="1550"/>
      <c r="J26" s="1550"/>
      <c r="K26" s="1550"/>
      <c r="L26" s="1550"/>
      <c r="M26" s="1550"/>
      <c r="N26" s="1550"/>
    </row>
    <row r="27" spans="1:14" ht="19.5" customHeight="1" x14ac:dyDescent="0.2">
      <c r="A27" s="730" t="s">
        <v>3503</v>
      </c>
      <c r="B27" s="182"/>
      <c r="C27" s="1549" t="s">
        <v>3504</v>
      </c>
      <c r="D27" s="1549"/>
      <c r="E27" s="1549"/>
      <c r="F27" s="1549"/>
      <c r="G27" s="1549"/>
      <c r="H27" s="1549"/>
      <c r="I27" s="1549"/>
      <c r="J27" s="1549"/>
      <c r="K27" s="1549"/>
      <c r="L27" s="1549"/>
      <c r="M27" s="1549"/>
      <c r="N27" s="1549"/>
    </row>
    <row r="28" spans="1:14" ht="19.5" customHeight="1" x14ac:dyDescent="0.2">
      <c r="A28" s="731" t="s">
        <v>3505</v>
      </c>
      <c r="B28" s="182"/>
      <c r="C28" s="1550" t="s">
        <v>3506</v>
      </c>
      <c r="D28" s="1550"/>
      <c r="E28" s="1550"/>
      <c r="F28" s="1550"/>
      <c r="G28" s="1550"/>
      <c r="H28" s="1550"/>
      <c r="I28" s="1550"/>
      <c r="J28" s="1550"/>
      <c r="K28" s="1550"/>
      <c r="L28" s="1550"/>
      <c r="M28" s="1550"/>
      <c r="N28" s="1550"/>
    </row>
    <row r="30" spans="1:14" ht="18" customHeight="1" x14ac:dyDescent="0.2">
      <c r="A30" s="1506" t="s">
        <v>3507</v>
      </c>
      <c r="B30" s="1506"/>
      <c r="C30" s="1506"/>
      <c r="D30" s="1506"/>
      <c r="E30" s="1506"/>
      <c r="F30" s="1506"/>
      <c r="G30" s="1506"/>
      <c r="H30" s="1506"/>
      <c r="I30" s="1506"/>
      <c r="J30" s="1506"/>
      <c r="K30" s="1506"/>
      <c r="L30" s="1506"/>
      <c r="M30" s="1506"/>
      <c r="N30" s="1506"/>
    </row>
  </sheetData>
  <mergeCells count="18">
    <mergeCell ref="A30:N30"/>
    <mergeCell ref="C24:N24"/>
    <mergeCell ref="C25:N25"/>
    <mergeCell ref="C26:N26"/>
    <mergeCell ref="C27:N27"/>
    <mergeCell ref="C28:N28"/>
    <mergeCell ref="A18:N18"/>
    <mergeCell ref="A19:N19"/>
    <mergeCell ref="A21:N21"/>
    <mergeCell ref="C22:N22"/>
    <mergeCell ref="C23:N23"/>
    <mergeCell ref="A1:N1"/>
    <mergeCell ref="A2:N2"/>
    <mergeCell ref="A3:C3"/>
    <mergeCell ref="D3:F3"/>
    <mergeCell ref="G3:H3"/>
    <mergeCell ref="I3:K3"/>
    <mergeCell ref="L3:M3"/>
  </mergeCell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6A1B9A"/>
  </sheetPr>
  <dimension ref="A1:N17"/>
  <sheetViews>
    <sheetView zoomScaleNormal="100" workbookViewId="0">
      <pane xSplit="2" ySplit="4" topLeftCell="C5" activePane="bottomRight" state="frozen"/>
      <selection pane="bottomLeft" activeCell="A5" sqref="A5"/>
      <selection pane="topRight" activeCell="C1" sqref="C1"/>
      <selection pane="bottomRight"/>
    </sheetView>
  </sheetViews>
  <sheetFormatPr defaultColWidth="8.609375" defaultRowHeight="15" x14ac:dyDescent="0.2"/>
  <cols>
    <col min="1" max="1" width="4.9765625" customWidth="1"/>
    <col min="2" max="2" width="18.0234375" customWidth="1"/>
    <col min="3" max="4" width="13.98828125" customWidth="1"/>
    <col min="5" max="5" width="11.97265625" customWidth="1"/>
    <col min="6" max="9" width="9.01171875" customWidth="1"/>
    <col min="10" max="10" width="16.0078125" customWidth="1"/>
    <col min="11" max="11" width="13.98828125" customWidth="1"/>
    <col min="12" max="12" width="36.05078125" customWidth="1"/>
    <col min="13" max="13" width="13.046875" customWidth="1"/>
  </cols>
  <sheetData>
    <row r="1" spans="1:14" ht="25.5" customHeight="1" x14ac:dyDescent="0.2">
      <c r="A1" s="1518" t="s">
        <v>3508</v>
      </c>
      <c r="B1" s="1518"/>
      <c r="C1" s="1518"/>
      <c r="D1" s="1518"/>
      <c r="E1" s="1518"/>
      <c r="F1" s="1518"/>
      <c r="G1" s="1518"/>
      <c r="H1" s="1518"/>
      <c r="I1" s="1518"/>
      <c r="J1" s="1518"/>
      <c r="K1" s="1518"/>
      <c r="L1" s="1518"/>
      <c r="M1" s="1518"/>
      <c r="N1" s="29" t="str">
        <f>HYPERLINK("#'00_INDEX'!A1","&lt;- Index")</f>
        <v>&lt;- Index</v>
      </c>
    </row>
    <row r="2" spans="1:14" ht="19.5" customHeight="1" x14ac:dyDescent="0.2">
      <c r="A2" s="1508" t="s">
        <v>3509</v>
      </c>
      <c r="B2" s="1508"/>
      <c r="C2" s="1508"/>
      <c r="D2" s="1508"/>
      <c r="E2" s="1508"/>
      <c r="F2" s="1508"/>
      <c r="G2" s="1508"/>
      <c r="H2" s="1508"/>
      <c r="I2" s="1508"/>
      <c r="J2" s="1508"/>
      <c r="K2" s="1508"/>
      <c r="L2" s="1508"/>
      <c r="M2" s="1508"/>
    </row>
    <row r="3" spans="1:14" ht="15.75" customHeight="1" x14ac:dyDescent="0.2">
      <c r="A3" s="1541" t="s">
        <v>3470</v>
      </c>
      <c r="B3" s="1541"/>
      <c r="C3" s="1543" t="s">
        <v>3510</v>
      </c>
      <c r="D3" s="1543"/>
      <c r="E3" s="1544" t="s">
        <v>3511</v>
      </c>
      <c r="F3" s="1544"/>
      <c r="G3" s="1542" t="s">
        <v>3473</v>
      </c>
      <c r="H3" s="1542"/>
      <c r="I3" s="1542"/>
      <c r="J3" s="1544" t="s">
        <v>3474</v>
      </c>
      <c r="K3" s="1544"/>
      <c r="L3" s="681" t="s">
        <v>3512</v>
      </c>
      <c r="M3" s="680" t="s">
        <v>3513</v>
      </c>
    </row>
    <row r="4" spans="1:14" ht="25.5" customHeight="1" x14ac:dyDescent="0.2">
      <c r="A4" s="516" t="s">
        <v>2276</v>
      </c>
      <c r="B4" s="516" t="s">
        <v>3192</v>
      </c>
      <c r="C4" s="517" t="s">
        <v>3514</v>
      </c>
      <c r="D4" s="517" t="s">
        <v>3515</v>
      </c>
      <c r="E4" s="658" t="s">
        <v>3516</v>
      </c>
      <c r="F4" s="658" t="s">
        <v>3517</v>
      </c>
      <c r="G4" s="682" t="s">
        <v>3518</v>
      </c>
      <c r="H4" s="682" t="s">
        <v>3519</v>
      </c>
      <c r="I4" s="682" t="s">
        <v>3520</v>
      </c>
      <c r="J4" s="658" t="s">
        <v>3521</v>
      </c>
      <c r="K4" s="658" t="s">
        <v>3522</v>
      </c>
      <c r="L4" s="89" t="s">
        <v>1759</v>
      </c>
      <c r="M4" s="517" t="s">
        <v>3523</v>
      </c>
    </row>
    <row r="5" spans="1:14" ht="21.75" customHeight="1" x14ac:dyDescent="0.2">
      <c r="A5" s="732">
        <v>1</v>
      </c>
      <c r="B5" s="303" t="s">
        <v>1801</v>
      </c>
      <c r="C5" s="263" t="s">
        <v>266</v>
      </c>
      <c r="D5" s="733" t="s">
        <v>36</v>
      </c>
      <c r="E5" s="107" t="str">
        <f>IFERROR(CALC_PlanetPositions!$B$7,"")</f>
        <v>Cancer</v>
      </c>
      <c r="F5" s="734">
        <f>IFERROR(MOD(MATCH(E5,REF_Zodiac!$D$3:$O$3,0)-MATCH(INPUT_Chart!$C$5,REF_Zodiac!$D$3:$O$3,0),12)+1,"")</f>
        <v>3</v>
      </c>
      <c r="G5" s="708" t="str">
        <f>IFERROR(IF(ISNUMBER(MATCH(F5,{1,4,7,10},0)),"Yes","·"),"")</f>
        <v>·</v>
      </c>
      <c r="H5" s="708" t="str">
        <f>IFERROR(IF(ISNUMBER(MATCH(F5,{1,5,9},0)),"Yes","·"),"")</f>
        <v>·</v>
      </c>
      <c r="I5" s="708" t="str">
        <f>IFERROR(IF(ISNUMBER(MATCH(F5,{6,8,12},0)),"Yes","·"),"")</f>
        <v>·</v>
      </c>
      <c r="J5" s="701" t="str">
        <f>IFERROR(CALC_PlanetPositions!$K$7,"")</f>
        <v>Friendly sign</v>
      </c>
      <c r="K5" s="495" t="str">
        <f>IFERROR(CALC_PlanetPositions!$M$7,"")</f>
        <v>Malefic</v>
      </c>
      <c r="L5" s="465" t="s">
        <v>3524</v>
      </c>
      <c r="M5" s="735">
        <f t="shared" ref="M5:M16" si="0">IFERROR(IF(OR(G5="Yes",H5="Yes"),0.5,IF(I5="Yes",-0.5,0)),0)</f>
        <v>0</v>
      </c>
    </row>
    <row r="6" spans="1:14" ht="21.75" customHeight="1" x14ac:dyDescent="0.2">
      <c r="A6" s="736">
        <v>2</v>
      </c>
      <c r="B6" s="302" t="s">
        <v>1814</v>
      </c>
      <c r="C6" s="283" t="s">
        <v>270</v>
      </c>
      <c r="D6" s="467" t="s">
        <v>269</v>
      </c>
      <c r="E6" s="107" t="str">
        <f>IFERROR(CALC_PlanetPositions!$B$11,"")</f>
        <v>Libra</v>
      </c>
      <c r="F6" s="734">
        <f>IFERROR(MOD(MATCH(E6,REF_Zodiac!$D$3:$O$3,0)-MATCH(INPUT_Chart!$C$5,REF_Zodiac!$D$3:$O$3,0),12)+1,"")</f>
        <v>6</v>
      </c>
      <c r="G6" s="712" t="str">
        <f>IFERROR(IF(ISNUMBER(MATCH(F6,{1,4,7,10},0)),"Yes","·"),"")</f>
        <v>·</v>
      </c>
      <c r="H6" s="712" t="str">
        <f>IFERROR(IF(ISNUMBER(MATCH(F6,{1,5,9},0)),"Yes","·"),"")</f>
        <v>·</v>
      </c>
      <c r="I6" s="712" t="str">
        <f>IFERROR(IF(ISNUMBER(MATCH(F6,{6,8,12},0)),"Yes","·"),"")</f>
        <v>Yes</v>
      </c>
      <c r="J6" s="701" t="str">
        <f>IFERROR(CALC_PlanetPositions!$K$11,"")</f>
        <v>Enemy sign</v>
      </c>
      <c r="K6" s="467" t="str">
        <f>IFERROR(CALC_PlanetPositions!$M$11,"")</f>
        <v>Malefic</v>
      </c>
      <c r="L6" s="456" t="s">
        <v>3525</v>
      </c>
      <c r="M6" s="737">
        <f t="shared" si="0"/>
        <v>-0.5</v>
      </c>
    </row>
    <row r="7" spans="1:14" ht="21.75" customHeight="1" x14ac:dyDescent="0.2">
      <c r="A7" s="738">
        <v>3</v>
      </c>
      <c r="B7" s="715" t="s">
        <v>1829</v>
      </c>
      <c r="C7" s="279" t="s">
        <v>268</v>
      </c>
      <c r="D7" s="467" t="s">
        <v>269</v>
      </c>
      <c r="E7" s="107" t="str">
        <f>IFERROR(CALC_PlanetPositions!$B$9,"")</f>
        <v>Gemini</v>
      </c>
      <c r="F7" s="734">
        <f>IFERROR(MOD(MATCH(E7,REF_Zodiac!$D$3:$O$3,0)-MATCH(INPUT_Chart!$C$5,REF_Zodiac!$D$3:$O$3,0),12)+1,"")</f>
        <v>2</v>
      </c>
      <c r="G7" s="708" t="str">
        <f>IFERROR(IF(ISNUMBER(MATCH(F7,{1,4,7,10},0)),"Yes","·"),"")</f>
        <v>·</v>
      </c>
      <c r="H7" s="708" t="str">
        <f>IFERROR(IF(ISNUMBER(MATCH(F7,{1,5,9},0)),"Yes","·"),"")</f>
        <v>·</v>
      </c>
      <c r="I7" s="708" t="str">
        <f>IFERROR(IF(ISNUMBER(MATCH(F7,{6,8,12},0)),"Yes","·"),"")</f>
        <v>·</v>
      </c>
      <c r="J7" s="701" t="str">
        <f>IFERROR(CALC_PlanetPositions!$K$9,"")</f>
        <v>Enemy sign</v>
      </c>
      <c r="K7" s="495" t="str">
        <f>IFERROR(CALC_PlanetPositions!$M$9,"")</f>
        <v>Malefic</v>
      </c>
      <c r="L7" s="465" t="s">
        <v>3526</v>
      </c>
      <c r="M7" s="735">
        <f t="shared" si="0"/>
        <v>0</v>
      </c>
    </row>
    <row r="8" spans="1:14" ht="21.75" customHeight="1" x14ac:dyDescent="0.2">
      <c r="A8" s="739">
        <v>4</v>
      </c>
      <c r="B8" s="448" t="s">
        <v>1844</v>
      </c>
      <c r="C8" s="276" t="s">
        <v>267</v>
      </c>
      <c r="D8" s="467" t="s">
        <v>269</v>
      </c>
      <c r="E8" s="107" t="str">
        <f>IFERROR(CALC_PlanetPositions!$B$8,"")</f>
        <v>Cancer</v>
      </c>
      <c r="F8" s="734">
        <f>IFERROR(MOD(MATCH(E8,REF_Zodiac!$D$3:$O$3,0)-MATCH(INPUT_Chart!$C$5,REF_Zodiac!$D$3:$O$3,0),12)+1,"")</f>
        <v>3</v>
      </c>
      <c r="G8" s="712" t="str">
        <f>IFERROR(IF(ISNUMBER(MATCH(F8,{1,4,7,10},0)),"Yes","·"),"")</f>
        <v>·</v>
      </c>
      <c r="H8" s="712" t="str">
        <f>IFERROR(IF(ISNUMBER(MATCH(F8,{1,5,9},0)),"Yes","·"),"")</f>
        <v>·</v>
      </c>
      <c r="I8" s="712" t="str">
        <f>IFERROR(IF(ISNUMBER(MATCH(F8,{6,8,12},0)),"Yes","·"),"")</f>
        <v>·</v>
      </c>
      <c r="J8" s="701" t="str">
        <f>IFERROR(CALC_PlanetPositions!$K$8,"")</f>
        <v>Own sign</v>
      </c>
      <c r="K8" s="467" t="str">
        <f>IFERROR(CALC_PlanetPositions!$M$8,"")</f>
        <v>Yogakaraka</v>
      </c>
      <c r="L8" s="456" t="s">
        <v>3527</v>
      </c>
      <c r="M8" s="737">
        <f t="shared" si="0"/>
        <v>0</v>
      </c>
    </row>
    <row r="9" spans="1:14" ht="21.75" customHeight="1" x14ac:dyDescent="0.2">
      <c r="A9" s="740">
        <v>5</v>
      </c>
      <c r="B9" s="450" t="s">
        <v>1859</v>
      </c>
      <c r="C9" s="283" t="s">
        <v>270</v>
      </c>
      <c r="D9" s="733" t="s">
        <v>36</v>
      </c>
      <c r="E9" s="107" t="str">
        <f>IFERROR(CALC_PlanetPositions!$B$11,"")</f>
        <v>Libra</v>
      </c>
      <c r="F9" s="734">
        <f>IFERROR(MOD(MATCH(E9,REF_Zodiac!$D$3:$O$3,0)-MATCH(INPUT_Chart!$C$5,REF_Zodiac!$D$3:$O$3,0),12)+1,"")</f>
        <v>6</v>
      </c>
      <c r="G9" s="708" t="str">
        <f>IFERROR(IF(ISNUMBER(MATCH(F9,{1,4,7,10},0)),"Yes","·"),"")</f>
        <v>·</v>
      </c>
      <c r="H9" s="708" t="str">
        <f>IFERROR(IF(ISNUMBER(MATCH(F9,{1,5,9},0)),"Yes","·"),"")</f>
        <v>·</v>
      </c>
      <c r="I9" s="708" t="str">
        <f>IFERROR(IF(ISNUMBER(MATCH(F9,{6,8,12},0)),"Yes","·"),"")</f>
        <v>Yes</v>
      </c>
      <c r="J9" s="701" t="str">
        <f>IFERROR(CALC_PlanetPositions!$K$11,"")</f>
        <v>Enemy sign</v>
      </c>
      <c r="K9" s="495" t="str">
        <f>IFERROR(CALC_PlanetPositions!$M$11,"")</f>
        <v>Malefic</v>
      </c>
      <c r="L9" s="465" t="s">
        <v>3528</v>
      </c>
      <c r="M9" s="735">
        <f t="shared" si="0"/>
        <v>-0.5</v>
      </c>
    </row>
    <row r="10" spans="1:14" ht="21.75" customHeight="1" x14ac:dyDescent="0.2">
      <c r="A10" s="741">
        <v>6</v>
      </c>
      <c r="B10" s="307" t="s">
        <v>1873</v>
      </c>
      <c r="C10" s="279" t="s">
        <v>268</v>
      </c>
      <c r="D10" s="742" t="s">
        <v>272</v>
      </c>
      <c r="E10" s="107" t="str">
        <f>IFERROR(CALC_PlanetPositions!$B$9,"")</f>
        <v>Gemini</v>
      </c>
      <c r="F10" s="734">
        <f>IFERROR(MOD(MATCH(E10,REF_Zodiac!$D$3:$O$3,0)-MATCH(INPUT_Chart!$C$5,REF_Zodiac!$D$3:$O$3,0),12)+1,"")</f>
        <v>2</v>
      </c>
      <c r="G10" s="712" t="str">
        <f>IFERROR(IF(ISNUMBER(MATCH(F10,{1,4,7,10},0)),"Yes","·"),"")</f>
        <v>·</v>
      </c>
      <c r="H10" s="712" t="str">
        <f>IFERROR(IF(ISNUMBER(MATCH(F10,{1,5,9},0)),"Yes","·"),"")</f>
        <v>·</v>
      </c>
      <c r="I10" s="712" t="str">
        <f>IFERROR(IF(ISNUMBER(MATCH(F10,{6,8,12},0)),"Yes","·"),"")</f>
        <v>·</v>
      </c>
      <c r="J10" s="701" t="str">
        <f>IFERROR(CALC_PlanetPositions!$K$9,"")</f>
        <v>Enemy sign</v>
      </c>
      <c r="K10" s="467" t="str">
        <f>IFERROR(CALC_PlanetPositions!$M$9,"")</f>
        <v>Malefic</v>
      </c>
      <c r="L10" s="456" t="s">
        <v>3529</v>
      </c>
      <c r="M10" s="737">
        <f t="shared" si="0"/>
        <v>0</v>
      </c>
    </row>
    <row r="11" spans="1:14" ht="21.75" customHeight="1" x14ac:dyDescent="0.2">
      <c r="A11" s="743">
        <v>7</v>
      </c>
      <c r="B11" s="721" t="s">
        <v>1888</v>
      </c>
      <c r="C11" s="285" t="s">
        <v>271</v>
      </c>
      <c r="D11" s="491" t="s">
        <v>270</v>
      </c>
      <c r="E11" s="107" t="str">
        <f>IFERROR(CALC_PlanetPositions!$B$12,"")</f>
        <v>Cancer</v>
      </c>
      <c r="F11" s="734">
        <f>IFERROR(MOD(MATCH(E11,REF_Zodiac!$D$3:$O$3,0)-MATCH(INPUT_Chart!$C$5,REF_Zodiac!$D$3:$O$3,0),12)+1,"")</f>
        <v>3</v>
      </c>
      <c r="G11" s="708" t="str">
        <f>IFERROR(IF(ISNUMBER(MATCH(F11,{1,4,7,10},0)),"Yes","·"),"")</f>
        <v>·</v>
      </c>
      <c r="H11" s="708" t="str">
        <f>IFERROR(IF(ISNUMBER(MATCH(F11,{1,5,9},0)),"Yes","·"),"")</f>
        <v>·</v>
      </c>
      <c r="I11" s="708" t="str">
        <f>IFERROR(IF(ISNUMBER(MATCH(F11,{6,8,12},0)),"Yes","·"),"")</f>
        <v>·</v>
      </c>
      <c r="J11" s="701" t="str">
        <f>IFERROR(CALC_PlanetPositions!$K$12,"")</f>
        <v>Neutral sign</v>
      </c>
      <c r="K11" s="495" t="str">
        <f>IFERROR(CALC_PlanetPositions!$M$12,"")</f>
        <v>Benefic</v>
      </c>
      <c r="L11" s="465" t="s">
        <v>3530</v>
      </c>
      <c r="M11" s="735">
        <f t="shared" si="0"/>
        <v>0</v>
      </c>
    </row>
    <row r="12" spans="1:14" ht="21.75" customHeight="1" x14ac:dyDescent="0.2">
      <c r="A12" s="744">
        <v>8</v>
      </c>
      <c r="B12" s="723" t="s">
        <v>1903</v>
      </c>
      <c r="C12" s="287" t="s">
        <v>272</v>
      </c>
      <c r="D12" s="733" t="s">
        <v>36</v>
      </c>
      <c r="E12" s="107" t="str">
        <f>IFERROR(CALC_PlanetPositions!$B$13,"")</f>
        <v>Cancer</v>
      </c>
      <c r="F12" s="734">
        <f>IFERROR(MOD(MATCH(E12,REF_Zodiac!$D$3:$O$3,0)-MATCH(INPUT_Chart!$C$5,REF_Zodiac!$D$3:$O$3,0),12)+1,"")</f>
        <v>3</v>
      </c>
      <c r="G12" s="712" t="str">
        <f>IFERROR(IF(ISNUMBER(MATCH(F12,{1,4,7,10},0)),"Yes","·"),"")</f>
        <v>·</v>
      </c>
      <c r="H12" s="712" t="str">
        <f>IFERROR(IF(ISNUMBER(MATCH(F12,{1,5,9},0)),"Yes","·"),"")</f>
        <v>·</v>
      </c>
      <c r="I12" s="712" t="str">
        <f>IFERROR(IF(ISNUMBER(MATCH(F12,{6,8,12},0)),"Yes","·"),"")</f>
        <v>·</v>
      </c>
      <c r="J12" s="701" t="str">
        <f>IFERROR(CALC_PlanetPositions!$K$13,"")</f>
        <v>Enemy sign</v>
      </c>
      <c r="K12" s="467" t="str">
        <f>IFERROR(CALC_PlanetPositions!$M$13,"")</f>
        <v>Yogakaraka</v>
      </c>
      <c r="L12" s="456" t="s">
        <v>3531</v>
      </c>
      <c r="M12" s="737">
        <f t="shared" si="0"/>
        <v>0</v>
      </c>
    </row>
    <row r="13" spans="1:14" ht="21.75" customHeight="1" x14ac:dyDescent="0.2">
      <c r="A13" s="745">
        <v>9</v>
      </c>
      <c r="B13" s="449" t="s">
        <v>1917</v>
      </c>
      <c r="C13" s="283" t="s">
        <v>270</v>
      </c>
      <c r="D13" s="746" t="s">
        <v>266</v>
      </c>
      <c r="E13" s="107" t="str">
        <f>IFERROR(CALC_PlanetPositions!$B$11,"")</f>
        <v>Libra</v>
      </c>
      <c r="F13" s="734">
        <f>IFERROR(MOD(MATCH(E13,REF_Zodiac!$D$3:$O$3,0)-MATCH(INPUT_Chart!$C$5,REF_Zodiac!$D$3:$O$3,0),12)+1,"")</f>
        <v>6</v>
      </c>
      <c r="G13" s="708" t="str">
        <f>IFERROR(IF(ISNUMBER(MATCH(F13,{1,4,7,10},0)),"Yes","·"),"")</f>
        <v>·</v>
      </c>
      <c r="H13" s="708" t="str">
        <f>IFERROR(IF(ISNUMBER(MATCH(F13,{1,5,9},0)),"Yes","·"),"")</f>
        <v>·</v>
      </c>
      <c r="I13" s="708" t="str">
        <f>IFERROR(IF(ISNUMBER(MATCH(F13,{6,8,12},0)),"Yes","·"),"")</f>
        <v>Yes</v>
      </c>
      <c r="J13" s="701" t="str">
        <f>IFERROR(CALC_PlanetPositions!$K$11,"")</f>
        <v>Enemy sign</v>
      </c>
      <c r="K13" s="495" t="str">
        <f>IFERROR(CALC_PlanetPositions!$M$11,"")</f>
        <v>Malefic</v>
      </c>
      <c r="L13" s="465" t="s">
        <v>3532</v>
      </c>
      <c r="M13" s="735">
        <f t="shared" si="0"/>
        <v>-0.5</v>
      </c>
    </row>
    <row r="14" spans="1:14" ht="21.75" customHeight="1" x14ac:dyDescent="0.2">
      <c r="A14" s="747">
        <v>10</v>
      </c>
      <c r="B14" s="726" t="s">
        <v>1932</v>
      </c>
      <c r="C14" s="263" t="s">
        <v>266</v>
      </c>
      <c r="D14" s="742" t="s">
        <v>272</v>
      </c>
      <c r="E14" s="107" t="str">
        <f>IFERROR(CALC_PlanetPositions!$B$7,"")</f>
        <v>Cancer</v>
      </c>
      <c r="F14" s="734">
        <f>IFERROR(MOD(MATCH(E14,REF_Zodiac!$D$3:$O$3,0)-MATCH(INPUT_Chart!$C$5,REF_Zodiac!$D$3:$O$3,0),12)+1,"")</f>
        <v>3</v>
      </c>
      <c r="G14" s="712" t="str">
        <f>IFERROR(IF(ISNUMBER(MATCH(F14,{1,4,7,10},0)),"Yes","·"),"")</f>
        <v>·</v>
      </c>
      <c r="H14" s="712" t="str">
        <f>IFERROR(IF(ISNUMBER(MATCH(F14,{1,5,9},0)),"Yes","·"),"")</f>
        <v>·</v>
      </c>
      <c r="I14" s="712" t="str">
        <f>IFERROR(IF(ISNUMBER(MATCH(F14,{6,8,12},0)),"Yes","·"),"")</f>
        <v>·</v>
      </c>
      <c r="J14" s="701" t="str">
        <f>IFERROR(CALC_PlanetPositions!$K$7,"")</f>
        <v>Friendly sign</v>
      </c>
      <c r="K14" s="467" t="str">
        <f>IFERROR(CALC_PlanetPositions!$M$7,"")</f>
        <v>Malefic</v>
      </c>
      <c r="L14" s="456" t="s">
        <v>3533</v>
      </c>
      <c r="M14" s="737">
        <f t="shared" si="0"/>
        <v>0</v>
      </c>
    </row>
    <row r="15" spans="1:14" ht="21.75" customHeight="1" x14ac:dyDescent="0.2">
      <c r="A15" s="748">
        <v>11</v>
      </c>
      <c r="B15" s="728" t="s">
        <v>1947</v>
      </c>
      <c r="C15" s="283" t="s">
        <v>270</v>
      </c>
      <c r="D15" s="733" t="s">
        <v>36</v>
      </c>
      <c r="E15" s="107" t="str">
        <f>IFERROR(CALC_PlanetPositions!$B$11,"")</f>
        <v>Libra</v>
      </c>
      <c r="F15" s="734">
        <f>IFERROR(MOD(MATCH(E15,REF_Zodiac!$D$3:$O$3,0)-MATCH(INPUT_Chart!$C$5,REF_Zodiac!$D$3:$O$3,0),12)+1,"")</f>
        <v>6</v>
      </c>
      <c r="G15" s="708" t="str">
        <f>IFERROR(IF(ISNUMBER(MATCH(F15,{1,4,7,10},0)),"Yes","·"),"")</f>
        <v>·</v>
      </c>
      <c r="H15" s="708" t="str">
        <f>IFERROR(IF(ISNUMBER(MATCH(F15,{1,5,9},0)),"Yes","·"),"")</f>
        <v>·</v>
      </c>
      <c r="I15" s="708" t="str">
        <f>IFERROR(IF(ISNUMBER(MATCH(F15,{6,8,12},0)),"Yes","·"),"")</f>
        <v>Yes</v>
      </c>
      <c r="J15" s="701" t="str">
        <f>IFERROR(CALC_PlanetPositions!$K$11,"")</f>
        <v>Enemy sign</v>
      </c>
      <c r="K15" s="495" t="str">
        <f>IFERROR(CALC_PlanetPositions!$M$11,"")</f>
        <v>Malefic</v>
      </c>
      <c r="L15" s="465" t="s">
        <v>3534</v>
      </c>
      <c r="M15" s="735">
        <f t="shared" si="0"/>
        <v>-0.5</v>
      </c>
    </row>
    <row r="16" spans="1:14" ht="21.75" customHeight="1" x14ac:dyDescent="0.2">
      <c r="A16" s="749">
        <v>12</v>
      </c>
      <c r="B16" s="452" t="s">
        <v>1960</v>
      </c>
      <c r="C16" s="287" t="s">
        <v>272</v>
      </c>
      <c r="D16" s="508" t="s">
        <v>274</v>
      </c>
      <c r="E16" s="107" t="str">
        <f>IFERROR(CALC_PlanetPositions!$B$13,"")</f>
        <v>Cancer</v>
      </c>
      <c r="F16" s="734">
        <f>IFERROR(MOD(MATCH(E16,REF_Zodiac!$D$3:$O$3,0)-MATCH(INPUT_Chart!$C$5,REF_Zodiac!$D$3:$O$3,0),12)+1,"")</f>
        <v>3</v>
      </c>
      <c r="G16" s="712" t="str">
        <f>IFERROR(IF(ISNUMBER(MATCH(F16,{1,4,7,10},0)),"Yes","·"),"")</f>
        <v>·</v>
      </c>
      <c r="H16" s="712" t="str">
        <f>IFERROR(IF(ISNUMBER(MATCH(F16,{1,5,9},0)),"Yes","·"),"")</f>
        <v>·</v>
      </c>
      <c r="I16" s="712" t="str">
        <f>IFERROR(IF(ISNUMBER(MATCH(F16,{6,8,12},0)),"Yes","·"),"")</f>
        <v>·</v>
      </c>
      <c r="J16" s="701" t="str">
        <f>IFERROR(CALC_PlanetPositions!$K$13,"")</f>
        <v>Enemy sign</v>
      </c>
      <c r="K16" s="467" t="str">
        <f>IFERROR(CALC_PlanetPositions!$M$13,"")</f>
        <v>Yogakaraka</v>
      </c>
      <c r="L16" s="456" t="s">
        <v>3535</v>
      </c>
      <c r="M16" s="737">
        <f t="shared" si="0"/>
        <v>0</v>
      </c>
    </row>
    <row r="17" spans="1:13" ht="15.75" customHeight="1" x14ac:dyDescent="0.2">
      <c r="A17" s="1506" t="s">
        <v>3536</v>
      </c>
      <c r="B17" s="1506"/>
      <c r="C17" s="1506"/>
      <c r="D17" s="1506"/>
      <c r="E17" s="1506"/>
      <c r="F17" s="1506"/>
      <c r="G17" s="1506"/>
      <c r="H17" s="1506"/>
      <c r="I17" s="1506"/>
      <c r="J17" s="1506"/>
      <c r="K17" s="1506"/>
      <c r="L17" s="1506"/>
      <c r="M17" s="1506"/>
    </row>
  </sheetData>
  <mergeCells count="8">
    <mergeCell ref="A17:M17"/>
    <mergeCell ref="A1:M1"/>
    <mergeCell ref="A2:M2"/>
    <mergeCell ref="A3:B3"/>
    <mergeCell ref="C3:D3"/>
    <mergeCell ref="E3:F3"/>
    <mergeCell ref="G3:I3"/>
    <mergeCell ref="J3:K3"/>
  </mergeCell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6A1B9A"/>
  </sheetPr>
  <dimension ref="A1:L18"/>
  <sheetViews>
    <sheetView zoomScaleNormal="100" workbookViewId="0"/>
  </sheetViews>
  <sheetFormatPr defaultColWidth="8.609375" defaultRowHeight="15" x14ac:dyDescent="0.2"/>
  <cols>
    <col min="1" max="1" width="16.0078125" customWidth="1"/>
    <col min="2" max="3" width="13.98828125" customWidth="1"/>
    <col min="4" max="6" width="9.953125" customWidth="1"/>
    <col min="7" max="7" width="16.0078125" customWidth="1"/>
    <col min="8" max="8" width="13.98828125" customWidth="1"/>
    <col min="9" max="9" width="16.0078125" customWidth="1"/>
    <col min="10" max="10" width="43.98828125" customWidth="1"/>
  </cols>
  <sheetData>
    <row r="1" spans="1:12" ht="25.5" customHeight="1" x14ac:dyDescent="0.2">
      <c r="A1" s="1518" t="s">
        <v>3537</v>
      </c>
      <c r="B1" s="1518"/>
      <c r="C1" s="1518"/>
      <c r="D1" s="1518"/>
      <c r="E1" s="1518"/>
      <c r="F1" s="1518"/>
      <c r="G1" s="1518"/>
      <c r="H1" s="1518"/>
      <c r="I1" s="1518"/>
      <c r="J1" s="1518"/>
      <c r="L1" s="29" t="str">
        <f>HYPERLINK("#'00_INDEX'!A1","&lt;- Index")</f>
        <v>&lt;- Index</v>
      </c>
    </row>
    <row r="2" spans="1:12" ht="19.5" customHeight="1" x14ac:dyDescent="0.2">
      <c r="A2" s="1508" t="s">
        <v>3538</v>
      </c>
      <c r="B2" s="1508"/>
      <c r="C2" s="1508"/>
      <c r="D2" s="1508"/>
      <c r="E2" s="1508"/>
      <c r="F2" s="1508"/>
      <c r="G2" s="1508"/>
      <c r="H2" s="1508"/>
      <c r="I2" s="1508"/>
      <c r="J2" s="1508"/>
    </row>
    <row r="3" spans="1:12" ht="25.5" customHeight="1" x14ac:dyDescent="0.2">
      <c r="A3" s="517" t="s">
        <v>3246</v>
      </c>
      <c r="B3" s="517" t="s">
        <v>1121</v>
      </c>
      <c r="C3" s="658" t="s">
        <v>3539</v>
      </c>
      <c r="D3" s="682" t="s">
        <v>622</v>
      </c>
      <c r="E3" s="682" t="s">
        <v>625</v>
      </c>
      <c r="F3" s="682" t="s">
        <v>619</v>
      </c>
      <c r="G3" s="658" t="s">
        <v>3453</v>
      </c>
      <c r="H3" s="517" t="s">
        <v>410</v>
      </c>
      <c r="I3" s="750" t="s">
        <v>3540</v>
      </c>
      <c r="J3" s="89" t="s">
        <v>3541</v>
      </c>
    </row>
    <row r="4" spans="1:12" ht="27.75" customHeight="1" x14ac:dyDescent="0.2">
      <c r="A4" s="751" t="str">
        <f>IFERROR(CALC_BhaveshMap!$D$5,"")</f>
        <v>Venus</v>
      </c>
      <c r="B4" s="107" t="str">
        <f>IFERROR(CALC_BhaveshMap!$G$5,"")</f>
        <v>Cancer</v>
      </c>
      <c r="C4" s="707">
        <f>IFERROR(CALC_BhaveshMap!$H$5,"")</f>
        <v>3</v>
      </c>
      <c r="D4" s="752" t="str">
        <f>IFERROR(CALC_BhaveshMap!$I$5,"")</f>
        <v>·</v>
      </c>
      <c r="E4" s="752" t="str">
        <f>IFERROR(CALC_BhaveshMap!$J$5,"")</f>
        <v>·</v>
      </c>
      <c r="F4" s="752" t="str">
        <f>IFERROR(CALC_BhaveshMap!$K$5,"")</f>
        <v>·</v>
      </c>
      <c r="G4" s="701" t="str">
        <f>IFERROR(CALC_BhaveshMap!$L$5,"")</f>
        <v>Neutral sign</v>
      </c>
      <c r="H4" s="495" t="str">
        <f>IFERROR(CALC_BhaveshMap!$M$5,"")</f>
        <v>Benefic</v>
      </c>
      <c r="I4" s="753">
        <f>IFERROR(IF(OR(D4="Yes",E4="Yes"),  IF(OR(G4="Deep exalt",G4="Exaltation"),0.75,  IF(OR(G4="Deep debil",G4="Debilitation"),0.25,0.5)),IF(F4="Yes",  IF(OR(G4="Deep debil",G4="Debilitation"),-0.75,  IF(OR(G4="Deep exalt",G4="Exaltation"),-0.25,-0.5)),  IF(OR(G4="Deep exalt",G4="Exaltation"),0.25,  IF(OR(G4="Deep debil",G4="Debilitation"),-0.25,0)))),0)</f>
        <v>0</v>
      </c>
      <c r="J4" s="754" t="str">
        <f>IFERROR("Lagnesh "&amp;A4&amp;" in H"&amp;C4&amp;" — modifier "&amp;TEXT(I4,"+0.00;-0.00;0.00")&amp;" applied to all 12 house scores","")</f>
        <v>Lagnesh Venus in H3 — modifier 0.00 applied to all 12 house scores</v>
      </c>
    </row>
    <row r="6" spans="1:12" ht="18" customHeight="1" x14ac:dyDescent="0.2">
      <c r="A6" s="1548" t="s">
        <v>3542</v>
      </c>
      <c r="B6" s="1548"/>
      <c r="C6" s="1548"/>
      <c r="D6" s="1548"/>
      <c r="E6" s="1548"/>
      <c r="F6" s="1548"/>
      <c r="G6" s="1548"/>
      <c r="H6" s="1548"/>
      <c r="I6" s="1548"/>
      <c r="J6" s="1548"/>
    </row>
    <row r="7" spans="1:12" ht="18" customHeight="1" x14ac:dyDescent="0.2">
      <c r="A7" s="377" t="s">
        <v>2314</v>
      </c>
      <c r="B7" s="377" t="s">
        <v>2310</v>
      </c>
      <c r="C7" s="1502" t="s">
        <v>2045</v>
      </c>
      <c r="D7" s="1502"/>
      <c r="E7" s="1502"/>
      <c r="F7" s="1502"/>
      <c r="G7" s="1502"/>
      <c r="H7" s="1502"/>
      <c r="I7" s="1502"/>
      <c r="J7" s="1502"/>
    </row>
    <row r="8" spans="1:12" ht="18" customHeight="1" x14ac:dyDescent="0.2">
      <c r="A8" s="730" t="s">
        <v>3543</v>
      </c>
      <c r="B8" s="736" t="s">
        <v>1085</v>
      </c>
      <c r="C8" s="1549" t="s">
        <v>3544</v>
      </c>
      <c r="D8" s="1549"/>
      <c r="E8" s="1549"/>
      <c r="F8" s="1549"/>
      <c r="G8" s="1549"/>
      <c r="H8" s="1549"/>
      <c r="I8" s="1549"/>
      <c r="J8" s="1549"/>
    </row>
    <row r="9" spans="1:12" ht="18" customHeight="1" x14ac:dyDescent="0.2">
      <c r="A9" s="731" t="s">
        <v>3545</v>
      </c>
      <c r="B9" s="736" t="s">
        <v>3546</v>
      </c>
      <c r="C9" s="1550" t="s">
        <v>3547</v>
      </c>
      <c r="D9" s="1550"/>
      <c r="E9" s="1550"/>
      <c r="F9" s="1550"/>
      <c r="G9" s="1550"/>
      <c r="H9" s="1550"/>
      <c r="I9" s="1550"/>
      <c r="J9" s="1550"/>
    </row>
    <row r="10" spans="1:12" ht="18" customHeight="1" x14ac:dyDescent="0.2">
      <c r="A10" s="730" t="s">
        <v>3548</v>
      </c>
      <c r="B10" s="736" t="s">
        <v>1116</v>
      </c>
      <c r="C10" s="1549" t="s">
        <v>3549</v>
      </c>
      <c r="D10" s="1549"/>
      <c r="E10" s="1549"/>
      <c r="F10" s="1549"/>
      <c r="G10" s="1549"/>
      <c r="H10" s="1549"/>
      <c r="I10" s="1549"/>
      <c r="J10" s="1549"/>
    </row>
    <row r="11" spans="1:12" ht="18" customHeight="1" x14ac:dyDescent="0.2">
      <c r="A11" s="731" t="s">
        <v>3550</v>
      </c>
      <c r="B11" s="755" t="s">
        <v>3551</v>
      </c>
      <c r="C11" s="1550" t="s">
        <v>3552</v>
      </c>
      <c r="D11" s="1550"/>
      <c r="E11" s="1550"/>
      <c r="F11" s="1550"/>
      <c r="G11" s="1550"/>
      <c r="H11" s="1550"/>
      <c r="I11" s="1550"/>
      <c r="J11" s="1550"/>
    </row>
    <row r="12" spans="1:12" ht="18" customHeight="1" x14ac:dyDescent="0.2">
      <c r="A12" s="730" t="s">
        <v>3553</v>
      </c>
      <c r="B12" s="736" t="s">
        <v>1116</v>
      </c>
      <c r="C12" s="1549" t="s">
        <v>3554</v>
      </c>
      <c r="D12" s="1549"/>
      <c r="E12" s="1549"/>
      <c r="F12" s="1549"/>
      <c r="G12" s="1549"/>
      <c r="H12" s="1549"/>
      <c r="I12" s="1549"/>
      <c r="J12" s="1549"/>
    </row>
    <row r="13" spans="1:12" ht="18" customHeight="1" x14ac:dyDescent="0.2">
      <c r="A13" s="731" t="s">
        <v>3555</v>
      </c>
      <c r="B13" s="741" t="s">
        <v>3556</v>
      </c>
      <c r="C13" s="1550" t="s">
        <v>3557</v>
      </c>
      <c r="D13" s="1550"/>
      <c r="E13" s="1550"/>
      <c r="F13" s="1550"/>
      <c r="G13" s="1550"/>
      <c r="H13" s="1550"/>
      <c r="I13" s="1550"/>
      <c r="J13" s="1550"/>
    </row>
    <row r="14" spans="1:12" ht="18" customHeight="1" x14ac:dyDescent="0.2">
      <c r="A14" s="730" t="s">
        <v>3558</v>
      </c>
      <c r="B14" s="741" t="s">
        <v>3556</v>
      </c>
      <c r="C14" s="1549" t="s">
        <v>3559</v>
      </c>
      <c r="D14" s="1549"/>
      <c r="E14" s="1549"/>
      <c r="F14" s="1549"/>
      <c r="G14" s="1549"/>
      <c r="H14" s="1549"/>
      <c r="I14" s="1549"/>
      <c r="J14" s="1549"/>
    </row>
    <row r="15" spans="1:12" ht="18" customHeight="1" x14ac:dyDescent="0.2">
      <c r="A15" s="731" t="s">
        <v>3560</v>
      </c>
      <c r="B15" s="741" t="s">
        <v>3561</v>
      </c>
      <c r="C15" s="1550" t="s">
        <v>3562</v>
      </c>
      <c r="D15" s="1550"/>
      <c r="E15" s="1550"/>
      <c r="F15" s="1550"/>
      <c r="G15" s="1550"/>
      <c r="H15" s="1550"/>
      <c r="I15" s="1550"/>
      <c r="J15" s="1550"/>
    </row>
    <row r="16" spans="1:12" ht="18" customHeight="1" x14ac:dyDescent="0.2">
      <c r="A16" s="730" t="s">
        <v>3563</v>
      </c>
      <c r="B16" s="741" t="s">
        <v>3564</v>
      </c>
      <c r="C16" s="1549" t="s">
        <v>3565</v>
      </c>
      <c r="D16" s="1549"/>
      <c r="E16" s="1549"/>
      <c r="F16" s="1549"/>
      <c r="G16" s="1549"/>
      <c r="H16" s="1549"/>
      <c r="I16" s="1549"/>
      <c r="J16" s="1549"/>
    </row>
    <row r="18" spans="1:10" ht="21.75" customHeight="1" x14ac:dyDescent="0.2">
      <c r="A18" s="1551" t="s">
        <v>3566</v>
      </c>
      <c r="B18" s="1551"/>
      <c r="C18" s="1551"/>
      <c r="D18" s="1551"/>
      <c r="E18" s="1551"/>
      <c r="F18" s="1551"/>
      <c r="G18" s="1551"/>
      <c r="H18" s="1551"/>
      <c r="I18" s="1551"/>
      <c r="J18" s="1551"/>
    </row>
  </sheetData>
  <mergeCells count="14">
    <mergeCell ref="C14:J14"/>
    <mergeCell ref="C15:J15"/>
    <mergeCell ref="C16:J16"/>
    <mergeCell ref="A18:J18"/>
    <mergeCell ref="C9:J9"/>
    <mergeCell ref="C10:J10"/>
    <mergeCell ref="C11:J11"/>
    <mergeCell ref="C12:J12"/>
    <mergeCell ref="C13:J13"/>
    <mergeCell ref="A1:J1"/>
    <mergeCell ref="A2:J2"/>
    <mergeCell ref="A6:J6"/>
    <mergeCell ref="C7:J7"/>
    <mergeCell ref="C8:J8"/>
  </mergeCell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6A1B9A"/>
  </sheetPr>
  <dimension ref="A1:M46"/>
  <sheetViews>
    <sheetView zoomScaleNormal="100" workbookViewId="0"/>
  </sheetViews>
  <sheetFormatPr defaultColWidth="8.609375" defaultRowHeight="15" x14ac:dyDescent="0.2"/>
  <cols>
    <col min="1" max="1" width="16.0078125" customWidth="1"/>
    <col min="2" max="9" width="13.98828125" customWidth="1"/>
    <col min="11" max="11" width="2.015625" customWidth="1"/>
    <col min="12" max="19" width="13.98828125" customWidth="1"/>
  </cols>
  <sheetData>
    <row r="1" spans="1:13" ht="27.75" customHeight="1" x14ac:dyDescent="0.2">
      <c r="A1" s="1507" t="s">
        <v>3567</v>
      </c>
      <c r="B1" s="1507"/>
      <c r="C1" s="1507"/>
      <c r="D1" s="1507"/>
      <c r="E1" s="1507"/>
      <c r="F1" s="1507"/>
      <c r="G1" s="1507"/>
      <c r="H1" s="1507"/>
      <c r="I1" s="1507"/>
      <c r="L1" s="29" t="str">
        <f>HYPERLINK("#'00_INDEX'!A1","&lt;- Index")</f>
        <v>&lt;- Index</v>
      </c>
    </row>
    <row r="2" spans="1:13" ht="21.75" customHeight="1" x14ac:dyDescent="0.2">
      <c r="A2" s="1508" t="s">
        <v>3568</v>
      </c>
      <c r="B2" s="1508"/>
      <c r="C2" s="1508"/>
      <c r="D2" s="1508"/>
      <c r="E2" s="1508"/>
      <c r="F2" s="1508"/>
      <c r="G2" s="1508"/>
      <c r="H2" s="1508"/>
      <c r="I2" s="1508"/>
    </row>
    <row r="3" spans="1:13" ht="18" customHeight="1" x14ac:dyDescent="0.2">
      <c r="A3" s="1552" t="s">
        <v>3569</v>
      </c>
      <c r="B3" s="1552"/>
      <c r="C3" s="1552"/>
      <c r="D3" s="1552"/>
      <c r="E3" s="1552"/>
      <c r="F3" s="1552"/>
      <c r="G3" s="1552"/>
      <c r="H3" s="1552"/>
      <c r="I3" s="1552"/>
    </row>
    <row r="4" spans="1:13" ht="30" customHeight="1" x14ac:dyDescent="0.2">
      <c r="A4" s="756" t="s">
        <v>3570</v>
      </c>
      <c r="B4" s="119" t="s">
        <v>3571</v>
      </c>
      <c r="C4" s="120" t="s">
        <v>3572</v>
      </c>
      <c r="D4" s="120" t="s">
        <v>3573</v>
      </c>
      <c r="E4" s="120" t="s">
        <v>3574</v>
      </c>
      <c r="F4" s="119" t="s">
        <v>3575</v>
      </c>
      <c r="G4" s="119" t="s">
        <v>3576</v>
      </c>
      <c r="H4" s="119" t="s">
        <v>3577</v>
      </c>
      <c r="I4" s="119" t="s">
        <v>3578</v>
      </c>
      <c r="J4" s="119" t="s">
        <v>3579</v>
      </c>
      <c r="K4" s="120" t="s">
        <v>3580</v>
      </c>
      <c r="L4" s="120" t="s">
        <v>3581</v>
      </c>
      <c r="M4" s="120" t="s">
        <v>3582</v>
      </c>
    </row>
    <row r="5" spans="1:13" ht="18" customHeight="1" x14ac:dyDescent="0.2">
      <c r="A5" s="1551" t="s">
        <v>3583</v>
      </c>
      <c r="B5" s="1551"/>
      <c r="C5" s="1551"/>
      <c r="D5" s="1551"/>
      <c r="E5" s="1551"/>
      <c r="F5" s="1551"/>
      <c r="G5" s="1551"/>
      <c r="H5" s="1551"/>
      <c r="I5" s="1551"/>
    </row>
    <row r="6" spans="1:13" ht="18" customHeight="1" x14ac:dyDescent="0.2">
      <c r="A6" s="1553" t="s">
        <v>3584</v>
      </c>
      <c r="B6" s="1553"/>
      <c r="C6" s="1553"/>
      <c r="D6" s="1553"/>
      <c r="E6" s="1553"/>
      <c r="F6" s="1553"/>
      <c r="G6" s="1553"/>
      <c r="H6" s="1553"/>
      <c r="I6" s="1553"/>
    </row>
    <row r="7" spans="1:13" ht="24" customHeight="1" x14ac:dyDescent="0.2">
      <c r="A7" s="87" t="s">
        <v>3585</v>
      </c>
      <c r="B7" s="87" t="s">
        <v>3586</v>
      </c>
      <c r="C7" s="367" t="s">
        <v>266</v>
      </c>
      <c r="D7" s="102" t="s">
        <v>267</v>
      </c>
      <c r="E7" s="99" t="s">
        <v>268</v>
      </c>
      <c r="F7" s="100" t="s">
        <v>269</v>
      </c>
      <c r="G7" s="107" t="s">
        <v>270</v>
      </c>
      <c r="H7" s="106" t="s">
        <v>271</v>
      </c>
      <c r="I7" s="108" t="s">
        <v>272</v>
      </c>
    </row>
    <row r="8" spans="1:13" ht="21.75" customHeight="1" x14ac:dyDescent="0.2">
      <c r="A8" s="263" t="s">
        <v>266</v>
      </c>
      <c r="B8" s="757" t="str">
        <f>IFERROR(CALC_PlanetPositions!$B$7,"—")</f>
        <v>Cancer</v>
      </c>
      <c r="C8" s="758" t="s">
        <v>36</v>
      </c>
      <c r="D8" s="759" t="str">
        <f>IFERROR(IF(ISNUMBER(MATCH(MOD(MATCH(CALC_PlanetPositions!$B$8,{"Aries","Taurus","Gemini","Cancer","Leo","Virgo","Libra","Scorpio","Sagittarius","Capricorn","Aquarius","Pisces"},0)-MATCH(CALC_PlanetPositions!$B$7,{"Aries","Taurus","Gemini","Cancer","Leo","Virgo","Libra","Scorpio","Sagittarius","Capricorn","Aquarius","Pisces"},0),12)+1,{2,3,4,10,11,12},0)),"Friend","Enemy"),"—")</f>
        <v>Enemy</v>
      </c>
      <c r="E8" s="759" t="str">
        <f>IFERROR(IF(ISNUMBER(MATCH(MOD(MATCH(CALC_PlanetPositions!$B$9,{"Aries","Taurus","Gemini","Cancer","Leo","Virgo","Libra","Scorpio","Sagittarius","Capricorn","Aquarius","Pisces"},0)-MATCH(CALC_PlanetPositions!$B$7,{"Aries","Taurus","Gemini","Cancer","Leo","Virgo","Libra","Scorpio","Sagittarius","Capricorn","Aquarius","Pisces"},0),12)+1,{2,3,4,10,11,12},0)),"Friend","Enemy"),"—")</f>
        <v>Friend</v>
      </c>
      <c r="F8" s="759" t="str">
        <f>IFERROR(IF(ISNUMBER(MATCH(MOD(MATCH(CALC_PlanetPositions!$B$10,{"Aries","Taurus","Gemini","Cancer","Leo","Virgo","Libra","Scorpio","Sagittarius","Capricorn","Aquarius","Pisces"},0)-MATCH(CALC_PlanetPositions!$B$7,{"Aries","Taurus","Gemini","Cancer","Leo","Virgo","Libra","Scorpio","Sagittarius","Capricorn","Aquarius","Pisces"},0),12)+1,{2,3,4,10,11,12},0)),"Friend","Enemy"),"—")</f>
        <v>Enemy</v>
      </c>
      <c r="G8" s="759" t="str">
        <f>IFERROR(IF(ISNUMBER(MATCH(MOD(MATCH(CALC_PlanetPositions!$B$11,{"Aries","Taurus","Gemini","Cancer","Leo","Virgo","Libra","Scorpio","Sagittarius","Capricorn","Aquarius","Pisces"},0)-MATCH(CALC_PlanetPositions!$B$7,{"Aries","Taurus","Gemini","Cancer","Leo","Virgo","Libra","Scorpio","Sagittarius","Capricorn","Aquarius","Pisces"},0),12)+1,{2,3,4,10,11,12},0)),"Friend","Enemy"),"—")</f>
        <v>Friend</v>
      </c>
      <c r="H8" s="759" t="str">
        <f>IFERROR(IF(ISNUMBER(MATCH(MOD(MATCH(CALC_PlanetPositions!$B$12,{"Aries","Taurus","Gemini","Cancer","Leo","Virgo","Libra","Scorpio","Sagittarius","Capricorn","Aquarius","Pisces"},0)-MATCH(CALC_PlanetPositions!$B$7,{"Aries","Taurus","Gemini","Cancer","Leo","Virgo","Libra","Scorpio","Sagittarius","Capricorn","Aquarius","Pisces"},0),12)+1,{2,3,4,10,11,12},0)),"Friend","Enemy"),"—")</f>
        <v>Enemy</v>
      </c>
      <c r="I8" s="759" t="str">
        <f>IFERROR(IF(ISNUMBER(MATCH(MOD(MATCH(CALC_PlanetPositions!$B$13,{"Aries","Taurus","Gemini","Cancer","Leo","Virgo","Libra","Scorpio","Sagittarius","Capricorn","Aquarius","Pisces"},0)-MATCH(CALC_PlanetPositions!$B$7,{"Aries","Taurus","Gemini","Cancer","Leo","Virgo","Libra","Scorpio","Sagittarius","Capricorn","Aquarius","Pisces"},0),12)+1,{2,3,4,10,11,12},0)),"Friend","Enemy"),"—")</f>
        <v>Enemy</v>
      </c>
    </row>
    <row r="9" spans="1:13" ht="21.75" customHeight="1" x14ac:dyDescent="0.2">
      <c r="A9" s="276" t="s">
        <v>267</v>
      </c>
      <c r="B9" s="757" t="str">
        <f>IFERROR(CALC_PlanetPositions!$B$8,"—")</f>
        <v>Cancer</v>
      </c>
      <c r="C9" s="760" t="str">
        <f>IFERROR(IF(ISNUMBER(MATCH(MOD(MATCH(CALC_PlanetPositions!$B$7,{"Aries","Taurus","Gemini","Cancer","Leo","Virgo","Libra","Scorpio","Sagittarius","Capricorn","Aquarius","Pisces"},0)-MATCH(CALC_PlanetPositions!$B$8,{"Aries","Taurus","Gemini","Cancer","Leo","Virgo","Libra","Scorpio","Sagittarius","Capricorn","Aquarius","Pisces"},0),12)+1,{2,3,4,10,11,12},0)),"Friend","Enemy"),"—")</f>
        <v>Enemy</v>
      </c>
      <c r="D9" s="758" t="s">
        <v>36</v>
      </c>
      <c r="E9" s="760" t="str">
        <f>IFERROR(IF(ISNUMBER(MATCH(MOD(MATCH(CALC_PlanetPositions!$B$9,{"Aries","Taurus","Gemini","Cancer","Leo","Virgo","Libra","Scorpio","Sagittarius","Capricorn","Aquarius","Pisces"},0)-MATCH(CALC_PlanetPositions!$B$8,{"Aries","Taurus","Gemini","Cancer","Leo","Virgo","Libra","Scorpio","Sagittarius","Capricorn","Aquarius","Pisces"},0),12)+1,{2,3,4,10,11,12},0)),"Friend","Enemy"),"—")</f>
        <v>Friend</v>
      </c>
      <c r="F9" s="760" t="str">
        <f>IFERROR(IF(ISNUMBER(MATCH(MOD(MATCH(CALC_PlanetPositions!$B$10,{"Aries","Taurus","Gemini","Cancer","Leo","Virgo","Libra","Scorpio","Sagittarius","Capricorn","Aquarius","Pisces"},0)-MATCH(CALC_PlanetPositions!$B$8,{"Aries","Taurus","Gemini","Cancer","Leo","Virgo","Libra","Scorpio","Sagittarius","Capricorn","Aquarius","Pisces"},0),12)+1,{2,3,4,10,11,12},0)),"Friend","Enemy"),"—")</f>
        <v>Enemy</v>
      </c>
      <c r="G9" s="760" t="str">
        <f>IFERROR(IF(ISNUMBER(MATCH(MOD(MATCH(CALC_PlanetPositions!$B$11,{"Aries","Taurus","Gemini","Cancer","Leo","Virgo","Libra","Scorpio","Sagittarius","Capricorn","Aquarius","Pisces"},0)-MATCH(CALC_PlanetPositions!$B$8,{"Aries","Taurus","Gemini","Cancer","Leo","Virgo","Libra","Scorpio","Sagittarius","Capricorn","Aquarius","Pisces"},0),12)+1,{2,3,4,10,11,12},0)),"Friend","Enemy"),"—")</f>
        <v>Friend</v>
      </c>
      <c r="H9" s="760" t="str">
        <f>IFERROR(IF(ISNUMBER(MATCH(MOD(MATCH(CALC_PlanetPositions!$B$12,{"Aries","Taurus","Gemini","Cancer","Leo","Virgo","Libra","Scorpio","Sagittarius","Capricorn","Aquarius","Pisces"},0)-MATCH(CALC_PlanetPositions!$B$8,{"Aries","Taurus","Gemini","Cancer","Leo","Virgo","Libra","Scorpio","Sagittarius","Capricorn","Aquarius","Pisces"},0),12)+1,{2,3,4,10,11,12},0)),"Friend","Enemy"),"—")</f>
        <v>Enemy</v>
      </c>
      <c r="I9" s="760" t="str">
        <f>IFERROR(IF(ISNUMBER(MATCH(MOD(MATCH(CALC_PlanetPositions!$B$13,{"Aries","Taurus","Gemini","Cancer","Leo","Virgo","Libra","Scorpio","Sagittarius","Capricorn","Aquarius","Pisces"},0)-MATCH(CALC_PlanetPositions!$B$8,{"Aries","Taurus","Gemini","Cancer","Leo","Virgo","Libra","Scorpio","Sagittarius","Capricorn","Aquarius","Pisces"},0),12)+1,{2,3,4,10,11,12},0)),"Friend","Enemy"),"—")</f>
        <v>Enemy</v>
      </c>
    </row>
    <row r="10" spans="1:13" ht="21.75" customHeight="1" x14ac:dyDescent="0.2">
      <c r="A10" s="279" t="s">
        <v>268</v>
      </c>
      <c r="B10" s="757" t="str">
        <f>IFERROR(CALC_PlanetPositions!$B$9,"—")</f>
        <v>Gemini</v>
      </c>
      <c r="C10" s="759" t="str">
        <f>IFERROR(IF(ISNUMBER(MATCH(MOD(MATCH(CALC_PlanetPositions!$B$7,{"Aries","Taurus","Gemini","Cancer","Leo","Virgo","Libra","Scorpio","Sagittarius","Capricorn","Aquarius","Pisces"},0)-MATCH(CALC_PlanetPositions!$B$9,{"Aries","Taurus","Gemini","Cancer","Leo","Virgo","Libra","Scorpio","Sagittarius","Capricorn","Aquarius","Pisces"},0),12)+1,{2,3,4,10,11,12},0)),"Friend","Enemy"),"—")</f>
        <v>Friend</v>
      </c>
      <c r="D10" s="759" t="str">
        <f>IFERROR(IF(ISNUMBER(MATCH(MOD(MATCH(CALC_PlanetPositions!$B$8,{"Aries","Taurus","Gemini","Cancer","Leo","Virgo","Libra","Scorpio","Sagittarius","Capricorn","Aquarius","Pisces"},0)-MATCH(CALC_PlanetPositions!$B$9,{"Aries","Taurus","Gemini","Cancer","Leo","Virgo","Libra","Scorpio","Sagittarius","Capricorn","Aquarius","Pisces"},0),12)+1,{2,3,4,10,11,12},0)),"Friend","Enemy"),"—")</f>
        <v>Friend</v>
      </c>
      <c r="E10" s="758" t="s">
        <v>36</v>
      </c>
      <c r="F10" s="759" t="str">
        <f>IFERROR(IF(ISNUMBER(MATCH(MOD(MATCH(CALC_PlanetPositions!$B$10,{"Aries","Taurus","Gemini","Cancer","Leo","Virgo","Libra","Scorpio","Sagittarius","Capricorn","Aquarius","Pisces"},0)-MATCH(CALC_PlanetPositions!$B$9,{"Aries","Taurus","Gemini","Cancer","Leo","Virgo","Libra","Scorpio","Sagittarius","Capricorn","Aquarius","Pisces"},0),12)+1,{2,3,4,10,11,12},0)),"Friend","Enemy"),"—")</f>
        <v>Friend</v>
      </c>
      <c r="G10" s="759" t="str">
        <f>IFERROR(IF(ISNUMBER(MATCH(MOD(MATCH(CALC_PlanetPositions!$B$11,{"Aries","Taurus","Gemini","Cancer","Leo","Virgo","Libra","Scorpio","Sagittarius","Capricorn","Aquarius","Pisces"},0)-MATCH(CALC_PlanetPositions!$B$9,{"Aries","Taurus","Gemini","Cancer","Leo","Virgo","Libra","Scorpio","Sagittarius","Capricorn","Aquarius","Pisces"},0),12)+1,{2,3,4,10,11,12},0)),"Friend","Enemy"),"—")</f>
        <v>Enemy</v>
      </c>
      <c r="H10" s="759" t="str">
        <f>IFERROR(IF(ISNUMBER(MATCH(MOD(MATCH(CALC_PlanetPositions!$B$12,{"Aries","Taurus","Gemini","Cancer","Leo","Virgo","Libra","Scorpio","Sagittarius","Capricorn","Aquarius","Pisces"},0)-MATCH(CALC_PlanetPositions!$B$9,{"Aries","Taurus","Gemini","Cancer","Leo","Virgo","Libra","Scorpio","Sagittarius","Capricorn","Aquarius","Pisces"},0),12)+1,{2,3,4,10,11,12},0)),"Friend","Enemy"),"—")</f>
        <v>Friend</v>
      </c>
      <c r="I10" s="759" t="str">
        <f>IFERROR(IF(ISNUMBER(MATCH(MOD(MATCH(CALC_PlanetPositions!$B$13,{"Aries","Taurus","Gemini","Cancer","Leo","Virgo","Libra","Scorpio","Sagittarius","Capricorn","Aquarius","Pisces"},0)-MATCH(CALC_PlanetPositions!$B$9,{"Aries","Taurus","Gemini","Cancer","Leo","Virgo","Libra","Scorpio","Sagittarius","Capricorn","Aquarius","Pisces"},0),12)+1,{2,3,4,10,11,12},0)),"Friend","Enemy"),"—")</f>
        <v>Friend</v>
      </c>
    </row>
    <row r="11" spans="1:13" ht="21.75" customHeight="1" x14ac:dyDescent="0.2">
      <c r="A11" s="281" t="s">
        <v>269</v>
      </c>
      <c r="B11" s="757" t="str">
        <f>IFERROR(CALC_PlanetPositions!$B$10,"—")</f>
        <v>Cancer</v>
      </c>
      <c r="C11" s="760" t="str">
        <f>IFERROR(IF(ISNUMBER(MATCH(MOD(MATCH(CALC_PlanetPositions!$B$7,{"Aries","Taurus","Gemini","Cancer","Leo","Virgo","Libra","Scorpio","Sagittarius","Capricorn","Aquarius","Pisces"},0)-MATCH(CALC_PlanetPositions!$B$10,{"Aries","Taurus","Gemini","Cancer","Leo","Virgo","Libra","Scorpio","Sagittarius","Capricorn","Aquarius","Pisces"},0),12)+1,{2,3,4,10,11,12},0)),"Friend","Enemy"),"—")</f>
        <v>Enemy</v>
      </c>
      <c r="D11" s="760" t="str">
        <f>IFERROR(IF(ISNUMBER(MATCH(MOD(MATCH(CALC_PlanetPositions!$B$8,{"Aries","Taurus","Gemini","Cancer","Leo","Virgo","Libra","Scorpio","Sagittarius","Capricorn","Aquarius","Pisces"},0)-MATCH(CALC_PlanetPositions!$B$10,{"Aries","Taurus","Gemini","Cancer","Leo","Virgo","Libra","Scorpio","Sagittarius","Capricorn","Aquarius","Pisces"},0),12)+1,{2,3,4,10,11,12},0)),"Friend","Enemy"),"—")</f>
        <v>Enemy</v>
      </c>
      <c r="E11" s="760" t="str">
        <f>IFERROR(IF(ISNUMBER(MATCH(MOD(MATCH(CALC_PlanetPositions!$B$9,{"Aries","Taurus","Gemini","Cancer","Leo","Virgo","Libra","Scorpio","Sagittarius","Capricorn","Aquarius","Pisces"},0)-MATCH(CALC_PlanetPositions!$B$10,{"Aries","Taurus","Gemini","Cancer","Leo","Virgo","Libra","Scorpio","Sagittarius","Capricorn","Aquarius","Pisces"},0),12)+1,{2,3,4,10,11,12},0)),"Friend","Enemy"),"—")</f>
        <v>Friend</v>
      </c>
      <c r="F11" s="758" t="s">
        <v>36</v>
      </c>
      <c r="G11" s="760" t="str">
        <f>IFERROR(IF(ISNUMBER(MATCH(MOD(MATCH(CALC_PlanetPositions!$B$11,{"Aries","Taurus","Gemini","Cancer","Leo","Virgo","Libra","Scorpio","Sagittarius","Capricorn","Aquarius","Pisces"},0)-MATCH(CALC_PlanetPositions!$B$10,{"Aries","Taurus","Gemini","Cancer","Leo","Virgo","Libra","Scorpio","Sagittarius","Capricorn","Aquarius","Pisces"},0),12)+1,{2,3,4,10,11,12},0)),"Friend","Enemy"),"—")</f>
        <v>Friend</v>
      </c>
      <c r="H11" s="760" t="str">
        <f>IFERROR(IF(ISNUMBER(MATCH(MOD(MATCH(CALC_PlanetPositions!$B$12,{"Aries","Taurus","Gemini","Cancer","Leo","Virgo","Libra","Scorpio","Sagittarius","Capricorn","Aquarius","Pisces"},0)-MATCH(CALC_PlanetPositions!$B$10,{"Aries","Taurus","Gemini","Cancer","Leo","Virgo","Libra","Scorpio","Sagittarius","Capricorn","Aquarius","Pisces"},0),12)+1,{2,3,4,10,11,12},0)),"Friend","Enemy"),"—")</f>
        <v>Enemy</v>
      </c>
      <c r="I11" s="760" t="str">
        <f>IFERROR(IF(ISNUMBER(MATCH(MOD(MATCH(CALC_PlanetPositions!$B$13,{"Aries","Taurus","Gemini","Cancer","Leo","Virgo","Libra","Scorpio","Sagittarius","Capricorn","Aquarius","Pisces"},0)-MATCH(CALC_PlanetPositions!$B$10,{"Aries","Taurus","Gemini","Cancer","Leo","Virgo","Libra","Scorpio","Sagittarius","Capricorn","Aquarius","Pisces"},0),12)+1,{2,3,4,10,11,12},0)),"Friend","Enemy"),"—")</f>
        <v>Enemy</v>
      </c>
    </row>
    <row r="12" spans="1:13" ht="21.75" customHeight="1" x14ac:dyDescent="0.2">
      <c r="A12" s="283" t="s">
        <v>270</v>
      </c>
      <c r="B12" s="757" t="str">
        <f>IFERROR(CALC_PlanetPositions!$B$11,"—")</f>
        <v>Libra</v>
      </c>
      <c r="C12" s="759" t="str">
        <f>IFERROR(IF(ISNUMBER(MATCH(MOD(MATCH(CALC_PlanetPositions!$B$7,{"Aries","Taurus","Gemini","Cancer","Leo","Virgo","Libra","Scorpio","Sagittarius","Capricorn","Aquarius","Pisces"},0)-MATCH(CALC_PlanetPositions!$B$11,{"Aries","Taurus","Gemini","Cancer","Leo","Virgo","Libra","Scorpio","Sagittarius","Capricorn","Aquarius","Pisces"},0),12)+1,{2,3,4,10,11,12},0)),"Friend","Enemy"),"—")</f>
        <v>Friend</v>
      </c>
      <c r="D12" s="759" t="str">
        <f>IFERROR(IF(ISNUMBER(MATCH(MOD(MATCH(CALC_PlanetPositions!$B$8,{"Aries","Taurus","Gemini","Cancer","Leo","Virgo","Libra","Scorpio","Sagittarius","Capricorn","Aquarius","Pisces"},0)-MATCH(CALC_PlanetPositions!$B$11,{"Aries","Taurus","Gemini","Cancer","Leo","Virgo","Libra","Scorpio","Sagittarius","Capricorn","Aquarius","Pisces"},0),12)+1,{2,3,4,10,11,12},0)),"Friend","Enemy"),"—")</f>
        <v>Friend</v>
      </c>
      <c r="E12" s="759" t="str">
        <f>IFERROR(IF(ISNUMBER(MATCH(MOD(MATCH(CALC_PlanetPositions!$B$9,{"Aries","Taurus","Gemini","Cancer","Leo","Virgo","Libra","Scorpio","Sagittarius","Capricorn","Aquarius","Pisces"},0)-MATCH(CALC_PlanetPositions!$B$11,{"Aries","Taurus","Gemini","Cancer","Leo","Virgo","Libra","Scorpio","Sagittarius","Capricorn","Aquarius","Pisces"},0),12)+1,{2,3,4,10,11,12},0)),"Friend","Enemy"),"—")</f>
        <v>Enemy</v>
      </c>
      <c r="F12" s="759" t="str">
        <f>IFERROR(IF(ISNUMBER(MATCH(MOD(MATCH(CALC_PlanetPositions!$B$10,{"Aries","Taurus","Gemini","Cancer","Leo","Virgo","Libra","Scorpio","Sagittarius","Capricorn","Aquarius","Pisces"},0)-MATCH(CALC_PlanetPositions!$B$11,{"Aries","Taurus","Gemini","Cancer","Leo","Virgo","Libra","Scorpio","Sagittarius","Capricorn","Aquarius","Pisces"},0),12)+1,{2,3,4,10,11,12},0)),"Friend","Enemy"),"—")</f>
        <v>Friend</v>
      </c>
      <c r="G12" s="758" t="s">
        <v>36</v>
      </c>
      <c r="H12" s="759" t="str">
        <f>IFERROR(IF(ISNUMBER(MATCH(MOD(MATCH(CALC_PlanetPositions!$B$12,{"Aries","Taurus","Gemini","Cancer","Leo","Virgo","Libra","Scorpio","Sagittarius","Capricorn","Aquarius","Pisces"},0)-MATCH(CALC_PlanetPositions!$B$11,{"Aries","Taurus","Gemini","Cancer","Leo","Virgo","Libra","Scorpio","Sagittarius","Capricorn","Aquarius","Pisces"},0),12)+1,{2,3,4,10,11,12},0)),"Friend","Enemy"),"—")</f>
        <v>Friend</v>
      </c>
      <c r="I12" s="759" t="str">
        <f>IFERROR(IF(ISNUMBER(MATCH(MOD(MATCH(CALC_PlanetPositions!$B$13,{"Aries","Taurus","Gemini","Cancer","Leo","Virgo","Libra","Scorpio","Sagittarius","Capricorn","Aquarius","Pisces"},0)-MATCH(CALC_PlanetPositions!$B$11,{"Aries","Taurus","Gemini","Cancer","Leo","Virgo","Libra","Scorpio","Sagittarius","Capricorn","Aquarius","Pisces"},0),12)+1,{2,3,4,10,11,12},0)),"Friend","Enemy"),"—")</f>
        <v>Friend</v>
      </c>
    </row>
    <row r="13" spans="1:13" ht="21.75" customHeight="1" x14ac:dyDescent="0.2">
      <c r="A13" s="285" t="s">
        <v>271</v>
      </c>
      <c r="B13" s="757" t="str">
        <f>IFERROR(CALC_PlanetPositions!$B$12,"—")</f>
        <v>Cancer</v>
      </c>
      <c r="C13" s="760" t="str">
        <f>IFERROR(IF(ISNUMBER(MATCH(MOD(MATCH(CALC_PlanetPositions!$B$7,{"Aries","Taurus","Gemini","Cancer","Leo","Virgo","Libra","Scorpio","Sagittarius","Capricorn","Aquarius","Pisces"},0)-MATCH(CALC_PlanetPositions!$B$12,{"Aries","Taurus","Gemini","Cancer","Leo","Virgo","Libra","Scorpio","Sagittarius","Capricorn","Aquarius","Pisces"},0),12)+1,{2,3,4,10,11,12},0)),"Friend","Enemy"),"—")</f>
        <v>Enemy</v>
      </c>
      <c r="D13" s="760" t="str">
        <f>IFERROR(IF(ISNUMBER(MATCH(MOD(MATCH(CALC_PlanetPositions!$B$8,{"Aries","Taurus","Gemini","Cancer","Leo","Virgo","Libra","Scorpio","Sagittarius","Capricorn","Aquarius","Pisces"},0)-MATCH(CALC_PlanetPositions!$B$12,{"Aries","Taurus","Gemini","Cancer","Leo","Virgo","Libra","Scorpio","Sagittarius","Capricorn","Aquarius","Pisces"},0),12)+1,{2,3,4,10,11,12},0)),"Friend","Enemy"),"—")</f>
        <v>Enemy</v>
      </c>
      <c r="E13" s="760" t="str">
        <f>IFERROR(IF(ISNUMBER(MATCH(MOD(MATCH(CALC_PlanetPositions!$B$9,{"Aries","Taurus","Gemini","Cancer","Leo","Virgo","Libra","Scorpio","Sagittarius","Capricorn","Aquarius","Pisces"},0)-MATCH(CALC_PlanetPositions!$B$12,{"Aries","Taurus","Gemini","Cancer","Leo","Virgo","Libra","Scorpio","Sagittarius","Capricorn","Aquarius","Pisces"},0),12)+1,{2,3,4,10,11,12},0)),"Friend","Enemy"),"—")</f>
        <v>Friend</v>
      </c>
      <c r="F13" s="760" t="str">
        <f>IFERROR(IF(ISNUMBER(MATCH(MOD(MATCH(CALC_PlanetPositions!$B$10,{"Aries","Taurus","Gemini","Cancer","Leo","Virgo","Libra","Scorpio","Sagittarius","Capricorn","Aquarius","Pisces"},0)-MATCH(CALC_PlanetPositions!$B$12,{"Aries","Taurus","Gemini","Cancer","Leo","Virgo","Libra","Scorpio","Sagittarius","Capricorn","Aquarius","Pisces"},0),12)+1,{2,3,4,10,11,12},0)),"Friend","Enemy"),"—")</f>
        <v>Enemy</v>
      </c>
      <c r="G13" s="760" t="str">
        <f>IFERROR(IF(ISNUMBER(MATCH(MOD(MATCH(CALC_PlanetPositions!$B$11,{"Aries","Taurus","Gemini","Cancer","Leo","Virgo","Libra","Scorpio","Sagittarius","Capricorn","Aquarius","Pisces"},0)-MATCH(CALC_PlanetPositions!$B$12,{"Aries","Taurus","Gemini","Cancer","Leo","Virgo","Libra","Scorpio","Sagittarius","Capricorn","Aquarius","Pisces"},0),12)+1,{2,3,4,10,11,12},0)),"Friend","Enemy"),"—")</f>
        <v>Friend</v>
      </c>
      <c r="H13" s="758" t="s">
        <v>36</v>
      </c>
      <c r="I13" s="760" t="str">
        <f>IFERROR(IF(ISNUMBER(MATCH(MOD(MATCH(CALC_PlanetPositions!$B$13,{"Aries","Taurus","Gemini","Cancer","Leo","Virgo","Libra","Scorpio","Sagittarius","Capricorn","Aquarius","Pisces"},0)-MATCH(CALC_PlanetPositions!$B$12,{"Aries","Taurus","Gemini","Cancer","Leo","Virgo","Libra","Scorpio","Sagittarius","Capricorn","Aquarius","Pisces"},0),12)+1,{2,3,4,10,11,12},0)),"Friend","Enemy"),"—")</f>
        <v>Enemy</v>
      </c>
    </row>
    <row r="14" spans="1:13" ht="21.75" customHeight="1" x14ac:dyDescent="0.2">
      <c r="A14" s="287" t="s">
        <v>272</v>
      </c>
      <c r="B14" s="757" t="str">
        <f>IFERROR(CALC_PlanetPositions!$B$13,"—")</f>
        <v>Cancer</v>
      </c>
      <c r="C14" s="759" t="str">
        <f>IFERROR(IF(ISNUMBER(MATCH(MOD(MATCH(CALC_PlanetPositions!$B$7,{"Aries","Taurus","Gemini","Cancer","Leo","Virgo","Libra","Scorpio","Sagittarius","Capricorn","Aquarius","Pisces"},0)-MATCH(CALC_PlanetPositions!$B$13,{"Aries","Taurus","Gemini","Cancer","Leo","Virgo","Libra","Scorpio","Sagittarius","Capricorn","Aquarius","Pisces"},0),12)+1,{2,3,4,10,11,12},0)),"Friend","Enemy"),"—")</f>
        <v>Enemy</v>
      </c>
      <c r="D14" s="759" t="str">
        <f>IFERROR(IF(ISNUMBER(MATCH(MOD(MATCH(CALC_PlanetPositions!$B$8,{"Aries","Taurus","Gemini","Cancer","Leo","Virgo","Libra","Scorpio","Sagittarius","Capricorn","Aquarius","Pisces"},0)-MATCH(CALC_PlanetPositions!$B$13,{"Aries","Taurus","Gemini","Cancer","Leo","Virgo","Libra","Scorpio","Sagittarius","Capricorn","Aquarius","Pisces"},0),12)+1,{2,3,4,10,11,12},0)),"Friend","Enemy"),"—")</f>
        <v>Enemy</v>
      </c>
      <c r="E14" s="759" t="str">
        <f>IFERROR(IF(ISNUMBER(MATCH(MOD(MATCH(CALC_PlanetPositions!$B$9,{"Aries","Taurus","Gemini","Cancer","Leo","Virgo","Libra","Scorpio","Sagittarius","Capricorn","Aquarius","Pisces"},0)-MATCH(CALC_PlanetPositions!$B$13,{"Aries","Taurus","Gemini","Cancer","Leo","Virgo","Libra","Scorpio","Sagittarius","Capricorn","Aquarius","Pisces"},0),12)+1,{2,3,4,10,11,12},0)),"Friend","Enemy"),"—")</f>
        <v>Friend</v>
      </c>
      <c r="F14" s="759" t="str">
        <f>IFERROR(IF(ISNUMBER(MATCH(MOD(MATCH(CALC_PlanetPositions!$B$10,{"Aries","Taurus","Gemini","Cancer","Leo","Virgo","Libra","Scorpio","Sagittarius","Capricorn","Aquarius","Pisces"},0)-MATCH(CALC_PlanetPositions!$B$13,{"Aries","Taurus","Gemini","Cancer","Leo","Virgo","Libra","Scorpio","Sagittarius","Capricorn","Aquarius","Pisces"},0),12)+1,{2,3,4,10,11,12},0)),"Friend","Enemy"),"—")</f>
        <v>Enemy</v>
      </c>
      <c r="G14" s="759" t="str">
        <f>IFERROR(IF(ISNUMBER(MATCH(MOD(MATCH(CALC_PlanetPositions!$B$11,{"Aries","Taurus","Gemini","Cancer","Leo","Virgo","Libra","Scorpio","Sagittarius","Capricorn","Aquarius","Pisces"},0)-MATCH(CALC_PlanetPositions!$B$13,{"Aries","Taurus","Gemini","Cancer","Leo","Virgo","Libra","Scorpio","Sagittarius","Capricorn","Aquarius","Pisces"},0),12)+1,{2,3,4,10,11,12},0)),"Friend","Enemy"),"—")</f>
        <v>Friend</v>
      </c>
      <c r="H14" s="759" t="str">
        <f>IFERROR(IF(ISNUMBER(MATCH(MOD(MATCH(CALC_PlanetPositions!$B$12,{"Aries","Taurus","Gemini","Cancer","Leo","Virgo","Libra","Scorpio","Sagittarius","Capricorn","Aquarius","Pisces"},0)-MATCH(CALC_PlanetPositions!$B$13,{"Aries","Taurus","Gemini","Cancer","Leo","Virgo","Libra","Scorpio","Sagittarius","Capricorn","Aquarius","Pisces"},0),12)+1,{2,3,4,10,11,12},0)),"Friend","Enemy"),"—")</f>
        <v>Enemy</v>
      </c>
      <c r="I14" s="758" t="s">
        <v>36</v>
      </c>
    </row>
    <row r="15" spans="1:13" ht="15.75" customHeight="1" x14ac:dyDescent="0.2">
      <c r="A15" s="1554" t="s">
        <v>3587</v>
      </c>
      <c r="B15" s="1554"/>
      <c r="C15" s="1554"/>
      <c r="D15" s="1554"/>
      <c r="E15" s="1554"/>
      <c r="F15" s="1554"/>
      <c r="G15" s="1554"/>
      <c r="H15" s="1554"/>
      <c r="I15" s="1554"/>
    </row>
    <row r="16" spans="1:13" ht="7.5" customHeight="1" x14ac:dyDescent="0.2"/>
    <row r="17" spans="1:9" ht="18" customHeight="1" x14ac:dyDescent="0.2">
      <c r="A17" s="1548" t="s">
        <v>3588</v>
      </c>
      <c r="B17" s="1548"/>
      <c r="C17" s="1548"/>
      <c r="D17" s="1548"/>
      <c r="E17" s="1548"/>
      <c r="F17" s="1548"/>
      <c r="G17" s="1548"/>
      <c r="H17" s="1548"/>
      <c r="I17" s="1548"/>
    </row>
    <row r="18" spans="1:9" ht="19.5" customHeight="1" x14ac:dyDescent="0.2">
      <c r="A18" s="377" t="s">
        <v>3589</v>
      </c>
      <c r="B18" s="377" t="s">
        <v>1121</v>
      </c>
      <c r="C18" s="313" t="s">
        <v>266</v>
      </c>
      <c r="D18" s="314" t="s">
        <v>267</v>
      </c>
      <c r="E18" s="315" t="s">
        <v>268</v>
      </c>
      <c r="F18" s="316" t="s">
        <v>269</v>
      </c>
      <c r="G18" s="317" t="s">
        <v>270</v>
      </c>
      <c r="H18" s="318" t="s">
        <v>271</v>
      </c>
      <c r="I18" s="319" t="s">
        <v>272</v>
      </c>
    </row>
    <row r="19" spans="1:9" ht="19.5" customHeight="1" x14ac:dyDescent="0.2">
      <c r="A19" s="427" t="s">
        <v>266</v>
      </c>
      <c r="B19" s="761" t="str">
        <f>IFERROR(CALC_PlanetPositions!$B$7,"—")</f>
        <v>Cancer</v>
      </c>
      <c r="C19" s="758" t="s">
        <v>36</v>
      </c>
      <c r="D19" s="762">
        <f>IFERROR(MOD(MATCH(CALC_PlanetPositions!$B$8,{"Aries","Taurus","Gemini","Cancer","Leo","Virgo","Libra","Scorpio","Sagittarius","Capricorn","Aquarius","Pisces"},0)-MATCH(CALC_PlanetPositions!$B$7,{"Aries","Taurus","Gemini","Cancer","Leo","Virgo","Libra","Scorpio","Sagittarius","Capricorn","Aquarius","Pisces"},0),12)+1,"—")</f>
        <v>1</v>
      </c>
      <c r="E19" s="762">
        <f>IFERROR(MOD(MATCH(CALC_PlanetPositions!$B$9,{"Aries","Taurus","Gemini","Cancer","Leo","Virgo","Libra","Scorpio","Sagittarius","Capricorn","Aquarius","Pisces"},0)-MATCH(CALC_PlanetPositions!$B$7,{"Aries","Taurus","Gemini","Cancer","Leo","Virgo","Libra","Scorpio","Sagittarius","Capricorn","Aquarius","Pisces"},0),12)+1,"—")</f>
        <v>12</v>
      </c>
      <c r="F19" s="762">
        <f>IFERROR(MOD(MATCH(CALC_PlanetPositions!$B$10,{"Aries","Taurus","Gemini","Cancer","Leo","Virgo","Libra","Scorpio","Sagittarius","Capricorn","Aquarius","Pisces"},0)-MATCH(CALC_PlanetPositions!$B$7,{"Aries","Taurus","Gemini","Cancer","Leo","Virgo","Libra","Scorpio","Sagittarius","Capricorn","Aquarius","Pisces"},0),12)+1,"—")</f>
        <v>1</v>
      </c>
      <c r="G19" s="762">
        <f>IFERROR(MOD(MATCH(CALC_PlanetPositions!$B$11,{"Aries","Taurus","Gemini","Cancer","Leo","Virgo","Libra","Scorpio","Sagittarius","Capricorn","Aquarius","Pisces"},0)-MATCH(CALC_PlanetPositions!$B$7,{"Aries","Taurus","Gemini","Cancer","Leo","Virgo","Libra","Scorpio","Sagittarius","Capricorn","Aquarius","Pisces"},0),12)+1,"—")</f>
        <v>4</v>
      </c>
      <c r="H19" s="762">
        <f>IFERROR(MOD(MATCH(CALC_PlanetPositions!$B$12,{"Aries","Taurus","Gemini","Cancer","Leo","Virgo","Libra","Scorpio","Sagittarius","Capricorn","Aquarius","Pisces"},0)-MATCH(CALC_PlanetPositions!$B$7,{"Aries","Taurus","Gemini","Cancer","Leo","Virgo","Libra","Scorpio","Sagittarius","Capricorn","Aquarius","Pisces"},0),12)+1,"—")</f>
        <v>1</v>
      </c>
      <c r="I19" s="762">
        <f>IFERROR(MOD(MATCH(CALC_PlanetPositions!$B$13,{"Aries","Taurus","Gemini","Cancer","Leo","Virgo","Libra","Scorpio","Sagittarius","Capricorn","Aquarius","Pisces"},0)-MATCH(CALC_PlanetPositions!$B$7,{"Aries","Taurus","Gemini","Cancer","Leo","Virgo","Libra","Scorpio","Sagittarius","Capricorn","Aquarius","Pisces"},0),12)+1,"—")</f>
        <v>1</v>
      </c>
    </row>
    <row r="20" spans="1:9" ht="19.5" customHeight="1" x14ac:dyDescent="0.2">
      <c r="A20" s="448" t="s">
        <v>267</v>
      </c>
      <c r="B20" s="761" t="str">
        <f>IFERROR(CALC_PlanetPositions!$B$8,"—")</f>
        <v>Cancer</v>
      </c>
      <c r="C20" s="763">
        <f>IFERROR(MOD(MATCH(CALC_PlanetPositions!$B$7,{"Aries","Taurus","Gemini","Cancer","Leo","Virgo","Libra","Scorpio","Sagittarius","Capricorn","Aquarius","Pisces"},0)-MATCH(CALC_PlanetPositions!$B$8,{"Aries","Taurus","Gemini","Cancer","Leo","Virgo","Libra","Scorpio","Sagittarius","Capricorn","Aquarius","Pisces"},0),12)+1,"—")</f>
        <v>1</v>
      </c>
      <c r="D20" s="758" t="s">
        <v>36</v>
      </c>
      <c r="E20" s="763">
        <f>IFERROR(MOD(MATCH(CALC_PlanetPositions!$B$9,{"Aries","Taurus","Gemini","Cancer","Leo","Virgo","Libra","Scorpio","Sagittarius","Capricorn","Aquarius","Pisces"},0)-MATCH(CALC_PlanetPositions!$B$8,{"Aries","Taurus","Gemini","Cancer","Leo","Virgo","Libra","Scorpio","Sagittarius","Capricorn","Aquarius","Pisces"},0),12)+1,"—")</f>
        <v>12</v>
      </c>
      <c r="F20" s="763">
        <f>IFERROR(MOD(MATCH(CALC_PlanetPositions!$B$10,{"Aries","Taurus","Gemini","Cancer","Leo","Virgo","Libra","Scorpio","Sagittarius","Capricorn","Aquarius","Pisces"},0)-MATCH(CALC_PlanetPositions!$B$8,{"Aries","Taurus","Gemini","Cancer","Leo","Virgo","Libra","Scorpio","Sagittarius","Capricorn","Aquarius","Pisces"},0),12)+1,"—")</f>
        <v>1</v>
      </c>
      <c r="G20" s="763">
        <f>IFERROR(MOD(MATCH(CALC_PlanetPositions!$B$11,{"Aries","Taurus","Gemini","Cancer","Leo","Virgo","Libra","Scorpio","Sagittarius","Capricorn","Aquarius","Pisces"},0)-MATCH(CALC_PlanetPositions!$B$8,{"Aries","Taurus","Gemini","Cancer","Leo","Virgo","Libra","Scorpio","Sagittarius","Capricorn","Aquarius","Pisces"},0),12)+1,"—")</f>
        <v>4</v>
      </c>
      <c r="H20" s="763">
        <f>IFERROR(MOD(MATCH(CALC_PlanetPositions!$B$12,{"Aries","Taurus","Gemini","Cancer","Leo","Virgo","Libra","Scorpio","Sagittarius","Capricorn","Aquarius","Pisces"},0)-MATCH(CALC_PlanetPositions!$B$8,{"Aries","Taurus","Gemini","Cancer","Leo","Virgo","Libra","Scorpio","Sagittarius","Capricorn","Aquarius","Pisces"},0),12)+1,"—")</f>
        <v>1</v>
      </c>
      <c r="I20" s="763">
        <f>IFERROR(MOD(MATCH(CALC_PlanetPositions!$B$13,{"Aries","Taurus","Gemini","Cancer","Leo","Virgo","Libra","Scorpio","Sagittarius","Capricorn","Aquarius","Pisces"},0)-MATCH(CALC_PlanetPositions!$B$8,{"Aries","Taurus","Gemini","Cancer","Leo","Virgo","Libra","Scorpio","Sagittarius","Capricorn","Aquarius","Pisces"},0),12)+1,"—")</f>
        <v>1</v>
      </c>
    </row>
    <row r="21" spans="1:9" ht="19.5" customHeight="1" x14ac:dyDescent="0.2">
      <c r="A21" s="307" t="s">
        <v>268</v>
      </c>
      <c r="B21" s="761" t="str">
        <f>IFERROR(CALC_PlanetPositions!$B$9,"—")</f>
        <v>Gemini</v>
      </c>
      <c r="C21" s="762">
        <f>IFERROR(MOD(MATCH(CALC_PlanetPositions!$B$7,{"Aries","Taurus","Gemini","Cancer","Leo","Virgo","Libra","Scorpio","Sagittarius","Capricorn","Aquarius","Pisces"},0)-MATCH(CALC_PlanetPositions!$B$9,{"Aries","Taurus","Gemini","Cancer","Leo","Virgo","Libra","Scorpio","Sagittarius","Capricorn","Aquarius","Pisces"},0),12)+1,"—")</f>
        <v>2</v>
      </c>
      <c r="D21" s="762">
        <f>IFERROR(MOD(MATCH(CALC_PlanetPositions!$B$8,{"Aries","Taurus","Gemini","Cancer","Leo","Virgo","Libra","Scorpio","Sagittarius","Capricorn","Aquarius","Pisces"},0)-MATCH(CALC_PlanetPositions!$B$9,{"Aries","Taurus","Gemini","Cancer","Leo","Virgo","Libra","Scorpio","Sagittarius","Capricorn","Aquarius","Pisces"},0),12)+1,"—")</f>
        <v>2</v>
      </c>
      <c r="E21" s="758" t="s">
        <v>36</v>
      </c>
      <c r="F21" s="762">
        <f>IFERROR(MOD(MATCH(CALC_PlanetPositions!$B$10,{"Aries","Taurus","Gemini","Cancer","Leo","Virgo","Libra","Scorpio","Sagittarius","Capricorn","Aquarius","Pisces"},0)-MATCH(CALC_PlanetPositions!$B$9,{"Aries","Taurus","Gemini","Cancer","Leo","Virgo","Libra","Scorpio","Sagittarius","Capricorn","Aquarius","Pisces"},0),12)+1,"—")</f>
        <v>2</v>
      </c>
      <c r="G21" s="762">
        <f>IFERROR(MOD(MATCH(CALC_PlanetPositions!$B$11,{"Aries","Taurus","Gemini","Cancer","Leo","Virgo","Libra","Scorpio","Sagittarius","Capricorn","Aquarius","Pisces"},0)-MATCH(CALC_PlanetPositions!$B$9,{"Aries","Taurus","Gemini","Cancer","Leo","Virgo","Libra","Scorpio","Sagittarius","Capricorn","Aquarius","Pisces"},0),12)+1,"—")</f>
        <v>5</v>
      </c>
      <c r="H21" s="762">
        <f>IFERROR(MOD(MATCH(CALC_PlanetPositions!$B$12,{"Aries","Taurus","Gemini","Cancer","Leo","Virgo","Libra","Scorpio","Sagittarius","Capricorn","Aquarius","Pisces"},0)-MATCH(CALC_PlanetPositions!$B$9,{"Aries","Taurus","Gemini","Cancer","Leo","Virgo","Libra","Scorpio","Sagittarius","Capricorn","Aquarius","Pisces"},0),12)+1,"—")</f>
        <v>2</v>
      </c>
      <c r="I21" s="762">
        <f>IFERROR(MOD(MATCH(CALC_PlanetPositions!$B$13,{"Aries","Taurus","Gemini","Cancer","Leo","Virgo","Libra","Scorpio","Sagittarius","Capricorn","Aquarius","Pisces"},0)-MATCH(CALC_PlanetPositions!$B$9,{"Aries","Taurus","Gemini","Cancer","Leo","Virgo","Libra","Scorpio","Sagittarius","Capricorn","Aquarius","Pisces"},0),12)+1,"—")</f>
        <v>2</v>
      </c>
    </row>
    <row r="22" spans="1:9" ht="19.5" customHeight="1" x14ac:dyDescent="0.2">
      <c r="A22" s="302" t="s">
        <v>269</v>
      </c>
      <c r="B22" s="761" t="str">
        <f>IFERROR(CALC_PlanetPositions!$B$10,"—")</f>
        <v>Cancer</v>
      </c>
      <c r="C22" s="763">
        <f>IFERROR(MOD(MATCH(CALC_PlanetPositions!$B$7,{"Aries","Taurus","Gemini","Cancer","Leo","Virgo","Libra","Scorpio","Sagittarius","Capricorn","Aquarius","Pisces"},0)-MATCH(CALC_PlanetPositions!$B$10,{"Aries","Taurus","Gemini","Cancer","Leo","Virgo","Libra","Scorpio","Sagittarius","Capricorn","Aquarius","Pisces"},0),12)+1,"—")</f>
        <v>1</v>
      </c>
      <c r="D22" s="763">
        <f>IFERROR(MOD(MATCH(CALC_PlanetPositions!$B$8,{"Aries","Taurus","Gemini","Cancer","Leo","Virgo","Libra","Scorpio","Sagittarius","Capricorn","Aquarius","Pisces"},0)-MATCH(CALC_PlanetPositions!$B$10,{"Aries","Taurus","Gemini","Cancer","Leo","Virgo","Libra","Scorpio","Sagittarius","Capricorn","Aquarius","Pisces"},0),12)+1,"—")</f>
        <v>1</v>
      </c>
      <c r="E22" s="763">
        <f>IFERROR(MOD(MATCH(CALC_PlanetPositions!$B$9,{"Aries","Taurus","Gemini","Cancer","Leo","Virgo","Libra","Scorpio","Sagittarius","Capricorn","Aquarius","Pisces"},0)-MATCH(CALC_PlanetPositions!$B$10,{"Aries","Taurus","Gemini","Cancer","Leo","Virgo","Libra","Scorpio","Sagittarius","Capricorn","Aquarius","Pisces"},0),12)+1,"—")</f>
        <v>12</v>
      </c>
      <c r="F22" s="758" t="s">
        <v>36</v>
      </c>
      <c r="G22" s="763">
        <f>IFERROR(MOD(MATCH(CALC_PlanetPositions!$B$11,{"Aries","Taurus","Gemini","Cancer","Leo","Virgo","Libra","Scorpio","Sagittarius","Capricorn","Aquarius","Pisces"},0)-MATCH(CALC_PlanetPositions!$B$10,{"Aries","Taurus","Gemini","Cancer","Leo","Virgo","Libra","Scorpio","Sagittarius","Capricorn","Aquarius","Pisces"},0),12)+1,"—")</f>
        <v>4</v>
      </c>
      <c r="H22" s="763">
        <f>IFERROR(MOD(MATCH(CALC_PlanetPositions!$B$12,{"Aries","Taurus","Gemini","Cancer","Leo","Virgo","Libra","Scorpio","Sagittarius","Capricorn","Aquarius","Pisces"},0)-MATCH(CALC_PlanetPositions!$B$10,{"Aries","Taurus","Gemini","Cancer","Leo","Virgo","Libra","Scorpio","Sagittarius","Capricorn","Aquarius","Pisces"},0),12)+1,"—")</f>
        <v>1</v>
      </c>
      <c r="I22" s="763">
        <f>IFERROR(MOD(MATCH(CALC_PlanetPositions!$B$13,{"Aries","Taurus","Gemini","Cancer","Leo","Virgo","Libra","Scorpio","Sagittarius","Capricorn","Aquarius","Pisces"},0)-MATCH(CALC_PlanetPositions!$B$10,{"Aries","Taurus","Gemini","Cancer","Leo","Virgo","Libra","Scorpio","Sagittarius","Capricorn","Aquarius","Pisces"},0),12)+1,"—")</f>
        <v>1</v>
      </c>
    </row>
    <row r="23" spans="1:9" ht="19.5" customHeight="1" x14ac:dyDescent="0.2">
      <c r="A23" s="449" t="s">
        <v>270</v>
      </c>
      <c r="B23" s="761" t="str">
        <f>IFERROR(CALC_PlanetPositions!$B$11,"—")</f>
        <v>Libra</v>
      </c>
      <c r="C23" s="762">
        <f>IFERROR(MOD(MATCH(CALC_PlanetPositions!$B$7,{"Aries","Taurus","Gemini","Cancer","Leo","Virgo","Libra","Scorpio","Sagittarius","Capricorn","Aquarius","Pisces"},0)-MATCH(CALC_PlanetPositions!$B$11,{"Aries","Taurus","Gemini","Cancer","Leo","Virgo","Libra","Scorpio","Sagittarius","Capricorn","Aquarius","Pisces"},0),12)+1,"—")</f>
        <v>10</v>
      </c>
      <c r="D23" s="762">
        <f>IFERROR(MOD(MATCH(CALC_PlanetPositions!$B$8,{"Aries","Taurus","Gemini","Cancer","Leo","Virgo","Libra","Scorpio","Sagittarius","Capricorn","Aquarius","Pisces"},0)-MATCH(CALC_PlanetPositions!$B$11,{"Aries","Taurus","Gemini","Cancer","Leo","Virgo","Libra","Scorpio","Sagittarius","Capricorn","Aquarius","Pisces"},0),12)+1,"—")</f>
        <v>10</v>
      </c>
      <c r="E23" s="762">
        <f>IFERROR(MOD(MATCH(CALC_PlanetPositions!$B$9,{"Aries","Taurus","Gemini","Cancer","Leo","Virgo","Libra","Scorpio","Sagittarius","Capricorn","Aquarius","Pisces"},0)-MATCH(CALC_PlanetPositions!$B$11,{"Aries","Taurus","Gemini","Cancer","Leo","Virgo","Libra","Scorpio","Sagittarius","Capricorn","Aquarius","Pisces"},0),12)+1,"—")</f>
        <v>9</v>
      </c>
      <c r="F23" s="762">
        <f>IFERROR(MOD(MATCH(CALC_PlanetPositions!$B$10,{"Aries","Taurus","Gemini","Cancer","Leo","Virgo","Libra","Scorpio","Sagittarius","Capricorn","Aquarius","Pisces"},0)-MATCH(CALC_PlanetPositions!$B$11,{"Aries","Taurus","Gemini","Cancer","Leo","Virgo","Libra","Scorpio","Sagittarius","Capricorn","Aquarius","Pisces"},0),12)+1,"—")</f>
        <v>10</v>
      </c>
      <c r="G23" s="758" t="s">
        <v>36</v>
      </c>
      <c r="H23" s="762">
        <f>IFERROR(MOD(MATCH(CALC_PlanetPositions!$B$12,{"Aries","Taurus","Gemini","Cancer","Leo","Virgo","Libra","Scorpio","Sagittarius","Capricorn","Aquarius","Pisces"},0)-MATCH(CALC_PlanetPositions!$B$11,{"Aries","Taurus","Gemini","Cancer","Leo","Virgo","Libra","Scorpio","Sagittarius","Capricorn","Aquarius","Pisces"},0),12)+1,"—")</f>
        <v>10</v>
      </c>
      <c r="I23" s="762">
        <f>IFERROR(MOD(MATCH(CALC_PlanetPositions!$B$13,{"Aries","Taurus","Gemini","Cancer","Leo","Virgo","Libra","Scorpio","Sagittarius","Capricorn","Aquarius","Pisces"},0)-MATCH(CALC_PlanetPositions!$B$11,{"Aries","Taurus","Gemini","Cancer","Leo","Virgo","Libra","Scorpio","Sagittarius","Capricorn","Aquarius","Pisces"},0),12)+1,"—")</f>
        <v>10</v>
      </c>
    </row>
    <row r="24" spans="1:9" ht="19.5" customHeight="1" x14ac:dyDescent="0.2">
      <c r="A24" s="450" t="s">
        <v>271</v>
      </c>
      <c r="B24" s="761" t="str">
        <f>IFERROR(CALC_PlanetPositions!$B$12,"—")</f>
        <v>Cancer</v>
      </c>
      <c r="C24" s="763">
        <f>IFERROR(MOD(MATCH(CALC_PlanetPositions!$B$7,{"Aries","Taurus","Gemini","Cancer","Leo","Virgo","Libra","Scorpio","Sagittarius","Capricorn","Aquarius","Pisces"},0)-MATCH(CALC_PlanetPositions!$B$12,{"Aries","Taurus","Gemini","Cancer","Leo","Virgo","Libra","Scorpio","Sagittarius","Capricorn","Aquarius","Pisces"},0),12)+1,"—")</f>
        <v>1</v>
      </c>
      <c r="D24" s="763">
        <f>IFERROR(MOD(MATCH(CALC_PlanetPositions!$B$8,{"Aries","Taurus","Gemini","Cancer","Leo","Virgo","Libra","Scorpio","Sagittarius","Capricorn","Aquarius","Pisces"},0)-MATCH(CALC_PlanetPositions!$B$12,{"Aries","Taurus","Gemini","Cancer","Leo","Virgo","Libra","Scorpio","Sagittarius","Capricorn","Aquarius","Pisces"},0),12)+1,"—")</f>
        <v>1</v>
      </c>
      <c r="E24" s="763">
        <f>IFERROR(MOD(MATCH(CALC_PlanetPositions!$B$9,{"Aries","Taurus","Gemini","Cancer","Leo","Virgo","Libra","Scorpio","Sagittarius","Capricorn","Aquarius","Pisces"},0)-MATCH(CALC_PlanetPositions!$B$12,{"Aries","Taurus","Gemini","Cancer","Leo","Virgo","Libra","Scorpio","Sagittarius","Capricorn","Aquarius","Pisces"},0),12)+1,"—")</f>
        <v>12</v>
      </c>
      <c r="F24" s="763">
        <f>IFERROR(MOD(MATCH(CALC_PlanetPositions!$B$10,{"Aries","Taurus","Gemini","Cancer","Leo","Virgo","Libra","Scorpio","Sagittarius","Capricorn","Aquarius","Pisces"},0)-MATCH(CALC_PlanetPositions!$B$12,{"Aries","Taurus","Gemini","Cancer","Leo","Virgo","Libra","Scorpio","Sagittarius","Capricorn","Aquarius","Pisces"},0),12)+1,"—")</f>
        <v>1</v>
      </c>
      <c r="G24" s="763">
        <f>IFERROR(MOD(MATCH(CALC_PlanetPositions!$B$11,{"Aries","Taurus","Gemini","Cancer","Leo","Virgo","Libra","Scorpio","Sagittarius","Capricorn","Aquarius","Pisces"},0)-MATCH(CALC_PlanetPositions!$B$12,{"Aries","Taurus","Gemini","Cancer","Leo","Virgo","Libra","Scorpio","Sagittarius","Capricorn","Aquarius","Pisces"},0),12)+1,"—")</f>
        <v>4</v>
      </c>
      <c r="H24" s="758" t="s">
        <v>36</v>
      </c>
      <c r="I24" s="763">
        <f>IFERROR(MOD(MATCH(CALC_PlanetPositions!$B$13,{"Aries","Taurus","Gemini","Cancer","Leo","Virgo","Libra","Scorpio","Sagittarius","Capricorn","Aquarius","Pisces"},0)-MATCH(CALC_PlanetPositions!$B$12,{"Aries","Taurus","Gemini","Cancer","Leo","Virgo","Libra","Scorpio","Sagittarius","Capricorn","Aquarius","Pisces"},0),12)+1,"—")</f>
        <v>1</v>
      </c>
    </row>
    <row r="25" spans="1:9" ht="19.5" customHeight="1" x14ac:dyDescent="0.2">
      <c r="A25" s="451" t="s">
        <v>272</v>
      </c>
      <c r="B25" s="761" t="str">
        <f>IFERROR(CALC_PlanetPositions!$B$13,"—")</f>
        <v>Cancer</v>
      </c>
      <c r="C25" s="762">
        <f>IFERROR(MOD(MATCH(CALC_PlanetPositions!$B$7,{"Aries","Taurus","Gemini","Cancer","Leo","Virgo","Libra","Scorpio","Sagittarius","Capricorn","Aquarius","Pisces"},0)-MATCH(CALC_PlanetPositions!$B$13,{"Aries","Taurus","Gemini","Cancer","Leo","Virgo","Libra","Scorpio","Sagittarius","Capricorn","Aquarius","Pisces"},0),12)+1,"—")</f>
        <v>1</v>
      </c>
      <c r="D25" s="762">
        <f>IFERROR(MOD(MATCH(CALC_PlanetPositions!$B$8,{"Aries","Taurus","Gemini","Cancer","Leo","Virgo","Libra","Scorpio","Sagittarius","Capricorn","Aquarius","Pisces"},0)-MATCH(CALC_PlanetPositions!$B$13,{"Aries","Taurus","Gemini","Cancer","Leo","Virgo","Libra","Scorpio","Sagittarius","Capricorn","Aquarius","Pisces"},0),12)+1,"—")</f>
        <v>1</v>
      </c>
      <c r="E25" s="762">
        <f>IFERROR(MOD(MATCH(CALC_PlanetPositions!$B$9,{"Aries","Taurus","Gemini","Cancer","Leo","Virgo","Libra","Scorpio","Sagittarius","Capricorn","Aquarius","Pisces"},0)-MATCH(CALC_PlanetPositions!$B$13,{"Aries","Taurus","Gemini","Cancer","Leo","Virgo","Libra","Scorpio","Sagittarius","Capricorn","Aquarius","Pisces"},0),12)+1,"—")</f>
        <v>12</v>
      </c>
      <c r="F25" s="762">
        <f>IFERROR(MOD(MATCH(CALC_PlanetPositions!$B$10,{"Aries","Taurus","Gemini","Cancer","Leo","Virgo","Libra","Scorpio","Sagittarius","Capricorn","Aquarius","Pisces"},0)-MATCH(CALC_PlanetPositions!$B$13,{"Aries","Taurus","Gemini","Cancer","Leo","Virgo","Libra","Scorpio","Sagittarius","Capricorn","Aquarius","Pisces"},0),12)+1,"—")</f>
        <v>1</v>
      </c>
      <c r="G25" s="762">
        <f>IFERROR(MOD(MATCH(CALC_PlanetPositions!$B$11,{"Aries","Taurus","Gemini","Cancer","Leo","Virgo","Libra","Scorpio","Sagittarius","Capricorn","Aquarius","Pisces"},0)-MATCH(CALC_PlanetPositions!$B$13,{"Aries","Taurus","Gemini","Cancer","Leo","Virgo","Libra","Scorpio","Sagittarius","Capricorn","Aquarius","Pisces"},0),12)+1,"—")</f>
        <v>4</v>
      </c>
      <c r="H25" s="762">
        <f>IFERROR(MOD(MATCH(CALC_PlanetPositions!$B$12,{"Aries","Taurus","Gemini","Cancer","Leo","Virgo","Libra","Scorpio","Sagittarius","Capricorn","Aquarius","Pisces"},0)-MATCH(CALC_PlanetPositions!$B$13,{"Aries","Taurus","Gemini","Cancer","Leo","Virgo","Libra","Scorpio","Sagittarius","Capricorn","Aquarius","Pisces"},0),12)+1,"—")</f>
        <v>1</v>
      </c>
      <c r="I25" s="758" t="s">
        <v>36</v>
      </c>
    </row>
    <row r="26" spans="1:9" ht="7.5" customHeight="1" x14ac:dyDescent="0.2"/>
    <row r="27" spans="1:9" ht="18" customHeight="1" x14ac:dyDescent="0.2">
      <c r="A27" s="1555" t="s">
        <v>3590</v>
      </c>
      <c r="B27" s="1555"/>
      <c r="C27" s="1555"/>
      <c r="D27" s="1555"/>
      <c r="E27" s="1555"/>
      <c r="F27" s="1555"/>
      <c r="G27" s="1555"/>
      <c r="H27" s="1555"/>
      <c r="I27" s="1555"/>
    </row>
    <row r="28" spans="1:9" ht="24" customHeight="1" x14ac:dyDescent="0.2">
      <c r="A28" s="87" t="s">
        <v>3591</v>
      </c>
      <c r="B28" s="87" t="s">
        <v>3592</v>
      </c>
      <c r="C28" s="367" t="s">
        <v>266</v>
      </c>
      <c r="D28" s="102" t="s">
        <v>267</v>
      </c>
      <c r="E28" s="99" t="s">
        <v>268</v>
      </c>
      <c r="F28" s="100" t="s">
        <v>269</v>
      </c>
      <c r="G28" s="107" t="s">
        <v>270</v>
      </c>
      <c r="H28" s="106" t="s">
        <v>271</v>
      </c>
      <c r="I28" s="108" t="s">
        <v>272</v>
      </c>
    </row>
    <row r="29" spans="1:9" ht="21.75" customHeight="1" x14ac:dyDescent="0.2">
      <c r="A29" s="263" t="s">
        <v>266</v>
      </c>
      <c r="B29" s="761" t="str">
        <f>IFERROR(CALC_PlanetPositions!$B$7,"—")</f>
        <v>Cancer</v>
      </c>
      <c r="C29" s="758" t="s">
        <v>36</v>
      </c>
      <c r="D29" s="765" t="str">
        <f>IFERROR(IF(LEFT(REF_NaisargikaFriendship!$D$5,FIND(" ",REF_NaisargikaFriendship!$D$5&amp;" ")-1)="Friend",IF($D$8="Friend","Adhi Mitra","Sama"),IF(LEFT(REF_NaisargikaFriendship!$D$5,FIND(" ",REF_NaisargikaFriendship!$D$5&amp;" ")-1)="Neutral",IF($D$8="Friend","Mitra","Shatru"),IF($D$8="Friend","Sama","Adhi Shatru"))),"—")</f>
        <v>Sama</v>
      </c>
      <c r="E29" s="765" t="str">
        <f>IFERROR(IF(LEFT(REF_NaisargikaFriendship!$E$5,FIND(" ",REF_NaisargikaFriendship!$E$5&amp;" ")-1)="Friend",IF($E$8="Friend","Adhi Mitra","Sama"),IF(LEFT(REF_NaisargikaFriendship!$E$5,FIND(" ",REF_NaisargikaFriendship!$E$5&amp;" ")-1)="Neutral",IF($E$8="Friend","Mitra","Shatru"),IF($E$8="Friend","Sama","Adhi Shatru"))),"—")</f>
        <v>Adhi Mitra</v>
      </c>
      <c r="F29" s="765" t="str">
        <f>IFERROR(IF(LEFT(REF_NaisargikaFriendship!$F$5,FIND(" ",REF_NaisargikaFriendship!$F$5&amp;" ")-1)="Friend",IF($F$8="Friend","Adhi Mitra","Sama"),IF(LEFT(REF_NaisargikaFriendship!$F$5,FIND(" ",REF_NaisargikaFriendship!$F$5&amp;" ")-1)="Neutral",IF($F$8="Friend","Mitra","Shatru"),IF($F$8="Friend","Sama","Adhi Shatru"))),"—")</f>
        <v>Shatru</v>
      </c>
      <c r="G29" s="765" t="str">
        <f>IFERROR(IF(LEFT(REF_NaisargikaFriendship!$G$5,FIND(" ",REF_NaisargikaFriendship!$G$5&amp;" ")-1)="Friend",IF($G$8="Friend","Adhi Mitra","Sama"),IF(LEFT(REF_NaisargikaFriendship!$G$5,FIND(" ",REF_NaisargikaFriendship!$G$5&amp;" ")-1)="Neutral",IF($G$8="Friend","Mitra","Shatru"),IF($G$8="Friend","Sama","Adhi Shatru"))),"—")</f>
        <v>Adhi Mitra</v>
      </c>
      <c r="H29" s="765" t="str">
        <f>IFERROR(IF(LEFT(REF_NaisargikaFriendship!$H$5,FIND(" ",REF_NaisargikaFriendship!$H$5&amp;" ")-1)="Friend",IF($H$8="Friend","Adhi Mitra","Sama"),IF(LEFT(REF_NaisargikaFriendship!$H$5,FIND(" ",REF_NaisargikaFriendship!$H$5&amp;" ")-1)="Neutral",IF($H$8="Friend","Mitra","Shatru"),IF($H$8="Friend","Sama","Adhi Shatru"))),"—")</f>
        <v>Adhi Shatru</v>
      </c>
      <c r="I29" s="765" t="str">
        <f>IFERROR(IF(LEFT(REF_NaisargikaFriendship!$I$5,FIND(" ",REF_NaisargikaFriendship!$I$5&amp;" ")-1)="Friend",IF($I$8="Friend","Adhi Mitra","Sama"),IF(LEFT(REF_NaisargikaFriendship!$I$5,FIND(" ",REF_NaisargikaFriendship!$I$5&amp;" ")-1)="Neutral",IF($I$8="Friend","Mitra","Shatru"),IF($I$8="Friend","Sama","Adhi Shatru"))),"—")</f>
        <v>Adhi Shatru</v>
      </c>
    </row>
    <row r="30" spans="1:9" ht="21.75" customHeight="1" x14ac:dyDescent="0.2">
      <c r="A30" s="276" t="s">
        <v>267</v>
      </c>
      <c r="B30" s="761" t="str">
        <f>IFERROR(CALC_PlanetPositions!$B$8,"—")</f>
        <v>Cancer</v>
      </c>
      <c r="C30" s="766" t="str">
        <f>IFERROR(IF(LEFT(REF_NaisargikaFriendship!$C$6,FIND(" ",REF_NaisargikaFriendship!$C$6&amp;" ")-1)="Friend",IF($C$9="Friend","Adhi Mitra","Sama"),IF(LEFT(REF_NaisargikaFriendship!$C$6,FIND(" ",REF_NaisargikaFriendship!$C$6&amp;" ")-1)="Neutral",IF($C$9="Friend","Mitra","Shatru"),IF($C$9="Friend","Sama","Adhi Shatru"))),"—")</f>
        <v>Sama</v>
      </c>
      <c r="D30" s="758" t="s">
        <v>36</v>
      </c>
      <c r="E30" s="766" t="str">
        <f>IFERROR(IF(LEFT(REF_NaisargikaFriendship!$E$6,FIND(" ",REF_NaisargikaFriendship!$E$6&amp;" ")-1)="Friend",IF($E$9="Friend","Adhi Mitra","Sama"),IF(LEFT(REF_NaisargikaFriendship!$E$6,FIND(" ",REF_NaisargikaFriendship!$E$6&amp;" ")-1)="Neutral",IF($E$9="Friend","Mitra","Shatru"),IF($E$9="Friend","Sama","Adhi Shatru"))),"—")</f>
        <v>Mitra</v>
      </c>
      <c r="F30" s="766" t="str">
        <f>IFERROR(IF(LEFT(REF_NaisargikaFriendship!$F$6,FIND(" ",REF_NaisargikaFriendship!$F$6&amp;" ")-1)="Friend",IF($F$9="Friend","Adhi Mitra","Sama"),IF(LEFT(REF_NaisargikaFriendship!$F$6,FIND(" ",REF_NaisargikaFriendship!$F$6&amp;" ")-1)="Neutral",IF($F$9="Friend","Mitra","Shatru"),IF($F$9="Friend","Sama","Adhi Shatru"))),"—")</f>
        <v>Sama</v>
      </c>
      <c r="G30" s="766" t="str">
        <f>IFERROR(IF(LEFT(REF_NaisargikaFriendship!$G$6,FIND(" ",REF_NaisargikaFriendship!$G$6&amp;" ")-1)="Friend",IF($G$9="Friend","Adhi Mitra","Sama"),IF(LEFT(REF_NaisargikaFriendship!$G$6,FIND(" ",REF_NaisargikaFriendship!$G$6&amp;" ")-1)="Neutral",IF($G$9="Friend","Mitra","Shatru"),IF($G$9="Friend","Sama","Adhi Shatru"))),"—")</f>
        <v>Mitra</v>
      </c>
      <c r="H30" s="766" t="str">
        <f>IFERROR(IF(LEFT(REF_NaisargikaFriendship!$H$6,FIND(" ",REF_NaisargikaFriendship!$H$6&amp;" ")-1)="Friend",IF($H$9="Friend","Adhi Mitra","Sama"),IF(LEFT(REF_NaisargikaFriendship!$H$6,FIND(" ",REF_NaisargikaFriendship!$H$6&amp;" ")-1)="Neutral",IF($H$9="Friend","Mitra","Shatru"),IF($H$9="Friend","Sama","Adhi Shatru"))),"—")</f>
        <v>Shatru</v>
      </c>
      <c r="I30" s="766" t="str">
        <f>IFERROR(IF(LEFT(REF_NaisargikaFriendship!$I$6,FIND(" ",REF_NaisargikaFriendship!$I$6&amp;" ")-1)="Friend",IF($I$9="Friend","Adhi Mitra","Sama"),IF(LEFT(REF_NaisargikaFriendship!$I$6,FIND(" ",REF_NaisargikaFriendship!$I$6&amp;" ")-1)="Neutral",IF($I$9="Friend","Mitra","Shatru"),IF($I$9="Friend","Sama","Adhi Shatru"))),"—")</f>
        <v>Shatru</v>
      </c>
    </row>
    <row r="31" spans="1:9" ht="21.75" customHeight="1" x14ac:dyDescent="0.2">
      <c r="A31" s="279" t="s">
        <v>268</v>
      </c>
      <c r="B31" s="761" t="str">
        <f>IFERROR(CALC_PlanetPositions!$B$9,"—")</f>
        <v>Gemini</v>
      </c>
      <c r="C31" s="765" t="str">
        <f>IFERROR(IF(LEFT(REF_NaisargikaFriendship!$C$7,FIND(" ",REF_NaisargikaFriendship!$C$7&amp;" ")-1)="Friend",IF($C$10="Friend","Adhi Mitra","Sama"),IF(LEFT(REF_NaisargikaFriendship!$C$7,FIND(" ",REF_NaisargikaFriendship!$C$7&amp;" ")-1)="Neutral",IF($C$10="Friend","Mitra","Shatru"),IF($C$10="Friend","Sama","Adhi Shatru"))),"—")</f>
        <v>Adhi Mitra</v>
      </c>
      <c r="D31" s="765" t="str">
        <f>IFERROR(IF(LEFT(REF_NaisargikaFriendship!$D$7,FIND(" ",REF_NaisargikaFriendship!$D$7&amp;" ")-1)="Friend",IF($D$10="Friend","Adhi Mitra","Sama"),IF(LEFT(REF_NaisargikaFriendship!$D$7,FIND(" ",REF_NaisargikaFriendship!$D$7&amp;" ")-1)="Neutral",IF($D$10="Friend","Mitra","Shatru"),IF($D$10="Friend","Sama","Adhi Shatru"))),"—")</f>
        <v>Adhi Mitra</v>
      </c>
      <c r="E31" s="758" t="s">
        <v>36</v>
      </c>
      <c r="F31" s="765" t="str">
        <f>IFERROR(IF(LEFT(REF_NaisargikaFriendship!$F$7,FIND(" ",REF_NaisargikaFriendship!$F$7&amp;" ")-1)="Friend",IF($F$10="Friend","Adhi Mitra","Sama"),IF(LEFT(REF_NaisargikaFriendship!$F$7,FIND(" ",REF_NaisargikaFriendship!$F$7&amp;" ")-1)="Neutral",IF($F$10="Friend","Mitra","Shatru"),IF($F$10="Friend","Sama","Adhi Shatru"))),"—")</f>
        <v>Sama</v>
      </c>
      <c r="G31" s="765" t="str">
        <f>IFERROR(IF(LEFT(REF_NaisargikaFriendship!$G$7,FIND(" ",REF_NaisargikaFriendship!$G$7&amp;" ")-1)="Friend",IF($G$10="Friend","Adhi Mitra","Sama"),IF(LEFT(REF_NaisargikaFriendship!$G$7,FIND(" ",REF_NaisargikaFriendship!$G$7&amp;" ")-1)="Neutral",IF($G$10="Friend","Mitra","Shatru"),IF($G$10="Friend","Sama","Adhi Shatru"))),"—")</f>
        <v>Sama</v>
      </c>
      <c r="H31" s="765" t="str">
        <f>IFERROR(IF(LEFT(REF_NaisargikaFriendship!$H$7,FIND(" ",REF_NaisargikaFriendship!$H$7&amp;" ")-1)="Friend",IF($H$10="Friend","Adhi Mitra","Sama"),IF(LEFT(REF_NaisargikaFriendship!$H$7,FIND(" ",REF_NaisargikaFriendship!$H$7&amp;" ")-1)="Neutral",IF($H$10="Friend","Mitra","Shatru"),IF($H$10="Friend","Sama","Adhi Shatru"))),"—")</f>
        <v>Mitra</v>
      </c>
      <c r="I31" s="765" t="str">
        <f>IFERROR(IF(LEFT(REF_NaisargikaFriendship!$I$7,FIND(" ",REF_NaisargikaFriendship!$I$7&amp;" ")-1)="Friend",IF($I$10="Friend","Adhi Mitra","Sama"),IF(LEFT(REF_NaisargikaFriendship!$I$7,FIND(" ",REF_NaisargikaFriendship!$I$7&amp;" ")-1)="Neutral",IF($I$10="Friend","Mitra","Shatru"),IF($I$10="Friend","Sama","Adhi Shatru"))),"—")</f>
        <v>Mitra</v>
      </c>
    </row>
    <row r="32" spans="1:9" ht="21.75" customHeight="1" x14ac:dyDescent="0.2">
      <c r="A32" s="281" t="s">
        <v>269</v>
      </c>
      <c r="B32" s="761" t="str">
        <f>IFERROR(CALC_PlanetPositions!$B$10,"—")</f>
        <v>Cancer</v>
      </c>
      <c r="C32" s="766" t="str">
        <f>IFERROR(IF(LEFT(REF_NaisargikaFriendship!$C$8,FIND(" ",REF_NaisargikaFriendship!$C$8&amp;" ")-1)="Friend",IF($C$11="Friend","Adhi Mitra","Sama"),IF(LEFT(REF_NaisargikaFriendship!$C$8,FIND(" ",REF_NaisargikaFriendship!$C$8&amp;" ")-1)="Neutral",IF($C$11="Friend","Mitra","Shatru"),IF($C$11="Friend","Sama","Adhi Shatru"))),"—")</f>
        <v>Sama</v>
      </c>
      <c r="D32" s="766" t="str">
        <f>IFERROR(IF(LEFT(REF_NaisargikaFriendship!$D$8,FIND(" ",REF_NaisargikaFriendship!$D$8&amp;" ")-1)="Friend",IF($D$11="Friend","Adhi Mitra","Sama"),IF(LEFT(REF_NaisargikaFriendship!$D$8,FIND(" ",REF_NaisargikaFriendship!$D$8&amp;" ")-1)="Neutral",IF($D$11="Friend","Mitra","Shatru"),IF($D$11="Friend","Sama","Adhi Shatru"))),"—")</f>
        <v>Adhi Shatru</v>
      </c>
      <c r="E32" s="766" t="str">
        <f>IFERROR(IF(LEFT(REF_NaisargikaFriendship!$E$8,FIND(" ",REF_NaisargikaFriendship!$E$8&amp;" ")-1)="Friend",IF($E$11="Friend","Adhi Mitra","Sama"),IF(LEFT(REF_NaisargikaFriendship!$E$8,FIND(" ",REF_NaisargikaFriendship!$E$8&amp;" ")-1)="Neutral",IF($E$11="Friend","Mitra","Shatru"),IF($E$11="Friend","Sama","Adhi Shatru"))),"—")</f>
        <v>Mitra</v>
      </c>
      <c r="F32" s="758" t="s">
        <v>36</v>
      </c>
      <c r="G32" s="766" t="str">
        <f>IFERROR(IF(LEFT(REF_NaisargikaFriendship!$G$8,FIND(" ",REF_NaisargikaFriendship!$G$8&amp;" ")-1)="Friend",IF($G$11="Friend","Adhi Mitra","Sama"),IF(LEFT(REF_NaisargikaFriendship!$G$8,FIND(" ",REF_NaisargikaFriendship!$G$8&amp;" ")-1)="Neutral",IF($G$11="Friend","Mitra","Shatru"),IF($G$11="Friend","Sama","Adhi Shatru"))),"—")</f>
        <v>Mitra</v>
      </c>
      <c r="H32" s="766" t="str">
        <f>IFERROR(IF(LEFT(REF_NaisargikaFriendship!$H$8,FIND(" ",REF_NaisargikaFriendship!$H$8&amp;" ")-1)="Friend",IF($H$11="Friend","Adhi Mitra","Sama"),IF(LEFT(REF_NaisargikaFriendship!$H$8,FIND(" ",REF_NaisargikaFriendship!$H$8&amp;" ")-1)="Neutral",IF($H$11="Friend","Mitra","Shatru"),IF($H$11="Friend","Sama","Adhi Shatru"))),"—")</f>
        <v>Sama</v>
      </c>
      <c r="I32" s="766" t="str">
        <f>IFERROR(IF(LEFT(REF_NaisargikaFriendship!$I$8,FIND(" ",REF_NaisargikaFriendship!$I$8&amp;" ")-1)="Friend",IF($I$11="Friend","Adhi Mitra","Sama"),IF(LEFT(REF_NaisargikaFriendship!$I$8,FIND(" ",REF_NaisargikaFriendship!$I$8&amp;" ")-1)="Neutral",IF($I$11="Friend","Mitra","Shatru"),IF($I$11="Friend","Sama","Adhi Shatru"))),"—")</f>
        <v>Shatru</v>
      </c>
    </row>
    <row r="33" spans="1:9" ht="21.75" customHeight="1" x14ac:dyDescent="0.2">
      <c r="A33" s="283" t="s">
        <v>270</v>
      </c>
      <c r="B33" s="761" t="str">
        <f>IFERROR(CALC_PlanetPositions!$B$11,"—")</f>
        <v>Libra</v>
      </c>
      <c r="C33" s="765" t="str">
        <f>IFERROR(IF(LEFT(REF_NaisargikaFriendship!$C$9,FIND(" ",REF_NaisargikaFriendship!$C$9&amp;" ")-1)="Friend",IF($C$12="Friend","Adhi Mitra","Sama"),IF(LEFT(REF_NaisargikaFriendship!$C$9,FIND(" ",REF_NaisargikaFriendship!$C$9&amp;" ")-1)="Neutral",IF($C$12="Friend","Mitra","Shatru"),IF($C$12="Friend","Sama","Adhi Shatru"))),"—")</f>
        <v>Adhi Mitra</v>
      </c>
      <c r="D33" s="765" t="str">
        <f>IFERROR(IF(LEFT(REF_NaisargikaFriendship!$D$9,FIND(" ",REF_NaisargikaFriendship!$D$9&amp;" ")-1)="Friend",IF($D$12="Friend","Adhi Mitra","Sama"),IF(LEFT(REF_NaisargikaFriendship!$D$9,FIND(" ",REF_NaisargikaFriendship!$D$9&amp;" ")-1)="Neutral",IF($D$12="Friend","Mitra","Shatru"),IF($D$12="Friend","Sama","Adhi Shatru"))),"—")</f>
        <v>Adhi Mitra</v>
      </c>
      <c r="E33" s="765" t="str">
        <f>IFERROR(IF(LEFT(REF_NaisargikaFriendship!$E$9,FIND(" ",REF_NaisargikaFriendship!$E$9&amp;" ")-1)="Friend",IF($E$12="Friend","Adhi Mitra","Sama"),IF(LEFT(REF_NaisargikaFriendship!$E$9,FIND(" ",REF_NaisargikaFriendship!$E$9&amp;" ")-1)="Neutral",IF($E$12="Friend","Mitra","Shatru"),IF($E$12="Friend","Sama","Adhi Shatru"))),"—")</f>
        <v>Sama</v>
      </c>
      <c r="F33" s="765" t="str">
        <f>IFERROR(IF(LEFT(REF_NaisargikaFriendship!$F$9,FIND(" ",REF_NaisargikaFriendship!$F$9&amp;" ")-1)="Friend",IF($F$12="Friend","Adhi Mitra","Sama"),IF(LEFT(REF_NaisargikaFriendship!$F$9,FIND(" ",REF_NaisargikaFriendship!$F$9&amp;" ")-1)="Neutral",IF($F$12="Friend","Mitra","Shatru"),IF($F$12="Friend","Sama","Adhi Shatru"))),"—")</f>
        <v>Sama</v>
      </c>
      <c r="G33" s="758" t="s">
        <v>36</v>
      </c>
      <c r="H33" s="765" t="str">
        <f>IFERROR(IF(LEFT(REF_NaisargikaFriendship!$H$9,FIND(" ",REF_NaisargikaFriendship!$H$9&amp;" ")-1)="Friend",IF($H$12="Friend","Adhi Mitra","Sama"),IF(LEFT(REF_NaisargikaFriendship!$H$9,FIND(" ",REF_NaisargikaFriendship!$H$9&amp;" ")-1)="Neutral",IF($H$12="Friend","Mitra","Shatru"),IF($H$12="Friend","Sama","Adhi Shatru"))),"—")</f>
        <v>Sama</v>
      </c>
      <c r="I33" s="765" t="str">
        <f>IFERROR(IF(LEFT(REF_NaisargikaFriendship!$I$9,FIND(" ",REF_NaisargikaFriendship!$I$9&amp;" ")-1)="Friend",IF($I$12="Friend","Adhi Mitra","Sama"),IF(LEFT(REF_NaisargikaFriendship!$I$9,FIND(" ",REF_NaisargikaFriendship!$I$9&amp;" ")-1)="Neutral",IF($I$12="Friend","Mitra","Shatru"),IF($I$12="Friend","Sama","Adhi Shatru"))),"—")</f>
        <v>Mitra</v>
      </c>
    </row>
    <row r="34" spans="1:9" ht="21.75" customHeight="1" x14ac:dyDescent="0.2">
      <c r="A34" s="285" t="s">
        <v>271</v>
      </c>
      <c r="B34" s="761" t="str">
        <f>IFERROR(CALC_PlanetPositions!$B$12,"—")</f>
        <v>Cancer</v>
      </c>
      <c r="C34" s="766" t="str">
        <f>IFERROR(IF(LEFT(REF_NaisargikaFriendship!$C$10,FIND(" ",REF_NaisargikaFriendship!$C$10&amp;" ")-1)="Friend",IF($C$13="Friend","Adhi Mitra","Sama"),IF(LEFT(REF_NaisargikaFriendship!$C$10,FIND(" ",REF_NaisargikaFriendship!$C$10&amp;" ")-1)="Neutral",IF($C$13="Friend","Mitra","Shatru"),IF($C$13="Friend","Sama","Adhi Shatru"))),"—")</f>
        <v>Adhi Shatru</v>
      </c>
      <c r="D34" s="766" t="str">
        <f>IFERROR(IF(LEFT(REF_NaisargikaFriendship!$D$10,FIND(" ",REF_NaisargikaFriendship!$D$10&amp;" ")-1)="Friend",IF($D$13="Friend","Adhi Mitra","Sama"),IF(LEFT(REF_NaisargikaFriendship!$D$10,FIND(" ",REF_NaisargikaFriendship!$D$10&amp;" ")-1)="Neutral",IF($D$13="Friend","Mitra","Shatru"),IF($D$13="Friend","Sama","Adhi Shatru"))),"—")</f>
        <v>Adhi Shatru</v>
      </c>
      <c r="E34" s="766" t="str">
        <f>IFERROR(IF(LEFT(REF_NaisargikaFriendship!$E$10,FIND(" ",REF_NaisargikaFriendship!$E$10&amp;" ")-1)="Friend",IF($E$13="Friend","Adhi Mitra","Sama"),IF(LEFT(REF_NaisargikaFriendship!$E$10,FIND(" ",REF_NaisargikaFriendship!$E$10&amp;" ")-1)="Neutral",IF($E$13="Friend","Mitra","Shatru"),IF($E$13="Friend","Sama","Adhi Shatru"))),"—")</f>
        <v>Mitra</v>
      </c>
      <c r="F34" s="766" t="str">
        <f>IFERROR(IF(LEFT(REF_NaisargikaFriendship!$F$10,FIND(" ",REF_NaisargikaFriendship!$F$10&amp;" ")-1)="Friend",IF($F$13="Friend","Adhi Mitra","Sama"),IF(LEFT(REF_NaisargikaFriendship!$F$10,FIND(" ",REF_NaisargikaFriendship!$F$10&amp;" ")-1)="Neutral",IF($F$13="Friend","Mitra","Shatru"),IF($F$13="Friend","Sama","Adhi Shatru"))),"—")</f>
        <v>Sama</v>
      </c>
      <c r="G34" s="766" t="str">
        <f>IFERROR(IF(LEFT(REF_NaisargikaFriendship!$G$10,FIND(" ",REF_NaisargikaFriendship!$G$10&amp;" ")-1)="Friend",IF($G$13="Friend","Adhi Mitra","Sama"),IF(LEFT(REF_NaisargikaFriendship!$G$10,FIND(" ",REF_NaisargikaFriendship!$G$10&amp;" ")-1)="Neutral",IF($G$13="Friend","Mitra","Shatru"),IF($G$13="Friend","Sama","Adhi Shatru"))),"—")</f>
        <v>Mitra</v>
      </c>
      <c r="H34" s="758" t="s">
        <v>36</v>
      </c>
      <c r="I34" s="766" t="str">
        <f>IFERROR(IF(LEFT(REF_NaisargikaFriendship!$I$10,FIND(" ",REF_NaisargikaFriendship!$I$10&amp;" ")-1)="Friend",IF($I$13="Friend","Adhi Mitra","Sama"),IF(LEFT(REF_NaisargikaFriendship!$I$10,FIND(" ",REF_NaisargikaFriendship!$I$10&amp;" ")-1)="Neutral",IF($I$13="Friend","Mitra","Shatru"),IF($I$13="Friend","Sama","Adhi Shatru"))),"—")</f>
        <v>Sama</v>
      </c>
    </row>
    <row r="35" spans="1:9" ht="21.75" customHeight="1" x14ac:dyDescent="0.2">
      <c r="A35" s="287" t="s">
        <v>272</v>
      </c>
      <c r="B35" s="761" t="str">
        <f>IFERROR(CALC_PlanetPositions!$B$13,"—")</f>
        <v>Cancer</v>
      </c>
      <c r="C35" s="765" t="str">
        <f>IFERROR(IF(LEFT(REF_NaisargikaFriendship!$C$11,FIND(" ",REF_NaisargikaFriendship!$C$11&amp;" ")-1)="Friend",IF($C$14="Friend","Adhi Mitra","Sama"),IF(LEFT(REF_NaisargikaFriendship!$C$11,FIND(" ",REF_NaisargikaFriendship!$C$11&amp;" ")-1)="Neutral",IF($C$14="Friend","Mitra","Shatru"),IF($C$14="Friend","Sama","Adhi Shatru"))),"—")</f>
        <v>Adhi Shatru</v>
      </c>
      <c r="D35" s="765" t="str">
        <f>IFERROR(IF(LEFT(REF_NaisargikaFriendship!$D$11,FIND(" ",REF_NaisargikaFriendship!$D$11&amp;" ")-1)="Friend",IF($D$14="Friend","Adhi Mitra","Sama"),IF(LEFT(REF_NaisargikaFriendship!$D$11,FIND(" ",REF_NaisargikaFriendship!$D$11&amp;" ")-1)="Neutral",IF($D$14="Friend","Mitra","Shatru"),IF($D$14="Friend","Sama","Adhi Shatru"))),"—")</f>
        <v>Adhi Shatru</v>
      </c>
      <c r="E35" s="765" t="str">
        <f>IFERROR(IF(LEFT(REF_NaisargikaFriendship!$E$11,FIND(" ",REF_NaisargikaFriendship!$E$11&amp;" ")-1)="Friend",IF($E$14="Friend","Adhi Mitra","Sama"),IF(LEFT(REF_NaisargikaFriendship!$E$11,FIND(" ",REF_NaisargikaFriendship!$E$11&amp;" ")-1)="Neutral",IF($E$14="Friend","Mitra","Shatru"),IF($E$14="Friend","Sama","Adhi Shatru"))),"—")</f>
        <v>Sama</v>
      </c>
      <c r="F35" s="765" t="str">
        <f>IFERROR(IF(LEFT(REF_NaisargikaFriendship!$F$11,FIND(" ",REF_NaisargikaFriendship!$F$11&amp;" ")-1)="Friend",IF($F$14="Friend","Adhi Mitra","Sama"),IF(LEFT(REF_NaisargikaFriendship!$F$11,FIND(" ",REF_NaisargikaFriendship!$F$11&amp;" ")-1)="Neutral",IF($F$14="Friend","Mitra","Shatru"),IF($F$14="Friend","Sama","Adhi Shatru"))),"—")</f>
        <v>Sama</v>
      </c>
      <c r="G35" s="765" t="str">
        <f>IFERROR(IF(LEFT(REF_NaisargikaFriendship!$G$11,FIND(" ",REF_NaisargikaFriendship!$G$11&amp;" ")-1)="Friend",IF($G$14="Friend","Adhi Mitra","Sama"),IF(LEFT(REF_NaisargikaFriendship!$G$11,FIND(" ",REF_NaisargikaFriendship!$G$11&amp;" ")-1)="Neutral",IF($G$14="Friend","Mitra","Shatru"),IF($G$14="Friend","Sama","Adhi Shatru"))),"—")</f>
        <v>Mitra</v>
      </c>
      <c r="H35" s="765" t="str">
        <f>IFERROR(IF(LEFT(REF_NaisargikaFriendship!$H$11,FIND(" ",REF_NaisargikaFriendship!$H$11&amp;" ")-1)="Friend",IF($H$14="Friend","Adhi Mitra","Sama"),IF(LEFT(REF_NaisargikaFriendship!$H$11,FIND(" ",REF_NaisargikaFriendship!$H$11&amp;" ")-1)="Neutral",IF($H$14="Friend","Mitra","Shatru"),IF($H$14="Friend","Sama","Adhi Shatru"))),"—")</f>
        <v>Sama</v>
      </c>
      <c r="I35" s="758" t="s">
        <v>36</v>
      </c>
    </row>
    <row r="36" spans="1:9" ht="7.5" customHeight="1" x14ac:dyDescent="0.2"/>
    <row r="37" spans="1:9" ht="18" customHeight="1" x14ac:dyDescent="0.2">
      <c r="A37" s="1548" t="s">
        <v>3593</v>
      </c>
      <c r="B37" s="1548"/>
      <c r="C37" s="1548"/>
      <c r="D37" s="1548"/>
      <c r="E37" s="1548"/>
      <c r="F37" s="1548"/>
      <c r="G37" s="1548"/>
      <c r="H37" s="1548"/>
      <c r="I37" s="1548"/>
    </row>
    <row r="38" spans="1:9" ht="18" customHeight="1" x14ac:dyDescent="0.2">
      <c r="A38" s="377" t="s">
        <v>2</v>
      </c>
      <c r="B38" s="377" t="s">
        <v>3594</v>
      </c>
      <c r="C38" s="1502" t="s">
        <v>282</v>
      </c>
      <c r="D38" s="1502"/>
      <c r="E38" s="1502"/>
      <c r="F38" s="1502"/>
      <c r="G38" s="1502"/>
      <c r="H38" s="1502"/>
      <c r="I38" s="1502"/>
    </row>
    <row r="39" spans="1:9" ht="31.5" customHeight="1" x14ac:dyDescent="0.2">
      <c r="A39" s="730" t="s">
        <v>3595</v>
      </c>
      <c r="B39" s="767"/>
      <c r="C39" s="1514" t="s">
        <v>3596</v>
      </c>
      <c r="D39" s="1514"/>
      <c r="E39" s="1514"/>
      <c r="F39" s="1514"/>
      <c r="G39" s="1514"/>
      <c r="H39" s="1514"/>
      <c r="I39" s="1514"/>
    </row>
    <row r="40" spans="1:9" ht="31.5" customHeight="1" x14ac:dyDescent="0.2">
      <c r="A40" s="731" t="s">
        <v>3597</v>
      </c>
      <c r="B40" s="767"/>
      <c r="C40" s="1505" t="s">
        <v>3598</v>
      </c>
      <c r="D40" s="1505"/>
      <c r="E40" s="1505"/>
      <c r="F40" s="1505"/>
      <c r="G40" s="1505"/>
      <c r="H40" s="1505"/>
      <c r="I40" s="1505"/>
    </row>
    <row r="41" spans="1:9" ht="31.5" customHeight="1" x14ac:dyDescent="0.2">
      <c r="A41" s="730" t="s">
        <v>3599</v>
      </c>
      <c r="B41" s="767"/>
      <c r="C41" s="1514" t="s">
        <v>3600</v>
      </c>
      <c r="D41" s="1514"/>
      <c r="E41" s="1514"/>
      <c r="F41" s="1514"/>
      <c r="G41" s="1514"/>
      <c r="H41" s="1514"/>
      <c r="I41" s="1514"/>
    </row>
    <row r="42" spans="1:9" ht="31.5" customHeight="1" x14ac:dyDescent="0.2">
      <c r="A42" s="731" t="s">
        <v>3601</v>
      </c>
      <c r="B42" s="767"/>
      <c r="C42" s="1505" t="s">
        <v>3602</v>
      </c>
      <c r="D42" s="1505"/>
      <c r="E42" s="1505"/>
      <c r="F42" s="1505"/>
      <c r="G42" s="1505"/>
      <c r="H42" s="1505"/>
      <c r="I42" s="1505"/>
    </row>
    <row r="46" spans="1:9" ht="19.5" customHeight="1" x14ac:dyDescent="0.2">
      <c r="A46" s="1506" t="s">
        <v>3603</v>
      </c>
      <c r="B46" s="1506"/>
      <c r="C46" s="1506"/>
      <c r="D46" s="1506"/>
      <c r="E46" s="1506"/>
      <c r="F46" s="1506"/>
      <c r="G46" s="1506"/>
      <c r="H46" s="1506"/>
      <c r="I46" s="1506"/>
    </row>
  </sheetData>
  <mergeCells count="15">
    <mergeCell ref="C39:I39"/>
    <mergeCell ref="C40:I40"/>
    <mergeCell ref="C41:I41"/>
    <mergeCell ref="C42:I42"/>
    <mergeCell ref="A46:I46"/>
    <mergeCell ref="A15:I15"/>
    <mergeCell ref="A17:I17"/>
    <mergeCell ref="A27:I27"/>
    <mergeCell ref="A37:I37"/>
    <mergeCell ref="C38:I38"/>
    <mergeCell ref="A1:I1"/>
    <mergeCell ref="A2:I2"/>
    <mergeCell ref="A3:I3"/>
    <mergeCell ref="A5:I5"/>
    <mergeCell ref="A6:I6"/>
  </mergeCell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6A1B9A"/>
  </sheetPr>
  <dimension ref="A1:V39"/>
  <sheetViews>
    <sheetView zoomScaleNormal="100" workbookViewId="0">
      <pane xSplit="2" ySplit="4" topLeftCell="C5" activePane="bottomRight" state="frozen"/>
      <selection pane="bottomLeft" activeCell="A5" sqref="A5"/>
      <selection pane="topRight" activeCell="C1" sqref="C1"/>
      <selection pane="bottomRight"/>
    </sheetView>
  </sheetViews>
  <sheetFormatPr defaultColWidth="8.609375" defaultRowHeight="15" x14ac:dyDescent="0.2"/>
  <cols>
    <col min="1" max="2" width="13.98828125" customWidth="1"/>
    <col min="3" max="7" width="20.04296875" customWidth="1"/>
    <col min="8" max="8" width="43.98828125" customWidth="1"/>
    <col min="9" max="9" width="13.98828125" customWidth="1"/>
    <col min="11" max="11" width="2.015625" customWidth="1"/>
    <col min="12" max="18" width="11.97265625" customWidth="1"/>
    <col min="20" max="20" width="2.015625" customWidth="1"/>
    <col min="21" max="21" width="48.0234375" customWidth="1"/>
  </cols>
  <sheetData>
    <row r="1" spans="1:22" ht="27.75" customHeight="1" x14ac:dyDescent="0.2">
      <c r="A1" s="1507" t="s">
        <v>3604</v>
      </c>
      <c r="B1" s="1507"/>
      <c r="C1" s="1507"/>
      <c r="D1" s="1507"/>
      <c r="E1" s="1507"/>
      <c r="F1" s="1507"/>
      <c r="G1" s="1507"/>
      <c r="H1" s="1507"/>
      <c r="I1" s="1507"/>
      <c r="J1" s="1507"/>
      <c r="K1" s="1507"/>
      <c r="L1" s="1507"/>
      <c r="M1" s="1507"/>
      <c r="N1" s="1507"/>
      <c r="O1" s="1507"/>
      <c r="P1" s="1507"/>
      <c r="Q1" s="1507"/>
      <c r="R1" s="1507"/>
      <c r="S1" s="1507"/>
      <c r="T1" s="1507"/>
      <c r="U1" s="1507"/>
    </row>
    <row r="2" spans="1:22" ht="19.5" customHeight="1" x14ac:dyDescent="0.2">
      <c r="A2" s="1508" t="s">
        <v>3605</v>
      </c>
      <c r="B2" s="1508"/>
      <c r="C2" s="1508"/>
      <c r="D2" s="1508"/>
      <c r="E2" s="1508"/>
      <c r="F2" s="1508"/>
      <c r="G2" s="1508"/>
      <c r="H2" s="1508"/>
      <c r="I2" s="1508"/>
      <c r="J2" s="1508"/>
      <c r="K2" s="1508"/>
      <c r="L2" s="1508"/>
      <c r="M2" s="1508"/>
      <c r="N2" s="1508"/>
      <c r="O2" s="1508"/>
      <c r="P2" s="1508"/>
      <c r="Q2" s="1508"/>
      <c r="R2" s="1508"/>
      <c r="S2" s="1508"/>
      <c r="T2" s="1508"/>
      <c r="U2" s="1508"/>
      <c r="V2" s="29" t="str">
        <f>HYPERLINK("#'00_INDEX'!A1","← Index")</f>
        <v>← Index</v>
      </c>
    </row>
    <row r="3" spans="1:22" ht="18" customHeight="1" x14ac:dyDescent="0.2">
      <c r="A3" s="1553" t="s">
        <v>3606</v>
      </c>
      <c r="B3" s="1553"/>
      <c r="C3" s="1553"/>
      <c r="D3" s="1553"/>
      <c r="E3" s="1553"/>
      <c r="F3" s="1553"/>
      <c r="G3" s="1553"/>
      <c r="H3" s="1553"/>
      <c r="I3" s="1553"/>
    </row>
    <row r="4" spans="1:22" ht="21.75" customHeight="1" x14ac:dyDescent="0.2">
      <c r="A4" s="189" t="s">
        <v>319</v>
      </c>
      <c r="B4" s="189" t="s">
        <v>3607</v>
      </c>
      <c r="C4" s="367" t="s">
        <v>266</v>
      </c>
      <c r="D4" s="102" t="s">
        <v>267</v>
      </c>
      <c r="E4" s="99" t="s">
        <v>268</v>
      </c>
      <c r="F4" s="100" t="s">
        <v>269</v>
      </c>
      <c r="G4" s="107" t="s">
        <v>270</v>
      </c>
      <c r="H4" s="106" t="s">
        <v>271</v>
      </c>
      <c r="I4" s="108" t="s">
        <v>272</v>
      </c>
    </row>
    <row r="5" spans="1:22" ht="21.75" customHeight="1" x14ac:dyDescent="0.2">
      <c r="A5" s="263" t="s">
        <v>266</v>
      </c>
      <c r="B5" s="757" t="str">
        <f>IFERROR(CALC_PlanetPositions!$B$7,"—")</f>
        <v>Cancer</v>
      </c>
      <c r="C5" s="758" t="s">
        <v>36</v>
      </c>
      <c r="D5" s="768" t="str">
        <f>IFERROR(IF(LEFT(REF_NaisargikaFriendship!$D$5,FIND(" ",REF_NaisargikaFriendship!$D$5&amp;" ")-1)="Friend",IF(CALC_TatkalikFriendship!$D$8="Friend","Adhi Mitra","Sama"),IF(LEFT(REF_NaisargikaFriendship!$D$5,FIND(" ",REF_NaisargikaFriendship!$D$5&amp;" ")-1)="Neutral",IF(CALC_TatkalikFriendship!$D$8="Friend","Mitra","Shatru"),IF(CALC_TatkalikFriendship!$D$8="Friend","Sama","Adhi Shatru"))),"—")</f>
        <v>Sama</v>
      </c>
      <c r="E5" s="768" t="str">
        <f>IFERROR(IF(LEFT(REF_NaisargikaFriendship!$E$5,FIND(" ",REF_NaisargikaFriendship!$E$5&amp;" ")-1)="Friend",IF(CALC_TatkalikFriendship!$E$8="Friend","Adhi Mitra","Sama"),IF(LEFT(REF_NaisargikaFriendship!$E$5,FIND(" ",REF_NaisargikaFriendship!$E$5&amp;" ")-1)="Neutral",IF(CALC_TatkalikFriendship!$E$8="Friend","Mitra","Shatru"),IF(CALC_TatkalikFriendship!$E$8="Friend","Sama","Adhi Shatru"))),"—")</f>
        <v>Adhi Mitra</v>
      </c>
      <c r="F5" s="768" t="str">
        <f>IFERROR(IF(LEFT(REF_NaisargikaFriendship!$F$5,FIND(" ",REF_NaisargikaFriendship!$F$5&amp;" ")-1)="Friend",IF(CALC_TatkalikFriendship!$F$8="Friend","Adhi Mitra","Sama"),IF(LEFT(REF_NaisargikaFriendship!$F$5,FIND(" ",REF_NaisargikaFriendship!$F$5&amp;" ")-1)="Neutral",IF(CALC_TatkalikFriendship!$F$8="Friend","Mitra","Shatru"),IF(CALC_TatkalikFriendship!$F$8="Friend","Sama","Adhi Shatru"))),"—")</f>
        <v>Shatru</v>
      </c>
      <c r="G5" s="768" t="str">
        <f>IFERROR(IF(LEFT(REF_NaisargikaFriendship!$G$5,FIND(" ",REF_NaisargikaFriendship!$G$5&amp;" ")-1)="Friend",IF(CALC_TatkalikFriendship!$G$8="Friend","Adhi Mitra","Sama"),IF(LEFT(REF_NaisargikaFriendship!$G$5,FIND(" ",REF_NaisargikaFriendship!$G$5&amp;" ")-1)="Neutral",IF(CALC_TatkalikFriendship!$G$8="Friend","Mitra","Shatru"),IF(CALC_TatkalikFriendship!$G$8="Friend","Sama","Adhi Shatru"))),"—")</f>
        <v>Adhi Mitra</v>
      </c>
      <c r="H5" s="768" t="str">
        <f>IFERROR(IF(LEFT(REF_NaisargikaFriendship!$H$5,FIND(" ",REF_NaisargikaFriendship!$H$5&amp;" ")-1)="Friend",IF(CALC_TatkalikFriendship!$H$8="Friend","Adhi Mitra","Sama"),IF(LEFT(REF_NaisargikaFriendship!$H$5,FIND(" ",REF_NaisargikaFriendship!$H$5&amp;" ")-1)="Neutral",IF(CALC_TatkalikFriendship!$H$8="Friend","Mitra","Shatru"),IF(CALC_TatkalikFriendship!$H$8="Friend","Sama","Adhi Shatru"))),"—")</f>
        <v>Adhi Shatru</v>
      </c>
      <c r="I5" s="768" t="str">
        <f>IFERROR(IF(LEFT(REF_NaisargikaFriendship!$I$5,FIND(" ",REF_NaisargikaFriendship!$I$5&amp;" ")-1)="Friend",IF(CALC_TatkalikFriendship!$I$8="Friend","Adhi Mitra","Sama"),IF(LEFT(REF_NaisargikaFriendship!$I$5,FIND(" ",REF_NaisargikaFriendship!$I$5&amp;" ")-1)="Neutral",IF(CALC_TatkalikFriendship!$I$8="Friend","Mitra","Shatru"),IF(CALC_TatkalikFriendship!$I$8="Friend","Sama","Adhi Shatru"))),"—")</f>
        <v>Adhi Shatru</v>
      </c>
    </row>
    <row r="6" spans="1:22" ht="21.75" customHeight="1" x14ac:dyDescent="0.2">
      <c r="A6" s="276" t="s">
        <v>267</v>
      </c>
      <c r="B6" s="757" t="str">
        <f>IFERROR(CALC_PlanetPositions!$B$8,"—")</f>
        <v>Cancer</v>
      </c>
      <c r="C6" s="769" t="str">
        <f>IFERROR(IF(LEFT(REF_NaisargikaFriendship!$C$6,FIND(" ",REF_NaisargikaFriendship!$C$6&amp;" ")-1)="Friend",IF(CALC_TatkalikFriendship!$C$9="Friend","Adhi Mitra","Sama"),IF(LEFT(REF_NaisargikaFriendship!$C$6,FIND(" ",REF_NaisargikaFriendship!$C$6&amp;" ")-1)="Neutral",IF(CALC_TatkalikFriendship!$C$9="Friend","Mitra","Shatru"),IF(CALC_TatkalikFriendship!$C$9="Friend","Sama","Adhi Shatru"))),"—")</f>
        <v>Sama</v>
      </c>
      <c r="D6" s="758" t="s">
        <v>36</v>
      </c>
      <c r="E6" s="769" t="str">
        <f>IFERROR(IF(LEFT(REF_NaisargikaFriendship!$E$6,FIND(" ",REF_NaisargikaFriendship!$E$6&amp;" ")-1)="Friend",IF(CALC_TatkalikFriendship!$E$9="Friend","Adhi Mitra","Sama"),IF(LEFT(REF_NaisargikaFriendship!$E$6,FIND(" ",REF_NaisargikaFriendship!$E$6&amp;" ")-1)="Neutral",IF(CALC_TatkalikFriendship!$E$9="Friend","Mitra","Shatru"),IF(CALC_TatkalikFriendship!$E$9="Friend","Sama","Adhi Shatru"))),"—")</f>
        <v>Mitra</v>
      </c>
      <c r="F6" s="769" t="str">
        <f>IFERROR(IF(LEFT(REF_NaisargikaFriendship!$F$6,FIND(" ",REF_NaisargikaFriendship!$F$6&amp;" ")-1)="Friend",IF(CALC_TatkalikFriendship!$F$9="Friend","Adhi Mitra","Sama"),IF(LEFT(REF_NaisargikaFriendship!$F$6,FIND(" ",REF_NaisargikaFriendship!$F$6&amp;" ")-1)="Neutral",IF(CALC_TatkalikFriendship!$F$9="Friend","Mitra","Shatru"),IF(CALC_TatkalikFriendship!$F$9="Friend","Sama","Adhi Shatru"))),"—")</f>
        <v>Sama</v>
      </c>
      <c r="G6" s="769" t="str">
        <f>IFERROR(IF(LEFT(REF_NaisargikaFriendship!$G$6,FIND(" ",REF_NaisargikaFriendship!$G$6&amp;" ")-1)="Friend",IF(CALC_TatkalikFriendship!$G$9="Friend","Adhi Mitra","Sama"),IF(LEFT(REF_NaisargikaFriendship!$G$6,FIND(" ",REF_NaisargikaFriendship!$G$6&amp;" ")-1)="Neutral",IF(CALC_TatkalikFriendship!$G$9="Friend","Mitra","Shatru"),IF(CALC_TatkalikFriendship!$G$9="Friend","Sama","Adhi Shatru"))),"—")</f>
        <v>Mitra</v>
      </c>
      <c r="H6" s="769" t="str">
        <f>IFERROR(IF(LEFT(REF_NaisargikaFriendship!$H$6,FIND(" ",REF_NaisargikaFriendship!$H$6&amp;" ")-1)="Friend",IF(CALC_TatkalikFriendship!$H$9="Friend","Adhi Mitra","Sama"),IF(LEFT(REF_NaisargikaFriendship!$H$6,FIND(" ",REF_NaisargikaFriendship!$H$6&amp;" ")-1)="Neutral",IF(CALC_TatkalikFriendship!$H$9="Friend","Mitra","Shatru"),IF(CALC_TatkalikFriendship!$H$9="Friend","Sama","Adhi Shatru"))),"—")</f>
        <v>Shatru</v>
      </c>
      <c r="I6" s="769" t="str">
        <f>IFERROR(IF(LEFT(REF_NaisargikaFriendship!$I$6,FIND(" ",REF_NaisargikaFriendship!$I$6&amp;" ")-1)="Friend",IF(CALC_TatkalikFriendship!$I$9="Friend","Adhi Mitra","Sama"),IF(LEFT(REF_NaisargikaFriendship!$I$6,FIND(" ",REF_NaisargikaFriendship!$I$6&amp;" ")-1)="Neutral",IF(CALC_TatkalikFriendship!$I$9="Friend","Mitra","Shatru"),IF(CALC_TatkalikFriendship!$I$9="Friend","Sama","Adhi Shatru"))),"—")</f>
        <v>Shatru</v>
      </c>
    </row>
    <row r="7" spans="1:22" ht="21.75" customHeight="1" x14ac:dyDescent="0.2">
      <c r="A7" s="279" t="s">
        <v>268</v>
      </c>
      <c r="B7" s="757" t="str">
        <f>IFERROR(CALC_PlanetPositions!$B$9,"—")</f>
        <v>Gemini</v>
      </c>
      <c r="C7" s="768" t="str">
        <f>IFERROR(IF(LEFT(REF_NaisargikaFriendship!$C$7,FIND(" ",REF_NaisargikaFriendship!$C$7&amp;" ")-1)="Friend",IF(CALC_TatkalikFriendship!$C$10="Friend","Adhi Mitra","Sama"),IF(LEFT(REF_NaisargikaFriendship!$C$7,FIND(" ",REF_NaisargikaFriendship!$C$7&amp;" ")-1)="Neutral",IF(CALC_TatkalikFriendship!$C$10="Friend","Mitra","Shatru"),IF(CALC_TatkalikFriendship!$C$10="Friend","Sama","Adhi Shatru"))),"—")</f>
        <v>Adhi Mitra</v>
      </c>
      <c r="D7" s="768" t="str">
        <f>IFERROR(IF(LEFT(REF_NaisargikaFriendship!$D$7,FIND(" ",REF_NaisargikaFriendship!$D$7&amp;" ")-1)="Friend",IF(CALC_TatkalikFriendship!$D$10="Friend","Adhi Mitra","Sama"),IF(LEFT(REF_NaisargikaFriendship!$D$7,FIND(" ",REF_NaisargikaFriendship!$D$7&amp;" ")-1)="Neutral",IF(CALC_TatkalikFriendship!$D$10="Friend","Mitra","Shatru"),IF(CALC_TatkalikFriendship!$D$10="Friend","Sama","Adhi Shatru"))),"—")</f>
        <v>Adhi Mitra</v>
      </c>
      <c r="E7" s="758" t="s">
        <v>36</v>
      </c>
      <c r="F7" s="768" t="str">
        <f>IFERROR(IF(LEFT(REF_NaisargikaFriendship!$F$7,FIND(" ",REF_NaisargikaFriendship!$F$7&amp;" ")-1)="Friend",IF(CALC_TatkalikFriendship!$F$10="Friend","Adhi Mitra","Sama"),IF(LEFT(REF_NaisargikaFriendship!$F$7,FIND(" ",REF_NaisargikaFriendship!$F$7&amp;" ")-1)="Neutral",IF(CALC_TatkalikFriendship!$F$10="Friend","Mitra","Shatru"),IF(CALC_TatkalikFriendship!$F$10="Friend","Sama","Adhi Shatru"))),"—")</f>
        <v>Sama</v>
      </c>
      <c r="G7" s="768" t="str">
        <f>IFERROR(IF(LEFT(REF_NaisargikaFriendship!$G$7,FIND(" ",REF_NaisargikaFriendship!$G$7&amp;" ")-1)="Friend",IF(CALC_TatkalikFriendship!$G$10="Friend","Adhi Mitra","Sama"),IF(LEFT(REF_NaisargikaFriendship!$G$7,FIND(" ",REF_NaisargikaFriendship!$G$7&amp;" ")-1)="Neutral",IF(CALC_TatkalikFriendship!$G$10="Friend","Mitra","Shatru"),IF(CALC_TatkalikFriendship!$G$10="Friend","Sama","Adhi Shatru"))),"—")</f>
        <v>Sama</v>
      </c>
      <c r="H7" s="768" t="str">
        <f>IFERROR(IF(LEFT(REF_NaisargikaFriendship!$H$7,FIND(" ",REF_NaisargikaFriendship!$H$7&amp;" ")-1)="Friend",IF(CALC_TatkalikFriendship!$H$10="Friend","Adhi Mitra","Sama"),IF(LEFT(REF_NaisargikaFriendship!$H$7,FIND(" ",REF_NaisargikaFriendship!$H$7&amp;" ")-1)="Neutral",IF(CALC_TatkalikFriendship!$H$10="Friend","Mitra","Shatru"),IF(CALC_TatkalikFriendship!$H$10="Friend","Sama","Adhi Shatru"))),"—")</f>
        <v>Mitra</v>
      </c>
      <c r="I7" s="768" t="str">
        <f>IFERROR(IF(LEFT(REF_NaisargikaFriendship!$I$7,FIND(" ",REF_NaisargikaFriendship!$I$7&amp;" ")-1)="Friend",IF(CALC_TatkalikFriendship!$I$10="Friend","Adhi Mitra","Sama"),IF(LEFT(REF_NaisargikaFriendship!$I$7,FIND(" ",REF_NaisargikaFriendship!$I$7&amp;" ")-1)="Neutral",IF(CALC_TatkalikFriendship!$I$10="Friend","Mitra","Shatru"),IF(CALC_TatkalikFriendship!$I$10="Friend","Sama","Adhi Shatru"))),"—")</f>
        <v>Mitra</v>
      </c>
    </row>
    <row r="8" spans="1:22" ht="21.75" customHeight="1" x14ac:dyDescent="0.2">
      <c r="A8" s="281" t="s">
        <v>269</v>
      </c>
      <c r="B8" s="757" t="str">
        <f>IFERROR(CALC_PlanetPositions!$B$10,"—")</f>
        <v>Cancer</v>
      </c>
      <c r="C8" s="769" t="str">
        <f>IFERROR(IF(LEFT(REF_NaisargikaFriendship!$C$8,FIND(" ",REF_NaisargikaFriendship!$C$8&amp;" ")-1)="Friend",IF(CALC_TatkalikFriendship!$C$11="Friend","Adhi Mitra","Sama"),IF(LEFT(REF_NaisargikaFriendship!$C$8,FIND(" ",REF_NaisargikaFriendship!$C$8&amp;" ")-1)="Neutral",IF(CALC_TatkalikFriendship!$C$11="Friend","Mitra","Shatru"),IF(CALC_TatkalikFriendship!$C$11="Friend","Sama","Adhi Shatru"))),"—")</f>
        <v>Sama</v>
      </c>
      <c r="D8" s="769" t="str">
        <f>IFERROR(IF(LEFT(REF_NaisargikaFriendship!$D$8,FIND(" ",REF_NaisargikaFriendship!$D$8&amp;" ")-1)="Friend",IF(CALC_TatkalikFriendship!$D$11="Friend","Adhi Mitra","Sama"),IF(LEFT(REF_NaisargikaFriendship!$D$8,FIND(" ",REF_NaisargikaFriendship!$D$8&amp;" ")-1)="Neutral",IF(CALC_TatkalikFriendship!$D$11="Friend","Mitra","Shatru"),IF(CALC_TatkalikFriendship!$D$11="Friend","Sama","Adhi Shatru"))),"—")</f>
        <v>Adhi Shatru</v>
      </c>
      <c r="E8" s="769" t="str">
        <f>IFERROR(IF(LEFT(REF_NaisargikaFriendship!$E$8,FIND(" ",REF_NaisargikaFriendship!$E$8&amp;" ")-1)="Friend",IF(CALC_TatkalikFriendship!$E$11="Friend","Adhi Mitra","Sama"),IF(LEFT(REF_NaisargikaFriendship!$E$8,FIND(" ",REF_NaisargikaFriendship!$E$8&amp;" ")-1)="Neutral",IF(CALC_TatkalikFriendship!$E$11="Friend","Mitra","Shatru"),IF(CALC_TatkalikFriendship!$E$11="Friend","Sama","Adhi Shatru"))),"—")</f>
        <v>Mitra</v>
      </c>
      <c r="F8" s="758" t="s">
        <v>36</v>
      </c>
      <c r="G8" s="769" t="str">
        <f>IFERROR(IF(LEFT(REF_NaisargikaFriendship!$G$8,FIND(" ",REF_NaisargikaFriendship!$G$8&amp;" ")-1)="Friend",IF(CALC_TatkalikFriendship!$G$11="Friend","Adhi Mitra","Sama"),IF(LEFT(REF_NaisargikaFriendship!$G$8,FIND(" ",REF_NaisargikaFriendship!$G$8&amp;" ")-1)="Neutral",IF(CALC_TatkalikFriendship!$G$11="Friend","Mitra","Shatru"),IF(CALC_TatkalikFriendship!$G$11="Friend","Sama","Adhi Shatru"))),"—")</f>
        <v>Mitra</v>
      </c>
      <c r="H8" s="769" t="str">
        <f>IFERROR(IF(LEFT(REF_NaisargikaFriendship!$H$8,FIND(" ",REF_NaisargikaFriendship!$H$8&amp;" ")-1)="Friend",IF(CALC_TatkalikFriendship!$H$11="Friend","Adhi Mitra","Sama"),IF(LEFT(REF_NaisargikaFriendship!$H$8,FIND(" ",REF_NaisargikaFriendship!$H$8&amp;" ")-1)="Neutral",IF(CALC_TatkalikFriendship!$H$11="Friend","Mitra","Shatru"),IF(CALC_TatkalikFriendship!$H$11="Friend","Sama","Adhi Shatru"))),"—")</f>
        <v>Sama</v>
      </c>
      <c r="I8" s="769" t="str">
        <f>IFERROR(IF(LEFT(REF_NaisargikaFriendship!$I$8,FIND(" ",REF_NaisargikaFriendship!$I$8&amp;" ")-1)="Friend",IF(CALC_TatkalikFriendship!$I$11="Friend","Adhi Mitra","Sama"),IF(LEFT(REF_NaisargikaFriendship!$I$8,FIND(" ",REF_NaisargikaFriendship!$I$8&amp;" ")-1)="Neutral",IF(CALC_TatkalikFriendship!$I$11="Friend","Mitra","Shatru"),IF(CALC_TatkalikFriendship!$I$11="Friend","Sama","Adhi Shatru"))),"—")</f>
        <v>Shatru</v>
      </c>
    </row>
    <row r="9" spans="1:22" ht="21.75" customHeight="1" x14ac:dyDescent="0.2">
      <c r="A9" s="283" t="s">
        <v>270</v>
      </c>
      <c r="B9" s="757" t="str">
        <f>IFERROR(CALC_PlanetPositions!$B$11,"—")</f>
        <v>Libra</v>
      </c>
      <c r="C9" s="768" t="str">
        <f>IFERROR(IF(LEFT(REF_NaisargikaFriendship!$C$9,FIND(" ",REF_NaisargikaFriendship!$C$9&amp;" ")-1)="Friend",IF(CALC_TatkalikFriendship!$C$12="Friend","Adhi Mitra","Sama"),IF(LEFT(REF_NaisargikaFriendship!$C$9,FIND(" ",REF_NaisargikaFriendship!$C$9&amp;" ")-1)="Neutral",IF(CALC_TatkalikFriendship!$C$12="Friend","Mitra","Shatru"),IF(CALC_TatkalikFriendship!$C$12="Friend","Sama","Adhi Shatru"))),"—")</f>
        <v>Adhi Mitra</v>
      </c>
      <c r="D9" s="768" t="str">
        <f>IFERROR(IF(LEFT(REF_NaisargikaFriendship!$D$9,FIND(" ",REF_NaisargikaFriendship!$D$9&amp;" ")-1)="Friend",IF(CALC_TatkalikFriendship!$D$12="Friend","Adhi Mitra","Sama"),IF(LEFT(REF_NaisargikaFriendship!$D$9,FIND(" ",REF_NaisargikaFriendship!$D$9&amp;" ")-1)="Neutral",IF(CALC_TatkalikFriendship!$D$12="Friend","Mitra","Shatru"),IF(CALC_TatkalikFriendship!$D$12="Friend","Sama","Adhi Shatru"))),"—")</f>
        <v>Adhi Mitra</v>
      </c>
      <c r="E9" s="768" t="str">
        <f>IFERROR(IF(LEFT(REF_NaisargikaFriendship!$E$9,FIND(" ",REF_NaisargikaFriendship!$E$9&amp;" ")-1)="Friend",IF(CALC_TatkalikFriendship!$E$12="Friend","Adhi Mitra","Sama"),IF(LEFT(REF_NaisargikaFriendship!$E$9,FIND(" ",REF_NaisargikaFriendship!$E$9&amp;" ")-1)="Neutral",IF(CALC_TatkalikFriendship!$E$12="Friend","Mitra","Shatru"),IF(CALC_TatkalikFriendship!$E$12="Friend","Sama","Adhi Shatru"))),"—")</f>
        <v>Sama</v>
      </c>
      <c r="F9" s="768" t="str">
        <f>IFERROR(IF(LEFT(REF_NaisargikaFriendship!$F$9,FIND(" ",REF_NaisargikaFriendship!$F$9&amp;" ")-1)="Friend",IF(CALC_TatkalikFriendship!$F$12="Friend","Adhi Mitra","Sama"),IF(LEFT(REF_NaisargikaFriendship!$F$9,FIND(" ",REF_NaisargikaFriendship!$F$9&amp;" ")-1)="Neutral",IF(CALC_TatkalikFriendship!$F$12="Friend","Mitra","Shatru"),IF(CALC_TatkalikFriendship!$F$12="Friend","Sama","Adhi Shatru"))),"—")</f>
        <v>Sama</v>
      </c>
      <c r="G9" s="758" t="s">
        <v>36</v>
      </c>
      <c r="H9" s="768" t="str">
        <f>IFERROR(IF(LEFT(REF_NaisargikaFriendship!$H$9,FIND(" ",REF_NaisargikaFriendship!$H$9&amp;" ")-1)="Friend",IF(CALC_TatkalikFriendship!$H$12="Friend","Adhi Mitra","Sama"),IF(LEFT(REF_NaisargikaFriendship!$H$9,FIND(" ",REF_NaisargikaFriendship!$H$9&amp;" ")-1)="Neutral",IF(CALC_TatkalikFriendship!$H$12="Friend","Mitra","Shatru"),IF(CALC_TatkalikFriendship!$H$12="Friend","Sama","Adhi Shatru"))),"—")</f>
        <v>Sama</v>
      </c>
      <c r="I9" s="768" t="str">
        <f>IFERROR(IF(LEFT(REF_NaisargikaFriendship!$I$9,FIND(" ",REF_NaisargikaFriendship!$I$9&amp;" ")-1)="Friend",IF(CALC_TatkalikFriendship!$I$12="Friend","Adhi Mitra","Sama"),IF(LEFT(REF_NaisargikaFriendship!$I$9,FIND(" ",REF_NaisargikaFriendship!$I$9&amp;" ")-1)="Neutral",IF(CALC_TatkalikFriendship!$I$12="Friend","Mitra","Shatru"),IF(CALC_TatkalikFriendship!$I$12="Friend","Sama","Adhi Shatru"))),"—")</f>
        <v>Mitra</v>
      </c>
    </row>
    <row r="10" spans="1:22" ht="21.75" customHeight="1" x14ac:dyDescent="0.2">
      <c r="A10" s="285" t="s">
        <v>271</v>
      </c>
      <c r="B10" s="757" t="str">
        <f>IFERROR(CALC_PlanetPositions!$B$12,"—")</f>
        <v>Cancer</v>
      </c>
      <c r="C10" s="769" t="str">
        <f>IFERROR(IF(LEFT(REF_NaisargikaFriendship!$C$10,FIND(" ",REF_NaisargikaFriendship!$C$10&amp;" ")-1)="Friend",IF(CALC_TatkalikFriendship!$C$13="Friend","Adhi Mitra","Sama"),IF(LEFT(REF_NaisargikaFriendship!$C$10,FIND(" ",REF_NaisargikaFriendship!$C$10&amp;" ")-1)="Neutral",IF(CALC_TatkalikFriendship!$C$13="Friend","Mitra","Shatru"),IF(CALC_TatkalikFriendship!$C$13="Friend","Sama","Adhi Shatru"))),"—")</f>
        <v>Adhi Shatru</v>
      </c>
      <c r="D10" s="769" t="str">
        <f>IFERROR(IF(LEFT(REF_NaisargikaFriendship!$D$10,FIND(" ",REF_NaisargikaFriendship!$D$10&amp;" ")-1)="Friend",IF(CALC_TatkalikFriendship!$D$13="Friend","Adhi Mitra","Sama"),IF(LEFT(REF_NaisargikaFriendship!$D$10,FIND(" ",REF_NaisargikaFriendship!$D$10&amp;" ")-1)="Neutral",IF(CALC_TatkalikFriendship!$D$13="Friend","Mitra","Shatru"),IF(CALC_TatkalikFriendship!$D$13="Friend","Sama","Adhi Shatru"))),"—")</f>
        <v>Adhi Shatru</v>
      </c>
      <c r="E10" s="769" t="str">
        <f>IFERROR(IF(LEFT(REF_NaisargikaFriendship!$E$10,FIND(" ",REF_NaisargikaFriendship!$E$10&amp;" ")-1)="Friend",IF(CALC_TatkalikFriendship!$E$13="Friend","Adhi Mitra","Sama"),IF(LEFT(REF_NaisargikaFriendship!$E$10,FIND(" ",REF_NaisargikaFriendship!$E$10&amp;" ")-1)="Neutral",IF(CALC_TatkalikFriendship!$E$13="Friend","Mitra","Shatru"),IF(CALC_TatkalikFriendship!$E$13="Friend","Sama","Adhi Shatru"))),"—")</f>
        <v>Mitra</v>
      </c>
      <c r="F10" s="769" t="str">
        <f>IFERROR(IF(LEFT(REF_NaisargikaFriendship!$F$10,FIND(" ",REF_NaisargikaFriendship!$F$10&amp;" ")-1)="Friend",IF(CALC_TatkalikFriendship!$F$13="Friend","Adhi Mitra","Sama"),IF(LEFT(REF_NaisargikaFriendship!$F$10,FIND(" ",REF_NaisargikaFriendship!$F$10&amp;" ")-1)="Neutral",IF(CALC_TatkalikFriendship!$F$13="Friend","Mitra","Shatru"),IF(CALC_TatkalikFriendship!$F$13="Friend","Sama","Adhi Shatru"))),"—")</f>
        <v>Sama</v>
      </c>
      <c r="G10" s="769" t="str">
        <f>IFERROR(IF(LEFT(REF_NaisargikaFriendship!$G$10,FIND(" ",REF_NaisargikaFriendship!$G$10&amp;" ")-1)="Friend",IF(CALC_TatkalikFriendship!$G$13="Friend","Adhi Mitra","Sama"),IF(LEFT(REF_NaisargikaFriendship!$G$10,FIND(" ",REF_NaisargikaFriendship!$G$10&amp;" ")-1)="Neutral",IF(CALC_TatkalikFriendship!$G$13="Friend","Mitra","Shatru"),IF(CALC_TatkalikFriendship!$G$13="Friend","Sama","Adhi Shatru"))),"—")</f>
        <v>Mitra</v>
      </c>
      <c r="H10" s="758" t="s">
        <v>36</v>
      </c>
      <c r="I10" s="769" t="str">
        <f>IFERROR(IF(LEFT(REF_NaisargikaFriendship!$I$10,FIND(" ",REF_NaisargikaFriendship!$I$10&amp;" ")-1)="Friend",IF(CALC_TatkalikFriendship!$I$13="Friend","Adhi Mitra","Sama"),IF(LEFT(REF_NaisargikaFriendship!$I$10,FIND(" ",REF_NaisargikaFriendship!$I$10&amp;" ")-1)="Neutral",IF(CALC_TatkalikFriendship!$I$13="Friend","Mitra","Shatru"),IF(CALC_TatkalikFriendship!$I$13="Friend","Sama","Adhi Shatru"))),"—")</f>
        <v>Sama</v>
      </c>
    </row>
    <row r="11" spans="1:22" ht="21.75" customHeight="1" x14ac:dyDescent="0.2">
      <c r="A11" s="287" t="s">
        <v>272</v>
      </c>
      <c r="B11" s="757" t="str">
        <f>IFERROR(CALC_PlanetPositions!$B$13,"—")</f>
        <v>Cancer</v>
      </c>
      <c r="C11" s="768" t="str">
        <f>IFERROR(IF(LEFT(REF_NaisargikaFriendship!$C$11,FIND(" ",REF_NaisargikaFriendship!$C$11&amp;" ")-1)="Friend",IF(CALC_TatkalikFriendship!$C$14="Friend","Adhi Mitra","Sama"),IF(LEFT(REF_NaisargikaFriendship!$C$11,FIND(" ",REF_NaisargikaFriendship!$C$11&amp;" ")-1)="Neutral",IF(CALC_TatkalikFriendship!$C$14="Friend","Mitra","Shatru"),IF(CALC_TatkalikFriendship!$C$14="Friend","Sama","Adhi Shatru"))),"—")</f>
        <v>Adhi Shatru</v>
      </c>
      <c r="D11" s="768" t="str">
        <f>IFERROR(IF(LEFT(REF_NaisargikaFriendship!$D$11,FIND(" ",REF_NaisargikaFriendship!$D$11&amp;" ")-1)="Friend",IF(CALC_TatkalikFriendship!$D$14="Friend","Adhi Mitra","Sama"),IF(LEFT(REF_NaisargikaFriendship!$D$11,FIND(" ",REF_NaisargikaFriendship!$D$11&amp;" ")-1)="Neutral",IF(CALC_TatkalikFriendship!$D$14="Friend","Mitra","Shatru"),IF(CALC_TatkalikFriendship!$D$14="Friend","Sama","Adhi Shatru"))),"—")</f>
        <v>Adhi Shatru</v>
      </c>
      <c r="E11" s="768" t="str">
        <f>IFERROR(IF(LEFT(REF_NaisargikaFriendship!$E$11,FIND(" ",REF_NaisargikaFriendship!$E$11&amp;" ")-1)="Friend",IF(CALC_TatkalikFriendship!$E$14="Friend","Adhi Mitra","Sama"),IF(LEFT(REF_NaisargikaFriendship!$E$11,FIND(" ",REF_NaisargikaFriendship!$E$11&amp;" ")-1)="Neutral",IF(CALC_TatkalikFriendship!$E$14="Friend","Mitra","Shatru"),IF(CALC_TatkalikFriendship!$E$14="Friend","Sama","Adhi Shatru"))),"—")</f>
        <v>Sama</v>
      </c>
      <c r="F11" s="768" t="str">
        <f>IFERROR(IF(LEFT(REF_NaisargikaFriendship!$F$11,FIND(" ",REF_NaisargikaFriendship!$F$11&amp;" ")-1)="Friend",IF(CALC_TatkalikFriendship!$F$14="Friend","Adhi Mitra","Sama"),IF(LEFT(REF_NaisargikaFriendship!$F$11,FIND(" ",REF_NaisargikaFriendship!$F$11&amp;" ")-1)="Neutral",IF(CALC_TatkalikFriendship!$F$14="Friend","Mitra","Shatru"),IF(CALC_TatkalikFriendship!$F$14="Friend","Sama","Adhi Shatru"))),"—")</f>
        <v>Sama</v>
      </c>
      <c r="G11" s="768" t="str">
        <f>IFERROR(IF(LEFT(REF_NaisargikaFriendship!$G$11,FIND(" ",REF_NaisargikaFriendship!$G$11&amp;" ")-1)="Friend",IF(CALC_TatkalikFriendship!$G$14="Friend","Adhi Mitra","Sama"),IF(LEFT(REF_NaisargikaFriendship!$G$11,FIND(" ",REF_NaisargikaFriendship!$G$11&amp;" ")-1)="Neutral",IF(CALC_TatkalikFriendship!$G$14="Friend","Mitra","Shatru"),IF(CALC_TatkalikFriendship!$G$14="Friend","Sama","Adhi Shatru"))),"—")</f>
        <v>Mitra</v>
      </c>
      <c r="H11" s="768" t="str">
        <f>IFERROR(IF(LEFT(REF_NaisargikaFriendship!$H$11,FIND(" ",REF_NaisargikaFriendship!$H$11&amp;" ")-1)="Friend",IF(CALC_TatkalikFriendship!$H$14="Friend","Adhi Mitra","Sama"),IF(LEFT(REF_NaisargikaFriendship!$H$11,FIND(" ",REF_NaisargikaFriendship!$H$11&amp;" ")-1)="Neutral",IF(CALC_TatkalikFriendship!$H$14="Friend","Mitra","Shatru"),IF(CALC_TatkalikFriendship!$H$14="Friend","Sama","Adhi Shatru"))),"—")</f>
        <v>Sama</v>
      </c>
      <c r="I11" s="758" t="s">
        <v>36</v>
      </c>
    </row>
    <row r="12" spans="1:22" ht="7.5" customHeight="1" x14ac:dyDescent="0.2"/>
    <row r="13" spans="1:22" ht="18" customHeight="1" x14ac:dyDescent="0.2">
      <c r="A13" s="1555" t="s">
        <v>3608</v>
      </c>
      <c r="B13" s="1555"/>
      <c r="C13" s="1555"/>
      <c r="D13" s="1555"/>
      <c r="E13" s="1555"/>
      <c r="F13" s="1555"/>
      <c r="G13" s="1555"/>
      <c r="H13" s="1555"/>
      <c r="I13" s="1555"/>
    </row>
    <row r="14" spans="1:22" ht="21.75" customHeight="1" x14ac:dyDescent="0.2">
      <c r="A14" s="189" t="s">
        <v>319</v>
      </c>
      <c r="B14" s="189" t="s">
        <v>3607</v>
      </c>
      <c r="C14" s="367" t="s">
        <v>266</v>
      </c>
      <c r="D14" s="102" t="s">
        <v>267</v>
      </c>
      <c r="E14" s="99" t="s">
        <v>268</v>
      </c>
      <c r="F14" s="100" t="s">
        <v>269</v>
      </c>
      <c r="G14" s="107" t="s">
        <v>270</v>
      </c>
      <c r="H14" s="106" t="s">
        <v>271</v>
      </c>
      <c r="I14" s="108" t="s">
        <v>272</v>
      </c>
    </row>
    <row r="15" spans="1:22" ht="19.5" customHeight="1" x14ac:dyDescent="0.2">
      <c r="A15" s="263" t="s">
        <v>266</v>
      </c>
      <c r="B15" s="757" t="str">
        <f>IFERROR(CALC_PlanetPositions!$B$7,"—")</f>
        <v>Cancer</v>
      </c>
      <c r="C15" s="758">
        <v>0</v>
      </c>
      <c r="D15" s="770">
        <f ca="1">IFERROR(_xludf.switch($D$5,"Adhi Mitra",1,"Mitra",0.5,"Sama",0,"Shatru",-0.5,"Adhi Shatru",-1,0),0)</f>
        <v>0</v>
      </c>
      <c r="E15" s="770">
        <f ca="1">IFERROR(_xludf.switch($E$5,"Adhi Mitra",1,"Mitra",0.5,"Sama",0,"Shatru",-0.5,"Adhi Shatru",-1,0),0)</f>
        <v>0</v>
      </c>
      <c r="F15" s="770">
        <f ca="1">IFERROR(_xludf.switch($F$5,"Adhi Mitra",1,"Mitra",0.5,"Sama",0,"Shatru",-0.5,"Adhi Shatru",-1,0),0)</f>
        <v>0</v>
      </c>
      <c r="G15" s="770">
        <f ca="1">IFERROR(_xludf.switch($G$5,"Adhi Mitra",1,"Mitra",0.5,"Sama",0,"Shatru",-0.5,"Adhi Shatru",-1,0),0)</f>
        <v>0</v>
      </c>
      <c r="H15" s="770">
        <f ca="1">IFERROR(_xludf.switch($H$5,"Adhi Mitra",1,"Mitra",0.5,"Sama",0,"Shatru",-0.5,"Adhi Shatru",-1,0),0)</f>
        <v>0</v>
      </c>
      <c r="I15" s="770">
        <f ca="1">IFERROR(_xludf.switch($I$5,"Adhi Mitra",1,"Mitra",0.5,"Sama",0,"Shatru",-0.5,"Adhi Shatru",-1,0),0)</f>
        <v>0</v>
      </c>
    </row>
    <row r="16" spans="1:22" ht="19.5" customHeight="1" x14ac:dyDescent="0.2">
      <c r="A16" s="276" t="s">
        <v>267</v>
      </c>
      <c r="B16" s="757" t="str">
        <f>IFERROR(CALC_PlanetPositions!$B$8,"—")</f>
        <v>Cancer</v>
      </c>
      <c r="C16" s="770">
        <f ca="1">IFERROR(_xludf.switch($C$6,"Adhi Mitra",1,"Mitra",0.5,"Sama",0,"Shatru",-0.5,"Adhi Shatru",-1,0),0)</f>
        <v>0</v>
      </c>
      <c r="D16" s="758">
        <v>0</v>
      </c>
      <c r="E16" s="770">
        <f ca="1">IFERROR(_xludf.switch($E$6,"Adhi Mitra",1,"Mitra",0.5,"Sama",0,"Shatru",-0.5,"Adhi Shatru",-1,0),0)</f>
        <v>0</v>
      </c>
      <c r="F16" s="770">
        <f ca="1">IFERROR(_xludf.switch($F$6,"Adhi Mitra",1,"Mitra",0.5,"Sama",0,"Shatru",-0.5,"Adhi Shatru",-1,0),0)</f>
        <v>0</v>
      </c>
      <c r="G16" s="770">
        <f ca="1">IFERROR(_xludf.switch($G$6,"Adhi Mitra",1,"Mitra",0.5,"Sama",0,"Shatru",-0.5,"Adhi Shatru",-1,0),0)</f>
        <v>0</v>
      </c>
      <c r="H16" s="770">
        <f ca="1">IFERROR(_xludf.switch($H$6,"Adhi Mitra",1,"Mitra",0.5,"Sama",0,"Shatru",-0.5,"Adhi Shatru",-1,0),0)</f>
        <v>0</v>
      </c>
      <c r="I16" s="770">
        <f ca="1">IFERROR(_xludf.switch($I$6,"Adhi Mitra",1,"Mitra",0.5,"Sama",0,"Shatru",-0.5,"Adhi Shatru",-1,0),0)</f>
        <v>0</v>
      </c>
    </row>
    <row r="17" spans="1:21" ht="19.5" customHeight="1" x14ac:dyDescent="0.2">
      <c r="A17" s="279" t="s">
        <v>268</v>
      </c>
      <c r="B17" s="757" t="str">
        <f>IFERROR(CALC_PlanetPositions!$B$9,"—")</f>
        <v>Gemini</v>
      </c>
      <c r="C17" s="770">
        <f ca="1">IFERROR(_xludf.switch($C$7,"Adhi Mitra",1,"Mitra",0.5,"Sama",0,"Shatru",-0.5,"Adhi Shatru",-1,0),0)</f>
        <v>0</v>
      </c>
      <c r="D17" s="770">
        <f ca="1">IFERROR(_xludf.switch($D$7,"Adhi Mitra",1,"Mitra",0.5,"Sama",0,"Shatru",-0.5,"Adhi Shatru",-1,0),0)</f>
        <v>0</v>
      </c>
      <c r="E17" s="758">
        <v>0</v>
      </c>
      <c r="F17" s="770">
        <f ca="1">IFERROR(_xludf.switch($F$7,"Adhi Mitra",1,"Mitra",0.5,"Sama",0,"Shatru",-0.5,"Adhi Shatru",-1,0),0)</f>
        <v>0</v>
      </c>
      <c r="G17" s="770">
        <f ca="1">IFERROR(_xludf.switch($G$7,"Adhi Mitra",1,"Mitra",0.5,"Sama",0,"Shatru",-0.5,"Adhi Shatru",-1,0),0)</f>
        <v>0</v>
      </c>
      <c r="H17" s="770">
        <f ca="1">IFERROR(_xludf.switch($H$7,"Adhi Mitra",1,"Mitra",0.5,"Sama",0,"Shatru",-0.5,"Adhi Shatru",-1,0),0)</f>
        <v>0</v>
      </c>
      <c r="I17" s="770">
        <f ca="1">IFERROR(_xludf.switch($I$7,"Adhi Mitra",1,"Mitra",0.5,"Sama",0,"Shatru",-0.5,"Adhi Shatru",-1,0),0)</f>
        <v>0</v>
      </c>
    </row>
    <row r="18" spans="1:21" ht="19.5" customHeight="1" x14ac:dyDescent="0.2">
      <c r="A18" s="281" t="s">
        <v>269</v>
      </c>
      <c r="B18" s="757" t="str">
        <f>IFERROR(CALC_PlanetPositions!$B$10,"—")</f>
        <v>Cancer</v>
      </c>
      <c r="C18" s="770">
        <f ca="1">IFERROR(_xludf.switch($C$8,"Adhi Mitra",1,"Mitra",0.5,"Sama",0,"Shatru",-0.5,"Adhi Shatru",-1,0),0)</f>
        <v>0</v>
      </c>
      <c r="D18" s="770">
        <f ca="1">IFERROR(_xludf.switch($D$8,"Adhi Mitra",1,"Mitra",0.5,"Sama",0,"Shatru",-0.5,"Adhi Shatru",-1,0),0)</f>
        <v>0</v>
      </c>
      <c r="E18" s="770">
        <f ca="1">IFERROR(_xludf.switch($E$8,"Adhi Mitra",1,"Mitra",0.5,"Sama",0,"Shatru",-0.5,"Adhi Shatru",-1,0),0)</f>
        <v>0</v>
      </c>
      <c r="F18" s="758">
        <v>0</v>
      </c>
      <c r="G18" s="770">
        <f ca="1">IFERROR(_xludf.switch($G$8,"Adhi Mitra",1,"Mitra",0.5,"Sama",0,"Shatru",-0.5,"Adhi Shatru",-1,0),0)</f>
        <v>0</v>
      </c>
      <c r="H18" s="770">
        <f ca="1">IFERROR(_xludf.switch($H$8,"Adhi Mitra",1,"Mitra",0.5,"Sama",0,"Shatru",-0.5,"Adhi Shatru",-1,0),0)</f>
        <v>0</v>
      </c>
      <c r="I18" s="770">
        <f ca="1">IFERROR(_xludf.switch($I$8,"Adhi Mitra",1,"Mitra",0.5,"Sama",0,"Shatru",-0.5,"Adhi Shatru",-1,0),0)</f>
        <v>0</v>
      </c>
    </row>
    <row r="19" spans="1:21" ht="19.5" customHeight="1" x14ac:dyDescent="0.2">
      <c r="A19" s="283" t="s">
        <v>270</v>
      </c>
      <c r="B19" s="757" t="str">
        <f>IFERROR(CALC_PlanetPositions!$B$11,"—")</f>
        <v>Libra</v>
      </c>
      <c r="C19" s="770">
        <f ca="1">IFERROR(_xludf.switch($C$9,"Adhi Mitra",1,"Mitra",0.5,"Sama",0,"Shatru",-0.5,"Adhi Shatru",-1,0),0)</f>
        <v>0</v>
      </c>
      <c r="D19" s="770">
        <f ca="1">IFERROR(_xludf.switch($D$9,"Adhi Mitra",1,"Mitra",0.5,"Sama",0,"Shatru",-0.5,"Adhi Shatru",-1,0),0)</f>
        <v>0</v>
      </c>
      <c r="E19" s="770">
        <f ca="1">IFERROR(_xludf.switch($E$9,"Adhi Mitra",1,"Mitra",0.5,"Sama",0,"Shatru",-0.5,"Adhi Shatru",-1,0),0)</f>
        <v>0</v>
      </c>
      <c r="F19" s="770">
        <f ca="1">IFERROR(_xludf.switch($F$9,"Adhi Mitra",1,"Mitra",0.5,"Sama",0,"Shatru",-0.5,"Adhi Shatru",-1,0),0)</f>
        <v>0</v>
      </c>
      <c r="G19" s="758">
        <v>0</v>
      </c>
      <c r="H19" s="770">
        <f ca="1">IFERROR(_xludf.switch($H$9,"Adhi Mitra",1,"Mitra",0.5,"Sama",0,"Shatru",-0.5,"Adhi Shatru",-1,0),0)</f>
        <v>0</v>
      </c>
      <c r="I19" s="770">
        <f ca="1">IFERROR(_xludf.switch($I$9,"Adhi Mitra",1,"Mitra",0.5,"Sama",0,"Shatru",-0.5,"Adhi Shatru",-1,0),0)</f>
        <v>0</v>
      </c>
    </row>
    <row r="20" spans="1:21" ht="19.5" customHeight="1" x14ac:dyDescent="0.2">
      <c r="A20" s="285" t="s">
        <v>271</v>
      </c>
      <c r="B20" s="757" t="str">
        <f>IFERROR(CALC_PlanetPositions!$B$12,"—")</f>
        <v>Cancer</v>
      </c>
      <c r="C20" s="770">
        <f ca="1">IFERROR(_xludf.switch($C$10,"Adhi Mitra",1,"Mitra",0.5,"Sama",0,"Shatru",-0.5,"Adhi Shatru",-1,0),0)</f>
        <v>0</v>
      </c>
      <c r="D20" s="770">
        <f ca="1">IFERROR(_xludf.switch($D$10,"Adhi Mitra",1,"Mitra",0.5,"Sama",0,"Shatru",-0.5,"Adhi Shatru",-1,0),0)</f>
        <v>0</v>
      </c>
      <c r="E20" s="770">
        <f ca="1">IFERROR(_xludf.switch($E$10,"Adhi Mitra",1,"Mitra",0.5,"Sama",0,"Shatru",-0.5,"Adhi Shatru",-1,0),0)</f>
        <v>0</v>
      </c>
      <c r="F20" s="770">
        <f ca="1">IFERROR(_xludf.switch($F$10,"Adhi Mitra",1,"Mitra",0.5,"Sama",0,"Shatru",-0.5,"Adhi Shatru",-1,0),0)</f>
        <v>0</v>
      </c>
      <c r="G20" s="770">
        <f ca="1">IFERROR(_xludf.switch($G$10,"Adhi Mitra",1,"Mitra",0.5,"Sama",0,"Shatru",-0.5,"Adhi Shatru",-1,0),0)</f>
        <v>0</v>
      </c>
      <c r="H20" s="758">
        <v>0</v>
      </c>
      <c r="I20" s="770">
        <f ca="1">IFERROR(_xludf.switch($I$10,"Adhi Mitra",1,"Mitra",0.5,"Sama",0,"Shatru",-0.5,"Adhi Shatru",-1,0),0)</f>
        <v>0</v>
      </c>
    </row>
    <row r="21" spans="1:21" ht="19.5" customHeight="1" x14ac:dyDescent="0.2">
      <c r="A21" s="287" t="s">
        <v>272</v>
      </c>
      <c r="B21" s="757" t="str">
        <f>IFERROR(CALC_PlanetPositions!$B$13,"—")</f>
        <v>Cancer</v>
      </c>
      <c r="C21" s="770">
        <f ca="1">IFERROR(_xludf.switch($C$11,"Adhi Mitra",1,"Mitra",0.5,"Sama",0,"Shatru",-0.5,"Adhi Shatru",-1,0),0)</f>
        <v>0</v>
      </c>
      <c r="D21" s="770">
        <f ca="1">IFERROR(_xludf.switch($D$11,"Adhi Mitra",1,"Mitra",0.5,"Sama",0,"Shatru",-0.5,"Adhi Shatru",-1,0),0)</f>
        <v>0</v>
      </c>
      <c r="E21" s="770">
        <f ca="1">IFERROR(_xludf.switch($E$11,"Adhi Mitra",1,"Mitra",0.5,"Sama",0,"Shatru",-0.5,"Adhi Shatru",-1,0),0)</f>
        <v>0</v>
      </c>
      <c r="F21" s="770">
        <f ca="1">IFERROR(_xludf.switch($F$11,"Adhi Mitra",1,"Mitra",0.5,"Sama",0,"Shatru",-0.5,"Adhi Shatru",-1,0),0)</f>
        <v>0</v>
      </c>
      <c r="G21" s="770">
        <f ca="1">IFERROR(_xludf.switch($G$11,"Adhi Mitra",1,"Mitra",0.5,"Sama",0,"Shatru",-0.5,"Adhi Shatru",-1,0),0)</f>
        <v>0</v>
      </c>
      <c r="H21" s="770">
        <f ca="1">IFERROR(_xludf.switch($H$11,"Adhi Mitra",1,"Mitra",0.5,"Sama",0,"Shatru",-0.5,"Adhi Shatru",-1,0),0)</f>
        <v>0</v>
      </c>
      <c r="I21" s="758">
        <v>0</v>
      </c>
    </row>
    <row r="22" spans="1:21" ht="7.5" customHeight="1" x14ac:dyDescent="0.2"/>
    <row r="23" spans="1:21" ht="18" customHeight="1" x14ac:dyDescent="0.2">
      <c r="A23" s="1548" t="s">
        <v>3609</v>
      </c>
      <c r="B23" s="1548"/>
      <c r="C23" s="1548"/>
      <c r="D23" s="1548"/>
      <c r="E23" s="1548"/>
      <c r="F23" s="1548"/>
      <c r="G23" s="1548"/>
      <c r="H23" s="1548"/>
      <c r="I23" s="1548"/>
      <c r="J23" s="1548"/>
      <c r="K23" s="1548"/>
      <c r="L23" s="1548"/>
      <c r="M23" s="1548"/>
      <c r="N23" s="1548"/>
      <c r="O23" s="1548"/>
      <c r="P23" s="1548"/>
      <c r="Q23" s="1548"/>
      <c r="R23" s="1548"/>
      <c r="S23" s="1548"/>
      <c r="T23" s="1548"/>
      <c r="U23" s="1548"/>
    </row>
    <row r="24" spans="1:21" ht="19.5" customHeight="1" x14ac:dyDescent="0.2">
      <c r="A24" s="377" t="s">
        <v>319</v>
      </c>
      <c r="B24" s="377" t="s">
        <v>1121</v>
      </c>
      <c r="C24" s="377" t="s">
        <v>3610</v>
      </c>
      <c r="D24" s="377" t="s">
        <v>3611</v>
      </c>
      <c r="E24" s="377" t="s">
        <v>3612</v>
      </c>
      <c r="F24" s="377" t="s">
        <v>3613</v>
      </c>
      <c r="G24" s="377" t="s">
        <v>3614</v>
      </c>
      <c r="H24" s="377" t="s">
        <v>3615</v>
      </c>
    </row>
    <row r="25" spans="1:21" ht="21.75" customHeight="1" x14ac:dyDescent="0.2">
      <c r="A25" s="263" t="s">
        <v>266</v>
      </c>
      <c r="B25" s="757" t="str">
        <f>IFERROR(CALC_PlanetPositions!$B$7,"—")</f>
        <v>Cancer</v>
      </c>
      <c r="C25" s="771" t="str">
        <f ca="1">IFERROR(_xludf.textjoin(", ",TRUE(),IF($C$5:$I$5="Adhi Mitra",$C$4:$I$4,"")),"—")</f>
        <v>—</v>
      </c>
      <c r="D25" s="698" t="str">
        <f ca="1">IFERROR(_xludf.textjoin(", ",TRUE(),IF($C$5:$I$5="Mitra",$C$4:$I$4,"")),"—")</f>
        <v>—</v>
      </c>
      <c r="E25" s="772" t="str">
        <f ca="1">IFERROR(_xludf.textjoin(", ",TRUE(),IF($C$5:$I$5="Sama",$C$4:$I$4,"")),"—")</f>
        <v>—</v>
      </c>
      <c r="F25" s="773" t="str">
        <f ca="1">IFERROR(_xludf.textjoin(", ",TRUE(),IF($C$5:$I$5="Shatru",$C$4:$I$4,"")),"—")</f>
        <v>—</v>
      </c>
      <c r="G25" s="774" t="str">
        <f ca="1">IFERROR(_xludf.textjoin(", ",TRUE(),IF($C$5:$I$5="Adhi Shatru",$C$4:$I$4,"")),"—")</f>
        <v>—</v>
      </c>
      <c r="H25" s="534" t="str">
        <f t="shared" ref="H25:H31" ca="1" si="0">IFERROR("AM: "&amp;IF(C25="—","none",C25)&amp;"  |  M: "&amp;IF(D25="—","none",D25)&amp;"  |  Sh: "&amp;IF(F25="—","none",F25)&amp;"  |  AS: "&amp;IF(G25="—","none",G25),"—")</f>
        <v>AM: none  |  M: none  |  Sh: none  |  AS: none</v>
      </c>
    </row>
    <row r="26" spans="1:21" ht="21.75" customHeight="1" x14ac:dyDescent="0.2">
      <c r="A26" s="276" t="s">
        <v>267</v>
      </c>
      <c r="B26" s="757" t="str">
        <f>IFERROR(CALC_PlanetPositions!$B$8,"—")</f>
        <v>Cancer</v>
      </c>
      <c r="C26" s="771" t="str">
        <f ca="1">IFERROR(_xludf.textjoin(", ",TRUE(),IF($C$6:$I$6="Adhi Mitra",$C$4:$I$4,"")),"—")</f>
        <v>—</v>
      </c>
      <c r="D26" s="698" t="str">
        <f ca="1">IFERROR(_xludf.textjoin(", ",TRUE(),IF($C$6:$I$6="Mitra",$C$4:$I$4,"")),"—")</f>
        <v>—</v>
      </c>
      <c r="E26" s="772" t="str">
        <f ca="1">IFERROR(_xludf.textjoin(", ",TRUE(),IF($C$6:$I$6="Sama",$C$4:$I$4,"")),"—")</f>
        <v>—</v>
      </c>
      <c r="F26" s="773" t="str">
        <f ca="1">IFERROR(_xludf.textjoin(", ",TRUE(),IF($C$6:$I$6="Shatru",$C$4:$I$4,"")),"—")</f>
        <v>—</v>
      </c>
      <c r="G26" s="774" t="str">
        <f ca="1">IFERROR(_xludf.textjoin(", ",TRUE(),IF($C$6:$I$6="Adhi Shatru",$C$4:$I$4,"")),"—")</f>
        <v>—</v>
      </c>
      <c r="H26" s="536" t="str">
        <f t="shared" ca="1" si="0"/>
        <v>AM: none  |  M: none  |  Sh: none  |  AS: none</v>
      </c>
    </row>
    <row r="27" spans="1:21" ht="21.75" customHeight="1" x14ac:dyDescent="0.2">
      <c r="A27" s="279" t="s">
        <v>268</v>
      </c>
      <c r="B27" s="757" t="str">
        <f>IFERROR(CALC_PlanetPositions!$B$9,"—")</f>
        <v>Gemini</v>
      </c>
      <c r="C27" s="771" t="str">
        <f ca="1">IFERROR(_xludf.textjoin(", ",TRUE(),IF($C$7:$I$7="Adhi Mitra",$C$4:$I$4,"")),"—")</f>
        <v>—</v>
      </c>
      <c r="D27" s="698" t="str">
        <f ca="1">IFERROR(_xludf.textjoin(", ",TRUE(),IF($C$7:$I$7="Mitra",$C$4:$I$4,"")),"—")</f>
        <v>—</v>
      </c>
      <c r="E27" s="772" t="str">
        <f ca="1">IFERROR(_xludf.textjoin(", ",TRUE(),IF($C$7:$I$7="Sama",$C$4:$I$4,"")),"—")</f>
        <v>—</v>
      </c>
      <c r="F27" s="773" t="str">
        <f ca="1">IFERROR(_xludf.textjoin(", ",TRUE(),IF($C$7:$I$7="Shatru",$C$4:$I$4,"")),"—")</f>
        <v>—</v>
      </c>
      <c r="G27" s="774" t="str">
        <f ca="1">IFERROR(_xludf.textjoin(", ",TRUE(),IF($C$7:$I$7="Adhi Shatru",$C$4:$I$4,"")),"—")</f>
        <v>—</v>
      </c>
      <c r="H27" s="534" t="str">
        <f t="shared" ca="1" si="0"/>
        <v>AM: none  |  M: none  |  Sh: none  |  AS: none</v>
      </c>
    </row>
    <row r="28" spans="1:21" ht="21.75" customHeight="1" x14ac:dyDescent="0.2">
      <c r="A28" s="281" t="s">
        <v>269</v>
      </c>
      <c r="B28" s="757" t="str">
        <f>IFERROR(CALC_PlanetPositions!$B$10,"—")</f>
        <v>Cancer</v>
      </c>
      <c r="C28" s="771" t="str">
        <f ca="1">IFERROR(_xludf.textjoin(", ",TRUE(),IF($C$8:$I$8="Adhi Mitra",$C$4:$I$4,"")),"—")</f>
        <v>—</v>
      </c>
      <c r="D28" s="698" t="str">
        <f ca="1">IFERROR(_xludf.textjoin(", ",TRUE(),IF($C$8:$I$8="Mitra",$C$4:$I$4,"")),"—")</f>
        <v>—</v>
      </c>
      <c r="E28" s="772" t="str">
        <f ca="1">IFERROR(_xludf.textjoin(", ",TRUE(),IF($C$8:$I$8="Sama",$C$4:$I$4,"")),"—")</f>
        <v>—</v>
      </c>
      <c r="F28" s="773" t="str">
        <f ca="1">IFERROR(_xludf.textjoin(", ",TRUE(),IF($C$8:$I$8="Shatru",$C$4:$I$4,"")),"—")</f>
        <v>—</v>
      </c>
      <c r="G28" s="774" t="str">
        <f ca="1">IFERROR(_xludf.textjoin(", ",TRUE(),IF($C$8:$I$8="Adhi Shatru",$C$4:$I$4,"")),"—")</f>
        <v>—</v>
      </c>
      <c r="H28" s="536" t="str">
        <f t="shared" ca="1" si="0"/>
        <v>AM: none  |  M: none  |  Sh: none  |  AS: none</v>
      </c>
    </row>
    <row r="29" spans="1:21" ht="21.75" customHeight="1" x14ac:dyDescent="0.2">
      <c r="A29" s="283" t="s">
        <v>270</v>
      </c>
      <c r="B29" s="757" t="str">
        <f>IFERROR(CALC_PlanetPositions!$B$11,"—")</f>
        <v>Libra</v>
      </c>
      <c r="C29" s="771" t="str">
        <f ca="1">IFERROR(_xludf.textjoin(", ",TRUE(),IF($C$9:$I$9="Adhi Mitra",$C$4:$I$4,"")),"—")</f>
        <v>—</v>
      </c>
      <c r="D29" s="698" t="str">
        <f ca="1">IFERROR(_xludf.textjoin(", ",TRUE(),IF($C$9:$I$9="Mitra",$C$4:$I$4,"")),"—")</f>
        <v>—</v>
      </c>
      <c r="E29" s="772" t="str">
        <f ca="1">IFERROR(_xludf.textjoin(", ",TRUE(),IF($C$9:$I$9="Sama",$C$4:$I$4,"")),"—")</f>
        <v>—</v>
      </c>
      <c r="F29" s="773" t="str">
        <f ca="1">IFERROR(_xludf.textjoin(", ",TRUE(),IF($C$9:$I$9="Shatru",$C$4:$I$4,"")),"—")</f>
        <v>—</v>
      </c>
      <c r="G29" s="774" t="str">
        <f ca="1">IFERROR(_xludf.textjoin(", ",TRUE(),IF($C$9:$I$9="Adhi Shatru",$C$4:$I$4,"")),"—")</f>
        <v>—</v>
      </c>
      <c r="H29" s="534" t="str">
        <f t="shared" ca="1" si="0"/>
        <v>AM: none  |  M: none  |  Sh: none  |  AS: none</v>
      </c>
    </row>
    <row r="30" spans="1:21" ht="21.75" customHeight="1" x14ac:dyDescent="0.2">
      <c r="A30" s="285" t="s">
        <v>271</v>
      </c>
      <c r="B30" s="757" t="str">
        <f>IFERROR(CALC_PlanetPositions!$B$12,"—")</f>
        <v>Cancer</v>
      </c>
      <c r="C30" s="771" t="str">
        <f ca="1">IFERROR(_xludf.textjoin(", ",TRUE(),IF($C$10:$I$10="Adhi Mitra",$C$4:$I$4,"")),"—")</f>
        <v>—</v>
      </c>
      <c r="D30" s="698" t="str">
        <f ca="1">IFERROR(_xludf.textjoin(", ",TRUE(),IF($C$10:$I$10="Mitra",$C$4:$I$4,"")),"—")</f>
        <v>—</v>
      </c>
      <c r="E30" s="772" t="str">
        <f ca="1">IFERROR(_xludf.textjoin(", ",TRUE(),IF($C$10:$I$10="Sama",$C$4:$I$4,"")),"—")</f>
        <v>—</v>
      </c>
      <c r="F30" s="773" t="str">
        <f ca="1">IFERROR(_xludf.textjoin(", ",TRUE(),IF($C$10:$I$10="Shatru",$C$4:$I$4,"")),"—")</f>
        <v>—</v>
      </c>
      <c r="G30" s="774" t="str">
        <f ca="1">IFERROR(_xludf.textjoin(", ",TRUE(),IF($C$10:$I$10="Adhi Shatru",$C$4:$I$4,"")),"—")</f>
        <v>—</v>
      </c>
      <c r="H30" s="536" t="str">
        <f t="shared" ca="1" si="0"/>
        <v>AM: none  |  M: none  |  Sh: none  |  AS: none</v>
      </c>
    </row>
    <row r="31" spans="1:21" ht="21.75" customHeight="1" x14ac:dyDescent="0.2">
      <c r="A31" s="287" t="s">
        <v>272</v>
      </c>
      <c r="B31" s="757" t="str">
        <f>IFERROR(CALC_PlanetPositions!$B$13,"—")</f>
        <v>Cancer</v>
      </c>
      <c r="C31" s="771" t="str">
        <f ca="1">IFERROR(_xludf.textjoin(", ",TRUE(),IF($C$11:$I$11="Adhi Mitra",$C$4:$I$4,"")),"—")</f>
        <v>—</v>
      </c>
      <c r="D31" s="698" t="str">
        <f ca="1">IFERROR(_xludf.textjoin(", ",TRUE(),IF($C$11:$I$11="Mitra",$C$4:$I$4,"")),"—")</f>
        <v>—</v>
      </c>
      <c r="E31" s="772" t="str">
        <f ca="1">IFERROR(_xludf.textjoin(", ",TRUE(),IF($C$11:$I$11="Sama",$C$4:$I$4,"")),"—")</f>
        <v>—</v>
      </c>
      <c r="F31" s="773" t="str">
        <f ca="1">IFERROR(_xludf.textjoin(", ",TRUE(),IF($C$11:$I$11="Shatru",$C$4:$I$4,"")),"—")</f>
        <v>—</v>
      </c>
      <c r="G31" s="774" t="str">
        <f ca="1">IFERROR(_xludf.textjoin(", ",TRUE(),IF($C$11:$I$11="Adhi Shatru",$C$4:$I$4,"")),"—")</f>
        <v>—</v>
      </c>
      <c r="H31" s="534" t="str">
        <f t="shared" ca="1" si="0"/>
        <v>AM: none  |  M: none  |  Sh: none  |  AS: none</v>
      </c>
    </row>
    <row r="32" spans="1:21" ht="7.5" customHeight="1" x14ac:dyDescent="0.2"/>
    <row r="33" spans="1:21" ht="18" customHeight="1" x14ac:dyDescent="0.2">
      <c r="A33" s="1555" t="s">
        <v>3616</v>
      </c>
      <c r="B33" s="1555"/>
      <c r="C33" s="1555"/>
      <c r="D33" s="1555"/>
      <c r="E33" s="1555"/>
      <c r="F33" s="1555"/>
      <c r="G33" s="1555"/>
      <c r="H33" s="1555"/>
      <c r="I33" s="1555"/>
      <c r="J33" s="1555"/>
      <c r="K33" s="1555"/>
      <c r="L33" s="1555"/>
      <c r="M33" s="1555"/>
      <c r="N33" s="1555"/>
      <c r="O33" s="1555"/>
      <c r="P33" s="1555"/>
      <c r="Q33" s="1555"/>
      <c r="R33" s="1555"/>
      <c r="S33" s="1555"/>
      <c r="T33" s="1555"/>
      <c r="U33" s="1555"/>
    </row>
    <row r="34" spans="1:21" ht="19.5" customHeight="1" x14ac:dyDescent="0.2">
      <c r="A34" s="189" t="s">
        <v>2393</v>
      </c>
      <c r="B34" s="189" t="s">
        <v>3141</v>
      </c>
      <c r="C34" s="189" t="s">
        <v>3617</v>
      </c>
      <c r="D34" s="1489" t="s">
        <v>3594</v>
      </c>
      <c r="E34" s="1489"/>
      <c r="F34" s="1489"/>
    </row>
    <row r="35" spans="1:21" ht="36" customHeight="1" x14ac:dyDescent="0.2">
      <c r="A35" s="337" t="s">
        <v>3028</v>
      </c>
      <c r="B35" s="296" t="s">
        <v>3372</v>
      </c>
      <c r="C35" s="296" t="s">
        <v>3618</v>
      </c>
      <c r="D35" s="1556"/>
      <c r="E35" s="1556"/>
      <c r="F35" s="522" t="s">
        <v>3619</v>
      </c>
    </row>
    <row r="36" spans="1:21" ht="36" customHeight="1" x14ac:dyDescent="0.2">
      <c r="A36" s="337" t="s">
        <v>3620</v>
      </c>
      <c r="B36" s="299" t="s">
        <v>3372</v>
      </c>
      <c r="C36" s="299" t="s">
        <v>3621</v>
      </c>
      <c r="D36" s="1556" t="s">
        <v>3622</v>
      </c>
      <c r="E36" s="1556"/>
      <c r="F36" s="526" t="s">
        <v>3623</v>
      </c>
    </row>
    <row r="37" spans="1:21" ht="36" customHeight="1" x14ac:dyDescent="0.2">
      <c r="A37" s="337" t="s">
        <v>3036</v>
      </c>
      <c r="B37" s="296" t="s">
        <v>3624</v>
      </c>
      <c r="C37" s="296" t="s">
        <v>3625</v>
      </c>
      <c r="D37" s="1556"/>
      <c r="E37" s="1556"/>
      <c r="F37" s="522" t="s">
        <v>3626</v>
      </c>
    </row>
    <row r="38" spans="1:21" ht="36" customHeight="1" x14ac:dyDescent="0.2">
      <c r="A38" s="337" t="s">
        <v>3627</v>
      </c>
      <c r="B38" s="299" t="s">
        <v>3624</v>
      </c>
      <c r="C38" s="299" t="s">
        <v>3628</v>
      </c>
      <c r="D38" s="1556" t="s">
        <v>3629</v>
      </c>
      <c r="E38" s="1556"/>
      <c r="F38" s="526" t="s">
        <v>3630</v>
      </c>
    </row>
    <row r="39" spans="1:21" ht="19.5" customHeight="1" x14ac:dyDescent="0.2">
      <c r="A39" s="1520" t="s">
        <v>3631</v>
      </c>
      <c r="B39" s="1520"/>
      <c r="C39" s="1520"/>
      <c r="D39" s="1520"/>
      <c r="E39" s="1520"/>
      <c r="F39" s="1520"/>
      <c r="G39" s="1520"/>
      <c r="H39" s="1520"/>
      <c r="I39" s="1520"/>
      <c r="J39" s="1520"/>
      <c r="K39" s="1520"/>
      <c r="L39" s="1520"/>
      <c r="M39" s="1520"/>
      <c r="N39" s="1520"/>
      <c r="O39" s="1520"/>
      <c r="P39" s="1520"/>
      <c r="Q39" s="1520"/>
      <c r="R39" s="1520"/>
      <c r="S39" s="1520"/>
      <c r="T39" s="1520"/>
      <c r="U39" s="1520"/>
    </row>
  </sheetData>
  <mergeCells count="12">
    <mergeCell ref="D38:E38"/>
    <mergeCell ref="A39:U39"/>
    <mergeCell ref="A33:U33"/>
    <mergeCell ref="D34:F34"/>
    <mergeCell ref="D35:E35"/>
    <mergeCell ref="D36:E36"/>
    <mergeCell ref="D37:E37"/>
    <mergeCell ref="A1:U1"/>
    <mergeCell ref="A2:U2"/>
    <mergeCell ref="A3:I3"/>
    <mergeCell ref="A13:I13"/>
    <mergeCell ref="A23:U23"/>
  </mergeCell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6A1B9A"/>
  </sheetPr>
  <dimension ref="A1:L11"/>
  <sheetViews>
    <sheetView zoomScaleNormal="100" workbookViewId="0"/>
  </sheetViews>
  <sheetFormatPr defaultColWidth="8.609375" defaultRowHeight="15" x14ac:dyDescent="0.2"/>
  <cols>
    <col min="1" max="1" width="13.98828125" customWidth="1"/>
    <col min="2" max="4" width="11.97265625" customWidth="1"/>
    <col min="5" max="5" width="9.953125" customWidth="1"/>
    <col min="6" max="7" width="13.98828125" customWidth="1"/>
    <col min="8" max="8" width="32.015625" customWidth="1"/>
  </cols>
  <sheetData>
    <row r="1" spans="1:12" ht="27.75" customHeight="1" x14ac:dyDescent="0.2">
      <c r="A1" s="1518" t="s">
        <v>3632</v>
      </c>
      <c r="B1" s="1518"/>
      <c r="C1" s="1518"/>
      <c r="D1" s="1518"/>
      <c r="E1" s="1518"/>
      <c r="F1" s="1518"/>
      <c r="G1" s="1518"/>
      <c r="H1" s="1518"/>
      <c r="L1" s="29" t="str">
        <f>HYPERLINK("#'00_INDEX'!A1","&lt;- Index")</f>
        <v>&lt;- Index</v>
      </c>
    </row>
    <row r="2" spans="1:12" ht="21.75" customHeight="1" x14ac:dyDescent="0.2">
      <c r="A2" s="1508" t="s">
        <v>3633</v>
      </c>
      <c r="B2" s="1508"/>
      <c r="C2" s="1508"/>
      <c r="D2" s="1508"/>
      <c r="E2" s="1508"/>
      <c r="F2" s="1508"/>
      <c r="G2" s="1508"/>
      <c r="H2" s="1508"/>
    </row>
    <row r="3" spans="1:12" ht="19.5" customHeight="1" x14ac:dyDescent="0.2">
      <c r="A3" s="87" t="s">
        <v>319</v>
      </c>
      <c r="B3" s="658" t="s">
        <v>3634</v>
      </c>
      <c r="C3" s="658" t="s">
        <v>3635</v>
      </c>
      <c r="D3" s="658" t="s">
        <v>3636</v>
      </c>
      <c r="E3" s="516" t="s">
        <v>3637</v>
      </c>
      <c r="F3" s="659" t="s">
        <v>3638</v>
      </c>
      <c r="G3" s="517" t="s">
        <v>3639</v>
      </c>
      <c r="H3" s="775" t="s">
        <v>481</v>
      </c>
      <c r="I3" s="776" t="s">
        <v>3640</v>
      </c>
      <c r="J3" s="776" t="s">
        <v>3641</v>
      </c>
    </row>
    <row r="4" spans="1:12" ht="25.5" customHeight="1" x14ac:dyDescent="0.2">
      <c r="A4" s="90" t="s">
        <v>267</v>
      </c>
      <c r="B4" s="777">
        <f>IFERROR(ROUND((MATCH(CALC_PlanetPositions!$B$7,{"Aries","Taurus","Gemini","Cancer","Leo","Virgo","Libra","Scorpio","Sagittarius","Capricorn","Aquarius","Pisces"},0)-1)*30+CALC_PlanetPositions!$C$7,1),"—")</f>
        <v>118</v>
      </c>
      <c r="C4" s="777">
        <f>IFERROR(ROUND((MATCH(CALC_PlanetPositions!$B$8,{"Aries","Taurus","Gemini","Cancer","Leo","Virgo","Libra","Scorpio","Sagittarius","Capricorn","Aquarius","Pisces"},0)-1)*30+CALC_PlanetPositions!$C$8,1),"—")</f>
        <v>94</v>
      </c>
      <c r="D4" s="778">
        <f>IFERROR(MIN(ABS(((MATCH(CALC_PlanetPositions!$B$8,{"Aries","Taurus","Gemini","Cancer","Leo","Virgo","Libra","Scorpio","Sagittarius","Capricorn","Aquarius","Pisces"},0)-1)*30+CALC_PlanetPositions!$C$8)-((MATCH(CALC_PlanetPositions!$B$7,{"Aries","Taurus","Gemini","Cancer","Leo","Virgo","Libra","Scorpio","Sagittarius","Capricorn","Aquarius","Pisces"},0)-1)*30+CALC_PlanetPositions!$C$7)),360-ABS(((MATCH(CALC_PlanetPositions!$B$8,{"Aries","Taurus","Gemini","Cancer","Leo","Virgo","Libra","Scorpio","Sagittarius","Capricorn","Aquarius","Pisces"},0)-1)*30+CALC_PlanetPositions!$C$8)-((MATCH(CALC_PlanetPositions!$B$7,{"Aries","Taurus","Gemini","Cancer","Leo","Virgo","Libra","Scorpio","Sagittarius","Capricorn","Aquarius","Pisces"},0)-1)*30+CALC_PlanetPositions!$C$7))),"—")</f>
        <v>24.005499999999998</v>
      </c>
      <c r="E4" s="705" t="s">
        <v>695</v>
      </c>
      <c r="F4" s="99" t="str">
        <f>IFERROR(IF(AND(CALC_PlanetPositions!$B$8&lt;&gt;"",D4&lt;=12),"COMBUST ⚠",""),"")</f>
        <v/>
      </c>
      <c r="G4" s="779" t="str">
        <f>IFERROR(IF(AND(CALC_PlanetPositions!$B$8&lt;&gt;"",D4&lt;=1),"Cazimi ✓",""),"")</f>
        <v/>
      </c>
      <c r="H4" s="780" t="s">
        <v>3642</v>
      </c>
      <c r="I4" s="781">
        <v>12</v>
      </c>
      <c r="J4" s="781" t="str">
        <f>IFERROR(IF(AND(CALC_PlanetPositions!$B$8&lt;&gt;"",D4&lt;=I4),"COMBUST ⚠ (Rx-adj)",""),"")</f>
        <v/>
      </c>
    </row>
    <row r="5" spans="1:12" ht="25.5" customHeight="1" x14ac:dyDescent="0.2">
      <c r="A5" s="94" t="s">
        <v>268</v>
      </c>
      <c r="B5" s="782">
        <f>IFERROR(ROUND((MATCH(CALC_PlanetPositions!$B$7,{"Aries","Taurus","Gemini","Cancer","Leo","Virgo","Libra","Scorpio","Sagittarius","Capricorn","Aquarius","Pisces"},0)-1)*30+CALC_PlanetPositions!$C$7,1),"—")</f>
        <v>118</v>
      </c>
      <c r="C5" s="782">
        <f>IFERROR(ROUND((MATCH(CALC_PlanetPositions!$B$9,{"Aries","Taurus","Gemini","Cancer","Leo","Virgo","Libra","Scorpio","Sagittarius","Capricorn","Aquarius","Pisces"},0)-1)*30+CALC_PlanetPositions!$C$9,1),"—")</f>
        <v>67.5</v>
      </c>
      <c r="D5" s="778">
        <f>IFERROR(MIN(ABS(((MATCH(CALC_PlanetPositions!$B$9,{"Aries","Taurus","Gemini","Cancer","Leo","Virgo","Libra","Scorpio","Sagittarius","Capricorn","Aquarius","Pisces"},0)-1)*30+CALC_PlanetPositions!$C$9)-((MATCH(CALC_PlanetPositions!$B$7,{"Aries","Taurus","Gemini","Cancer","Leo","Virgo","Libra","Scorpio","Sagittarius","Capricorn","Aquarius","Pisces"},0)-1)*30+CALC_PlanetPositions!$C$7)),360-ABS(((MATCH(CALC_PlanetPositions!$B$9,{"Aries","Taurus","Gemini","Cancer","Leo","Virgo","Libra","Scorpio","Sagittarius","Capricorn","Aquarius","Pisces"},0)-1)*30+CALC_PlanetPositions!$C$9)-((MATCH(CALC_PlanetPositions!$B$7,{"Aries","Taurus","Gemini","Cancer","Leo","Virgo","Libra","Scorpio","Sagittarius","Capricorn","Aquarius","Pisces"},0)-1)*30+CALC_PlanetPositions!$C$7))),"—")</f>
        <v>50.532800000000009</v>
      </c>
      <c r="E5" s="705" t="s">
        <v>696</v>
      </c>
      <c r="F5" s="99" t="str">
        <f>IFERROR(IF(AND(CALC_PlanetPositions!$B$9&lt;&gt;"",D5&lt;=17),"COMBUST ⚠",""),"")</f>
        <v/>
      </c>
      <c r="G5" s="779" t="str">
        <f>IFERROR(IF(AND(CALC_PlanetPositions!$B$9&lt;&gt;"",D5&lt;=1),"Cazimi ✓",""),"")</f>
        <v/>
      </c>
      <c r="H5" s="783" t="str">
        <f>IFERROR(CALC_RetrogradeFix!$I$6,"Direct (+)")</f>
        <v>Direct (+)</v>
      </c>
      <c r="I5" s="781">
        <f>IFERROR(IF(CALC_RetrogradeFix!$D$6&lt;0,17-2,17),17)</f>
        <v>17</v>
      </c>
      <c r="J5" s="781" t="str">
        <f>IFERROR(IF(AND(CALC_PlanetPositions!$B$9&lt;&gt;"",D5&lt;=I5),"COMBUST ⚠ (Rx-adj)",""),"")</f>
        <v/>
      </c>
    </row>
    <row r="6" spans="1:12" ht="25.5" customHeight="1" x14ac:dyDescent="0.2">
      <c r="A6" s="90" t="s">
        <v>269</v>
      </c>
      <c r="B6" s="777">
        <f>IFERROR(ROUND((MATCH(CALC_PlanetPositions!$B$7,{"Aries","Taurus","Gemini","Cancer","Leo","Virgo","Libra","Scorpio","Sagittarius","Capricorn","Aquarius","Pisces"},0)-1)*30+CALC_PlanetPositions!$C$7,1),"—")</f>
        <v>118</v>
      </c>
      <c r="C6" s="777">
        <f>IFERROR(ROUND((MATCH(CALC_PlanetPositions!$B$10,{"Aries","Taurus","Gemini","Cancer","Leo","Virgo","Libra","Scorpio","Sagittarius","Capricorn","Aquarius","Pisces"},0)-1)*30+CALC_PlanetPositions!$C$10,1),"—")</f>
        <v>103.7</v>
      </c>
      <c r="D6" s="778">
        <f>IFERROR(MIN(ABS(((MATCH(CALC_PlanetPositions!$B$10,{"Aries","Taurus","Gemini","Cancer","Leo","Virgo","Libra","Scorpio","Sagittarius","Capricorn","Aquarius","Pisces"},0)-1)*30+CALC_PlanetPositions!$C$10)-((MATCH(CALC_PlanetPositions!$B$7,{"Aries","Taurus","Gemini","Cancer","Leo","Virgo","Libra","Scorpio","Sagittarius","Capricorn","Aquarius","Pisces"},0)-1)*30+CALC_PlanetPositions!$C$7)),360-ABS(((MATCH(CALC_PlanetPositions!$B$10,{"Aries","Taurus","Gemini","Cancer","Leo","Virgo","Libra","Scorpio","Sagittarius","Capricorn","Aquarius","Pisces"},0)-1)*30+CALC_PlanetPositions!$C$10)-((MATCH(CALC_PlanetPositions!$B$7,{"Aries","Taurus","Gemini","Cancer","Leo","Virgo","Libra","Scorpio","Sagittarius","Capricorn","Aquarius","Pisces"},0)-1)*30+CALC_PlanetPositions!$C$7))),"—")</f>
        <v>14.314700000000002</v>
      </c>
      <c r="E6" s="705" t="s">
        <v>697</v>
      </c>
      <c r="F6" s="99" t="str">
        <f>IFERROR(IF(AND(CALC_PlanetPositions!$B$10&lt;&gt;"",D6&lt;=14),"COMBUST ⚠",""),"")</f>
        <v/>
      </c>
      <c r="G6" s="779" t="str">
        <f>IFERROR(IF(AND(CALC_PlanetPositions!$B$10&lt;&gt;"",D6&lt;=1),"Cazimi ✓",""),"")</f>
        <v/>
      </c>
      <c r="H6" s="780" t="str">
        <f>IFERROR(CALC_RetrogradeFix!$I$7,"Direct (+)")</f>
        <v>Direct (+)</v>
      </c>
      <c r="I6" s="781">
        <f>IFERROR(IF(CALC_RetrogradeFix!$D$7&lt;0,14-2,14),14)</f>
        <v>14</v>
      </c>
      <c r="J6" s="781" t="str">
        <f>IFERROR(IF(AND(CALC_PlanetPositions!$B$10&lt;&gt;"",D6&lt;=I6),"COMBUST ⚠ (Rx-adj)",""),"")</f>
        <v/>
      </c>
    </row>
    <row r="7" spans="1:12" ht="25.5" customHeight="1" x14ac:dyDescent="0.2">
      <c r="A7" s="94" t="s">
        <v>270</v>
      </c>
      <c r="B7" s="782">
        <f>IFERROR(ROUND((MATCH(CALC_PlanetPositions!$B$7,{"Aries","Taurus","Gemini","Cancer","Leo","Virgo","Libra","Scorpio","Sagittarius","Capricorn","Aquarius","Pisces"},0)-1)*30+CALC_PlanetPositions!$C$7,1),"—")</f>
        <v>118</v>
      </c>
      <c r="C7" s="782">
        <f>IFERROR(ROUND((MATCH(CALC_PlanetPositions!$B$11,{"Aries","Taurus","Gemini","Cancer","Leo","Virgo","Libra","Scorpio","Sagittarius","Capricorn","Aquarius","Pisces"},0)-1)*30+CALC_PlanetPositions!$C$11,1),"—")</f>
        <v>205.9</v>
      </c>
      <c r="D7" s="778">
        <f>IFERROR(MIN(ABS(((MATCH(CALC_PlanetPositions!$B$11,{"Aries","Taurus","Gemini","Cancer","Leo","Virgo","Libra","Scorpio","Sagittarius","Capricorn","Aquarius","Pisces"},0)-1)*30+CALC_PlanetPositions!$C$11)-((MATCH(CALC_PlanetPositions!$B$7,{"Aries","Taurus","Gemini","Cancer","Leo","Virgo","Libra","Scorpio","Sagittarius","Capricorn","Aquarius","Pisces"},0)-1)*30+CALC_PlanetPositions!$C$7)),360-ABS(((MATCH(CALC_PlanetPositions!$B$11,{"Aries","Taurus","Gemini","Cancer","Leo","Virgo","Libra","Scorpio","Sagittarius","Capricorn","Aquarius","Pisces"},0)-1)*30+CALC_PlanetPositions!$C$11)-((MATCH(CALC_PlanetPositions!$B$7,{"Aries","Taurus","Gemini","Cancer","Leo","Virgo","Libra","Scorpio","Sagittarius","Capricorn","Aquarius","Pisces"},0)-1)*30+CALC_PlanetPositions!$C$7))),"—")</f>
        <v>87.8887</v>
      </c>
      <c r="E7" s="705" t="s">
        <v>698</v>
      </c>
      <c r="F7" s="99" t="str">
        <f>IFERROR(IF(AND(CALC_PlanetPositions!$B$11&lt;&gt;"",D7&lt;=11),"COMBUST ⚠",""),"")</f>
        <v/>
      </c>
      <c r="G7" s="779" t="str">
        <f>IFERROR(IF(AND(CALC_PlanetPositions!$B$11&lt;&gt;"",D7&lt;=1),"Cazimi ✓",""),"")</f>
        <v/>
      </c>
      <c r="H7" s="783" t="str">
        <f>IFERROR(CALC_RetrogradeFix!$I$8,"Direct (+)")</f>
        <v>Direct (+)</v>
      </c>
      <c r="I7" s="781">
        <f>IFERROR(IF(CALC_RetrogradeFix!$D$8&lt;0,11-2,11),11)</f>
        <v>11</v>
      </c>
      <c r="J7" s="781" t="str">
        <f>IFERROR(IF(AND(CALC_PlanetPositions!$B$11&lt;&gt;"",D7&lt;=I7),"COMBUST ⚠ (Rx-adj)",""),"")</f>
        <v/>
      </c>
    </row>
    <row r="8" spans="1:12" ht="25.5" customHeight="1" x14ac:dyDescent="0.2">
      <c r="A8" s="90" t="s">
        <v>271</v>
      </c>
      <c r="B8" s="777">
        <f>IFERROR(ROUND((MATCH(CALC_PlanetPositions!$B$7,{"Aries","Taurus","Gemini","Cancer","Leo","Virgo","Libra","Scorpio","Sagittarius","Capricorn","Aquarius","Pisces"},0)-1)*30+CALC_PlanetPositions!$C$7,1),"—")</f>
        <v>118</v>
      </c>
      <c r="C8" s="777">
        <f>IFERROR(ROUND((MATCH(CALC_PlanetPositions!$B$12,{"Aries","Taurus","Gemini","Cancer","Leo","Virgo","Libra","Scorpio","Sagittarius","Capricorn","Aquarius","Pisces"},0)-1)*30+CALC_PlanetPositions!$C$12,1),"—")</f>
        <v>112.6</v>
      </c>
      <c r="D8" s="778">
        <f>IFERROR(MIN(ABS(((MATCH(CALC_PlanetPositions!$B$12,{"Aries","Taurus","Gemini","Cancer","Leo","Virgo","Libra","Scorpio","Sagittarius","Capricorn","Aquarius","Pisces"},0)-1)*30+CALC_PlanetPositions!$C$12)-((MATCH(CALC_PlanetPositions!$B$7,{"Aries","Taurus","Gemini","Cancer","Leo","Virgo","Libra","Scorpio","Sagittarius","Capricorn","Aquarius","Pisces"},0)-1)*30+CALC_PlanetPositions!$C$7)),360-ABS(((MATCH(CALC_PlanetPositions!$B$12,{"Aries","Taurus","Gemini","Cancer","Leo","Virgo","Libra","Scorpio","Sagittarius","Capricorn","Aquarius","Pisces"},0)-1)*30+CALC_PlanetPositions!$C$12)-((MATCH(CALC_PlanetPositions!$B$7,{"Aries","Taurus","Gemini","Cancer","Leo","Virgo","Libra","Scorpio","Sagittarius","Capricorn","Aquarius","Pisces"},0)-1)*30+CALC_PlanetPositions!$C$7))),"—")</f>
        <v>5.4278000000000048</v>
      </c>
      <c r="E8" s="705" t="s">
        <v>392</v>
      </c>
      <c r="F8" s="99" t="str">
        <f>IFERROR(IF(AND(CALC_PlanetPositions!$B$12&lt;&gt;"",D8&lt;=10),"COMBUST ⚠",""),"")</f>
        <v>COMBUST ⚠</v>
      </c>
      <c r="G8" s="779" t="str">
        <f>IFERROR(IF(AND(CALC_PlanetPositions!$B$12&lt;&gt;"",D8&lt;=1),"Cazimi ✓",""),"")</f>
        <v/>
      </c>
      <c r="H8" s="780" t="str">
        <f>IFERROR(CALC_RetrogradeFix!$I$9,"Direct (+)")</f>
        <v>Direct (+)</v>
      </c>
      <c r="I8" s="781">
        <f>IFERROR(IF(CALC_RetrogradeFix!$D$9&lt;0,10-2,10),10)</f>
        <v>10</v>
      </c>
      <c r="J8" s="781" t="str">
        <f>IFERROR(IF(AND(CALC_PlanetPositions!$B$12&lt;&gt;"",D8&lt;=I8),"COMBUST ⚠ (Rx-adj)",""),"")</f>
        <v>COMBUST ⚠ (Rx-adj)</v>
      </c>
    </row>
    <row r="9" spans="1:12" ht="25.5" customHeight="1" x14ac:dyDescent="0.2">
      <c r="A9" s="94" t="s">
        <v>272</v>
      </c>
      <c r="B9" s="782">
        <f>IFERROR(ROUND((MATCH(CALC_PlanetPositions!$B$7,{"Aries","Taurus","Gemini","Cancer","Leo","Virgo","Libra","Scorpio","Sagittarius","Capricorn","Aquarius","Pisces"},0)-1)*30+CALC_PlanetPositions!$C$7,1),"—")</f>
        <v>118</v>
      </c>
      <c r="C9" s="782">
        <f>IFERROR(ROUND((MATCH(CALC_PlanetPositions!$B$13,{"Aries","Taurus","Gemini","Cancer","Leo","Virgo","Libra","Scorpio","Sagittarius","Capricorn","Aquarius","Pisces"},0)-1)*30+CALC_PlanetPositions!$C$13,1),"—")</f>
        <v>110.5</v>
      </c>
      <c r="D9" s="778">
        <f>IFERROR(MIN(ABS(((MATCH(CALC_PlanetPositions!$B$13,{"Aries","Taurus","Gemini","Cancer","Leo","Virgo","Libra","Scorpio","Sagittarius","Capricorn","Aquarius","Pisces"},0)-1)*30+CALC_PlanetPositions!$C$13)-((MATCH(CALC_PlanetPositions!$B$7,{"Aries","Taurus","Gemini","Cancer","Leo","Virgo","Libra","Scorpio","Sagittarius","Capricorn","Aquarius","Pisces"},0)-1)*30+CALC_PlanetPositions!$C$7)),360-ABS(((MATCH(CALC_PlanetPositions!$B$13,{"Aries","Taurus","Gemini","Cancer","Leo","Virgo","Libra","Scorpio","Sagittarius","Capricorn","Aquarius","Pisces"},0)-1)*30+CALC_PlanetPositions!$C$13)-((MATCH(CALC_PlanetPositions!$B$7,{"Aries","Taurus","Gemini","Cancer","Leo","Virgo","Libra","Scorpio","Sagittarius","Capricorn","Aquarius","Pisces"},0)-1)*30+CALC_PlanetPositions!$C$7))),"—")</f>
        <v>7.5160000000000053</v>
      </c>
      <c r="E9" s="705" t="s">
        <v>395</v>
      </c>
      <c r="F9" s="99" t="str">
        <f>IFERROR(IF(AND(CALC_PlanetPositions!$B$13&lt;&gt;"",D9&lt;=15),"COMBUST ⚠",""),"")</f>
        <v>COMBUST ⚠</v>
      </c>
      <c r="G9" s="779" t="str">
        <f>IFERROR(IF(AND(CALC_PlanetPositions!$B$13&lt;&gt;"",D9&lt;=1),"Cazimi ✓",""),"")</f>
        <v/>
      </c>
      <c r="H9" s="783" t="str">
        <f>IFERROR(CALC_RetrogradeFix!$I$10,"Direct (+)")</f>
        <v>Direct (+)</v>
      </c>
      <c r="I9" s="781">
        <f>IFERROR(IF(CALC_RetrogradeFix!$D$10&lt;0,15-2,15),15)</f>
        <v>15</v>
      </c>
      <c r="J9" s="781" t="str">
        <f>IFERROR(IF(AND(CALC_PlanetPositions!$B$13&lt;&gt;"",D9&lt;=I9),"COMBUST ⚠ (Rx-adj)",""),"")</f>
        <v>COMBUST ⚠ (Rx-adj)</v>
      </c>
    </row>
    <row r="11" spans="1:12" ht="39.75" customHeight="1" x14ac:dyDescent="0.2">
      <c r="A11" s="562" t="s">
        <v>3643</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6A1B9A"/>
  </sheetPr>
  <dimension ref="A1:L10"/>
  <sheetViews>
    <sheetView zoomScaleNormal="100" workbookViewId="0"/>
  </sheetViews>
  <sheetFormatPr defaultColWidth="8.609375" defaultRowHeight="15" x14ac:dyDescent="0.2"/>
  <cols>
    <col min="1" max="3" width="13.98828125" customWidth="1"/>
    <col min="4" max="5" width="11.97265625" customWidth="1"/>
    <col min="6" max="7" width="13.98828125" customWidth="1"/>
    <col min="8" max="8" width="32.015625" customWidth="1"/>
  </cols>
  <sheetData>
    <row r="1" spans="1:12" ht="27.75" customHeight="1" x14ac:dyDescent="0.2">
      <c r="A1" s="1518" t="s">
        <v>3644</v>
      </c>
      <c r="B1" s="1518"/>
      <c r="C1" s="1518"/>
      <c r="D1" s="1518"/>
      <c r="E1" s="1518"/>
      <c r="F1" s="1518"/>
      <c r="G1" s="1518"/>
      <c r="H1" s="1518"/>
      <c r="L1" s="29" t="str">
        <f>HYPERLINK("#'00_INDEX'!A1","&lt;- Index")</f>
        <v>&lt;- Index</v>
      </c>
    </row>
    <row r="2" spans="1:12" ht="21.75" customHeight="1" x14ac:dyDescent="0.2">
      <c r="A2" s="1508" t="s">
        <v>3645</v>
      </c>
      <c r="B2" s="1508"/>
      <c r="C2" s="1508"/>
      <c r="D2" s="1508"/>
      <c r="E2" s="1508"/>
      <c r="F2" s="1508"/>
      <c r="G2" s="1508"/>
      <c r="H2" s="1508"/>
    </row>
    <row r="3" spans="1:12" ht="19.5" customHeight="1" x14ac:dyDescent="0.2">
      <c r="A3" s="87" t="s">
        <v>319</v>
      </c>
      <c r="B3" s="517" t="s">
        <v>839</v>
      </c>
      <c r="C3" s="658" t="s">
        <v>3646</v>
      </c>
      <c r="D3" s="659" t="s">
        <v>3647</v>
      </c>
      <c r="E3" s="658" t="s">
        <v>3648</v>
      </c>
      <c r="F3" s="517" t="s">
        <v>3649</v>
      </c>
      <c r="G3" s="517" t="s">
        <v>3650</v>
      </c>
      <c r="H3" s="89" t="s">
        <v>282</v>
      </c>
    </row>
    <row r="4" spans="1:12" ht="25.5" customHeight="1" x14ac:dyDescent="0.2">
      <c r="A4" s="90" t="s">
        <v>266</v>
      </c>
      <c r="B4" s="481" t="s">
        <v>841</v>
      </c>
      <c r="C4" s="317" t="str">
        <f>IFERROR("H"&amp;(MOD(MATCH(CALC_PlanetPositions!$B$7,{"Aries","Taurus","Gemini","Cancer","Leo","Virgo","Libra","Scorpio","Sagittarius","Capricorn","Aquarius","Pisces"},0)-MATCH(INPUT_Chart!$C$5,{"Aries","Taurus","Gemini","Cancer","Leo","Virgo","Libra","Scorpio","Sagittarius","Capricorn","Aquarius","Pisces"},0),12)+1),"—")</f>
        <v>H3</v>
      </c>
      <c r="D4" s="784" t="s">
        <v>842</v>
      </c>
      <c r="E4" s="785">
        <f>IFERROR(MIN(ABS((MOD(MATCH(CALC_PlanetPositions!$B$7,{"Aries","Taurus","Gemini","Cancer","Leo","Virgo","Libra","Scorpio","Sagittarius","Capricorn","Aquarius","Pisces"},0)-MATCH(INPUT_Chart!$C$5,{"Aries","Taurus","Gemini","Cancer","Leo","Virgo","Libra","Scorpio","Sagittarius","Capricorn","Aquarius","Pisces"},0),12)+1)-10),12-ABS((MOD(MATCH(CALC_PlanetPositions!$B$7,{"Aries","Taurus","Gemini","Cancer","Leo","Virgo","Libra","Scorpio","Sagittarius","Capricorn","Aquarius","Pisces"},0)-MATCH(INPUT_Chart!$C$5,{"Aries","Taurus","Gemini","Cancer","Leo","Virgo","Libra","Scorpio","Sagittarius","Capricorn","Aquarius","Pisces"},0),12)+1)-10)),"—")</f>
        <v>5</v>
      </c>
      <c r="F4" s="786" t="str">
        <f>IFERROR(IF(CALC_PlanetPositions!$B$7="","No",IF((MOD(MATCH(CALC_PlanetPositions!$B$7,{"Aries","Taurus","Gemini","Cancer","Leo","Virgo","Libra","Scorpio","Sagittarius","Capricorn","Aquarius","Pisces"},0)-MATCH(INPUT_Chart!$C$5,{"Aries","Taurus","Gemini","Cancer","Leo","Virgo","Libra","Scorpio","Sagittarius","Capricorn","Aquarius","Pisces"},0),12)+1)=10,"Yes","No")),"No")</f>
        <v>No</v>
      </c>
      <c r="G4" s="787">
        <f>IFERROR(IF(CALC_PlanetPositions!$B$7="","—",ROUND(MAX(0,1-MIN(ABS((MOD(MATCH(CALC_PlanetPositions!$B$7,{"Aries","Taurus","Gemini","Cancer","Leo","Virgo","Libra","Scorpio","Sagittarius","Capricorn","Aquarius","Pisces"},0)-MATCH(INPUT_Chart!$C$5,{"Aries","Taurus","Gemini","Cancer","Leo","Virgo","Libra","Scorpio","Sagittarius","Capricorn","Aquarius","Pisces"},0),12)+1)-10),12-ABS((MOD(MATCH(CALC_PlanetPositions!$B$7,{"Aries","Taurus","Gemini","Cancer","Leo","Virgo","Libra","Scorpio","Sagittarius","Capricorn","Aquarius","Pisces"},0)-MATCH(INPUT_Chart!$C$5,{"Aries","Taurus","Gemini","Cancer","Leo","Virgo","Libra","Scorpio","Sagittarius","Capricorn","Aquarius","Pisces"},0),12)+1)-10))/6),2)),"—")</f>
        <v>0.17</v>
      </c>
      <c r="H4" s="534" t="s">
        <v>3651</v>
      </c>
    </row>
    <row r="5" spans="1:12" ht="25.5" customHeight="1" x14ac:dyDescent="0.2">
      <c r="A5" s="94" t="s">
        <v>267</v>
      </c>
      <c r="B5" s="481" t="s">
        <v>842</v>
      </c>
      <c r="C5" s="317" t="str">
        <f>IFERROR("H"&amp;(MOD(MATCH(CALC_PlanetPositions!$B$8,{"Aries","Taurus","Gemini","Cancer","Leo","Virgo","Libra","Scorpio","Sagittarius","Capricorn","Aquarius","Pisces"},0)-MATCH(INPUT_Chart!$C$5,{"Aries","Taurus","Gemini","Cancer","Leo","Virgo","Libra","Scorpio","Sagittarius","Capricorn","Aquarius","Pisces"},0),12)+1),"—")</f>
        <v>H3</v>
      </c>
      <c r="D5" s="788" t="s">
        <v>841</v>
      </c>
      <c r="E5" s="785">
        <f>IFERROR(MIN(ABS((MOD(MATCH(CALC_PlanetPositions!$B$8,{"Aries","Taurus","Gemini","Cancer","Leo","Virgo","Libra","Scorpio","Sagittarius","Capricorn","Aquarius","Pisces"},0)-MATCH(INPUT_Chart!$C$5,{"Aries","Taurus","Gemini","Cancer","Leo","Virgo","Libra","Scorpio","Sagittarius","Capricorn","Aquarius","Pisces"},0),12)+1)-4),12-ABS((MOD(MATCH(CALC_PlanetPositions!$B$8,{"Aries","Taurus","Gemini","Cancer","Leo","Virgo","Libra","Scorpio","Sagittarius","Capricorn","Aquarius","Pisces"},0)-MATCH(INPUT_Chart!$C$5,{"Aries","Taurus","Gemini","Cancer","Leo","Virgo","Libra","Scorpio","Sagittarius","Capricorn","Aquarius","Pisces"},0),12)+1)-4)),"—")</f>
        <v>1</v>
      </c>
      <c r="F5" s="786" t="str">
        <f>IFERROR(IF(CALC_PlanetPositions!$B$8="","No",IF((MOD(MATCH(CALC_PlanetPositions!$B$8,{"Aries","Taurus","Gemini","Cancer","Leo","Virgo","Libra","Scorpio","Sagittarius","Capricorn","Aquarius","Pisces"},0)-MATCH(INPUT_Chart!$C$5,{"Aries","Taurus","Gemini","Cancer","Leo","Virgo","Libra","Scorpio","Sagittarius","Capricorn","Aquarius","Pisces"},0),12)+1)=4,"Yes","No")),"No")</f>
        <v>No</v>
      </c>
      <c r="G5" s="787">
        <f>IFERROR(IF(CALC_PlanetPositions!$B$8="","—",ROUND(MAX(0,1-MIN(ABS((MOD(MATCH(CALC_PlanetPositions!$B$8,{"Aries","Taurus","Gemini","Cancer","Leo","Virgo","Libra","Scorpio","Sagittarius","Capricorn","Aquarius","Pisces"},0)-MATCH(INPUT_Chart!$C$5,{"Aries","Taurus","Gemini","Cancer","Leo","Virgo","Libra","Scorpio","Sagittarius","Capricorn","Aquarius","Pisces"},0),12)+1)-4),12-ABS((MOD(MATCH(CALC_PlanetPositions!$B$8,{"Aries","Taurus","Gemini","Cancer","Leo","Virgo","Libra","Scorpio","Sagittarius","Capricorn","Aquarius","Pisces"},0)-MATCH(INPUT_Chart!$C$5,{"Aries","Taurus","Gemini","Cancer","Leo","Virgo","Libra","Scorpio","Sagittarius","Capricorn","Aquarius","Pisces"},0),12)+1)-4))/6),2)),"—")</f>
        <v>0.83</v>
      </c>
      <c r="H5" s="536" t="s">
        <v>3652</v>
      </c>
    </row>
    <row r="6" spans="1:12" ht="25.5" customHeight="1" x14ac:dyDescent="0.2">
      <c r="A6" s="90" t="s">
        <v>268</v>
      </c>
      <c r="B6" s="481" t="s">
        <v>843</v>
      </c>
      <c r="C6" s="317" t="str">
        <f>IFERROR("H"&amp;(MOD(MATCH(CALC_PlanetPositions!$B$9,{"Aries","Taurus","Gemini","Cancer","Leo","Virgo","Libra","Scorpio","Sagittarius","Capricorn","Aquarius","Pisces"},0)-MATCH(INPUT_Chart!$C$5,{"Aries","Taurus","Gemini","Cancer","Leo","Virgo","Libra","Scorpio","Sagittarius","Capricorn","Aquarius","Pisces"},0),12)+1),"—")</f>
        <v>H2</v>
      </c>
      <c r="D6" s="784" t="s">
        <v>842</v>
      </c>
      <c r="E6" s="785">
        <f>IFERROR(MIN(ABS((MOD(MATCH(CALC_PlanetPositions!$B$9,{"Aries","Taurus","Gemini","Cancer","Leo","Virgo","Libra","Scorpio","Sagittarius","Capricorn","Aquarius","Pisces"},0)-MATCH(INPUT_Chart!$C$5,{"Aries","Taurus","Gemini","Cancer","Leo","Virgo","Libra","Scorpio","Sagittarius","Capricorn","Aquarius","Pisces"},0),12)+1)-10),12-ABS((MOD(MATCH(CALC_PlanetPositions!$B$9,{"Aries","Taurus","Gemini","Cancer","Leo","Virgo","Libra","Scorpio","Sagittarius","Capricorn","Aquarius","Pisces"},0)-MATCH(INPUT_Chart!$C$5,{"Aries","Taurus","Gemini","Cancer","Leo","Virgo","Libra","Scorpio","Sagittarius","Capricorn","Aquarius","Pisces"},0),12)+1)-10)),"—")</f>
        <v>4</v>
      </c>
      <c r="F6" s="786" t="str">
        <f>IFERROR(IF(CALC_PlanetPositions!$B$9="","No",IF(OR((MOD(MATCH(CALC_PlanetPositions!$B$9,{"Aries","Taurus","Gemini","Cancer","Leo","Virgo","Libra","Scorpio","Sagittarius","Capricorn","Aquarius","Pisces"},0)-MATCH(INPUT_Chart!$C$5,{"Aries","Taurus","Gemini","Cancer","Leo","Virgo","Libra","Scorpio","Sagittarius","Capricorn","Aquarius","Pisces"},0),12)+1)=10,(MOD(MATCH(CALC_PlanetPositions!$B$9,{"Aries","Taurus","Gemini","Cancer","Leo","Virgo","Libra","Scorpio","Sagittarius","Capricorn","Aquarius","Pisces"},0)-MATCH(INPUT_Chart!$C$5,{"Aries","Taurus","Gemini","Cancer","Leo","Virgo","Libra","Scorpio","Sagittarius","Capricorn","Aquarius","Pisces"},0),12)+1)=3),"Yes","No")),"No")</f>
        <v>No</v>
      </c>
      <c r="G6" s="787">
        <f>IFERROR(IF(CALC_PlanetPositions!$B$9="","—",ROUND(MAX(0,1-MIN(ABS((MOD(MATCH(CALC_PlanetPositions!$B$9,{"Aries","Taurus","Gemini","Cancer","Leo","Virgo","Libra","Scorpio","Sagittarius","Capricorn","Aquarius","Pisces"},0)-MATCH(INPUT_Chart!$C$5,{"Aries","Taurus","Gemini","Cancer","Leo","Virgo","Libra","Scorpio","Sagittarius","Capricorn","Aquarius","Pisces"},0),12)+1)-10),12-ABS((MOD(MATCH(CALC_PlanetPositions!$B$9,{"Aries","Taurus","Gemini","Cancer","Leo","Virgo","Libra","Scorpio","Sagittarius","Capricorn","Aquarius","Pisces"},0)-MATCH(INPUT_Chart!$C$5,{"Aries","Taurus","Gemini","Cancer","Leo","Virgo","Libra","Scorpio","Sagittarius","Capricorn","Aquarius","Pisces"},0),12)+1)-10))/6),2)),"—")</f>
        <v>0.33</v>
      </c>
      <c r="H6" s="534" t="s">
        <v>3653</v>
      </c>
    </row>
    <row r="7" spans="1:12" ht="25.5" customHeight="1" x14ac:dyDescent="0.2">
      <c r="A7" s="94" t="s">
        <v>269</v>
      </c>
      <c r="B7" s="481" t="s">
        <v>844</v>
      </c>
      <c r="C7" s="317" t="str">
        <f>IFERROR("H"&amp;(MOD(MATCH(CALC_PlanetPositions!$B$10,{"Aries","Taurus","Gemini","Cancer","Leo","Virgo","Libra","Scorpio","Sagittarius","Capricorn","Aquarius","Pisces"},0)-MATCH(INPUT_Chart!$C$5,{"Aries","Taurus","Gemini","Cancer","Leo","Virgo","Libra","Scorpio","Sagittarius","Capricorn","Aquarius","Pisces"},0),12)+1),"—")</f>
        <v>H3</v>
      </c>
      <c r="D7" s="788" t="s">
        <v>846</v>
      </c>
      <c r="E7" s="785">
        <f>IFERROR(MIN(ABS((MOD(MATCH(CALC_PlanetPositions!$B$10,{"Aries","Taurus","Gemini","Cancer","Leo","Virgo","Libra","Scorpio","Sagittarius","Capricorn","Aquarius","Pisces"},0)-MATCH(INPUT_Chart!$C$5,{"Aries","Taurus","Gemini","Cancer","Leo","Virgo","Libra","Scorpio","Sagittarius","Capricorn","Aquarius","Pisces"},0),12)+1)-1),12-ABS((MOD(MATCH(CALC_PlanetPositions!$B$10,{"Aries","Taurus","Gemini","Cancer","Leo","Virgo","Libra","Scorpio","Sagittarius","Capricorn","Aquarius","Pisces"},0)-MATCH(INPUT_Chart!$C$5,{"Aries","Taurus","Gemini","Cancer","Leo","Virgo","Libra","Scorpio","Sagittarius","Capricorn","Aquarius","Pisces"},0),12)+1)-1)),"—")</f>
        <v>2</v>
      </c>
      <c r="F7" s="786" t="str">
        <f>IFERROR(IF(CALC_PlanetPositions!$B$10="","No",IF((MOD(MATCH(CALC_PlanetPositions!$B$10,{"Aries","Taurus","Gemini","Cancer","Leo","Virgo","Libra","Scorpio","Sagittarius","Capricorn","Aquarius","Pisces"},0)-MATCH(INPUT_Chart!$C$5,{"Aries","Taurus","Gemini","Cancer","Leo","Virgo","Libra","Scorpio","Sagittarius","Capricorn","Aquarius","Pisces"},0),12)+1)=1,"Yes","No")),"No")</f>
        <v>No</v>
      </c>
      <c r="G7" s="787">
        <f>IFERROR(IF(CALC_PlanetPositions!$B$10="","—",ROUND(MAX(0,1-MIN(ABS((MOD(MATCH(CALC_PlanetPositions!$B$10,{"Aries","Taurus","Gemini","Cancer","Leo","Virgo","Libra","Scorpio","Sagittarius","Capricorn","Aquarius","Pisces"},0)-MATCH(INPUT_Chart!$C$5,{"Aries","Taurus","Gemini","Cancer","Leo","Virgo","Libra","Scorpio","Sagittarius","Capricorn","Aquarius","Pisces"},0),12)+1)-1),12-ABS((MOD(MATCH(CALC_PlanetPositions!$B$10,{"Aries","Taurus","Gemini","Cancer","Leo","Virgo","Libra","Scorpio","Sagittarius","Capricorn","Aquarius","Pisces"},0)-MATCH(INPUT_Chart!$C$5,{"Aries","Taurus","Gemini","Cancer","Leo","Virgo","Libra","Scorpio","Sagittarius","Capricorn","Aquarius","Pisces"},0),12)+1)-1))/6),2)),"—")</f>
        <v>0.67</v>
      </c>
      <c r="H7" s="536" t="s">
        <v>3654</v>
      </c>
    </row>
    <row r="8" spans="1:12" ht="25.5" customHeight="1" x14ac:dyDescent="0.2">
      <c r="A8" s="90" t="s">
        <v>270</v>
      </c>
      <c r="B8" s="481" t="s">
        <v>845</v>
      </c>
      <c r="C8" s="317" t="str">
        <f>IFERROR("H"&amp;(MOD(MATCH(CALC_PlanetPositions!$B$11,{"Aries","Taurus","Gemini","Cancer","Leo","Virgo","Libra","Scorpio","Sagittarius","Capricorn","Aquarius","Pisces"},0)-MATCH(INPUT_Chart!$C$5,{"Aries","Taurus","Gemini","Cancer","Leo","Virgo","Libra","Scorpio","Sagittarius","Capricorn","Aquarius","Pisces"},0),12)+1),"—")</f>
        <v>H6</v>
      </c>
      <c r="D8" s="784" t="s">
        <v>846</v>
      </c>
      <c r="E8" s="785">
        <f>IFERROR(MIN(ABS((MOD(MATCH(CALC_PlanetPositions!$B$11,{"Aries","Taurus","Gemini","Cancer","Leo","Virgo","Libra","Scorpio","Sagittarius","Capricorn","Aquarius","Pisces"},0)-MATCH(INPUT_Chart!$C$5,{"Aries","Taurus","Gemini","Cancer","Leo","Virgo","Libra","Scorpio","Sagittarius","Capricorn","Aquarius","Pisces"},0),12)+1)-1),12-ABS((MOD(MATCH(CALC_PlanetPositions!$B$11,{"Aries","Taurus","Gemini","Cancer","Leo","Virgo","Libra","Scorpio","Sagittarius","Capricorn","Aquarius","Pisces"},0)-MATCH(INPUT_Chart!$C$5,{"Aries","Taurus","Gemini","Cancer","Leo","Virgo","Libra","Scorpio","Sagittarius","Capricorn","Aquarius","Pisces"},0),12)+1)-1)),"—")</f>
        <v>5</v>
      </c>
      <c r="F8" s="786" t="str">
        <f>IFERROR(IF(CALC_PlanetPositions!$B$11="","No",IF(OR((MOD(MATCH(CALC_PlanetPositions!$B$11,{"Aries","Taurus","Gemini","Cancer","Leo","Virgo","Libra","Scorpio","Sagittarius","Capricorn","Aquarius","Pisces"},0)-MATCH(INPUT_Chart!$C$5,{"Aries","Taurus","Gemini","Cancer","Leo","Virgo","Libra","Scorpio","Sagittarius","Capricorn","Aquarius","Pisces"},0),12)+1)=1,(MOD(MATCH(CALC_PlanetPositions!$B$11,{"Aries","Taurus","Gemini","Cancer","Leo","Virgo","Libra","Scorpio","Sagittarius","Capricorn","Aquarius","Pisces"},0)-MATCH(INPUT_Chart!$C$5,{"Aries","Taurus","Gemini","Cancer","Leo","Virgo","Libra","Scorpio","Sagittarius","Capricorn","Aquarius","Pisces"},0),12)+1)=9),"Yes","No")),"No")</f>
        <v>No</v>
      </c>
      <c r="G8" s="787">
        <f>IFERROR(IF(CALC_PlanetPositions!$B$11="","—",ROUND(MAX(0,1-MIN(ABS((MOD(MATCH(CALC_PlanetPositions!$B$11,{"Aries","Taurus","Gemini","Cancer","Leo","Virgo","Libra","Scorpio","Sagittarius","Capricorn","Aquarius","Pisces"},0)-MATCH(INPUT_Chart!$C$5,{"Aries","Taurus","Gemini","Cancer","Leo","Virgo","Libra","Scorpio","Sagittarius","Capricorn","Aquarius","Pisces"},0),12)+1)-1),12-ABS((MOD(MATCH(CALC_PlanetPositions!$B$11,{"Aries","Taurus","Gemini","Cancer","Leo","Virgo","Libra","Scorpio","Sagittarius","Capricorn","Aquarius","Pisces"},0)-MATCH(INPUT_Chart!$C$5,{"Aries","Taurus","Gemini","Cancer","Leo","Virgo","Libra","Scorpio","Sagittarius","Capricorn","Aquarius","Pisces"},0),12)+1)-1))/6),2)),"—")</f>
        <v>0.17</v>
      </c>
      <c r="H8" s="534" t="s">
        <v>3655</v>
      </c>
    </row>
    <row r="9" spans="1:12" ht="25.5" customHeight="1" x14ac:dyDescent="0.2">
      <c r="A9" s="94" t="s">
        <v>271</v>
      </c>
      <c r="B9" s="481" t="s">
        <v>842</v>
      </c>
      <c r="C9" s="317" t="str">
        <f>IFERROR("H"&amp;(MOD(MATCH(CALC_PlanetPositions!$B$12,{"Aries","Taurus","Gemini","Cancer","Leo","Virgo","Libra","Scorpio","Sagittarius","Capricorn","Aquarius","Pisces"},0)-MATCH(INPUT_Chart!$C$5,{"Aries","Taurus","Gemini","Cancer","Leo","Virgo","Libra","Scorpio","Sagittarius","Capricorn","Aquarius","Pisces"},0),12)+1),"—")</f>
        <v>H3</v>
      </c>
      <c r="D9" s="788" t="s">
        <v>841</v>
      </c>
      <c r="E9" s="785">
        <f>IFERROR(MIN(ABS((MOD(MATCH(CALC_PlanetPositions!$B$12,{"Aries","Taurus","Gemini","Cancer","Leo","Virgo","Libra","Scorpio","Sagittarius","Capricorn","Aquarius","Pisces"},0)-MATCH(INPUT_Chart!$C$5,{"Aries","Taurus","Gemini","Cancer","Leo","Virgo","Libra","Scorpio","Sagittarius","Capricorn","Aquarius","Pisces"},0),12)+1)-4),12-ABS((MOD(MATCH(CALC_PlanetPositions!$B$12,{"Aries","Taurus","Gemini","Cancer","Leo","Virgo","Libra","Scorpio","Sagittarius","Capricorn","Aquarius","Pisces"},0)-MATCH(INPUT_Chart!$C$5,{"Aries","Taurus","Gemini","Cancer","Leo","Virgo","Libra","Scorpio","Sagittarius","Capricorn","Aquarius","Pisces"},0),12)+1)-4)),"—")</f>
        <v>1</v>
      </c>
      <c r="F9" s="786" t="str">
        <f>IFERROR(IF(CALC_PlanetPositions!$B$12="","No",IF((MOD(MATCH(CALC_PlanetPositions!$B$12,{"Aries","Taurus","Gemini","Cancer","Leo","Virgo","Libra","Scorpio","Sagittarius","Capricorn","Aquarius","Pisces"},0)-MATCH(INPUT_Chart!$C$5,{"Aries","Taurus","Gemini","Cancer","Leo","Virgo","Libra","Scorpio","Sagittarius","Capricorn","Aquarius","Pisces"},0),12)+1)=4,"Yes","No")),"No")</f>
        <v>No</v>
      </c>
      <c r="G9" s="787">
        <f>IFERROR(IF(CALC_PlanetPositions!$B$12="","—",ROUND(MAX(0,1-MIN(ABS((MOD(MATCH(CALC_PlanetPositions!$B$12,{"Aries","Taurus","Gemini","Cancer","Leo","Virgo","Libra","Scorpio","Sagittarius","Capricorn","Aquarius","Pisces"},0)-MATCH(INPUT_Chart!$C$5,{"Aries","Taurus","Gemini","Cancer","Leo","Virgo","Libra","Scorpio","Sagittarius","Capricorn","Aquarius","Pisces"},0),12)+1)-4),12-ABS((MOD(MATCH(CALC_PlanetPositions!$B$12,{"Aries","Taurus","Gemini","Cancer","Leo","Virgo","Libra","Scorpio","Sagittarius","Capricorn","Aquarius","Pisces"},0)-MATCH(INPUT_Chart!$C$5,{"Aries","Taurus","Gemini","Cancer","Leo","Virgo","Libra","Scorpio","Sagittarius","Capricorn","Aquarius","Pisces"},0),12)+1)-4))/6),2)),"—")</f>
        <v>0.83</v>
      </c>
      <c r="H9" s="536" t="s">
        <v>3656</v>
      </c>
    </row>
    <row r="10" spans="1:12" ht="25.5" customHeight="1" x14ac:dyDescent="0.2">
      <c r="A10" s="90" t="s">
        <v>272</v>
      </c>
      <c r="B10" s="481" t="s">
        <v>846</v>
      </c>
      <c r="C10" s="317" t="str">
        <f>IFERROR("H"&amp;(MOD(MATCH(CALC_PlanetPositions!$B$13,{"Aries","Taurus","Gemini","Cancer","Leo","Virgo","Libra","Scorpio","Sagittarius","Capricorn","Aquarius","Pisces"},0)-MATCH(INPUT_Chart!$C$5,{"Aries","Taurus","Gemini","Cancer","Leo","Virgo","Libra","Scorpio","Sagittarius","Capricorn","Aquarius","Pisces"},0),12)+1),"—")</f>
        <v>H3</v>
      </c>
      <c r="D10" s="784" t="s">
        <v>844</v>
      </c>
      <c r="E10" s="785">
        <f>IFERROR(MIN(ABS((MOD(MATCH(CALC_PlanetPositions!$B$13,{"Aries","Taurus","Gemini","Cancer","Leo","Virgo","Libra","Scorpio","Sagittarius","Capricorn","Aquarius","Pisces"},0)-MATCH(INPUT_Chart!$C$5,{"Aries","Taurus","Gemini","Cancer","Leo","Virgo","Libra","Scorpio","Sagittarius","Capricorn","Aquarius","Pisces"},0),12)+1)-7),12-ABS((MOD(MATCH(CALC_PlanetPositions!$B$13,{"Aries","Taurus","Gemini","Cancer","Leo","Virgo","Libra","Scorpio","Sagittarius","Capricorn","Aquarius","Pisces"},0)-MATCH(INPUT_Chart!$C$5,{"Aries","Taurus","Gemini","Cancer","Leo","Virgo","Libra","Scorpio","Sagittarius","Capricorn","Aquarius","Pisces"},0),12)+1)-7)),"—")</f>
        <v>4</v>
      </c>
      <c r="F10" s="786" t="str">
        <f>IFERROR(IF(CALC_PlanetPositions!$B$13="","No",IF((MOD(MATCH(CALC_PlanetPositions!$B$13,{"Aries","Taurus","Gemini","Cancer","Leo","Virgo","Libra","Scorpio","Sagittarius","Capricorn","Aquarius","Pisces"},0)-MATCH(INPUT_Chart!$C$5,{"Aries","Taurus","Gemini","Cancer","Leo","Virgo","Libra","Scorpio","Sagittarius","Capricorn","Aquarius","Pisces"},0),12)+1)=7,"Yes","No")),"No")</f>
        <v>No</v>
      </c>
      <c r="G10" s="787">
        <f>IFERROR(IF(CALC_PlanetPositions!$B$13="","—",ROUND(MAX(0,1-MIN(ABS((MOD(MATCH(CALC_PlanetPositions!$B$13,{"Aries","Taurus","Gemini","Cancer","Leo","Virgo","Libra","Scorpio","Sagittarius","Capricorn","Aquarius","Pisces"},0)-MATCH(INPUT_Chart!$C$5,{"Aries","Taurus","Gemini","Cancer","Leo","Virgo","Libra","Scorpio","Sagittarius","Capricorn","Aquarius","Pisces"},0),12)+1)-7),12-ABS((MOD(MATCH(CALC_PlanetPositions!$B$13,{"Aries","Taurus","Gemini","Cancer","Leo","Virgo","Libra","Scorpio","Sagittarius","Capricorn","Aquarius","Pisces"},0)-MATCH(INPUT_Chart!$C$5,{"Aries","Taurus","Gemini","Cancer","Leo","Virgo","Libra","Scorpio","Sagittarius","Capricorn","Aquarius","Pisces"},0),12)+1)-7))/6),2)),"—")</f>
        <v>0.33</v>
      </c>
      <c r="H10" s="534" t="s">
        <v>3657</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6A1B9A"/>
  </sheetPr>
  <dimension ref="A1:L14"/>
  <sheetViews>
    <sheetView zoomScaleNormal="100" workbookViewId="0"/>
  </sheetViews>
  <sheetFormatPr defaultColWidth="8.609375" defaultRowHeight="15" x14ac:dyDescent="0.2"/>
  <cols>
    <col min="1" max="1" width="13.98828125" customWidth="1"/>
    <col min="2" max="3" width="11.97265625" customWidth="1"/>
    <col min="4" max="4" width="13.98828125" customWidth="1"/>
    <col min="5" max="5" width="11.97265625" customWidth="1"/>
    <col min="6" max="6" width="16.0078125" customWidth="1"/>
    <col min="7" max="7" width="13.98828125" customWidth="1"/>
    <col min="8" max="8" width="34.03125" customWidth="1"/>
  </cols>
  <sheetData>
    <row r="1" spans="1:12" ht="27.75" customHeight="1" x14ac:dyDescent="0.2">
      <c r="A1" s="1533" t="s">
        <v>3658</v>
      </c>
      <c r="B1" s="1533"/>
      <c r="C1" s="1533"/>
      <c r="D1" s="1533"/>
      <c r="E1" s="1533"/>
      <c r="F1" s="1533"/>
      <c r="G1" s="1533"/>
      <c r="H1" s="1533"/>
      <c r="L1" s="29" t="str">
        <f>HYPERLINK("#'00_INDEX'!A1","&lt;- Index")</f>
        <v>&lt;- Index</v>
      </c>
    </row>
    <row r="2" spans="1:12" ht="45" customHeight="1" x14ac:dyDescent="0.2">
      <c r="A2" s="1557" t="s">
        <v>3659</v>
      </c>
      <c r="B2" s="1557"/>
      <c r="C2" s="1557"/>
      <c r="D2" s="1557"/>
      <c r="E2" s="1557"/>
      <c r="F2" s="1557"/>
      <c r="G2" s="1557"/>
      <c r="H2" s="1557"/>
    </row>
    <row r="3" spans="1:12" ht="19.5" customHeight="1" x14ac:dyDescent="0.2">
      <c r="A3" s="789" t="s">
        <v>319</v>
      </c>
      <c r="B3" s="789" t="s">
        <v>3660</v>
      </c>
      <c r="C3" s="775" t="s">
        <v>3661</v>
      </c>
      <c r="D3" s="789" t="s">
        <v>3662</v>
      </c>
      <c r="E3" s="789" t="s">
        <v>3663</v>
      </c>
      <c r="F3" s="789" t="s">
        <v>3664</v>
      </c>
      <c r="G3" s="789" t="s">
        <v>3665</v>
      </c>
      <c r="H3" s="789" t="s">
        <v>282</v>
      </c>
      <c r="I3" s="776" t="s">
        <v>481</v>
      </c>
      <c r="J3" s="776" t="s">
        <v>3666</v>
      </c>
    </row>
    <row r="4" spans="1:12" ht="25.5" customHeight="1" x14ac:dyDescent="0.2">
      <c r="A4" s="90" t="s">
        <v>266</v>
      </c>
      <c r="B4" s="368" t="s">
        <v>2410</v>
      </c>
      <c r="C4" s="368" t="s">
        <v>2410</v>
      </c>
      <c r="D4" s="368" t="s">
        <v>2410</v>
      </c>
      <c r="E4" s="368" t="s">
        <v>3667</v>
      </c>
      <c r="F4" s="368" t="s">
        <v>185</v>
      </c>
      <c r="G4" s="368">
        <v>0</v>
      </c>
      <c r="H4" s="534" t="s">
        <v>3668</v>
      </c>
      <c r="I4" t="s">
        <v>2410</v>
      </c>
      <c r="J4" t="s">
        <v>2410</v>
      </c>
    </row>
    <row r="5" spans="1:12" ht="25.5" customHeight="1" x14ac:dyDescent="0.2">
      <c r="A5" s="94" t="s">
        <v>267</v>
      </c>
      <c r="B5" s="361" t="s">
        <v>2410</v>
      </c>
      <c r="C5" s="361" t="s">
        <v>2410</v>
      </c>
      <c r="D5" s="361" t="s">
        <v>2410</v>
      </c>
      <c r="E5" s="361" t="s">
        <v>3667</v>
      </c>
      <c r="F5" s="361" t="s">
        <v>185</v>
      </c>
      <c r="G5" s="361">
        <v>0</v>
      </c>
      <c r="H5" s="536" t="s">
        <v>3669</v>
      </c>
      <c r="I5" t="s">
        <v>2410</v>
      </c>
      <c r="J5" t="s">
        <v>2410</v>
      </c>
    </row>
    <row r="6" spans="1:12" ht="25.5" customHeight="1" x14ac:dyDescent="0.2">
      <c r="A6" s="90" t="s">
        <v>268</v>
      </c>
      <c r="B6" s="790">
        <v>67.456199999999995</v>
      </c>
      <c r="C6" s="790">
        <v>0.65773099999999995</v>
      </c>
      <c r="D6" s="791">
        <v>68.113900000000001</v>
      </c>
      <c r="E6" s="792" t="s">
        <v>588</v>
      </c>
      <c r="F6" s="793" t="s">
        <v>185</v>
      </c>
      <c r="G6" s="794">
        <v>0</v>
      </c>
      <c r="H6" s="534" t="s">
        <v>3670</v>
      </c>
      <c r="I6" s="781" t="s">
        <v>3671</v>
      </c>
      <c r="J6" s="781" t="s">
        <v>3672</v>
      </c>
    </row>
    <row r="7" spans="1:12" ht="25.5" customHeight="1" x14ac:dyDescent="0.2">
      <c r="A7" s="94" t="s">
        <v>269</v>
      </c>
      <c r="B7" s="795">
        <v>103.6743</v>
      </c>
      <c r="C7" s="795">
        <v>1.8047629999999999</v>
      </c>
      <c r="D7" s="791">
        <v>105.4791</v>
      </c>
      <c r="E7" s="792" t="s">
        <v>588</v>
      </c>
      <c r="F7" s="793" t="s">
        <v>185</v>
      </c>
      <c r="G7" s="794">
        <v>0</v>
      </c>
      <c r="H7" s="536" t="s">
        <v>3673</v>
      </c>
      <c r="I7" s="781" t="s">
        <v>3671</v>
      </c>
      <c r="J7" s="781" t="s">
        <v>3672</v>
      </c>
    </row>
    <row r="8" spans="1:12" ht="25.5" customHeight="1" x14ac:dyDescent="0.2">
      <c r="A8" s="90" t="s">
        <v>270</v>
      </c>
      <c r="B8" s="790">
        <v>205.8777</v>
      </c>
      <c r="C8" s="790">
        <v>8.5349999999999995E-2</v>
      </c>
      <c r="D8" s="791">
        <v>205.9631</v>
      </c>
      <c r="E8" s="796" t="s">
        <v>588</v>
      </c>
      <c r="F8" s="796" t="s">
        <v>185</v>
      </c>
      <c r="G8" s="794">
        <v>0</v>
      </c>
      <c r="H8" s="534" t="s">
        <v>3674</v>
      </c>
      <c r="I8" s="781" t="s">
        <v>3671</v>
      </c>
      <c r="J8" s="781" t="s">
        <v>3672</v>
      </c>
    </row>
    <row r="9" spans="1:12" ht="25.5" customHeight="1" x14ac:dyDescent="0.2">
      <c r="A9" s="94" t="s">
        <v>271</v>
      </c>
      <c r="B9" s="795">
        <v>112.5612</v>
      </c>
      <c r="C9" s="795">
        <v>1.2350369999999999</v>
      </c>
      <c r="D9" s="791">
        <v>113.7962</v>
      </c>
      <c r="E9" s="792" t="s">
        <v>588</v>
      </c>
      <c r="F9" s="793" t="s">
        <v>185</v>
      </c>
      <c r="G9" s="794">
        <v>0</v>
      </c>
      <c r="H9" s="536" t="s">
        <v>3675</v>
      </c>
      <c r="I9" s="781" t="s">
        <v>3671</v>
      </c>
      <c r="J9" s="781" t="s">
        <v>3672</v>
      </c>
    </row>
    <row r="10" spans="1:12" ht="25.5" customHeight="1" x14ac:dyDescent="0.2">
      <c r="A10" s="90" t="s">
        <v>272</v>
      </c>
      <c r="B10" s="790">
        <v>110.473</v>
      </c>
      <c r="C10" s="790">
        <v>0.127808</v>
      </c>
      <c r="D10" s="791">
        <v>110.60080000000001</v>
      </c>
      <c r="E10" s="796" t="s">
        <v>588</v>
      </c>
      <c r="F10" s="796" t="s">
        <v>185</v>
      </c>
      <c r="G10" s="794">
        <v>0</v>
      </c>
      <c r="H10" s="534" t="s">
        <v>3676</v>
      </c>
      <c r="I10" s="781" t="s">
        <v>3671</v>
      </c>
      <c r="J10" s="781" t="s">
        <v>3672</v>
      </c>
    </row>
    <row r="11" spans="1:12" ht="25.5" customHeight="1" x14ac:dyDescent="0.2">
      <c r="A11" s="90" t="s">
        <v>273</v>
      </c>
      <c r="B11" s="368" t="s">
        <v>36</v>
      </c>
      <c r="C11" s="368" t="s">
        <v>36</v>
      </c>
      <c r="D11" s="368" t="s">
        <v>36</v>
      </c>
      <c r="E11" s="71" t="s">
        <v>3677</v>
      </c>
      <c r="F11" s="192" t="s">
        <v>3678</v>
      </c>
      <c r="G11" s="368" t="s">
        <v>1134</v>
      </c>
      <c r="H11" s="530" t="s">
        <v>3679</v>
      </c>
      <c r="I11" t="s">
        <v>3680</v>
      </c>
      <c r="J11" t="s">
        <v>3681</v>
      </c>
    </row>
    <row r="12" spans="1:12" ht="25.5" customHeight="1" x14ac:dyDescent="0.2">
      <c r="A12" s="94" t="s">
        <v>274</v>
      </c>
      <c r="B12" s="361" t="s">
        <v>36</v>
      </c>
      <c r="C12" s="361" t="s">
        <v>36</v>
      </c>
      <c r="D12" s="361" t="s">
        <v>36</v>
      </c>
      <c r="E12" s="74" t="s">
        <v>3677</v>
      </c>
      <c r="F12" s="192" t="s">
        <v>3678</v>
      </c>
      <c r="G12" s="361" t="s">
        <v>1134</v>
      </c>
      <c r="H12" s="532" t="s">
        <v>3679</v>
      </c>
      <c r="I12" t="s">
        <v>3680</v>
      </c>
      <c r="J12" t="s">
        <v>3681</v>
      </c>
    </row>
    <row r="14" spans="1:12" ht="49.5" customHeight="1" x14ac:dyDescent="0.2">
      <c r="A14" s="562" t="s">
        <v>3682</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6A1B9A"/>
  </sheetPr>
  <dimension ref="A1:L12"/>
  <sheetViews>
    <sheetView zoomScaleNormal="100" workbookViewId="0"/>
  </sheetViews>
  <sheetFormatPr defaultColWidth="8.609375" defaultRowHeight="15" x14ac:dyDescent="0.2"/>
  <cols>
    <col min="1" max="1" width="23.9453125" customWidth="1"/>
    <col min="2" max="2" width="13.98828125" customWidth="1"/>
    <col min="3" max="3" width="11.97265625" customWidth="1"/>
    <col min="4" max="4" width="7.93359375" customWidth="1"/>
    <col min="5" max="5" width="11.97265625" customWidth="1"/>
    <col min="6" max="6" width="41.96875" customWidth="1"/>
  </cols>
  <sheetData>
    <row r="1" spans="1:12" ht="27.75" customHeight="1" x14ac:dyDescent="0.2">
      <c r="A1" s="1518" t="s">
        <v>3683</v>
      </c>
      <c r="B1" s="1518"/>
      <c r="C1" s="1518"/>
      <c r="D1" s="1518"/>
      <c r="E1" s="1518"/>
      <c r="F1" s="1518"/>
      <c r="L1" s="29" t="str">
        <f>HYPERLINK("#'00_INDEX'!A1","&lt;- Index")</f>
        <v>&lt;- Index</v>
      </c>
    </row>
    <row r="2" spans="1:12" ht="24" customHeight="1" x14ac:dyDescent="0.2">
      <c r="A2" s="1508" t="s">
        <v>3684</v>
      </c>
      <c r="B2" s="1508"/>
      <c r="C2" s="1508"/>
      <c r="D2" s="1508"/>
      <c r="E2" s="1508"/>
      <c r="F2" s="1508"/>
    </row>
    <row r="3" spans="1:12" ht="19.5" customHeight="1" x14ac:dyDescent="0.2">
      <c r="A3" s="87" t="s">
        <v>3685</v>
      </c>
      <c r="B3" s="517" t="s">
        <v>319</v>
      </c>
      <c r="C3" s="658" t="s">
        <v>3414</v>
      </c>
      <c r="D3" s="516" t="s">
        <v>2425</v>
      </c>
      <c r="E3" s="89" t="s">
        <v>3686</v>
      </c>
      <c r="F3" s="89" t="s">
        <v>2334</v>
      </c>
    </row>
    <row r="4" spans="1:12" ht="36" customHeight="1" x14ac:dyDescent="0.2">
      <c r="A4" s="797" t="s">
        <v>3687</v>
      </c>
      <c r="B4" s="727" t="str">
        <f>IFERROR(INDEX({"Sun","Moon","Mars","Mercury","Jupiter","Venus","Saturn"},MATCH(LARGE(CALC_PlanetPositions!$C$7:$C$13,1),CALC_PlanetPositions!$C$7:$C$13,0)),"—")</f>
        <v>Sun</v>
      </c>
      <c r="C4" s="798">
        <f>IFERROR(LARGE(CALC_PlanetPositions!$C$7:$C$13,1),"—")</f>
        <v>27.989000000000004</v>
      </c>
      <c r="D4" s="518" t="s">
        <v>2074</v>
      </c>
      <c r="E4" s="799" t="s">
        <v>3688</v>
      </c>
      <c r="F4" s="534" t="s">
        <v>3689</v>
      </c>
    </row>
    <row r="5" spans="1:12" ht="36" customHeight="1" x14ac:dyDescent="0.2">
      <c r="A5" s="800" t="s">
        <v>3690</v>
      </c>
      <c r="B5" s="727" t="str">
        <f>IFERROR(INDEX({"Sun","Moon","Mars","Mercury","Jupiter","Venus","Saturn"},MATCH(LARGE(CALC_PlanetPositions!$C$7:$C$13,2),CALC_PlanetPositions!$C$7:$C$13,0)),"—")</f>
        <v>Jupiter</v>
      </c>
      <c r="C5" s="801">
        <f>IFERROR(LARGE(CALC_PlanetPositions!$C$7:$C$13,2),"—")</f>
        <v>25.877700000000004</v>
      </c>
      <c r="D5" s="523" t="s">
        <v>2115</v>
      </c>
      <c r="E5" s="802" t="s">
        <v>3691</v>
      </c>
      <c r="F5" s="536" t="s">
        <v>3692</v>
      </c>
    </row>
    <row r="6" spans="1:12" ht="36" customHeight="1" x14ac:dyDescent="0.2">
      <c r="A6" s="797" t="s">
        <v>3693</v>
      </c>
      <c r="B6" s="727" t="str">
        <f>IFERROR(INDEX({"Sun","Moon","Mars","Mercury","Jupiter","Venus","Saturn"},MATCH(LARGE(CALC_PlanetPositions!$C$7:$C$13,3),CALC_PlanetPositions!$C$7:$C$13,0)),"—")</f>
        <v>Venus</v>
      </c>
      <c r="C6" s="798">
        <f>IFERROR(LARGE(CALC_PlanetPositions!$C$7:$C$13,3),"—")</f>
        <v>22.561199999999999</v>
      </c>
      <c r="D6" s="518" t="s">
        <v>2103</v>
      </c>
      <c r="E6" s="799" t="s">
        <v>3694</v>
      </c>
      <c r="F6" s="534" t="s">
        <v>3695</v>
      </c>
    </row>
    <row r="7" spans="1:12" ht="36" customHeight="1" x14ac:dyDescent="0.2">
      <c r="A7" s="800" t="s">
        <v>3696</v>
      </c>
      <c r="B7" s="727" t="str">
        <f>IFERROR(INDEX({"Sun","Moon","Mars","Mercury","Jupiter","Venus","Saturn"},MATCH(LARGE(CALC_PlanetPositions!$C$7:$C$13,4),CALC_PlanetPositions!$C$7:$C$13,0)),"—")</f>
        <v>Saturn</v>
      </c>
      <c r="C7" s="801">
        <f>IFERROR(LARGE(CALC_PlanetPositions!$C$7:$C$13,4),"—")</f>
        <v>20.472999999999999</v>
      </c>
      <c r="D7" s="523" t="s">
        <v>2119</v>
      </c>
      <c r="E7" s="802" t="s">
        <v>3697</v>
      </c>
      <c r="F7" s="536" t="s">
        <v>3698</v>
      </c>
    </row>
    <row r="8" spans="1:12" ht="36" customHeight="1" x14ac:dyDescent="0.2">
      <c r="A8" s="797" t="s">
        <v>3699</v>
      </c>
      <c r="B8" s="727" t="str">
        <f>IFERROR(INDEX({"Sun","Moon","Mars","Mercury","Jupiter","Venus","Saturn"},MATCH(LARGE(CALC_PlanetPositions!$C$7:$C$13,5),CALC_PlanetPositions!$C$7:$C$13,0)),"—")</f>
        <v>Mercury</v>
      </c>
      <c r="C8" s="798">
        <f>IFERROR(LARGE(CALC_PlanetPositions!$C$7:$C$13,5),"—")</f>
        <v>13.674300000000002</v>
      </c>
      <c r="D8" s="518" t="s">
        <v>2121</v>
      </c>
      <c r="E8" s="799" t="s">
        <v>3700</v>
      </c>
      <c r="F8" s="534" t="s">
        <v>3701</v>
      </c>
    </row>
    <row r="9" spans="1:12" ht="36" customHeight="1" x14ac:dyDescent="0.2">
      <c r="A9" s="800" t="s">
        <v>3702</v>
      </c>
      <c r="B9" s="727" t="str">
        <f>IFERROR(INDEX({"Sun","Moon","Mars","Mercury","Jupiter","Venus","Saturn"},MATCH(LARGE(CALC_PlanetPositions!$C$7:$C$13,6),CALC_PlanetPositions!$C$7:$C$13,0)),"—")</f>
        <v>Mars</v>
      </c>
      <c r="C9" s="801">
        <f>IFERROR(LARGE(CALC_PlanetPositions!$C$7:$C$13,6),"—")</f>
        <v>7.4561999999999955</v>
      </c>
      <c r="D9" s="523" t="s">
        <v>2117</v>
      </c>
      <c r="E9" s="802" t="s">
        <v>3703</v>
      </c>
      <c r="F9" s="536" t="s">
        <v>3704</v>
      </c>
    </row>
    <row r="10" spans="1:12" ht="36" customHeight="1" x14ac:dyDescent="0.2">
      <c r="A10" s="797" t="s">
        <v>3705</v>
      </c>
      <c r="B10" s="727" t="str">
        <f>IFERROR(INDEX({"Sun","Moon","Mars","Mercury","Jupiter","Venus","Saturn"},MATCH(LARGE(CALC_PlanetPositions!$C$7:$C$13,7),CALC_PlanetPositions!$C$7:$C$13,0)),"—")</f>
        <v>Moon</v>
      </c>
      <c r="C10" s="798">
        <f>IFERROR(LARGE(CALC_PlanetPositions!$C$7:$C$13,7),"—")</f>
        <v>3.9835000000000065</v>
      </c>
      <c r="D10" s="518" t="s">
        <v>2097</v>
      </c>
      <c r="E10" s="799" t="s">
        <v>3706</v>
      </c>
      <c r="F10" s="534" t="s">
        <v>3707</v>
      </c>
    </row>
    <row r="12" spans="1:12" ht="27.75" customHeight="1" x14ac:dyDescent="0.2">
      <c r="A12" s="1558" t="s">
        <v>3708</v>
      </c>
      <c r="B12" s="1558"/>
      <c r="C12" s="1558"/>
      <c r="D12" s="1558"/>
      <c r="E12" s="1558"/>
      <c r="F12" s="1558"/>
    </row>
  </sheetData>
  <mergeCells count="3">
    <mergeCell ref="A1:F1"/>
    <mergeCell ref="A2:F2"/>
    <mergeCell ref="A12:F12"/>
  </mergeCell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6A1B9A"/>
  </sheetPr>
  <dimension ref="A1:L18"/>
  <sheetViews>
    <sheetView zoomScaleNormal="100" workbookViewId="0"/>
  </sheetViews>
  <sheetFormatPr defaultColWidth="8.609375" defaultRowHeight="15" x14ac:dyDescent="0.2"/>
  <cols>
    <col min="1" max="1" width="18.0234375" customWidth="1"/>
    <col min="2" max="4" width="13.98828125" customWidth="1"/>
    <col min="5" max="5" width="11.97265625" customWidth="1"/>
    <col min="6" max="6" width="13.98828125" customWidth="1"/>
    <col min="7" max="7" width="11.97265625" customWidth="1"/>
    <col min="8" max="8" width="34.03125" customWidth="1"/>
  </cols>
  <sheetData>
    <row r="1" spans="1:12" ht="27.75" customHeight="1" x14ac:dyDescent="0.2">
      <c r="A1" s="1533" t="s">
        <v>3709</v>
      </c>
      <c r="B1" s="1533"/>
      <c r="C1" s="1533"/>
      <c r="D1" s="1533"/>
      <c r="E1" s="1533"/>
      <c r="F1" s="1533"/>
      <c r="G1" s="1533"/>
      <c r="H1" s="1533"/>
      <c r="L1" s="29" t="str">
        <f>HYPERLINK("#'00_INDEX'!A1","&lt;- Index")</f>
        <v>&lt;- Index</v>
      </c>
    </row>
    <row r="2" spans="1:12" ht="24" customHeight="1" x14ac:dyDescent="0.2">
      <c r="A2" s="1508" t="s">
        <v>3710</v>
      </c>
      <c r="B2" s="1508"/>
      <c r="C2" s="1508"/>
      <c r="D2" s="1508"/>
      <c r="E2" s="1508"/>
      <c r="F2" s="1508"/>
      <c r="G2" s="1508"/>
      <c r="H2" s="1508"/>
    </row>
    <row r="3" spans="1:12" ht="19.5" customHeight="1" x14ac:dyDescent="0.2">
      <c r="A3" s="87"/>
      <c r="B3" s="517" t="s">
        <v>319</v>
      </c>
      <c r="C3" s="516" t="s">
        <v>3711</v>
      </c>
      <c r="D3" s="516" t="s">
        <v>3712</v>
      </c>
      <c r="E3" s="89" t="s">
        <v>262</v>
      </c>
      <c r="F3" s="658" t="s">
        <v>3713</v>
      </c>
      <c r="G3" s="658" t="s">
        <v>3714</v>
      </c>
      <c r="H3" s="89" t="s">
        <v>3715</v>
      </c>
    </row>
    <row r="4" spans="1:12" ht="25.5" customHeight="1" x14ac:dyDescent="0.2">
      <c r="A4" s="518" t="s">
        <v>2074</v>
      </c>
      <c r="B4" s="496" t="str">
        <f>IFERROR(INPUT_BirthData!$A$34,"—")</f>
        <v>Saturn</v>
      </c>
      <c r="C4" s="803">
        <f>IFERROR(INPUT_BirthData!$B$34,"—")</f>
        <v>17394</v>
      </c>
      <c r="D4" s="803">
        <f>IFERROR(INPUT_BirthData!$C$34,"—")</f>
        <v>23994.067500000001</v>
      </c>
      <c r="E4" s="804">
        <f>IFERROR(INPUT_BirthData!$D$34,"—")</f>
        <v>18.07</v>
      </c>
      <c r="F4" s="805" t="str">
        <f t="shared" ref="F4:F12" ca="1" si="0">IFERROR(IF(AND(TODAY()&gt;=C4,TODAY()&lt;D4),"▶ ACTIVE","·"),"·")</f>
        <v>·</v>
      </c>
      <c r="G4" s="806" t="str">
        <f t="shared" ref="G4:G12" ca="1" si="1">IFERROR(IF(AND(TODAY()&gt;=C4,TODAY()&lt;D4),ROUND((D4-TODAY())/365.25,1),"·"),"·")</f>
        <v>·</v>
      </c>
      <c r="H4" s="807" t="str">
        <f>IFERROR(IF(B4="—","—","H"&amp;INDEX(CALC_PlanetPositions!$D$7:$D$15,MATCH(B4,CALC_PlanetPositions!$A$7:$A$15,0))&amp;" · "&amp;INDEX(CALC_PlanetPositions!$K$7:$K$15,MATCH(B4,CALC_PlanetPositions!$A$7:$A$15,0))),"—")</f>
        <v>H110.473 · Enemy sign</v>
      </c>
    </row>
    <row r="5" spans="1:12" ht="25.5" customHeight="1" x14ac:dyDescent="0.2">
      <c r="A5" s="523" t="s">
        <v>2115</v>
      </c>
      <c r="B5" s="496" t="str">
        <f>IFERROR(INPUT_BirthData!$A$35,"—")</f>
        <v>Mercury</v>
      </c>
      <c r="C5" s="808">
        <f>IFERROR(INPUT_BirthData!$B$35,"—")</f>
        <v>23994.067500000001</v>
      </c>
      <c r="D5" s="808">
        <f>IFERROR(INPUT_BirthData!$C$35,"—")</f>
        <v>30203.317500000001</v>
      </c>
      <c r="E5" s="809">
        <f>IFERROR(INPUT_BirthData!$D$35,"—")</f>
        <v>17</v>
      </c>
      <c r="F5" s="810" t="str">
        <f t="shared" ca="1" si="0"/>
        <v>·</v>
      </c>
      <c r="G5" s="811" t="str">
        <f t="shared" ca="1" si="1"/>
        <v>·</v>
      </c>
      <c r="H5" s="812" t="str">
        <f>IFERROR(IF(B5="—","—","H"&amp;INDEX(CALC_PlanetPositions!$D$7:$D$15,MATCH(B5,CALC_PlanetPositions!$A$7:$A$15,0))&amp;" · "&amp;INDEX(CALC_PlanetPositions!$K$7:$K$15,MATCH(B5,CALC_PlanetPositions!$A$7:$A$15,0))),"—")</f>
        <v>H103.6743 · Enemy sign</v>
      </c>
    </row>
    <row r="6" spans="1:12" ht="25.5" customHeight="1" x14ac:dyDescent="0.2">
      <c r="A6" s="518" t="s">
        <v>2103</v>
      </c>
      <c r="B6" s="496" t="str">
        <f>IFERROR(INPUT_BirthData!$A$36,"—")</f>
        <v>Ketu</v>
      </c>
      <c r="C6" s="803">
        <f>IFERROR(INPUT_BirthData!$B$36,"—")</f>
        <v>30203.317500000001</v>
      </c>
      <c r="D6" s="803">
        <f>IFERROR(INPUT_BirthData!$C$36,"—")</f>
        <v>32760.067500000001</v>
      </c>
      <c r="E6" s="804">
        <f>IFERROR(INPUT_BirthData!$D$36,"—")</f>
        <v>7</v>
      </c>
      <c r="F6" s="805" t="str">
        <f t="shared" ca="1" si="0"/>
        <v>·</v>
      </c>
      <c r="G6" s="806" t="str">
        <f t="shared" ca="1" si="1"/>
        <v>·</v>
      </c>
      <c r="H6" s="807" t="str">
        <f>IFERROR(IF(B6="—","—","H"&amp;INDEX(CALC_PlanetPositions!$D$7:$D$15,MATCH(B6,CALC_PlanetPositions!$A$7:$A$15,0))&amp;" · "&amp;INDEX(CALC_PlanetPositions!$K$7:$K$15,MATCH(B6,CALC_PlanetPositions!$A$7:$A$15,0))),"—")</f>
        <v>H215.0697 · Shadow node</v>
      </c>
    </row>
    <row r="7" spans="1:12" ht="25.5" customHeight="1" x14ac:dyDescent="0.2">
      <c r="A7" s="523" t="s">
        <v>2119</v>
      </c>
      <c r="B7" s="496" t="str">
        <f>IFERROR(INPUT_BirthData!$A$37,"—")</f>
        <v>Venus</v>
      </c>
      <c r="C7" s="808">
        <f>IFERROR(INPUT_BirthData!$B$37,"—")</f>
        <v>32760.067500000001</v>
      </c>
      <c r="D7" s="808">
        <f>IFERROR(INPUT_BirthData!$C$37,"—")</f>
        <v>40065.067500000005</v>
      </c>
      <c r="E7" s="809">
        <f>IFERROR(INPUT_BirthData!$D$37,"—")</f>
        <v>20</v>
      </c>
      <c r="F7" s="810" t="str">
        <f t="shared" ca="1" si="0"/>
        <v>·</v>
      </c>
      <c r="G7" s="811" t="str">
        <f t="shared" ca="1" si="1"/>
        <v>·</v>
      </c>
      <c r="H7" s="812" t="str">
        <f>IFERROR(IF(B7="—","—","H"&amp;INDEX(CALC_PlanetPositions!$D$7:$D$15,MATCH(B7,CALC_PlanetPositions!$A$7:$A$15,0))&amp;" · "&amp;INDEX(CALC_PlanetPositions!$K$7:$K$15,MATCH(B7,CALC_PlanetPositions!$A$7:$A$15,0))),"—")</f>
        <v>H112.5612 · Neutral sign</v>
      </c>
    </row>
    <row r="8" spans="1:12" ht="25.5" customHeight="1" x14ac:dyDescent="0.2">
      <c r="A8" s="518" t="s">
        <v>2121</v>
      </c>
      <c r="B8" s="496" t="str">
        <f>IFERROR(INPUT_BirthData!$A$38,"—")</f>
        <v>Sun</v>
      </c>
      <c r="C8" s="803">
        <f>IFERROR(INPUT_BirthData!$B$38,"—")</f>
        <v>40065.067500000005</v>
      </c>
      <c r="D8" s="803">
        <f>IFERROR(INPUT_BirthData!$C$38,"—")</f>
        <v>42256.567500000005</v>
      </c>
      <c r="E8" s="804">
        <f>IFERROR(INPUT_BirthData!$D$38,"—")</f>
        <v>6</v>
      </c>
      <c r="F8" s="805" t="str">
        <f t="shared" ca="1" si="0"/>
        <v>·</v>
      </c>
      <c r="G8" s="806" t="str">
        <f t="shared" ca="1" si="1"/>
        <v>·</v>
      </c>
      <c r="H8" s="807" t="str">
        <f>IFERROR(IF(B8="—","—","H"&amp;INDEX(CALC_PlanetPositions!$D$7:$D$15,MATCH(B8,CALC_PlanetPositions!$A$7:$A$15,0))&amp;" · "&amp;INDEX(CALC_PlanetPositions!$K$7:$K$15,MATCH(B8,CALC_PlanetPositions!$A$7:$A$15,0))),"—")</f>
        <v>H117.989 · Friendly sign</v>
      </c>
    </row>
    <row r="9" spans="1:12" ht="25.5" customHeight="1" x14ac:dyDescent="0.2">
      <c r="A9" s="523" t="s">
        <v>2117</v>
      </c>
      <c r="B9" s="496" t="str">
        <f>IFERROR(INPUT_BirthData!$A$39,"—")</f>
        <v>Moon</v>
      </c>
      <c r="C9" s="808">
        <f>IFERROR(INPUT_BirthData!$B$39,"—")</f>
        <v>42256.567500000005</v>
      </c>
      <c r="D9" s="808">
        <f>IFERROR(INPUT_BirthData!$C$39,"—")</f>
        <v>45909.067500000005</v>
      </c>
      <c r="E9" s="809">
        <f>IFERROR(INPUT_BirthData!$D$39,"—")</f>
        <v>10</v>
      </c>
      <c r="F9" s="810" t="str">
        <f t="shared" ca="1" si="0"/>
        <v>·</v>
      </c>
      <c r="G9" s="811" t="str">
        <f t="shared" ca="1" si="1"/>
        <v>·</v>
      </c>
      <c r="H9" s="812" t="str">
        <f>IFERROR(IF(B9="—","—","H"&amp;INDEX(CALC_PlanetPositions!$D$7:$D$15,MATCH(B9,CALC_PlanetPositions!$A$7:$A$15,0))&amp;" · "&amp;INDEX(CALC_PlanetPositions!$K$7:$K$15,MATCH(B9,CALC_PlanetPositions!$A$7:$A$15,0))),"—")</f>
        <v>H93.9835 · Own sign</v>
      </c>
    </row>
    <row r="10" spans="1:12" ht="25.5" customHeight="1" x14ac:dyDescent="0.2">
      <c r="A10" s="518" t="s">
        <v>2097</v>
      </c>
      <c r="B10" s="496" t="str">
        <f>IFERROR(INPUT_BirthData!$A$40,"—")</f>
        <v>Mars</v>
      </c>
      <c r="C10" s="803">
        <f>IFERROR(INPUT_BirthData!$B$40,"—")</f>
        <v>45909.067500000005</v>
      </c>
      <c r="D10" s="803">
        <f>IFERROR(INPUT_BirthData!$C$40,"—")</f>
        <v>48465.817500000005</v>
      </c>
      <c r="E10" s="804">
        <f>IFERROR(INPUT_BirthData!$D$40,"—")</f>
        <v>7</v>
      </c>
      <c r="F10" s="805" t="str">
        <f t="shared" ca="1" si="0"/>
        <v>▶ ACTIVE</v>
      </c>
      <c r="G10" s="806">
        <f t="shared" ca="1" si="1"/>
        <v>6.5</v>
      </c>
      <c r="H10" s="807" t="str">
        <f>IFERROR(IF(B10="—","—","H"&amp;INDEX(CALC_PlanetPositions!$D$7:$D$15,MATCH(B10,CALC_PlanetPositions!$A$7:$A$15,0))&amp;" · "&amp;INDEX(CALC_PlanetPositions!$K$7:$K$15,MATCH(B10,CALC_PlanetPositions!$A$7:$A$15,0))),"—")</f>
        <v>H67.4562 · Enemy sign</v>
      </c>
    </row>
    <row r="11" spans="1:12" ht="25.5" customHeight="1" x14ac:dyDescent="0.2">
      <c r="A11" s="523" t="s">
        <v>2125</v>
      </c>
      <c r="B11" s="496" t="str">
        <f>IFERROR(INPUT_BirthData!$A$41,"—")</f>
        <v>Rahu</v>
      </c>
      <c r="C11" s="808">
        <f>IFERROR(INPUT_BirthData!$B$41,"—")</f>
        <v>48465.817500000005</v>
      </c>
      <c r="D11" s="808">
        <f>IFERROR(INPUT_BirthData!$C$41,"—")</f>
        <v>55040.317500000005</v>
      </c>
      <c r="E11" s="809">
        <f>IFERROR(INPUT_BirthData!$D$41,"—")</f>
        <v>18</v>
      </c>
      <c r="F11" s="810" t="str">
        <f t="shared" ca="1" si="0"/>
        <v>·</v>
      </c>
      <c r="G11" s="811" t="str">
        <f t="shared" ca="1" si="1"/>
        <v>·</v>
      </c>
      <c r="H11" s="812" t="str">
        <f>IFERROR(IF(B11="—","—","H"&amp;INDEX(CALC_PlanetPositions!$D$7:$D$15,MATCH(B11,CALC_PlanetPositions!$A$7:$A$15,0))&amp;" · "&amp;INDEX(CALC_PlanetPositions!$K$7:$K$15,MATCH(B11,CALC_PlanetPositions!$A$7:$A$15,0))),"—")</f>
        <v>H35.0697 · Shadow node</v>
      </c>
    </row>
    <row r="12" spans="1:12" ht="25.5" customHeight="1" x14ac:dyDescent="0.2">
      <c r="A12" s="518" t="s">
        <v>2080</v>
      </c>
      <c r="B12" s="496" t="str">
        <f>IFERROR(INPUT_BirthData!$A$42,"—")</f>
        <v>Jupiter</v>
      </c>
      <c r="C12" s="803">
        <f>IFERROR(INPUT_BirthData!$B$42,"—")</f>
        <v>55040.317500000005</v>
      </c>
      <c r="D12" s="803">
        <f>IFERROR(INPUT_BirthData!$C$42,"—")</f>
        <v>60884.317500000005</v>
      </c>
      <c r="E12" s="804">
        <f>IFERROR(INPUT_BirthData!$D$42,"—")</f>
        <v>16</v>
      </c>
      <c r="F12" s="805" t="str">
        <f t="shared" ca="1" si="0"/>
        <v>·</v>
      </c>
      <c r="G12" s="806" t="str">
        <f t="shared" ca="1" si="1"/>
        <v>·</v>
      </c>
      <c r="H12" s="807" t="str">
        <f>IFERROR(IF(B12="—","—","H"&amp;INDEX(CALC_PlanetPositions!$D$7:$D$15,MATCH(B12,CALC_PlanetPositions!$A$7:$A$15,0))&amp;" · "&amp;INDEX(CALC_PlanetPositions!$K$7:$K$15,MATCH(B12,CALC_PlanetPositions!$A$7:$A$15,0))),"—")</f>
        <v>H205.8777 · Enemy sign</v>
      </c>
    </row>
    <row r="13" spans="1:12" ht="15.75" customHeight="1" x14ac:dyDescent="0.2">
      <c r="A13" s="1545" t="s">
        <v>3716</v>
      </c>
      <c r="B13" s="1545"/>
      <c r="C13" s="1545"/>
      <c r="D13" s="1545"/>
      <c r="E13" s="1545"/>
      <c r="F13" s="1545"/>
      <c r="G13" s="1545"/>
      <c r="H13" s="1545"/>
    </row>
    <row r="14" spans="1:12" ht="21.75" customHeight="1" x14ac:dyDescent="0.2">
      <c r="A14" s="813" t="s">
        <v>3717</v>
      </c>
      <c r="B14" s="1559" t="str">
        <f ca="1">IFERROR(INDEX(B4:B12,MATCH("▶ ACTIVE",F4:F12,0)),"Enter birth data in INPUT_BirthData")</f>
        <v>Mars</v>
      </c>
      <c r="C14" s="1559"/>
      <c r="D14" s="1559"/>
      <c r="E14" s="1559"/>
      <c r="F14" s="1559"/>
      <c r="G14" s="1559"/>
      <c r="H14" s="1559"/>
    </row>
    <row r="15" spans="1:12" ht="21.75" customHeight="1" x14ac:dyDescent="0.2">
      <c r="A15" s="813" t="s">
        <v>3718</v>
      </c>
      <c r="B15" s="1559" t="str">
        <f ca="1">IFERROR(TEXT(INDEX(C4:C12,MATCH("▶ ACTIVE",F4:F12,0)),"DD-MMM-YYYY")&amp;" → "&amp;TEXT(INDEX(D4:D12,MATCH("▶ ACTIVE",F4:F12,0)),"DD-MMM-YYYY"),"—")</f>
        <v>09-Sep-2025 → 08-Sep-2032</v>
      </c>
      <c r="C15" s="1559"/>
      <c r="D15" s="1559"/>
      <c r="E15" s="1559"/>
      <c r="F15" s="1559"/>
      <c r="G15" s="1559"/>
      <c r="H15" s="1559"/>
    </row>
    <row r="16" spans="1:12" ht="21.75" customHeight="1" x14ac:dyDescent="0.2">
      <c r="A16" s="813" t="s">
        <v>3719</v>
      </c>
      <c r="B16" s="1559" t="str">
        <f ca="1">IFERROR(INDEX(G4:G12,MATCH("▶ ACTIVE",F4:F12,0))&amp;" yrs","—")</f>
        <v>6.5 yrs</v>
      </c>
      <c r="C16" s="1559"/>
      <c r="D16" s="1559"/>
      <c r="E16" s="1559"/>
      <c r="F16" s="1559"/>
      <c r="G16" s="1559"/>
      <c r="H16" s="1559"/>
    </row>
    <row r="17" spans="1:8" ht="21.75" customHeight="1" x14ac:dyDescent="0.2">
      <c r="A17" s="813" t="s">
        <v>3720</v>
      </c>
      <c r="B17" s="1559" t="str">
        <f ca="1">IFERROR("H"&amp;INDEX(CALC_PlanetPositions!$D$7:$D$15,MATCH(B14,CALC_PlanetPositions!$A$7:$A$15,0)),"—")</f>
        <v>H67.4562</v>
      </c>
      <c r="C17" s="1559"/>
      <c r="D17" s="1559"/>
      <c r="E17" s="1559"/>
      <c r="F17" s="1559"/>
      <c r="G17" s="1559"/>
      <c r="H17" s="1559"/>
    </row>
    <row r="18" spans="1:8" ht="21.75" customHeight="1" x14ac:dyDescent="0.2">
      <c r="A18" s="813" t="s">
        <v>3721</v>
      </c>
      <c r="B18" s="1559" t="str">
        <f ca="1">IFERROR(INDEX(CALC_PlanetPositions!$K$7:$K$15,MATCH(B14,CALC_PlanetPositions!$A$7:$A$15,0)),"—")</f>
        <v>Enemy sign</v>
      </c>
      <c r="C18" s="1559"/>
      <c r="D18" s="1559"/>
      <c r="E18" s="1559"/>
      <c r="F18" s="1559"/>
      <c r="G18" s="1559"/>
      <c r="H18" s="1559"/>
    </row>
  </sheetData>
  <mergeCells count="8">
    <mergeCell ref="B16:H16"/>
    <mergeCell ref="B17:H17"/>
    <mergeCell ref="B18:H18"/>
    <mergeCell ref="A1:H1"/>
    <mergeCell ref="A2:H2"/>
    <mergeCell ref="A13:H13"/>
    <mergeCell ref="B14:H14"/>
    <mergeCell ref="B15:H15"/>
  </mergeCell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6A1B9A"/>
  </sheetPr>
  <dimension ref="A1:F16"/>
  <sheetViews>
    <sheetView zoomScaleNormal="100" workbookViewId="0"/>
  </sheetViews>
  <sheetFormatPr defaultColWidth="8.609375" defaultRowHeight="15" x14ac:dyDescent="0.2"/>
  <cols>
    <col min="1" max="1" width="22.05859375" customWidth="1"/>
    <col min="2" max="2" width="18.0234375" customWidth="1"/>
    <col min="3" max="3" width="13.98828125" customWidth="1"/>
    <col min="4" max="4" width="50.04296875" customWidth="1"/>
    <col min="5" max="6" width="16.0078125" customWidth="1"/>
  </cols>
  <sheetData>
    <row r="1" spans="1:6" ht="19.5" customHeight="1" x14ac:dyDescent="0.2">
      <c r="A1" s="1560" t="s">
        <v>3722</v>
      </c>
      <c r="B1" s="1560"/>
      <c r="C1" s="1560"/>
      <c r="D1" s="1560"/>
      <c r="F1" s="29" t="str">
        <f>HYPERLINK("#'00_INDEX'!A1","← Index")</f>
        <v>← Index</v>
      </c>
    </row>
    <row r="2" spans="1:6" ht="24" customHeight="1" x14ac:dyDescent="0.2">
      <c r="A2" s="1561" t="s">
        <v>3723</v>
      </c>
      <c r="B2" s="1561"/>
      <c r="C2" s="1561"/>
      <c r="D2" s="1561"/>
    </row>
    <row r="4" spans="1:6" ht="15" customHeight="1" x14ac:dyDescent="0.2">
      <c r="A4" s="814" t="s">
        <v>2276</v>
      </c>
      <c r="B4" s="814" t="s">
        <v>3192</v>
      </c>
      <c r="C4" s="814" t="s">
        <v>3724</v>
      </c>
      <c r="D4" s="814" t="s">
        <v>3725</v>
      </c>
      <c r="E4" s="815" t="s">
        <v>3726</v>
      </c>
      <c r="F4" s="816" t="s">
        <v>3727</v>
      </c>
    </row>
    <row r="5" spans="1:6" ht="15.75" customHeight="1" x14ac:dyDescent="0.2">
      <c r="A5" s="817">
        <v>1</v>
      </c>
      <c r="B5" s="818" t="s">
        <v>3728</v>
      </c>
      <c r="C5" s="819" t="str">
        <f ca="1">IFERROR(IF(CALC_BhaveshMap!$D$5=CALC_DashaActive!$B$14,"YES","·"),"·")</f>
        <v>·</v>
      </c>
      <c r="D5" s="820">
        <f ca="1">IFERROR(IF(CALC_BhaveshMap!$D$5=CALC_DashaActive!$B$14,1.15,1),1)</f>
        <v>1</v>
      </c>
      <c r="E5" s="821">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1,1.05,1),1)</f>
        <v>1</v>
      </c>
      <c r="F5" s="822">
        <f t="shared" ref="F5:F16" ca="1" si="0">IFERROR(IF(D5=1.15,1.15,IF(E5=1.05,1.05,1)),1)</f>
        <v>1</v>
      </c>
    </row>
    <row r="6" spans="1:6" ht="15.75" customHeight="1" x14ac:dyDescent="0.2">
      <c r="A6" s="823">
        <v>2</v>
      </c>
      <c r="B6" s="824" t="s">
        <v>3729</v>
      </c>
      <c r="C6" s="825" t="str">
        <f ca="1">IFERROR(IF(CALC_BhaveshMap!$D$6=CALC_DashaActive!$B$14,"YES","·"),"·")</f>
        <v>·</v>
      </c>
      <c r="D6" s="826">
        <f ca="1">IFERROR(IF(CALC_BhaveshMap!$D$6=CALC_DashaActive!$B$14,1.15,1),1)</f>
        <v>1</v>
      </c>
      <c r="E6" s="827">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2,1.05,1),1)</f>
        <v>1</v>
      </c>
      <c r="F6" s="828">
        <f t="shared" ca="1" si="0"/>
        <v>1</v>
      </c>
    </row>
    <row r="7" spans="1:6" ht="15.75" customHeight="1" x14ac:dyDescent="0.2">
      <c r="A7" s="817">
        <v>3</v>
      </c>
      <c r="B7" s="818" t="s">
        <v>3730</v>
      </c>
      <c r="C7" s="819" t="str">
        <f ca="1">IFERROR(IF(CALC_BhaveshMap!$D$7=CALC_DashaActive!$B$14,"YES","·"),"·")</f>
        <v>·</v>
      </c>
      <c r="D7" s="820">
        <f ca="1">IFERROR(IF(CALC_BhaveshMap!$D$7=CALC_DashaActive!$B$14,1.15,1),1)</f>
        <v>1</v>
      </c>
      <c r="E7" s="821">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3,1.05,1),1)</f>
        <v>1</v>
      </c>
      <c r="F7" s="822">
        <f t="shared" ca="1" si="0"/>
        <v>1</v>
      </c>
    </row>
    <row r="8" spans="1:6" ht="15.75" customHeight="1" x14ac:dyDescent="0.2">
      <c r="A8" s="823">
        <v>4</v>
      </c>
      <c r="B8" s="824" t="s">
        <v>3731</v>
      </c>
      <c r="C8" s="825" t="str">
        <f ca="1">IFERROR(IF(CALC_BhaveshMap!$D$8=CALC_DashaActive!$B$14,"YES","·"),"·")</f>
        <v>·</v>
      </c>
      <c r="D8" s="826">
        <f ca="1">IFERROR(IF(CALC_BhaveshMap!$D$8=CALC_DashaActive!$B$14,1.15,1),1)</f>
        <v>1</v>
      </c>
      <c r="E8" s="827">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4,1.05,1),1)</f>
        <v>1</v>
      </c>
      <c r="F8" s="828">
        <f t="shared" ca="1" si="0"/>
        <v>1</v>
      </c>
    </row>
    <row r="9" spans="1:6" ht="15.75" customHeight="1" x14ac:dyDescent="0.2">
      <c r="A9" s="817">
        <v>5</v>
      </c>
      <c r="B9" s="818" t="s">
        <v>3732</v>
      </c>
      <c r="C9" s="819" t="str">
        <f ca="1">IFERROR(IF(CALC_BhaveshMap!$D$9=CALC_DashaActive!$B$14,"YES","·"),"·")</f>
        <v>·</v>
      </c>
      <c r="D9" s="820">
        <f ca="1">IFERROR(IF(CALC_BhaveshMap!$D$9=CALC_DashaActive!$B$14,1.15,1),1)</f>
        <v>1</v>
      </c>
      <c r="E9" s="821">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5,1.05,1),1)</f>
        <v>1</v>
      </c>
      <c r="F9" s="822">
        <f t="shared" ca="1" si="0"/>
        <v>1</v>
      </c>
    </row>
    <row r="10" spans="1:6" ht="15.75" customHeight="1" x14ac:dyDescent="0.2">
      <c r="A10" s="823">
        <v>6</v>
      </c>
      <c r="B10" s="824" t="s">
        <v>3205</v>
      </c>
      <c r="C10" s="825" t="str">
        <f ca="1">IFERROR(IF(CALC_BhaveshMap!$D$10=CALC_DashaActive!$B$14,"YES","·"),"·")</f>
        <v>·</v>
      </c>
      <c r="D10" s="826">
        <f ca="1">IFERROR(IF(CALC_BhaveshMap!$D$10=CALC_DashaActive!$B$14,1.15,1),1)</f>
        <v>1</v>
      </c>
      <c r="E10" s="827">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6,1.05,1),1)</f>
        <v>1</v>
      </c>
      <c r="F10" s="828">
        <f t="shared" ca="1" si="0"/>
        <v>1</v>
      </c>
    </row>
    <row r="11" spans="1:6" ht="15.75" customHeight="1" x14ac:dyDescent="0.2">
      <c r="A11" s="817">
        <v>7</v>
      </c>
      <c r="B11" s="818" t="s">
        <v>3733</v>
      </c>
      <c r="C11" s="819" t="str">
        <f ca="1">IFERROR(IF(CALC_BhaveshMap!$D$11=CALC_DashaActive!$B$14,"YES","·"),"·")</f>
        <v>YES</v>
      </c>
      <c r="D11" s="820">
        <f ca="1">IFERROR(IF(CALC_BhaveshMap!$D$11=CALC_DashaActive!$B$14,1.15,1),1)</f>
        <v>1.1499999999999999</v>
      </c>
      <c r="E11" s="821">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7,1.05,1),1)</f>
        <v>1</v>
      </c>
      <c r="F11" s="822">
        <f t="shared" ca="1" si="0"/>
        <v>1.1499999999999999</v>
      </c>
    </row>
    <row r="12" spans="1:6" ht="15.75" customHeight="1" x14ac:dyDescent="0.2">
      <c r="A12" s="823">
        <v>8</v>
      </c>
      <c r="B12" s="824" t="s">
        <v>3734</v>
      </c>
      <c r="C12" s="825" t="str">
        <f ca="1">IFERROR(IF(CALC_BhaveshMap!$D$12=CALC_DashaActive!$B$14,"YES","·"),"·")</f>
        <v>·</v>
      </c>
      <c r="D12" s="826">
        <f ca="1">IFERROR(IF(CALC_BhaveshMap!$D$12=CALC_DashaActive!$B$14,1.15,1),1)</f>
        <v>1</v>
      </c>
      <c r="E12" s="827">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8,1.05,1),1)</f>
        <v>1</v>
      </c>
      <c r="F12" s="828">
        <f t="shared" ca="1" si="0"/>
        <v>1</v>
      </c>
    </row>
    <row r="13" spans="1:6" ht="15.75" customHeight="1" x14ac:dyDescent="0.2">
      <c r="A13" s="817">
        <v>9</v>
      </c>
      <c r="B13" s="818" t="s">
        <v>3735</v>
      </c>
      <c r="C13" s="819" t="str">
        <f ca="1">IFERROR(IF(CALC_BhaveshMap!$D$13=CALC_DashaActive!$B$14,"YES","·"),"·")</f>
        <v>·</v>
      </c>
      <c r="D13" s="820">
        <f ca="1">IFERROR(IF(CALC_BhaveshMap!$D$13=CALC_DashaActive!$B$14,1.15,1),1)</f>
        <v>1</v>
      </c>
      <c r="E13" s="821">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9,1.05,1),1)</f>
        <v>1</v>
      </c>
      <c r="F13" s="822">
        <f t="shared" ca="1" si="0"/>
        <v>1</v>
      </c>
    </row>
    <row r="14" spans="1:6" ht="15.75" customHeight="1" x14ac:dyDescent="0.2">
      <c r="A14" s="823">
        <v>10</v>
      </c>
      <c r="B14" s="824" t="s">
        <v>3197</v>
      </c>
      <c r="C14" s="825" t="str">
        <f ca="1">IFERROR(IF(CALC_BhaveshMap!$D$14=CALC_DashaActive!$B$14,"YES","·"),"·")</f>
        <v>·</v>
      </c>
      <c r="D14" s="826">
        <f ca="1">IFERROR(IF(CALC_BhaveshMap!$D$14=CALC_DashaActive!$B$14,1.15,1),1)</f>
        <v>1</v>
      </c>
      <c r="E14" s="827">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10,1.05,1),1)</f>
        <v>1</v>
      </c>
      <c r="F14" s="828">
        <f t="shared" ca="1" si="0"/>
        <v>1</v>
      </c>
    </row>
    <row r="15" spans="1:6" ht="15.75" customHeight="1" x14ac:dyDescent="0.2">
      <c r="A15" s="817">
        <v>11</v>
      </c>
      <c r="B15" s="818" t="s">
        <v>3736</v>
      </c>
      <c r="C15" s="819" t="str">
        <f ca="1">IFERROR(IF(CALC_BhaveshMap!$D$15=CALC_DashaActive!$B$14,"YES","·"),"·")</f>
        <v>·</v>
      </c>
      <c r="D15" s="820">
        <f ca="1">IFERROR(IF(CALC_BhaveshMap!$D$15=CALC_DashaActive!$B$14,1.15,1),1)</f>
        <v>1</v>
      </c>
      <c r="E15" s="821">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11,1.05,1),1)</f>
        <v>1</v>
      </c>
      <c r="F15" s="822">
        <f t="shared" ca="1" si="0"/>
        <v>1</v>
      </c>
    </row>
    <row r="16" spans="1:6" ht="15.75" customHeight="1" x14ac:dyDescent="0.2">
      <c r="A16" s="823">
        <v>12</v>
      </c>
      <c r="B16" s="824" t="s">
        <v>3737</v>
      </c>
      <c r="C16" s="825" t="str">
        <f ca="1">IFERROR(IF(CALC_BhaveshMap!$D$16=CALC_DashaActive!$B$14,"YES","·"),"·")</f>
        <v>YES</v>
      </c>
      <c r="D16" s="826">
        <f ca="1">IFERROR(IF(CALC_BhaveshMap!$D$16=CALC_DashaActive!$B$14,1.15,1),1)</f>
        <v>1.1499999999999999</v>
      </c>
      <c r="E16" s="827">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12,1.05,1),1)</f>
        <v>1</v>
      </c>
      <c r="F16" s="828">
        <f t="shared" ca="1" si="0"/>
        <v>1.1499999999999999</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6A1B9A"/>
  </sheetPr>
  <dimension ref="A1:Q33"/>
  <sheetViews>
    <sheetView zoomScaleNormal="100" workbookViewId="0"/>
  </sheetViews>
  <sheetFormatPr defaultColWidth="8.609375" defaultRowHeight="15" x14ac:dyDescent="0.2"/>
  <cols>
    <col min="1" max="1" width="11.97265625" customWidth="1"/>
    <col min="2" max="13" width="6.9921875" customWidth="1"/>
    <col min="14" max="15" width="7.93359375" customWidth="1"/>
    <col min="16" max="16" width="45.0625" customWidth="1"/>
  </cols>
  <sheetData>
    <row r="1" spans="1:17" ht="21.75" customHeight="1" x14ac:dyDescent="0.2">
      <c r="A1" s="1563" t="s">
        <v>3738</v>
      </c>
      <c r="B1" s="1563"/>
      <c r="C1" s="1563"/>
      <c r="D1" s="1563"/>
      <c r="E1" s="1563"/>
      <c r="F1" s="1563"/>
      <c r="G1" s="1563"/>
      <c r="H1" s="1563"/>
      <c r="I1" s="1563"/>
      <c r="J1" s="1563"/>
      <c r="K1" s="1563"/>
      <c r="L1" s="1563"/>
      <c r="M1" s="1563"/>
      <c r="N1" s="1563"/>
      <c r="O1" s="1563"/>
      <c r="P1" s="1563"/>
      <c r="Q1" s="544" t="s">
        <v>2214</v>
      </c>
    </row>
    <row r="2" spans="1:17" ht="24" customHeight="1" x14ac:dyDescent="0.2">
      <c r="A2" s="1564" t="s">
        <v>3739</v>
      </c>
      <c r="B2" s="1564"/>
      <c r="C2" s="1564"/>
      <c r="D2" s="1564"/>
      <c r="E2" s="1564"/>
      <c r="F2" s="1564"/>
      <c r="G2" s="1564"/>
      <c r="H2" s="1564"/>
      <c r="I2" s="1564"/>
      <c r="J2" s="1564"/>
      <c r="K2" s="1564"/>
      <c r="L2" s="1564"/>
      <c r="M2" s="1564"/>
      <c r="N2" s="1564"/>
      <c r="O2" s="1564"/>
      <c r="P2" s="1564"/>
    </row>
    <row r="3" spans="1:17" ht="19.5" customHeight="1" x14ac:dyDescent="0.2">
      <c r="A3" s="87"/>
      <c r="B3" s="516"/>
      <c r="C3" s="516"/>
      <c r="D3" s="516"/>
      <c r="E3" s="516"/>
      <c r="F3" s="516"/>
      <c r="G3" s="516"/>
      <c r="H3" s="516"/>
      <c r="I3" s="516"/>
      <c r="J3" s="516"/>
      <c r="K3" s="516"/>
      <c r="L3" s="516"/>
      <c r="M3" s="516"/>
      <c r="N3" s="517"/>
      <c r="O3" s="517"/>
      <c r="P3" s="89"/>
    </row>
    <row r="4" spans="1:17" ht="18" customHeight="1" x14ac:dyDescent="0.2">
      <c r="A4" s="1565" t="s">
        <v>3740</v>
      </c>
      <c r="B4" s="1565"/>
      <c r="C4" s="1565"/>
      <c r="D4" s="1565"/>
      <c r="E4" s="1565"/>
      <c r="F4" s="1565"/>
      <c r="G4" s="1565"/>
      <c r="H4" s="1565"/>
      <c r="I4" s="1565"/>
      <c r="J4" s="1565"/>
      <c r="K4" s="1565"/>
      <c r="L4" s="1565"/>
      <c r="M4" s="1565"/>
      <c r="N4" s="1565"/>
      <c r="O4" s="1565"/>
      <c r="P4" s="1565"/>
    </row>
    <row r="5" spans="1:17" ht="15.75" customHeight="1" x14ac:dyDescent="0.2">
      <c r="A5" s="545" t="s">
        <v>3741</v>
      </c>
      <c r="B5" s="545" t="s">
        <v>844</v>
      </c>
      <c r="C5" s="545" t="s">
        <v>1544</v>
      </c>
      <c r="D5" s="545" t="s">
        <v>847</v>
      </c>
      <c r="E5" s="545" t="s">
        <v>842</v>
      </c>
      <c r="F5" s="545" t="s">
        <v>1545</v>
      </c>
      <c r="G5" s="545" t="s">
        <v>1546</v>
      </c>
      <c r="H5" s="545" t="s">
        <v>846</v>
      </c>
      <c r="I5" s="545" t="s">
        <v>1547</v>
      </c>
      <c r="J5" s="545" t="s">
        <v>848</v>
      </c>
      <c r="K5" s="545" t="s">
        <v>841</v>
      </c>
      <c r="L5" s="545" t="s">
        <v>1548</v>
      </c>
      <c r="M5" s="545" t="s">
        <v>1549</v>
      </c>
      <c r="N5" s="545" t="s">
        <v>3742</v>
      </c>
      <c r="O5" s="829" t="s">
        <v>3743</v>
      </c>
      <c r="P5" s="545" t="s">
        <v>282</v>
      </c>
    </row>
    <row r="6" spans="1:17" ht="15.75" customHeight="1" x14ac:dyDescent="0.2">
      <c r="A6" s="546" t="s">
        <v>266</v>
      </c>
      <c r="B6" s="830">
        <f>IFERROR(IFERROR(IF(ISNUMBER(MATCH(MOD(1-(MOD(MATCH(CALC_PlanetPositions!$B$7,{"Aries","Taurus","Gemini","Cancer","Leo","Virgo","Libra","Scorpio","Sagittarius","Capricorn","Aquarius","Pisces"},0)-MATCH(INPUT_Chart!$C$5,{"Aries","Taurus","Gemini","Cancer","Leo","Virgo","Libra","Scorpio","Sagittarius","Capricorn","Aquarius","Pisces"},0),12)+1)+12,12)+1,{1,2,4,7,8,9,10,11},0)),1,0),0)+IFERROR(IF(ISNUMBER(MATCH(MOD(1-(MOD(MATCH(CALC_PlanetPositions!$B$8,{"Aries","Taurus","Gemini","Cancer","Leo","Virgo","Libra","Scorpio","Sagittarius","Capricorn","Aquarius","Pisces"},0)-MATCH(INPUT_Chart!$C$5,{"Aries","Taurus","Gemini","Cancer","Leo","Virgo","Libra","Scorpio","Sagittarius","Capricorn","Aquarius","Pisces"},0),12)+1)+12,12)+1,{3,6,10,11},0)),1,0),0)+IFERROR(IF(ISNUMBER(MATCH(MOD(1-(MOD(MATCH(CALC_PlanetPositions!$B$9,{"Aries","Taurus","Gemini","Cancer","Leo","Virgo","Libra","Scorpio","Sagittarius","Capricorn","Aquarius","Pisces"},0)-MATCH(INPUT_Chart!$C$5,{"Aries","Taurus","Gemini","Cancer","Leo","Virgo","Libra","Scorpio","Sagittarius","Capricorn","Aquarius","Pisces"},0),12)+1)+12,12)+1,{1,2,4,7,8,9,10,11},0)),1,0),0)+IFERROR(IF(ISNUMBER(MATCH(MOD(1-(MOD(MATCH(CALC_PlanetPositions!$B$10,{"Aries","Taurus","Gemini","Cancer","Leo","Virgo","Libra","Scorpio","Sagittarius","Capricorn","Aquarius","Pisces"},0)-MATCH(INPUT_Chart!$C$5,{"Aries","Taurus","Gemini","Cancer","Leo","Virgo","Libra","Scorpio","Sagittarius","Capricorn","Aquarius","Pisces"},0),12)+1)+12,12)+1,{3,5,6,9,10,11,12},0)),1,0),0)+IFERROR(IF(ISNUMBER(MATCH(MOD(1-(MOD(MATCH(CALC_PlanetPositions!$B$11,{"Aries","Taurus","Gemini","Cancer","Leo","Virgo","Libra","Scorpio","Sagittarius","Capricorn","Aquarius","Pisces"},0)-MATCH(INPUT_Chart!$C$5,{"Aries","Taurus","Gemini","Cancer","Leo","Virgo","Libra","Scorpio","Sagittarius","Capricorn","Aquarius","Pisces"},0),12)+1)+12,12)+1,{5,6,9,11},0)),1,0),0)+IFERROR(IF(ISNUMBER(MATCH(MOD(1-(MOD(MATCH(CALC_PlanetPositions!$B$12,{"Aries","Taurus","Gemini","Cancer","Leo","Virgo","Libra","Scorpio","Sagittarius","Capricorn","Aquarius","Pisces"},0)-MATCH(INPUT_Chart!$C$5,{"Aries","Taurus","Gemini","Cancer","Leo","Virgo","Libra","Scorpio","Sagittarius","Capricorn","Aquarius","Pisces"},0),12)+1)+12,12)+1,{6,7,12},0)),1,0),0)+IFERROR(IF(ISNUMBER(MATCH(MOD(1-(MOD(MATCH(CALC_PlanetPositions!$B$13,{"Aries","Taurus","Gemini","Cancer","Leo","Virgo","Libra","Scorpio","Sagittarius","Capricorn","Aquarius","Pisces"},0)-MATCH(INPUT_Chart!$C$5,{"Aries","Taurus","Gemini","Cancer","Leo","Virgo","Libra","Scorpio","Sagittarius","Capricorn","Aquarius","Pisces"},0),12)+1)+12,12)+1,{1,2,4,7,8,9,10,11},0)),1,0),0)+IFERROR(IF(ISNUMBER(MATCH(MOD(1-(MOD(MATCH(INPUT_Chart!$C$5,{"Aries","Taurus","Gemini","Cancer","Leo","Virgo","Libra","Scorpio","Sagittarius","Capricorn","Aquarius","Pisces"},0)-MATCH(INPUT_Chart!$C$5,{"Aries","Taurus","Gemini","Cancer","Leo","Virgo","Libra","Scorpio","Sagittarius","Capricorn","Aquarius","Pisces"},0),12)+1)+12,12)+1,{3,4,6,10,11,12},0)),1,0),0),0)</f>
        <v>4</v>
      </c>
      <c r="C6" s="830">
        <f>IFERROR(IFERROR(IF(ISNUMBER(MATCH(MOD(2-(MOD(MATCH(CALC_PlanetPositions!$B$7,{"Aries","Taurus","Gemini","Cancer","Leo","Virgo","Libra","Scorpio","Sagittarius","Capricorn","Aquarius","Pisces"},0)-MATCH(INPUT_Chart!$C$5,{"Aries","Taurus","Gemini","Cancer","Leo","Virgo","Libra","Scorpio","Sagittarius","Capricorn","Aquarius","Pisces"},0),12)+1)+12,12)+1,{1,2,4,7,8,9,10,11},0)),1,0),0)+IFERROR(IF(ISNUMBER(MATCH(MOD(2-(MOD(MATCH(CALC_PlanetPositions!$B$8,{"Aries","Taurus","Gemini","Cancer","Leo","Virgo","Libra","Scorpio","Sagittarius","Capricorn","Aquarius","Pisces"},0)-MATCH(INPUT_Chart!$C$5,{"Aries","Taurus","Gemini","Cancer","Leo","Virgo","Libra","Scorpio","Sagittarius","Capricorn","Aquarius","Pisces"},0),12)+1)+12,12)+1,{3,6,10,11},0)),1,0),0)+IFERROR(IF(ISNUMBER(MATCH(MOD(2-(MOD(MATCH(CALC_PlanetPositions!$B$9,{"Aries","Taurus","Gemini","Cancer","Leo","Virgo","Libra","Scorpio","Sagittarius","Capricorn","Aquarius","Pisces"},0)-MATCH(INPUT_Chart!$C$5,{"Aries","Taurus","Gemini","Cancer","Leo","Virgo","Libra","Scorpio","Sagittarius","Capricorn","Aquarius","Pisces"},0),12)+1)+12,12)+1,{1,2,4,7,8,9,10,11},0)),1,0),0)+IFERROR(IF(ISNUMBER(MATCH(MOD(2-(MOD(MATCH(CALC_PlanetPositions!$B$10,{"Aries","Taurus","Gemini","Cancer","Leo","Virgo","Libra","Scorpio","Sagittarius","Capricorn","Aquarius","Pisces"},0)-MATCH(INPUT_Chart!$C$5,{"Aries","Taurus","Gemini","Cancer","Leo","Virgo","Libra","Scorpio","Sagittarius","Capricorn","Aquarius","Pisces"},0),12)+1)+12,12)+1,{3,5,6,9,10,11,12},0)),1,0),0)+IFERROR(IF(ISNUMBER(MATCH(MOD(2-(MOD(MATCH(CALC_PlanetPositions!$B$11,{"Aries","Taurus","Gemini","Cancer","Leo","Virgo","Libra","Scorpio","Sagittarius","Capricorn","Aquarius","Pisces"},0)-MATCH(INPUT_Chart!$C$5,{"Aries","Taurus","Gemini","Cancer","Leo","Virgo","Libra","Scorpio","Sagittarius","Capricorn","Aquarius","Pisces"},0),12)+1)+12,12)+1,{5,6,9,11},0)),1,0),0)+IFERROR(IF(ISNUMBER(MATCH(MOD(2-(MOD(MATCH(CALC_PlanetPositions!$B$12,{"Aries","Taurus","Gemini","Cancer","Leo","Virgo","Libra","Scorpio","Sagittarius","Capricorn","Aquarius","Pisces"},0)-MATCH(INPUT_Chart!$C$5,{"Aries","Taurus","Gemini","Cancer","Leo","Virgo","Libra","Scorpio","Sagittarius","Capricorn","Aquarius","Pisces"},0),12)+1)+12,12)+1,{6,7,12},0)),1,0),0)+IFERROR(IF(ISNUMBER(MATCH(MOD(2-(MOD(MATCH(CALC_PlanetPositions!$B$13,{"Aries","Taurus","Gemini","Cancer","Leo","Virgo","Libra","Scorpio","Sagittarius","Capricorn","Aquarius","Pisces"},0)-MATCH(INPUT_Chart!$C$5,{"Aries","Taurus","Gemini","Cancer","Leo","Virgo","Libra","Scorpio","Sagittarius","Capricorn","Aquarius","Pisces"},0),12)+1)+12,12)+1,{1,2,4,7,8,9,10,11},0)),1,0),0)+IFERROR(IF(ISNUMBER(MATCH(MOD(2-(MOD(MATCH(INPUT_Chart!$C$5,{"Aries","Taurus","Gemini","Cancer","Leo","Virgo","Libra","Scorpio","Sagittarius","Capricorn","Aquarius","Pisces"},0)-MATCH(INPUT_Chart!$C$5,{"Aries","Taurus","Gemini","Cancer","Leo","Virgo","Libra","Scorpio","Sagittarius","Capricorn","Aquarius","Pisces"},0),12)+1)+12,12)+1,{3,4,6,10,11,12},0)),1,0),0),0)</f>
        <v>4</v>
      </c>
      <c r="D6" s="830">
        <f>IFERROR(IFERROR(IF(ISNUMBER(MATCH(MOD(3-(MOD(MATCH(CALC_PlanetPositions!$B$7,{"Aries","Taurus","Gemini","Cancer","Leo","Virgo","Libra","Scorpio","Sagittarius","Capricorn","Aquarius","Pisces"},0)-MATCH(INPUT_Chart!$C$5,{"Aries","Taurus","Gemini","Cancer","Leo","Virgo","Libra","Scorpio","Sagittarius","Capricorn","Aquarius","Pisces"},0),12)+1)+12,12)+1,{1,2,4,7,8,9,10,11},0)),1,0),0)+IFERROR(IF(ISNUMBER(MATCH(MOD(3-(MOD(MATCH(CALC_PlanetPositions!$B$8,{"Aries","Taurus","Gemini","Cancer","Leo","Virgo","Libra","Scorpio","Sagittarius","Capricorn","Aquarius","Pisces"},0)-MATCH(INPUT_Chart!$C$5,{"Aries","Taurus","Gemini","Cancer","Leo","Virgo","Libra","Scorpio","Sagittarius","Capricorn","Aquarius","Pisces"},0),12)+1)+12,12)+1,{3,6,10,11},0)),1,0),0)+IFERROR(IF(ISNUMBER(MATCH(MOD(3-(MOD(MATCH(CALC_PlanetPositions!$B$9,{"Aries","Taurus","Gemini","Cancer","Leo","Virgo","Libra","Scorpio","Sagittarius","Capricorn","Aquarius","Pisces"},0)-MATCH(INPUT_Chart!$C$5,{"Aries","Taurus","Gemini","Cancer","Leo","Virgo","Libra","Scorpio","Sagittarius","Capricorn","Aquarius","Pisces"},0),12)+1)+12,12)+1,{1,2,4,7,8,9,10,11},0)),1,0),0)+IFERROR(IF(ISNUMBER(MATCH(MOD(3-(MOD(MATCH(CALC_PlanetPositions!$B$10,{"Aries","Taurus","Gemini","Cancer","Leo","Virgo","Libra","Scorpio","Sagittarius","Capricorn","Aquarius","Pisces"},0)-MATCH(INPUT_Chart!$C$5,{"Aries","Taurus","Gemini","Cancer","Leo","Virgo","Libra","Scorpio","Sagittarius","Capricorn","Aquarius","Pisces"},0),12)+1)+12,12)+1,{3,5,6,9,10,11,12},0)),1,0),0)+IFERROR(IF(ISNUMBER(MATCH(MOD(3-(MOD(MATCH(CALC_PlanetPositions!$B$11,{"Aries","Taurus","Gemini","Cancer","Leo","Virgo","Libra","Scorpio","Sagittarius","Capricorn","Aquarius","Pisces"},0)-MATCH(INPUT_Chart!$C$5,{"Aries","Taurus","Gemini","Cancer","Leo","Virgo","Libra","Scorpio","Sagittarius","Capricorn","Aquarius","Pisces"},0),12)+1)+12,12)+1,{5,6,9,11},0)),1,0),0)+IFERROR(IF(ISNUMBER(MATCH(MOD(3-(MOD(MATCH(CALC_PlanetPositions!$B$12,{"Aries","Taurus","Gemini","Cancer","Leo","Virgo","Libra","Scorpio","Sagittarius","Capricorn","Aquarius","Pisces"},0)-MATCH(INPUT_Chart!$C$5,{"Aries","Taurus","Gemini","Cancer","Leo","Virgo","Libra","Scorpio","Sagittarius","Capricorn","Aquarius","Pisces"},0),12)+1)+12,12)+1,{6,7,12},0)),1,0),0)+IFERROR(IF(ISNUMBER(MATCH(MOD(3-(MOD(MATCH(CALC_PlanetPositions!$B$13,{"Aries","Taurus","Gemini","Cancer","Leo","Virgo","Libra","Scorpio","Sagittarius","Capricorn","Aquarius","Pisces"},0)-MATCH(INPUT_Chart!$C$5,{"Aries","Taurus","Gemini","Cancer","Leo","Virgo","Libra","Scorpio","Sagittarius","Capricorn","Aquarius","Pisces"},0),12)+1)+12,12)+1,{1,2,4,7,8,9,10,11},0)),1,0),0)+IFERROR(IF(ISNUMBER(MATCH(MOD(3-(MOD(MATCH(INPUT_Chart!$C$5,{"Aries","Taurus","Gemini","Cancer","Leo","Virgo","Libra","Scorpio","Sagittarius","Capricorn","Aquarius","Pisces"},0)-MATCH(INPUT_Chart!$C$5,{"Aries","Taurus","Gemini","Cancer","Leo","Virgo","Libra","Scorpio","Sagittarius","Capricorn","Aquarius","Pisces"},0),12)+1)+12,12)+1,{3,4,6,10,11,12},0)),1,0),0),0)</f>
        <v>4</v>
      </c>
      <c r="E6" s="830">
        <f>IFERROR(IFERROR(IF(ISNUMBER(MATCH(MOD(4-(MOD(MATCH(CALC_PlanetPositions!$B$7,{"Aries","Taurus","Gemini","Cancer","Leo","Virgo","Libra","Scorpio","Sagittarius","Capricorn","Aquarius","Pisces"},0)-MATCH(INPUT_Chart!$C$5,{"Aries","Taurus","Gemini","Cancer","Leo","Virgo","Libra","Scorpio","Sagittarius","Capricorn","Aquarius","Pisces"},0),12)+1)+12,12)+1,{1,2,4,7,8,9,10,11},0)),1,0),0)+IFERROR(IF(ISNUMBER(MATCH(MOD(4-(MOD(MATCH(CALC_PlanetPositions!$B$8,{"Aries","Taurus","Gemini","Cancer","Leo","Virgo","Libra","Scorpio","Sagittarius","Capricorn","Aquarius","Pisces"},0)-MATCH(INPUT_Chart!$C$5,{"Aries","Taurus","Gemini","Cancer","Leo","Virgo","Libra","Scorpio","Sagittarius","Capricorn","Aquarius","Pisces"},0),12)+1)+12,12)+1,{3,6,10,11},0)),1,0),0)+IFERROR(IF(ISNUMBER(MATCH(MOD(4-(MOD(MATCH(CALC_PlanetPositions!$B$9,{"Aries","Taurus","Gemini","Cancer","Leo","Virgo","Libra","Scorpio","Sagittarius","Capricorn","Aquarius","Pisces"},0)-MATCH(INPUT_Chart!$C$5,{"Aries","Taurus","Gemini","Cancer","Leo","Virgo","Libra","Scorpio","Sagittarius","Capricorn","Aquarius","Pisces"},0),12)+1)+12,12)+1,{1,2,4,7,8,9,10,11},0)),1,0),0)+IFERROR(IF(ISNUMBER(MATCH(MOD(4-(MOD(MATCH(CALC_PlanetPositions!$B$10,{"Aries","Taurus","Gemini","Cancer","Leo","Virgo","Libra","Scorpio","Sagittarius","Capricorn","Aquarius","Pisces"},0)-MATCH(INPUT_Chart!$C$5,{"Aries","Taurus","Gemini","Cancer","Leo","Virgo","Libra","Scorpio","Sagittarius","Capricorn","Aquarius","Pisces"},0),12)+1)+12,12)+1,{3,5,6,9,10,11,12},0)),1,0),0)+IFERROR(IF(ISNUMBER(MATCH(MOD(4-(MOD(MATCH(CALC_PlanetPositions!$B$11,{"Aries","Taurus","Gemini","Cancer","Leo","Virgo","Libra","Scorpio","Sagittarius","Capricorn","Aquarius","Pisces"},0)-MATCH(INPUT_Chart!$C$5,{"Aries","Taurus","Gemini","Cancer","Leo","Virgo","Libra","Scorpio","Sagittarius","Capricorn","Aquarius","Pisces"},0),12)+1)+12,12)+1,{5,6,9,11},0)),1,0),0)+IFERROR(IF(ISNUMBER(MATCH(MOD(4-(MOD(MATCH(CALC_PlanetPositions!$B$12,{"Aries","Taurus","Gemini","Cancer","Leo","Virgo","Libra","Scorpio","Sagittarius","Capricorn","Aquarius","Pisces"},0)-MATCH(INPUT_Chart!$C$5,{"Aries","Taurus","Gemini","Cancer","Leo","Virgo","Libra","Scorpio","Sagittarius","Capricorn","Aquarius","Pisces"},0),12)+1)+12,12)+1,{6,7,12},0)),1,0),0)+IFERROR(IF(ISNUMBER(MATCH(MOD(4-(MOD(MATCH(CALC_PlanetPositions!$B$13,{"Aries","Taurus","Gemini","Cancer","Leo","Virgo","Libra","Scorpio","Sagittarius","Capricorn","Aquarius","Pisces"},0)-MATCH(INPUT_Chart!$C$5,{"Aries","Taurus","Gemini","Cancer","Leo","Virgo","Libra","Scorpio","Sagittarius","Capricorn","Aquarius","Pisces"},0),12)+1)+12,12)+1,{1,2,4,7,8,9,10,11},0)),1,0),0)+IFERROR(IF(ISNUMBER(MATCH(MOD(4-(MOD(MATCH(INPUT_Chart!$C$5,{"Aries","Taurus","Gemini","Cancer","Leo","Virgo","Libra","Scorpio","Sagittarius","Capricorn","Aquarius","Pisces"},0)-MATCH(INPUT_Chart!$C$5,{"Aries","Taurus","Gemini","Cancer","Leo","Virgo","Libra","Scorpio","Sagittarius","Capricorn","Aquarius","Pisces"},0),12)+1)+12,12)+1,{3,4,6,10,11,12},0)),1,0),0),0)</f>
        <v>4</v>
      </c>
      <c r="F6" s="830">
        <f>IFERROR(IFERROR(IF(ISNUMBER(MATCH(MOD(5-(MOD(MATCH(CALC_PlanetPositions!$B$7,{"Aries","Taurus","Gemini","Cancer","Leo","Virgo","Libra","Scorpio","Sagittarius","Capricorn","Aquarius","Pisces"},0)-MATCH(INPUT_Chart!$C$5,{"Aries","Taurus","Gemini","Cancer","Leo","Virgo","Libra","Scorpio","Sagittarius","Capricorn","Aquarius","Pisces"},0),12)+1)+12,12)+1,{1,2,4,7,8,9,10,11},0)),1,0),0)+IFERROR(IF(ISNUMBER(MATCH(MOD(5-(MOD(MATCH(CALC_PlanetPositions!$B$8,{"Aries","Taurus","Gemini","Cancer","Leo","Virgo","Libra","Scorpio","Sagittarius","Capricorn","Aquarius","Pisces"},0)-MATCH(INPUT_Chart!$C$5,{"Aries","Taurus","Gemini","Cancer","Leo","Virgo","Libra","Scorpio","Sagittarius","Capricorn","Aquarius","Pisces"},0),12)+1)+12,12)+1,{3,6,10,11},0)),1,0),0)+IFERROR(IF(ISNUMBER(MATCH(MOD(5-(MOD(MATCH(CALC_PlanetPositions!$B$9,{"Aries","Taurus","Gemini","Cancer","Leo","Virgo","Libra","Scorpio","Sagittarius","Capricorn","Aquarius","Pisces"},0)-MATCH(INPUT_Chart!$C$5,{"Aries","Taurus","Gemini","Cancer","Leo","Virgo","Libra","Scorpio","Sagittarius","Capricorn","Aquarius","Pisces"},0),12)+1)+12,12)+1,{1,2,4,7,8,9,10,11},0)),1,0),0)+IFERROR(IF(ISNUMBER(MATCH(MOD(5-(MOD(MATCH(CALC_PlanetPositions!$B$10,{"Aries","Taurus","Gemini","Cancer","Leo","Virgo","Libra","Scorpio","Sagittarius","Capricorn","Aquarius","Pisces"},0)-MATCH(INPUT_Chart!$C$5,{"Aries","Taurus","Gemini","Cancer","Leo","Virgo","Libra","Scorpio","Sagittarius","Capricorn","Aquarius","Pisces"},0),12)+1)+12,12)+1,{3,5,6,9,10,11,12},0)),1,0),0)+IFERROR(IF(ISNUMBER(MATCH(MOD(5-(MOD(MATCH(CALC_PlanetPositions!$B$11,{"Aries","Taurus","Gemini","Cancer","Leo","Virgo","Libra","Scorpio","Sagittarius","Capricorn","Aquarius","Pisces"},0)-MATCH(INPUT_Chart!$C$5,{"Aries","Taurus","Gemini","Cancer","Leo","Virgo","Libra","Scorpio","Sagittarius","Capricorn","Aquarius","Pisces"},0),12)+1)+12,12)+1,{5,6,9,11},0)),1,0),0)+IFERROR(IF(ISNUMBER(MATCH(MOD(5-(MOD(MATCH(CALC_PlanetPositions!$B$12,{"Aries","Taurus","Gemini","Cancer","Leo","Virgo","Libra","Scorpio","Sagittarius","Capricorn","Aquarius","Pisces"},0)-MATCH(INPUT_Chart!$C$5,{"Aries","Taurus","Gemini","Cancer","Leo","Virgo","Libra","Scorpio","Sagittarius","Capricorn","Aquarius","Pisces"},0),12)+1)+12,12)+1,{6,7,12},0)),1,0),0)+IFERROR(IF(ISNUMBER(MATCH(MOD(5-(MOD(MATCH(CALC_PlanetPositions!$B$13,{"Aries","Taurus","Gemini","Cancer","Leo","Virgo","Libra","Scorpio","Sagittarius","Capricorn","Aquarius","Pisces"},0)-MATCH(INPUT_Chart!$C$5,{"Aries","Taurus","Gemini","Cancer","Leo","Virgo","Libra","Scorpio","Sagittarius","Capricorn","Aquarius","Pisces"},0),12)+1)+12,12)+1,{1,2,4,7,8,9,10,11},0)),1,0),0)+IFERROR(IF(ISNUMBER(MATCH(MOD(5-(MOD(MATCH(INPUT_Chart!$C$5,{"Aries","Taurus","Gemini","Cancer","Leo","Virgo","Libra","Scorpio","Sagittarius","Capricorn","Aquarius","Pisces"},0)-MATCH(INPUT_Chart!$C$5,{"Aries","Taurus","Gemini","Cancer","Leo","Virgo","Libra","Scorpio","Sagittarius","Capricorn","Aquarius","Pisces"},0),12)+1)+12,12)+1,{3,4,6,10,11,12},0)),1,0),0),0)</f>
        <v>3</v>
      </c>
      <c r="G6" s="830">
        <f>IFERROR(IFERROR(IF(ISNUMBER(MATCH(MOD(6-(MOD(MATCH(CALC_PlanetPositions!$B$7,{"Aries","Taurus","Gemini","Cancer","Leo","Virgo","Libra","Scorpio","Sagittarius","Capricorn","Aquarius","Pisces"},0)-MATCH(INPUT_Chart!$C$5,{"Aries","Taurus","Gemini","Cancer","Leo","Virgo","Libra","Scorpio","Sagittarius","Capricorn","Aquarius","Pisces"},0),12)+1)+12,12)+1,{1,2,4,7,8,9,10,11},0)),1,0),0)+IFERROR(IF(ISNUMBER(MATCH(MOD(6-(MOD(MATCH(CALC_PlanetPositions!$B$8,{"Aries","Taurus","Gemini","Cancer","Leo","Virgo","Libra","Scorpio","Sagittarius","Capricorn","Aquarius","Pisces"},0)-MATCH(INPUT_Chart!$C$5,{"Aries","Taurus","Gemini","Cancer","Leo","Virgo","Libra","Scorpio","Sagittarius","Capricorn","Aquarius","Pisces"},0),12)+1)+12,12)+1,{3,6,10,11},0)),1,0),0)+IFERROR(IF(ISNUMBER(MATCH(MOD(6-(MOD(MATCH(CALC_PlanetPositions!$B$9,{"Aries","Taurus","Gemini","Cancer","Leo","Virgo","Libra","Scorpio","Sagittarius","Capricorn","Aquarius","Pisces"},0)-MATCH(INPUT_Chart!$C$5,{"Aries","Taurus","Gemini","Cancer","Leo","Virgo","Libra","Scorpio","Sagittarius","Capricorn","Aquarius","Pisces"},0),12)+1)+12,12)+1,{1,2,4,7,8,9,10,11},0)),1,0),0)+IFERROR(IF(ISNUMBER(MATCH(MOD(6-(MOD(MATCH(CALC_PlanetPositions!$B$10,{"Aries","Taurus","Gemini","Cancer","Leo","Virgo","Libra","Scorpio","Sagittarius","Capricorn","Aquarius","Pisces"},0)-MATCH(INPUT_Chart!$C$5,{"Aries","Taurus","Gemini","Cancer","Leo","Virgo","Libra","Scorpio","Sagittarius","Capricorn","Aquarius","Pisces"},0),12)+1)+12,12)+1,{3,5,6,9,10,11,12},0)),1,0),0)+IFERROR(IF(ISNUMBER(MATCH(MOD(6-(MOD(MATCH(CALC_PlanetPositions!$B$11,{"Aries","Taurus","Gemini","Cancer","Leo","Virgo","Libra","Scorpio","Sagittarius","Capricorn","Aquarius","Pisces"},0)-MATCH(INPUT_Chart!$C$5,{"Aries","Taurus","Gemini","Cancer","Leo","Virgo","Libra","Scorpio","Sagittarius","Capricorn","Aquarius","Pisces"},0),12)+1)+12,12)+1,{5,6,9,11},0)),1,0),0)+IFERROR(IF(ISNUMBER(MATCH(MOD(6-(MOD(MATCH(CALC_PlanetPositions!$B$12,{"Aries","Taurus","Gemini","Cancer","Leo","Virgo","Libra","Scorpio","Sagittarius","Capricorn","Aquarius","Pisces"},0)-MATCH(INPUT_Chart!$C$5,{"Aries","Taurus","Gemini","Cancer","Leo","Virgo","Libra","Scorpio","Sagittarius","Capricorn","Aquarius","Pisces"},0),12)+1)+12,12)+1,{6,7,12},0)),1,0),0)+IFERROR(IF(ISNUMBER(MATCH(MOD(6-(MOD(MATCH(CALC_PlanetPositions!$B$13,{"Aries","Taurus","Gemini","Cancer","Leo","Virgo","Libra","Scorpio","Sagittarius","Capricorn","Aquarius","Pisces"},0)-MATCH(INPUT_Chart!$C$5,{"Aries","Taurus","Gemini","Cancer","Leo","Virgo","Libra","Scorpio","Sagittarius","Capricorn","Aquarius","Pisces"},0),12)+1)+12,12)+1,{1,2,4,7,8,9,10,11},0)),1,0),0)+IFERROR(IF(ISNUMBER(MATCH(MOD(6-(MOD(MATCH(INPUT_Chart!$C$5,{"Aries","Taurus","Gemini","Cancer","Leo","Virgo","Libra","Scorpio","Sagittarius","Capricorn","Aquarius","Pisces"},0)-MATCH(INPUT_Chart!$C$5,{"Aries","Taurus","Gemini","Cancer","Leo","Virgo","Libra","Scorpio","Sagittarius","Capricorn","Aquarius","Pisces"},0),12)+1)+12,12)+1,{3,4,6,10,11,12},0)),1,0),0),0)</f>
        <v>3</v>
      </c>
      <c r="H6" s="830">
        <f>IFERROR(IFERROR(IF(ISNUMBER(MATCH(MOD(7-(MOD(MATCH(CALC_PlanetPositions!$B$7,{"Aries","Taurus","Gemini","Cancer","Leo","Virgo","Libra","Scorpio","Sagittarius","Capricorn","Aquarius","Pisces"},0)-MATCH(INPUT_Chart!$C$5,{"Aries","Taurus","Gemini","Cancer","Leo","Virgo","Libra","Scorpio","Sagittarius","Capricorn","Aquarius","Pisces"},0),12)+1)+12,12)+1,{1,2,4,7,8,9,10,11},0)),1,0),0)+IFERROR(IF(ISNUMBER(MATCH(MOD(7-(MOD(MATCH(CALC_PlanetPositions!$B$8,{"Aries","Taurus","Gemini","Cancer","Leo","Virgo","Libra","Scorpio","Sagittarius","Capricorn","Aquarius","Pisces"},0)-MATCH(INPUT_Chart!$C$5,{"Aries","Taurus","Gemini","Cancer","Leo","Virgo","Libra","Scorpio","Sagittarius","Capricorn","Aquarius","Pisces"},0),12)+1)+12,12)+1,{3,6,10,11},0)),1,0),0)+IFERROR(IF(ISNUMBER(MATCH(MOD(7-(MOD(MATCH(CALC_PlanetPositions!$B$9,{"Aries","Taurus","Gemini","Cancer","Leo","Virgo","Libra","Scorpio","Sagittarius","Capricorn","Aquarius","Pisces"},0)-MATCH(INPUT_Chart!$C$5,{"Aries","Taurus","Gemini","Cancer","Leo","Virgo","Libra","Scorpio","Sagittarius","Capricorn","Aquarius","Pisces"},0),12)+1)+12,12)+1,{1,2,4,7,8,9,10,11},0)),1,0),0)+IFERROR(IF(ISNUMBER(MATCH(MOD(7-(MOD(MATCH(CALC_PlanetPositions!$B$10,{"Aries","Taurus","Gemini","Cancer","Leo","Virgo","Libra","Scorpio","Sagittarius","Capricorn","Aquarius","Pisces"},0)-MATCH(INPUT_Chart!$C$5,{"Aries","Taurus","Gemini","Cancer","Leo","Virgo","Libra","Scorpio","Sagittarius","Capricorn","Aquarius","Pisces"},0),12)+1)+12,12)+1,{3,5,6,9,10,11,12},0)),1,0),0)+IFERROR(IF(ISNUMBER(MATCH(MOD(7-(MOD(MATCH(CALC_PlanetPositions!$B$11,{"Aries","Taurus","Gemini","Cancer","Leo","Virgo","Libra","Scorpio","Sagittarius","Capricorn","Aquarius","Pisces"},0)-MATCH(INPUT_Chart!$C$5,{"Aries","Taurus","Gemini","Cancer","Leo","Virgo","Libra","Scorpio","Sagittarius","Capricorn","Aquarius","Pisces"},0),12)+1)+12,12)+1,{5,6,9,11},0)),1,0),0)+IFERROR(IF(ISNUMBER(MATCH(MOD(7-(MOD(MATCH(CALC_PlanetPositions!$B$12,{"Aries","Taurus","Gemini","Cancer","Leo","Virgo","Libra","Scorpio","Sagittarius","Capricorn","Aquarius","Pisces"},0)-MATCH(INPUT_Chart!$C$5,{"Aries","Taurus","Gemini","Cancer","Leo","Virgo","Libra","Scorpio","Sagittarius","Capricorn","Aquarius","Pisces"},0),12)+1)+12,12)+1,{6,7,12},0)),1,0),0)+IFERROR(IF(ISNUMBER(MATCH(MOD(7-(MOD(MATCH(CALC_PlanetPositions!$B$13,{"Aries","Taurus","Gemini","Cancer","Leo","Virgo","Libra","Scorpio","Sagittarius","Capricorn","Aquarius","Pisces"},0)-MATCH(INPUT_Chart!$C$5,{"Aries","Taurus","Gemini","Cancer","Leo","Virgo","Libra","Scorpio","Sagittarius","Capricorn","Aquarius","Pisces"},0),12)+1)+12,12)+1,{1,2,4,7,8,9,10,11},0)),1,0),0)+IFERROR(IF(ISNUMBER(MATCH(MOD(7-(MOD(MATCH(INPUT_Chart!$C$5,{"Aries","Taurus","Gemini","Cancer","Leo","Virgo","Libra","Scorpio","Sagittarius","Capricorn","Aquarius","Pisces"},0)-MATCH(INPUT_Chart!$C$5,{"Aries","Taurus","Gemini","Cancer","Leo","Virgo","Libra","Scorpio","Sagittarius","Capricorn","Aquarius","Pisces"},0),12)+1)+12,12)+1,{3,4,6,10,11,12},0)),1,0),0),0)</f>
        <v>1</v>
      </c>
      <c r="I6" s="830">
        <f>IFERROR(IFERROR(IF(ISNUMBER(MATCH(MOD(8-(MOD(MATCH(CALC_PlanetPositions!$B$7,{"Aries","Taurus","Gemini","Cancer","Leo","Virgo","Libra","Scorpio","Sagittarius","Capricorn","Aquarius","Pisces"},0)-MATCH(INPUT_Chart!$C$5,{"Aries","Taurus","Gemini","Cancer","Leo","Virgo","Libra","Scorpio","Sagittarius","Capricorn","Aquarius","Pisces"},0),12)+1)+12,12)+1,{1,2,4,7,8,9,10,11},0)),1,0),0)+IFERROR(IF(ISNUMBER(MATCH(MOD(8-(MOD(MATCH(CALC_PlanetPositions!$B$8,{"Aries","Taurus","Gemini","Cancer","Leo","Virgo","Libra","Scorpio","Sagittarius","Capricorn","Aquarius","Pisces"},0)-MATCH(INPUT_Chart!$C$5,{"Aries","Taurus","Gemini","Cancer","Leo","Virgo","Libra","Scorpio","Sagittarius","Capricorn","Aquarius","Pisces"},0),12)+1)+12,12)+1,{3,6,10,11},0)),1,0),0)+IFERROR(IF(ISNUMBER(MATCH(MOD(8-(MOD(MATCH(CALC_PlanetPositions!$B$9,{"Aries","Taurus","Gemini","Cancer","Leo","Virgo","Libra","Scorpio","Sagittarius","Capricorn","Aquarius","Pisces"},0)-MATCH(INPUT_Chart!$C$5,{"Aries","Taurus","Gemini","Cancer","Leo","Virgo","Libra","Scorpio","Sagittarius","Capricorn","Aquarius","Pisces"},0),12)+1)+12,12)+1,{1,2,4,7,8,9,10,11},0)),1,0),0)+IFERROR(IF(ISNUMBER(MATCH(MOD(8-(MOD(MATCH(CALC_PlanetPositions!$B$10,{"Aries","Taurus","Gemini","Cancer","Leo","Virgo","Libra","Scorpio","Sagittarius","Capricorn","Aquarius","Pisces"},0)-MATCH(INPUT_Chart!$C$5,{"Aries","Taurus","Gemini","Cancer","Leo","Virgo","Libra","Scorpio","Sagittarius","Capricorn","Aquarius","Pisces"},0),12)+1)+12,12)+1,{3,5,6,9,10,11,12},0)),1,0),0)+IFERROR(IF(ISNUMBER(MATCH(MOD(8-(MOD(MATCH(CALC_PlanetPositions!$B$11,{"Aries","Taurus","Gemini","Cancer","Leo","Virgo","Libra","Scorpio","Sagittarius","Capricorn","Aquarius","Pisces"},0)-MATCH(INPUT_Chart!$C$5,{"Aries","Taurus","Gemini","Cancer","Leo","Virgo","Libra","Scorpio","Sagittarius","Capricorn","Aquarius","Pisces"},0),12)+1)+12,12)+1,{5,6,9,11},0)),1,0),0)+IFERROR(IF(ISNUMBER(MATCH(MOD(8-(MOD(MATCH(CALC_PlanetPositions!$B$12,{"Aries","Taurus","Gemini","Cancer","Leo","Virgo","Libra","Scorpio","Sagittarius","Capricorn","Aquarius","Pisces"},0)-MATCH(INPUT_Chart!$C$5,{"Aries","Taurus","Gemini","Cancer","Leo","Virgo","Libra","Scorpio","Sagittarius","Capricorn","Aquarius","Pisces"},0),12)+1)+12,12)+1,{6,7,12},0)),1,0),0)+IFERROR(IF(ISNUMBER(MATCH(MOD(8-(MOD(MATCH(CALC_PlanetPositions!$B$13,{"Aries","Taurus","Gemini","Cancer","Leo","Virgo","Libra","Scorpio","Sagittarius","Capricorn","Aquarius","Pisces"},0)-MATCH(INPUT_Chart!$C$5,{"Aries","Taurus","Gemini","Cancer","Leo","Virgo","Libra","Scorpio","Sagittarius","Capricorn","Aquarius","Pisces"},0),12)+1)+12,12)+1,{1,2,4,7,8,9,10,11},0)),1,0),0)+IFERROR(IF(ISNUMBER(MATCH(MOD(8-(MOD(MATCH(INPUT_Chart!$C$5,{"Aries","Taurus","Gemini","Cancer","Leo","Virgo","Libra","Scorpio","Sagittarius","Capricorn","Aquarius","Pisces"},0)-MATCH(INPUT_Chart!$C$5,{"Aries","Taurus","Gemini","Cancer","Leo","Virgo","Libra","Scorpio","Sagittarius","Capricorn","Aquarius","Pisces"},0),12)+1)+12,12)+1,{3,4,6,10,11,12},0)),1,0),0),0)</f>
        <v>4</v>
      </c>
      <c r="J6" s="830">
        <f>IFERROR(IFERROR(IF(ISNUMBER(MATCH(MOD(9-(MOD(MATCH(CALC_PlanetPositions!$B$7,{"Aries","Taurus","Gemini","Cancer","Leo","Virgo","Libra","Scorpio","Sagittarius","Capricorn","Aquarius","Pisces"},0)-MATCH(INPUT_Chart!$C$5,{"Aries","Taurus","Gemini","Cancer","Leo","Virgo","Libra","Scorpio","Sagittarius","Capricorn","Aquarius","Pisces"},0),12)+1)+12,12)+1,{1,2,4,7,8,9,10,11},0)),1,0),0)+IFERROR(IF(ISNUMBER(MATCH(MOD(9-(MOD(MATCH(CALC_PlanetPositions!$B$8,{"Aries","Taurus","Gemini","Cancer","Leo","Virgo","Libra","Scorpio","Sagittarius","Capricorn","Aquarius","Pisces"},0)-MATCH(INPUT_Chart!$C$5,{"Aries","Taurus","Gemini","Cancer","Leo","Virgo","Libra","Scorpio","Sagittarius","Capricorn","Aquarius","Pisces"},0),12)+1)+12,12)+1,{3,6,10,11},0)),1,0),0)+IFERROR(IF(ISNUMBER(MATCH(MOD(9-(MOD(MATCH(CALC_PlanetPositions!$B$9,{"Aries","Taurus","Gemini","Cancer","Leo","Virgo","Libra","Scorpio","Sagittarius","Capricorn","Aquarius","Pisces"},0)-MATCH(INPUT_Chart!$C$5,{"Aries","Taurus","Gemini","Cancer","Leo","Virgo","Libra","Scorpio","Sagittarius","Capricorn","Aquarius","Pisces"},0),12)+1)+12,12)+1,{1,2,4,7,8,9,10,11},0)),1,0),0)+IFERROR(IF(ISNUMBER(MATCH(MOD(9-(MOD(MATCH(CALC_PlanetPositions!$B$10,{"Aries","Taurus","Gemini","Cancer","Leo","Virgo","Libra","Scorpio","Sagittarius","Capricorn","Aquarius","Pisces"},0)-MATCH(INPUT_Chart!$C$5,{"Aries","Taurus","Gemini","Cancer","Leo","Virgo","Libra","Scorpio","Sagittarius","Capricorn","Aquarius","Pisces"},0),12)+1)+12,12)+1,{3,5,6,9,10,11,12},0)),1,0),0)+IFERROR(IF(ISNUMBER(MATCH(MOD(9-(MOD(MATCH(CALC_PlanetPositions!$B$11,{"Aries","Taurus","Gemini","Cancer","Leo","Virgo","Libra","Scorpio","Sagittarius","Capricorn","Aquarius","Pisces"},0)-MATCH(INPUT_Chart!$C$5,{"Aries","Taurus","Gemini","Cancer","Leo","Virgo","Libra","Scorpio","Sagittarius","Capricorn","Aquarius","Pisces"},0),12)+1)+12,12)+1,{5,6,9,11},0)),1,0),0)+IFERROR(IF(ISNUMBER(MATCH(MOD(9-(MOD(MATCH(CALC_PlanetPositions!$B$12,{"Aries","Taurus","Gemini","Cancer","Leo","Virgo","Libra","Scorpio","Sagittarius","Capricorn","Aquarius","Pisces"},0)-MATCH(INPUT_Chart!$C$5,{"Aries","Taurus","Gemini","Cancer","Leo","Virgo","Libra","Scorpio","Sagittarius","Capricorn","Aquarius","Pisces"},0),12)+1)+12,12)+1,{6,7,12},0)),1,0),0)+IFERROR(IF(ISNUMBER(MATCH(MOD(9-(MOD(MATCH(CALC_PlanetPositions!$B$13,{"Aries","Taurus","Gemini","Cancer","Leo","Virgo","Libra","Scorpio","Sagittarius","Capricorn","Aquarius","Pisces"},0)-MATCH(INPUT_Chart!$C$5,{"Aries","Taurus","Gemini","Cancer","Leo","Virgo","Libra","Scorpio","Sagittarius","Capricorn","Aquarius","Pisces"},0),12)+1)+12,12)+1,{1,2,4,7,8,9,10,11},0)),1,0),0)+IFERROR(IF(ISNUMBER(MATCH(MOD(9-(MOD(MATCH(INPUT_Chart!$C$5,{"Aries","Taurus","Gemini","Cancer","Leo","Virgo","Libra","Scorpio","Sagittarius","Capricorn","Aquarius","Pisces"},0)-MATCH(INPUT_Chart!$C$5,{"Aries","Taurus","Gemini","Cancer","Leo","Virgo","Libra","Scorpio","Sagittarius","Capricorn","Aquarius","Pisces"},0),12)+1)+12,12)+1,{3,4,6,10,11,12},0)),1,0),0),0)</f>
        <v>4</v>
      </c>
      <c r="K6" s="830">
        <f>IFERROR(IFERROR(IF(ISNUMBER(MATCH(MOD(10-(MOD(MATCH(CALC_PlanetPositions!$B$7,{"Aries","Taurus","Gemini","Cancer","Leo","Virgo","Libra","Scorpio","Sagittarius","Capricorn","Aquarius","Pisces"},0)-MATCH(INPUT_Chart!$C$5,{"Aries","Taurus","Gemini","Cancer","Leo","Virgo","Libra","Scorpio","Sagittarius","Capricorn","Aquarius","Pisces"},0),12)+1)+12,12)+1,{1,2,4,7,8,9,10,11},0)),1,0),0)+IFERROR(IF(ISNUMBER(MATCH(MOD(10-(MOD(MATCH(CALC_PlanetPositions!$B$8,{"Aries","Taurus","Gemini","Cancer","Leo","Virgo","Libra","Scorpio","Sagittarius","Capricorn","Aquarius","Pisces"},0)-MATCH(INPUT_Chart!$C$5,{"Aries","Taurus","Gemini","Cancer","Leo","Virgo","Libra","Scorpio","Sagittarius","Capricorn","Aquarius","Pisces"},0),12)+1)+12,12)+1,{3,6,10,11},0)),1,0),0)+IFERROR(IF(ISNUMBER(MATCH(MOD(10-(MOD(MATCH(CALC_PlanetPositions!$B$9,{"Aries","Taurus","Gemini","Cancer","Leo","Virgo","Libra","Scorpio","Sagittarius","Capricorn","Aquarius","Pisces"},0)-MATCH(INPUT_Chart!$C$5,{"Aries","Taurus","Gemini","Cancer","Leo","Virgo","Libra","Scorpio","Sagittarius","Capricorn","Aquarius","Pisces"},0),12)+1)+12,12)+1,{1,2,4,7,8,9,10,11},0)),1,0),0)+IFERROR(IF(ISNUMBER(MATCH(MOD(10-(MOD(MATCH(CALC_PlanetPositions!$B$10,{"Aries","Taurus","Gemini","Cancer","Leo","Virgo","Libra","Scorpio","Sagittarius","Capricorn","Aquarius","Pisces"},0)-MATCH(INPUT_Chart!$C$5,{"Aries","Taurus","Gemini","Cancer","Leo","Virgo","Libra","Scorpio","Sagittarius","Capricorn","Aquarius","Pisces"},0),12)+1)+12,12)+1,{3,5,6,9,10,11,12},0)),1,0),0)+IFERROR(IF(ISNUMBER(MATCH(MOD(10-(MOD(MATCH(CALC_PlanetPositions!$B$11,{"Aries","Taurus","Gemini","Cancer","Leo","Virgo","Libra","Scorpio","Sagittarius","Capricorn","Aquarius","Pisces"},0)-MATCH(INPUT_Chart!$C$5,{"Aries","Taurus","Gemini","Cancer","Leo","Virgo","Libra","Scorpio","Sagittarius","Capricorn","Aquarius","Pisces"},0),12)+1)+12,12)+1,{5,6,9,11},0)),1,0),0)+IFERROR(IF(ISNUMBER(MATCH(MOD(10-(MOD(MATCH(CALC_PlanetPositions!$B$12,{"Aries","Taurus","Gemini","Cancer","Leo","Virgo","Libra","Scorpio","Sagittarius","Capricorn","Aquarius","Pisces"},0)-MATCH(INPUT_Chart!$C$5,{"Aries","Taurus","Gemini","Cancer","Leo","Virgo","Libra","Scorpio","Sagittarius","Capricorn","Aquarius","Pisces"},0),12)+1)+12,12)+1,{6,7,12},0)),1,0),0)+IFERROR(IF(ISNUMBER(MATCH(MOD(10-(MOD(MATCH(CALC_PlanetPositions!$B$13,{"Aries","Taurus","Gemini","Cancer","Leo","Virgo","Libra","Scorpio","Sagittarius","Capricorn","Aquarius","Pisces"},0)-MATCH(INPUT_Chart!$C$5,{"Aries","Taurus","Gemini","Cancer","Leo","Virgo","Libra","Scorpio","Sagittarius","Capricorn","Aquarius","Pisces"},0),12)+1)+12,12)+1,{1,2,4,7,8,9,10,11},0)),1,0),0)+IFERROR(IF(ISNUMBER(MATCH(MOD(10-(MOD(MATCH(INPUT_Chart!$C$5,{"Aries","Taurus","Gemini","Cancer","Leo","Virgo","Libra","Scorpio","Sagittarius","Capricorn","Aquarius","Pisces"},0)-MATCH(INPUT_Chart!$C$5,{"Aries","Taurus","Gemini","Cancer","Leo","Virgo","Libra","Scorpio","Sagittarius","Capricorn","Aquarius","Pisces"},0),12)+1)+12,12)+1,{3,4,6,10,11,12},0)),1,0),0),0)</f>
        <v>5</v>
      </c>
      <c r="L6" s="830">
        <f>IFERROR(IFERROR(IF(ISNUMBER(MATCH(MOD(11-(MOD(MATCH(CALC_PlanetPositions!$B$7,{"Aries","Taurus","Gemini","Cancer","Leo","Virgo","Libra","Scorpio","Sagittarius","Capricorn","Aquarius","Pisces"},0)-MATCH(INPUT_Chart!$C$5,{"Aries","Taurus","Gemini","Cancer","Leo","Virgo","Libra","Scorpio","Sagittarius","Capricorn","Aquarius","Pisces"},0),12)+1)+12,12)+1,{1,2,4,7,8,9,10,11},0)),1,0),0)+IFERROR(IF(ISNUMBER(MATCH(MOD(11-(MOD(MATCH(CALC_PlanetPositions!$B$8,{"Aries","Taurus","Gemini","Cancer","Leo","Virgo","Libra","Scorpio","Sagittarius","Capricorn","Aquarius","Pisces"},0)-MATCH(INPUT_Chart!$C$5,{"Aries","Taurus","Gemini","Cancer","Leo","Virgo","Libra","Scorpio","Sagittarius","Capricorn","Aquarius","Pisces"},0),12)+1)+12,12)+1,{3,6,10,11},0)),1,0),0)+IFERROR(IF(ISNUMBER(MATCH(MOD(11-(MOD(MATCH(CALC_PlanetPositions!$B$9,{"Aries","Taurus","Gemini","Cancer","Leo","Virgo","Libra","Scorpio","Sagittarius","Capricorn","Aquarius","Pisces"},0)-MATCH(INPUT_Chart!$C$5,{"Aries","Taurus","Gemini","Cancer","Leo","Virgo","Libra","Scorpio","Sagittarius","Capricorn","Aquarius","Pisces"},0),12)+1)+12,12)+1,{1,2,4,7,8,9,10,11},0)),1,0),0)+IFERROR(IF(ISNUMBER(MATCH(MOD(11-(MOD(MATCH(CALC_PlanetPositions!$B$10,{"Aries","Taurus","Gemini","Cancer","Leo","Virgo","Libra","Scorpio","Sagittarius","Capricorn","Aquarius","Pisces"},0)-MATCH(INPUT_Chart!$C$5,{"Aries","Taurus","Gemini","Cancer","Leo","Virgo","Libra","Scorpio","Sagittarius","Capricorn","Aquarius","Pisces"},0),12)+1)+12,12)+1,{3,5,6,9,10,11,12},0)),1,0),0)+IFERROR(IF(ISNUMBER(MATCH(MOD(11-(MOD(MATCH(CALC_PlanetPositions!$B$11,{"Aries","Taurus","Gemini","Cancer","Leo","Virgo","Libra","Scorpio","Sagittarius","Capricorn","Aquarius","Pisces"},0)-MATCH(INPUT_Chart!$C$5,{"Aries","Taurus","Gemini","Cancer","Leo","Virgo","Libra","Scorpio","Sagittarius","Capricorn","Aquarius","Pisces"},0),12)+1)+12,12)+1,{5,6,9,11},0)),1,0),0)+IFERROR(IF(ISNUMBER(MATCH(MOD(11-(MOD(MATCH(CALC_PlanetPositions!$B$12,{"Aries","Taurus","Gemini","Cancer","Leo","Virgo","Libra","Scorpio","Sagittarius","Capricorn","Aquarius","Pisces"},0)-MATCH(INPUT_Chart!$C$5,{"Aries","Taurus","Gemini","Cancer","Leo","Virgo","Libra","Scorpio","Sagittarius","Capricorn","Aquarius","Pisces"},0),12)+1)+12,12)+1,{6,7,12},0)),1,0),0)+IFERROR(IF(ISNUMBER(MATCH(MOD(11-(MOD(MATCH(CALC_PlanetPositions!$B$13,{"Aries","Taurus","Gemini","Cancer","Leo","Virgo","Libra","Scorpio","Sagittarius","Capricorn","Aquarius","Pisces"},0)-MATCH(INPUT_Chart!$C$5,{"Aries","Taurus","Gemini","Cancer","Leo","Virgo","Libra","Scorpio","Sagittarius","Capricorn","Aquarius","Pisces"},0),12)+1)+12,12)+1,{1,2,4,7,8,9,10,11},0)),1,0),0)+IFERROR(IF(ISNUMBER(MATCH(MOD(11-(MOD(MATCH(INPUT_Chart!$C$5,{"Aries","Taurus","Gemini","Cancer","Leo","Virgo","Libra","Scorpio","Sagittarius","Capricorn","Aquarius","Pisces"},0)-MATCH(INPUT_Chart!$C$5,{"Aries","Taurus","Gemini","Cancer","Leo","Virgo","Libra","Scorpio","Sagittarius","Capricorn","Aquarius","Pisces"},0),12)+1)+12,12)+1,{3,4,6,10,11,12},0)),1,0),0),0)</f>
        <v>6</v>
      </c>
      <c r="M6" s="830">
        <f>IFERROR(IFERROR(IF(ISNUMBER(MATCH(MOD(12-(MOD(MATCH(CALC_PlanetPositions!$B$7,{"Aries","Taurus","Gemini","Cancer","Leo","Virgo","Libra","Scorpio","Sagittarius","Capricorn","Aquarius","Pisces"},0)-MATCH(INPUT_Chart!$C$5,{"Aries","Taurus","Gemini","Cancer","Leo","Virgo","Libra","Scorpio","Sagittarius","Capricorn","Aquarius","Pisces"},0),12)+1)+12,12)+1,{1,2,4,7,8,9,10,11},0)),1,0),0)+IFERROR(IF(ISNUMBER(MATCH(MOD(12-(MOD(MATCH(CALC_PlanetPositions!$B$8,{"Aries","Taurus","Gemini","Cancer","Leo","Virgo","Libra","Scorpio","Sagittarius","Capricorn","Aquarius","Pisces"},0)-MATCH(INPUT_Chart!$C$5,{"Aries","Taurus","Gemini","Cancer","Leo","Virgo","Libra","Scorpio","Sagittarius","Capricorn","Aquarius","Pisces"},0),12)+1)+12,12)+1,{3,6,10,11},0)),1,0),0)+IFERROR(IF(ISNUMBER(MATCH(MOD(12-(MOD(MATCH(CALC_PlanetPositions!$B$9,{"Aries","Taurus","Gemini","Cancer","Leo","Virgo","Libra","Scorpio","Sagittarius","Capricorn","Aquarius","Pisces"},0)-MATCH(INPUT_Chart!$C$5,{"Aries","Taurus","Gemini","Cancer","Leo","Virgo","Libra","Scorpio","Sagittarius","Capricorn","Aquarius","Pisces"},0),12)+1)+12,12)+1,{1,2,4,7,8,9,10,11},0)),1,0),0)+IFERROR(IF(ISNUMBER(MATCH(MOD(12-(MOD(MATCH(CALC_PlanetPositions!$B$10,{"Aries","Taurus","Gemini","Cancer","Leo","Virgo","Libra","Scorpio","Sagittarius","Capricorn","Aquarius","Pisces"},0)-MATCH(INPUT_Chart!$C$5,{"Aries","Taurus","Gemini","Cancer","Leo","Virgo","Libra","Scorpio","Sagittarius","Capricorn","Aquarius","Pisces"},0),12)+1)+12,12)+1,{3,5,6,9,10,11,12},0)),1,0),0)+IFERROR(IF(ISNUMBER(MATCH(MOD(12-(MOD(MATCH(CALC_PlanetPositions!$B$11,{"Aries","Taurus","Gemini","Cancer","Leo","Virgo","Libra","Scorpio","Sagittarius","Capricorn","Aquarius","Pisces"},0)-MATCH(INPUT_Chart!$C$5,{"Aries","Taurus","Gemini","Cancer","Leo","Virgo","Libra","Scorpio","Sagittarius","Capricorn","Aquarius","Pisces"},0),12)+1)+12,12)+1,{5,6,9,11},0)),1,0),0)+IFERROR(IF(ISNUMBER(MATCH(MOD(12-(MOD(MATCH(CALC_PlanetPositions!$B$12,{"Aries","Taurus","Gemini","Cancer","Leo","Virgo","Libra","Scorpio","Sagittarius","Capricorn","Aquarius","Pisces"},0)-MATCH(INPUT_Chart!$C$5,{"Aries","Taurus","Gemini","Cancer","Leo","Virgo","Libra","Scorpio","Sagittarius","Capricorn","Aquarius","Pisces"},0),12)+1)+12,12)+1,{6,7,12},0)),1,0),0)+IFERROR(IF(ISNUMBER(MATCH(MOD(12-(MOD(MATCH(CALC_PlanetPositions!$B$13,{"Aries","Taurus","Gemini","Cancer","Leo","Virgo","Libra","Scorpio","Sagittarius","Capricorn","Aquarius","Pisces"},0)-MATCH(INPUT_Chart!$C$5,{"Aries","Taurus","Gemini","Cancer","Leo","Virgo","Libra","Scorpio","Sagittarius","Capricorn","Aquarius","Pisces"},0),12)+1)+12,12)+1,{1,2,4,7,8,9,10,11},0)),1,0),0)+IFERROR(IF(ISNUMBER(MATCH(MOD(12-(MOD(MATCH(INPUT_Chart!$C$5,{"Aries","Taurus","Gemini","Cancer","Leo","Virgo","Libra","Scorpio","Sagittarius","Capricorn","Aquarius","Pisces"},0)-MATCH(INPUT_Chart!$C$5,{"Aries","Taurus","Gemini","Cancer","Leo","Virgo","Libra","Scorpio","Sagittarius","Capricorn","Aquarius","Pisces"},0),12)+1)+12,12)+1,{3,4,6,10,11,12},0)),1,0),0),0)</f>
        <v>6</v>
      </c>
      <c r="N6" s="626">
        <f t="shared" ref="N6:N13" si="0">SUM(B6:M6)</f>
        <v>48</v>
      </c>
      <c r="O6" s="831">
        <f t="shared" ref="O6:O13" si="1">IFERROR(N6/12,0)</f>
        <v>4</v>
      </c>
      <c r="P6" s="832" t="s">
        <v>3744</v>
      </c>
    </row>
    <row r="7" spans="1:17" ht="15.75" customHeight="1" x14ac:dyDescent="0.2">
      <c r="A7" s="551" t="s">
        <v>267</v>
      </c>
      <c r="B7" s="833">
        <f>IFERROR(IFERROR(IF(ISNUMBER(MATCH(MOD(1-(MOD(MATCH(CALC_PlanetPositions!$B$7,{"Aries","Taurus","Gemini","Cancer","Leo","Virgo","Libra","Scorpio","Sagittarius","Capricorn","Aquarius","Pisces"},0)-MATCH(INPUT_Chart!$C$5,{"Aries","Taurus","Gemini","Cancer","Leo","Virgo","Libra","Scorpio","Sagittarius","Capricorn","Aquarius","Pisces"},0),12)+1)+12,12)+1,{3,6,7,8,10,11},0)),1,0),0)+IFERROR(IF(ISNUMBER(MATCH(MOD(1-(MOD(MATCH(CALC_PlanetPositions!$B$8,{"Aries","Taurus","Gemini","Cancer","Leo","Virgo","Libra","Scorpio","Sagittarius","Capricorn","Aquarius","Pisces"},0)-MATCH(INPUT_Chart!$C$5,{"Aries","Taurus","Gemini","Cancer","Leo","Virgo","Libra","Scorpio","Sagittarius","Capricorn","Aquarius","Pisces"},0),12)+1)+12,12)+1,{1,3,6,7,10,11},0)),1,0),0)+IFERROR(IF(ISNUMBER(MATCH(MOD(1-(MOD(MATCH(CALC_PlanetPositions!$B$9,{"Aries","Taurus","Gemini","Cancer","Leo","Virgo","Libra","Scorpio","Sagittarius","Capricorn","Aquarius","Pisces"},0)-MATCH(INPUT_Chart!$C$5,{"Aries","Taurus","Gemini","Cancer","Leo","Virgo","Libra","Scorpio","Sagittarius","Capricorn","Aquarius","Pisces"},0),12)+1)+12,12)+1,{2,3,5,6,9,10,11},0)),1,0),0)+IFERROR(IF(ISNUMBER(MATCH(MOD(1-(MOD(MATCH(CALC_PlanetPositions!$B$10,{"Aries","Taurus","Gemini","Cancer","Leo","Virgo","Libra","Scorpio","Sagittarius","Capricorn","Aquarius","Pisces"},0)-MATCH(INPUT_Chart!$C$5,{"Aries","Taurus","Gemini","Cancer","Leo","Virgo","Libra","Scorpio","Sagittarius","Capricorn","Aquarius","Pisces"},0),12)+1)+12,12)+1,{1,3,4,5,7,8,10,11},0)),1,0),0)+IFERROR(IF(ISNUMBER(MATCH(MOD(1-(MOD(MATCH(CALC_PlanetPositions!$B$11,{"Aries","Taurus","Gemini","Cancer","Leo","Virgo","Libra","Scorpio","Sagittarius","Capricorn","Aquarius","Pisces"},0)-MATCH(INPUT_Chart!$C$5,{"Aries","Taurus","Gemini","Cancer","Leo","Virgo","Libra","Scorpio","Sagittarius","Capricorn","Aquarius","Pisces"},0),12)+1)+12,12)+1,{1,4,7,8,10,11,12},0)),1,0),0)+IFERROR(IF(ISNUMBER(MATCH(MOD(1-(MOD(MATCH(CALC_PlanetPositions!$B$12,{"Aries","Taurus","Gemini","Cancer","Leo","Virgo","Libra","Scorpio","Sagittarius","Capricorn","Aquarius","Pisces"},0)-MATCH(INPUT_Chart!$C$5,{"Aries","Taurus","Gemini","Cancer","Leo","Virgo","Libra","Scorpio","Sagittarius","Capricorn","Aquarius","Pisces"},0),12)+1)+12,12)+1,{3,4,5,7,9,10,11},0)),1,0),0)+IFERROR(IF(ISNUMBER(MATCH(MOD(1-(MOD(MATCH(CALC_PlanetPositions!$B$13,{"Aries","Taurus","Gemini","Cancer","Leo","Virgo","Libra","Scorpio","Sagittarius","Capricorn","Aquarius","Pisces"},0)-MATCH(INPUT_Chart!$C$5,{"Aries","Taurus","Gemini","Cancer","Leo","Virgo","Libra","Scorpio","Sagittarius","Capricorn","Aquarius","Pisces"},0),12)+1)+12,12)+1,{3,5,6,11},0)),1,0),0)+IFERROR(IF(ISNUMBER(MATCH(MOD(1-(MOD(MATCH(INPUT_Chart!$C$5,{"Aries","Taurus","Gemini","Cancer","Leo","Virgo","Libra","Scorpio","Sagittarius","Capricorn","Aquarius","Pisces"},0)-MATCH(INPUT_Chart!$C$5,{"Aries","Taurus","Gemini","Cancer","Leo","Virgo","Libra","Scorpio","Sagittarius","Capricorn","Aquarius","Pisces"},0),12)+1)+12,12)+1,{3,6,10,11},0)),1,0),0),0)</f>
        <v>6</v>
      </c>
      <c r="C7" s="833">
        <f>IFERROR(IFERROR(IF(ISNUMBER(MATCH(MOD(2-(MOD(MATCH(CALC_PlanetPositions!$B$7,{"Aries","Taurus","Gemini","Cancer","Leo","Virgo","Libra","Scorpio","Sagittarius","Capricorn","Aquarius","Pisces"},0)-MATCH(INPUT_Chart!$C$5,{"Aries","Taurus","Gemini","Cancer","Leo","Virgo","Libra","Scorpio","Sagittarius","Capricorn","Aquarius","Pisces"},0),12)+1)+12,12)+1,{3,6,7,8,10,11},0)),1,0),0)+IFERROR(IF(ISNUMBER(MATCH(MOD(2-(MOD(MATCH(CALC_PlanetPositions!$B$8,{"Aries","Taurus","Gemini","Cancer","Leo","Virgo","Libra","Scorpio","Sagittarius","Capricorn","Aquarius","Pisces"},0)-MATCH(INPUT_Chart!$C$5,{"Aries","Taurus","Gemini","Cancer","Leo","Virgo","Libra","Scorpio","Sagittarius","Capricorn","Aquarius","Pisces"},0),12)+1)+12,12)+1,{1,3,6,7,10,11},0)),1,0),0)+IFERROR(IF(ISNUMBER(MATCH(MOD(2-(MOD(MATCH(CALC_PlanetPositions!$B$9,{"Aries","Taurus","Gemini","Cancer","Leo","Virgo","Libra","Scorpio","Sagittarius","Capricorn","Aquarius","Pisces"},0)-MATCH(INPUT_Chart!$C$5,{"Aries","Taurus","Gemini","Cancer","Leo","Virgo","Libra","Scorpio","Sagittarius","Capricorn","Aquarius","Pisces"},0),12)+1)+12,12)+1,{2,3,5,6,9,10,11},0)),1,0),0)+IFERROR(IF(ISNUMBER(MATCH(MOD(2-(MOD(MATCH(CALC_PlanetPositions!$B$10,{"Aries","Taurus","Gemini","Cancer","Leo","Virgo","Libra","Scorpio","Sagittarius","Capricorn","Aquarius","Pisces"},0)-MATCH(INPUT_Chart!$C$5,{"Aries","Taurus","Gemini","Cancer","Leo","Virgo","Libra","Scorpio","Sagittarius","Capricorn","Aquarius","Pisces"},0),12)+1)+12,12)+1,{1,3,4,5,7,8,10,11},0)),1,0),0)+IFERROR(IF(ISNUMBER(MATCH(MOD(2-(MOD(MATCH(CALC_PlanetPositions!$B$11,{"Aries","Taurus","Gemini","Cancer","Leo","Virgo","Libra","Scorpio","Sagittarius","Capricorn","Aquarius","Pisces"},0)-MATCH(INPUT_Chart!$C$5,{"Aries","Taurus","Gemini","Cancer","Leo","Virgo","Libra","Scorpio","Sagittarius","Capricorn","Aquarius","Pisces"},0),12)+1)+12,12)+1,{1,4,7,8,10,11,12},0)),1,0),0)+IFERROR(IF(ISNUMBER(MATCH(MOD(2-(MOD(MATCH(CALC_PlanetPositions!$B$12,{"Aries","Taurus","Gemini","Cancer","Leo","Virgo","Libra","Scorpio","Sagittarius","Capricorn","Aquarius","Pisces"},0)-MATCH(INPUT_Chart!$C$5,{"Aries","Taurus","Gemini","Cancer","Leo","Virgo","Libra","Scorpio","Sagittarius","Capricorn","Aquarius","Pisces"},0),12)+1)+12,12)+1,{3,4,5,7,9,10,11},0)),1,0),0)+IFERROR(IF(ISNUMBER(MATCH(MOD(2-(MOD(MATCH(CALC_PlanetPositions!$B$13,{"Aries","Taurus","Gemini","Cancer","Leo","Virgo","Libra","Scorpio","Sagittarius","Capricorn","Aquarius","Pisces"},0)-MATCH(INPUT_Chart!$C$5,{"Aries","Taurus","Gemini","Cancer","Leo","Virgo","Libra","Scorpio","Sagittarius","Capricorn","Aquarius","Pisces"},0),12)+1)+12,12)+1,{3,5,6,11},0)),1,0),0)+IFERROR(IF(ISNUMBER(MATCH(MOD(2-(MOD(MATCH(INPUT_Chart!$C$5,{"Aries","Taurus","Gemini","Cancer","Leo","Virgo","Libra","Scorpio","Sagittarius","Capricorn","Aquarius","Pisces"},0)-MATCH(INPUT_Chart!$C$5,{"Aries","Taurus","Gemini","Cancer","Leo","Virgo","Libra","Scorpio","Sagittarius","Capricorn","Aquarius","Pisces"},0),12)+1)+12,12)+1,{3,6,10,11},0)),1,0),0),0)</f>
        <v>0</v>
      </c>
      <c r="D7" s="833">
        <f>IFERROR(IFERROR(IF(ISNUMBER(MATCH(MOD(3-(MOD(MATCH(CALC_PlanetPositions!$B$7,{"Aries","Taurus","Gemini","Cancer","Leo","Virgo","Libra","Scorpio","Sagittarius","Capricorn","Aquarius","Pisces"},0)-MATCH(INPUT_Chart!$C$5,{"Aries","Taurus","Gemini","Cancer","Leo","Virgo","Libra","Scorpio","Sagittarius","Capricorn","Aquarius","Pisces"},0),12)+1)+12,12)+1,{3,6,7,8,10,11},0)),1,0),0)+IFERROR(IF(ISNUMBER(MATCH(MOD(3-(MOD(MATCH(CALC_PlanetPositions!$B$8,{"Aries","Taurus","Gemini","Cancer","Leo","Virgo","Libra","Scorpio","Sagittarius","Capricorn","Aquarius","Pisces"},0)-MATCH(INPUT_Chart!$C$5,{"Aries","Taurus","Gemini","Cancer","Leo","Virgo","Libra","Scorpio","Sagittarius","Capricorn","Aquarius","Pisces"},0),12)+1)+12,12)+1,{1,3,6,7,10,11},0)),1,0),0)+IFERROR(IF(ISNUMBER(MATCH(MOD(3-(MOD(MATCH(CALC_PlanetPositions!$B$9,{"Aries","Taurus","Gemini","Cancer","Leo","Virgo","Libra","Scorpio","Sagittarius","Capricorn","Aquarius","Pisces"},0)-MATCH(INPUT_Chart!$C$5,{"Aries","Taurus","Gemini","Cancer","Leo","Virgo","Libra","Scorpio","Sagittarius","Capricorn","Aquarius","Pisces"},0),12)+1)+12,12)+1,{2,3,5,6,9,10,11},0)),1,0),0)+IFERROR(IF(ISNUMBER(MATCH(MOD(3-(MOD(MATCH(CALC_PlanetPositions!$B$10,{"Aries","Taurus","Gemini","Cancer","Leo","Virgo","Libra","Scorpio","Sagittarius","Capricorn","Aquarius","Pisces"},0)-MATCH(INPUT_Chart!$C$5,{"Aries","Taurus","Gemini","Cancer","Leo","Virgo","Libra","Scorpio","Sagittarius","Capricorn","Aquarius","Pisces"},0),12)+1)+12,12)+1,{1,3,4,5,7,8,10,11},0)),1,0),0)+IFERROR(IF(ISNUMBER(MATCH(MOD(3-(MOD(MATCH(CALC_PlanetPositions!$B$11,{"Aries","Taurus","Gemini","Cancer","Leo","Virgo","Libra","Scorpio","Sagittarius","Capricorn","Aquarius","Pisces"},0)-MATCH(INPUT_Chart!$C$5,{"Aries","Taurus","Gemini","Cancer","Leo","Virgo","Libra","Scorpio","Sagittarius","Capricorn","Aquarius","Pisces"},0),12)+1)+12,12)+1,{1,4,7,8,10,11,12},0)),1,0),0)+IFERROR(IF(ISNUMBER(MATCH(MOD(3-(MOD(MATCH(CALC_PlanetPositions!$B$12,{"Aries","Taurus","Gemini","Cancer","Leo","Virgo","Libra","Scorpio","Sagittarius","Capricorn","Aquarius","Pisces"},0)-MATCH(INPUT_Chart!$C$5,{"Aries","Taurus","Gemini","Cancer","Leo","Virgo","Libra","Scorpio","Sagittarius","Capricorn","Aquarius","Pisces"},0),12)+1)+12,12)+1,{3,4,5,7,9,10,11},0)),1,0),0)+IFERROR(IF(ISNUMBER(MATCH(MOD(3-(MOD(MATCH(CALC_PlanetPositions!$B$13,{"Aries","Taurus","Gemini","Cancer","Leo","Virgo","Libra","Scorpio","Sagittarius","Capricorn","Aquarius","Pisces"},0)-MATCH(INPUT_Chart!$C$5,{"Aries","Taurus","Gemini","Cancer","Leo","Virgo","Libra","Scorpio","Sagittarius","Capricorn","Aquarius","Pisces"},0),12)+1)+12,12)+1,{3,5,6,11},0)),1,0),0)+IFERROR(IF(ISNUMBER(MATCH(MOD(3-(MOD(MATCH(INPUT_Chart!$C$5,{"Aries","Taurus","Gemini","Cancer","Leo","Virgo","Libra","Scorpio","Sagittarius","Capricorn","Aquarius","Pisces"},0)-MATCH(INPUT_Chart!$C$5,{"Aries","Taurus","Gemini","Cancer","Leo","Virgo","Libra","Scorpio","Sagittarius","Capricorn","Aquarius","Pisces"},0),12)+1)+12,12)+1,{3,6,10,11},0)),1,0),0),0)</f>
        <v>5</v>
      </c>
      <c r="E7" s="833">
        <f>IFERROR(IFERROR(IF(ISNUMBER(MATCH(MOD(4-(MOD(MATCH(CALC_PlanetPositions!$B$7,{"Aries","Taurus","Gemini","Cancer","Leo","Virgo","Libra","Scorpio","Sagittarius","Capricorn","Aquarius","Pisces"},0)-MATCH(INPUT_Chart!$C$5,{"Aries","Taurus","Gemini","Cancer","Leo","Virgo","Libra","Scorpio","Sagittarius","Capricorn","Aquarius","Pisces"},0),12)+1)+12,12)+1,{3,6,7,8,10,11},0)),1,0),0)+IFERROR(IF(ISNUMBER(MATCH(MOD(4-(MOD(MATCH(CALC_PlanetPositions!$B$8,{"Aries","Taurus","Gemini","Cancer","Leo","Virgo","Libra","Scorpio","Sagittarius","Capricorn","Aquarius","Pisces"},0)-MATCH(INPUT_Chart!$C$5,{"Aries","Taurus","Gemini","Cancer","Leo","Virgo","Libra","Scorpio","Sagittarius","Capricorn","Aquarius","Pisces"},0),12)+1)+12,12)+1,{1,3,6,7,10,11},0)),1,0),0)+IFERROR(IF(ISNUMBER(MATCH(MOD(4-(MOD(MATCH(CALC_PlanetPositions!$B$9,{"Aries","Taurus","Gemini","Cancer","Leo","Virgo","Libra","Scorpio","Sagittarius","Capricorn","Aquarius","Pisces"},0)-MATCH(INPUT_Chart!$C$5,{"Aries","Taurus","Gemini","Cancer","Leo","Virgo","Libra","Scorpio","Sagittarius","Capricorn","Aquarius","Pisces"},0),12)+1)+12,12)+1,{2,3,5,6,9,10,11},0)),1,0),0)+IFERROR(IF(ISNUMBER(MATCH(MOD(4-(MOD(MATCH(CALC_PlanetPositions!$B$10,{"Aries","Taurus","Gemini","Cancer","Leo","Virgo","Libra","Scorpio","Sagittarius","Capricorn","Aquarius","Pisces"},0)-MATCH(INPUT_Chart!$C$5,{"Aries","Taurus","Gemini","Cancer","Leo","Virgo","Libra","Scorpio","Sagittarius","Capricorn","Aquarius","Pisces"},0),12)+1)+12,12)+1,{1,3,4,5,7,8,10,11},0)),1,0),0)+IFERROR(IF(ISNUMBER(MATCH(MOD(4-(MOD(MATCH(CALC_PlanetPositions!$B$11,{"Aries","Taurus","Gemini","Cancer","Leo","Virgo","Libra","Scorpio","Sagittarius","Capricorn","Aquarius","Pisces"},0)-MATCH(INPUT_Chart!$C$5,{"Aries","Taurus","Gemini","Cancer","Leo","Virgo","Libra","Scorpio","Sagittarius","Capricorn","Aquarius","Pisces"},0),12)+1)+12,12)+1,{1,4,7,8,10,11,12},0)),1,0),0)+IFERROR(IF(ISNUMBER(MATCH(MOD(4-(MOD(MATCH(CALC_PlanetPositions!$B$12,{"Aries","Taurus","Gemini","Cancer","Leo","Virgo","Libra","Scorpio","Sagittarius","Capricorn","Aquarius","Pisces"},0)-MATCH(INPUT_Chart!$C$5,{"Aries","Taurus","Gemini","Cancer","Leo","Virgo","Libra","Scorpio","Sagittarius","Capricorn","Aquarius","Pisces"},0),12)+1)+12,12)+1,{3,4,5,7,9,10,11},0)),1,0),0)+IFERROR(IF(ISNUMBER(MATCH(MOD(4-(MOD(MATCH(CALC_PlanetPositions!$B$13,{"Aries","Taurus","Gemini","Cancer","Leo","Virgo","Libra","Scorpio","Sagittarius","Capricorn","Aquarius","Pisces"},0)-MATCH(INPUT_Chart!$C$5,{"Aries","Taurus","Gemini","Cancer","Leo","Virgo","Libra","Scorpio","Sagittarius","Capricorn","Aquarius","Pisces"},0),12)+1)+12,12)+1,{3,5,6,11},0)),1,0),0)+IFERROR(IF(ISNUMBER(MATCH(MOD(4-(MOD(MATCH(INPUT_Chart!$C$5,{"Aries","Taurus","Gemini","Cancer","Leo","Virgo","Libra","Scorpio","Sagittarius","Capricorn","Aquarius","Pisces"},0)-MATCH(INPUT_Chart!$C$5,{"Aries","Taurus","Gemini","Cancer","Leo","Virgo","Libra","Scorpio","Sagittarius","Capricorn","Aquarius","Pisces"},0),12)+1)+12,12)+1,{3,6,10,11},0)),1,0),0),0)</f>
        <v>2</v>
      </c>
      <c r="F7" s="833">
        <f>IFERROR(IFERROR(IF(ISNUMBER(MATCH(MOD(5-(MOD(MATCH(CALC_PlanetPositions!$B$7,{"Aries","Taurus","Gemini","Cancer","Leo","Virgo","Libra","Scorpio","Sagittarius","Capricorn","Aquarius","Pisces"},0)-MATCH(INPUT_Chart!$C$5,{"Aries","Taurus","Gemini","Cancer","Leo","Virgo","Libra","Scorpio","Sagittarius","Capricorn","Aquarius","Pisces"},0),12)+1)+12,12)+1,{3,6,7,8,10,11},0)),1,0),0)+IFERROR(IF(ISNUMBER(MATCH(MOD(5-(MOD(MATCH(CALC_PlanetPositions!$B$8,{"Aries","Taurus","Gemini","Cancer","Leo","Virgo","Libra","Scorpio","Sagittarius","Capricorn","Aquarius","Pisces"},0)-MATCH(INPUT_Chart!$C$5,{"Aries","Taurus","Gemini","Cancer","Leo","Virgo","Libra","Scorpio","Sagittarius","Capricorn","Aquarius","Pisces"},0),12)+1)+12,12)+1,{1,3,6,7,10,11},0)),1,0),0)+IFERROR(IF(ISNUMBER(MATCH(MOD(5-(MOD(MATCH(CALC_PlanetPositions!$B$9,{"Aries","Taurus","Gemini","Cancer","Leo","Virgo","Libra","Scorpio","Sagittarius","Capricorn","Aquarius","Pisces"},0)-MATCH(INPUT_Chart!$C$5,{"Aries","Taurus","Gemini","Cancer","Leo","Virgo","Libra","Scorpio","Sagittarius","Capricorn","Aquarius","Pisces"},0),12)+1)+12,12)+1,{2,3,5,6,9,10,11},0)),1,0),0)+IFERROR(IF(ISNUMBER(MATCH(MOD(5-(MOD(MATCH(CALC_PlanetPositions!$B$10,{"Aries","Taurus","Gemini","Cancer","Leo","Virgo","Libra","Scorpio","Sagittarius","Capricorn","Aquarius","Pisces"},0)-MATCH(INPUT_Chart!$C$5,{"Aries","Taurus","Gemini","Cancer","Leo","Virgo","Libra","Scorpio","Sagittarius","Capricorn","Aquarius","Pisces"},0),12)+1)+12,12)+1,{1,3,4,5,7,8,10,11},0)),1,0),0)+IFERROR(IF(ISNUMBER(MATCH(MOD(5-(MOD(MATCH(CALC_PlanetPositions!$B$11,{"Aries","Taurus","Gemini","Cancer","Leo","Virgo","Libra","Scorpio","Sagittarius","Capricorn","Aquarius","Pisces"},0)-MATCH(INPUT_Chart!$C$5,{"Aries","Taurus","Gemini","Cancer","Leo","Virgo","Libra","Scorpio","Sagittarius","Capricorn","Aquarius","Pisces"},0),12)+1)+12,12)+1,{1,4,7,8,10,11,12},0)),1,0),0)+IFERROR(IF(ISNUMBER(MATCH(MOD(5-(MOD(MATCH(CALC_PlanetPositions!$B$12,{"Aries","Taurus","Gemini","Cancer","Leo","Virgo","Libra","Scorpio","Sagittarius","Capricorn","Aquarius","Pisces"},0)-MATCH(INPUT_Chart!$C$5,{"Aries","Taurus","Gemini","Cancer","Leo","Virgo","Libra","Scorpio","Sagittarius","Capricorn","Aquarius","Pisces"},0),12)+1)+12,12)+1,{3,4,5,7,9,10,11},0)),1,0),0)+IFERROR(IF(ISNUMBER(MATCH(MOD(5-(MOD(MATCH(CALC_PlanetPositions!$B$13,{"Aries","Taurus","Gemini","Cancer","Leo","Virgo","Libra","Scorpio","Sagittarius","Capricorn","Aquarius","Pisces"},0)-MATCH(INPUT_Chart!$C$5,{"Aries","Taurus","Gemini","Cancer","Leo","Virgo","Libra","Scorpio","Sagittarius","Capricorn","Aquarius","Pisces"},0),12)+1)+12,12)+1,{3,5,6,11},0)),1,0),0)+IFERROR(IF(ISNUMBER(MATCH(MOD(5-(MOD(MATCH(INPUT_Chart!$C$5,{"Aries","Taurus","Gemini","Cancer","Leo","Virgo","Libra","Scorpio","Sagittarius","Capricorn","Aquarius","Pisces"},0)-MATCH(INPUT_Chart!$C$5,{"Aries","Taurus","Gemini","Cancer","Leo","Virgo","Libra","Scorpio","Sagittarius","Capricorn","Aquarius","Pisces"},0),12)+1)+12,12)+1,{3,6,10,11},0)),1,0),0),0)</f>
        <v>6</v>
      </c>
      <c r="G7" s="833">
        <f>IFERROR(IFERROR(IF(ISNUMBER(MATCH(MOD(6-(MOD(MATCH(CALC_PlanetPositions!$B$7,{"Aries","Taurus","Gemini","Cancer","Leo","Virgo","Libra","Scorpio","Sagittarius","Capricorn","Aquarius","Pisces"},0)-MATCH(INPUT_Chart!$C$5,{"Aries","Taurus","Gemini","Cancer","Leo","Virgo","Libra","Scorpio","Sagittarius","Capricorn","Aquarius","Pisces"},0),12)+1)+12,12)+1,{3,6,7,8,10,11},0)),1,0),0)+IFERROR(IF(ISNUMBER(MATCH(MOD(6-(MOD(MATCH(CALC_PlanetPositions!$B$8,{"Aries","Taurus","Gemini","Cancer","Leo","Virgo","Libra","Scorpio","Sagittarius","Capricorn","Aquarius","Pisces"},0)-MATCH(INPUT_Chart!$C$5,{"Aries","Taurus","Gemini","Cancer","Leo","Virgo","Libra","Scorpio","Sagittarius","Capricorn","Aquarius","Pisces"},0),12)+1)+12,12)+1,{1,3,6,7,10,11},0)),1,0),0)+IFERROR(IF(ISNUMBER(MATCH(MOD(6-(MOD(MATCH(CALC_PlanetPositions!$B$9,{"Aries","Taurus","Gemini","Cancer","Leo","Virgo","Libra","Scorpio","Sagittarius","Capricorn","Aquarius","Pisces"},0)-MATCH(INPUT_Chart!$C$5,{"Aries","Taurus","Gemini","Cancer","Leo","Virgo","Libra","Scorpio","Sagittarius","Capricorn","Aquarius","Pisces"},0),12)+1)+12,12)+1,{2,3,5,6,9,10,11},0)),1,0),0)+IFERROR(IF(ISNUMBER(MATCH(MOD(6-(MOD(MATCH(CALC_PlanetPositions!$B$10,{"Aries","Taurus","Gemini","Cancer","Leo","Virgo","Libra","Scorpio","Sagittarius","Capricorn","Aquarius","Pisces"},0)-MATCH(INPUT_Chart!$C$5,{"Aries","Taurus","Gemini","Cancer","Leo","Virgo","Libra","Scorpio","Sagittarius","Capricorn","Aquarius","Pisces"},0),12)+1)+12,12)+1,{1,3,4,5,7,8,10,11},0)),1,0),0)+IFERROR(IF(ISNUMBER(MATCH(MOD(6-(MOD(MATCH(CALC_PlanetPositions!$B$11,{"Aries","Taurus","Gemini","Cancer","Leo","Virgo","Libra","Scorpio","Sagittarius","Capricorn","Aquarius","Pisces"},0)-MATCH(INPUT_Chart!$C$5,{"Aries","Taurus","Gemini","Cancer","Leo","Virgo","Libra","Scorpio","Sagittarius","Capricorn","Aquarius","Pisces"},0),12)+1)+12,12)+1,{1,4,7,8,10,11,12},0)),1,0),0)+IFERROR(IF(ISNUMBER(MATCH(MOD(6-(MOD(MATCH(CALC_PlanetPositions!$B$12,{"Aries","Taurus","Gemini","Cancer","Leo","Virgo","Libra","Scorpio","Sagittarius","Capricorn","Aquarius","Pisces"},0)-MATCH(INPUT_Chart!$C$5,{"Aries","Taurus","Gemini","Cancer","Leo","Virgo","Libra","Scorpio","Sagittarius","Capricorn","Aquarius","Pisces"},0),12)+1)+12,12)+1,{3,4,5,7,9,10,11},0)),1,0),0)+IFERROR(IF(ISNUMBER(MATCH(MOD(6-(MOD(MATCH(CALC_PlanetPositions!$B$13,{"Aries","Taurus","Gemini","Cancer","Leo","Virgo","Libra","Scorpio","Sagittarius","Capricorn","Aquarius","Pisces"},0)-MATCH(INPUT_Chart!$C$5,{"Aries","Taurus","Gemini","Cancer","Leo","Virgo","Libra","Scorpio","Sagittarius","Capricorn","Aquarius","Pisces"},0),12)+1)+12,12)+1,{3,5,6,11},0)),1,0),0)+IFERROR(IF(ISNUMBER(MATCH(MOD(6-(MOD(MATCH(INPUT_Chart!$C$5,{"Aries","Taurus","Gemini","Cancer","Leo","Virgo","Libra","Scorpio","Sagittarius","Capricorn","Aquarius","Pisces"},0)-MATCH(INPUT_Chart!$C$5,{"Aries","Taurus","Gemini","Cancer","Leo","Virgo","Libra","Scorpio","Sagittarius","Capricorn","Aquarius","Pisces"},0),12)+1)+12,12)+1,{3,6,10,11},0)),1,0),0),0)</f>
        <v>5</v>
      </c>
      <c r="H7" s="833">
        <f>IFERROR(IFERROR(IF(ISNUMBER(MATCH(MOD(7-(MOD(MATCH(CALC_PlanetPositions!$B$7,{"Aries","Taurus","Gemini","Cancer","Leo","Virgo","Libra","Scorpio","Sagittarius","Capricorn","Aquarius","Pisces"},0)-MATCH(INPUT_Chart!$C$5,{"Aries","Taurus","Gemini","Cancer","Leo","Virgo","Libra","Scorpio","Sagittarius","Capricorn","Aquarius","Pisces"},0),12)+1)+12,12)+1,{3,6,7,8,10,11},0)),1,0),0)+IFERROR(IF(ISNUMBER(MATCH(MOD(7-(MOD(MATCH(CALC_PlanetPositions!$B$8,{"Aries","Taurus","Gemini","Cancer","Leo","Virgo","Libra","Scorpio","Sagittarius","Capricorn","Aquarius","Pisces"},0)-MATCH(INPUT_Chart!$C$5,{"Aries","Taurus","Gemini","Cancer","Leo","Virgo","Libra","Scorpio","Sagittarius","Capricorn","Aquarius","Pisces"},0),12)+1)+12,12)+1,{1,3,6,7,10,11},0)),1,0),0)+IFERROR(IF(ISNUMBER(MATCH(MOD(7-(MOD(MATCH(CALC_PlanetPositions!$B$9,{"Aries","Taurus","Gemini","Cancer","Leo","Virgo","Libra","Scorpio","Sagittarius","Capricorn","Aquarius","Pisces"},0)-MATCH(INPUT_Chart!$C$5,{"Aries","Taurus","Gemini","Cancer","Leo","Virgo","Libra","Scorpio","Sagittarius","Capricorn","Aquarius","Pisces"},0),12)+1)+12,12)+1,{2,3,5,6,9,10,11},0)),1,0),0)+IFERROR(IF(ISNUMBER(MATCH(MOD(7-(MOD(MATCH(CALC_PlanetPositions!$B$10,{"Aries","Taurus","Gemini","Cancer","Leo","Virgo","Libra","Scorpio","Sagittarius","Capricorn","Aquarius","Pisces"},0)-MATCH(INPUT_Chart!$C$5,{"Aries","Taurus","Gemini","Cancer","Leo","Virgo","Libra","Scorpio","Sagittarius","Capricorn","Aquarius","Pisces"},0),12)+1)+12,12)+1,{1,3,4,5,7,8,10,11},0)),1,0),0)+IFERROR(IF(ISNUMBER(MATCH(MOD(7-(MOD(MATCH(CALC_PlanetPositions!$B$11,{"Aries","Taurus","Gemini","Cancer","Leo","Virgo","Libra","Scorpio","Sagittarius","Capricorn","Aquarius","Pisces"},0)-MATCH(INPUT_Chart!$C$5,{"Aries","Taurus","Gemini","Cancer","Leo","Virgo","Libra","Scorpio","Sagittarius","Capricorn","Aquarius","Pisces"},0),12)+1)+12,12)+1,{1,4,7,8,10,11,12},0)),1,0),0)+IFERROR(IF(ISNUMBER(MATCH(MOD(7-(MOD(MATCH(CALC_PlanetPositions!$B$12,{"Aries","Taurus","Gemini","Cancer","Leo","Virgo","Libra","Scorpio","Sagittarius","Capricorn","Aquarius","Pisces"},0)-MATCH(INPUT_Chart!$C$5,{"Aries","Taurus","Gemini","Cancer","Leo","Virgo","Libra","Scorpio","Sagittarius","Capricorn","Aquarius","Pisces"},0),12)+1)+12,12)+1,{3,4,5,7,9,10,11},0)),1,0),0)+IFERROR(IF(ISNUMBER(MATCH(MOD(7-(MOD(MATCH(CALC_PlanetPositions!$B$13,{"Aries","Taurus","Gemini","Cancer","Leo","Virgo","Libra","Scorpio","Sagittarius","Capricorn","Aquarius","Pisces"},0)-MATCH(INPUT_Chart!$C$5,{"Aries","Taurus","Gemini","Cancer","Leo","Virgo","Libra","Scorpio","Sagittarius","Capricorn","Aquarius","Pisces"},0),12)+1)+12,12)+1,{3,5,6,11},0)),1,0),0)+IFERROR(IF(ISNUMBER(MATCH(MOD(7-(MOD(MATCH(INPUT_Chart!$C$5,{"Aries","Taurus","Gemini","Cancer","Leo","Virgo","Libra","Scorpio","Sagittarius","Capricorn","Aquarius","Pisces"},0)-MATCH(INPUT_Chart!$C$5,{"Aries","Taurus","Gemini","Cancer","Leo","Virgo","Libra","Scorpio","Sagittarius","Capricorn","Aquarius","Pisces"},0),12)+1)+12,12)+1,{3,6,10,11},0)),1,0),0),0)</f>
        <v>4</v>
      </c>
      <c r="I7" s="833">
        <f>IFERROR(IFERROR(IF(ISNUMBER(MATCH(MOD(8-(MOD(MATCH(CALC_PlanetPositions!$B$7,{"Aries","Taurus","Gemini","Cancer","Leo","Virgo","Libra","Scorpio","Sagittarius","Capricorn","Aquarius","Pisces"},0)-MATCH(INPUT_Chart!$C$5,{"Aries","Taurus","Gemini","Cancer","Leo","Virgo","Libra","Scorpio","Sagittarius","Capricorn","Aquarius","Pisces"},0),12)+1)+12,12)+1,{3,6,7,8,10,11},0)),1,0),0)+IFERROR(IF(ISNUMBER(MATCH(MOD(8-(MOD(MATCH(CALC_PlanetPositions!$B$8,{"Aries","Taurus","Gemini","Cancer","Leo","Virgo","Libra","Scorpio","Sagittarius","Capricorn","Aquarius","Pisces"},0)-MATCH(INPUT_Chart!$C$5,{"Aries","Taurus","Gemini","Cancer","Leo","Virgo","Libra","Scorpio","Sagittarius","Capricorn","Aquarius","Pisces"},0),12)+1)+12,12)+1,{1,3,6,7,10,11},0)),1,0),0)+IFERROR(IF(ISNUMBER(MATCH(MOD(8-(MOD(MATCH(CALC_PlanetPositions!$B$9,{"Aries","Taurus","Gemini","Cancer","Leo","Virgo","Libra","Scorpio","Sagittarius","Capricorn","Aquarius","Pisces"},0)-MATCH(INPUT_Chart!$C$5,{"Aries","Taurus","Gemini","Cancer","Leo","Virgo","Libra","Scorpio","Sagittarius","Capricorn","Aquarius","Pisces"},0),12)+1)+12,12)+1,{2,3,5,6,9,10,11},0)),1,0),0)+IFERROR(IF(ISNUMBER(MATCH(MOD(8-(MOD(MATCH(CALC_PlanetPositions!$B$10,{"Aries","Taurus","Gemini","Cancer","Leo","Virgo","Libra","Scorpio","Sagittarius","Capricorn","Aquarius","Pisces"},0)-MATCH(INPUT_Chart!$C$5,{"Aries","Taurus","Gemini","Cancer","Leo","Virgo","Libra","Scorpio","Sagittarius","Capricorn","Aquarius","Pisces"},0),12)+1)+12,12)+1,{1,3,4,5,7,8,10,11},0)),1,0),0)+IFERROR(IF(ISNUMBER(MATCH(MOD(8-(MOD(MATCH(CALC_PlanetPositions!$B$11,{"Aries","Taurus","Gemini","Cancer","Leo","Virgo","Libra","Scorpio","Sagittarius","Capricorn","Aquarius","Pisces"},0)-MATCH(INPUT_Chart!$C$5,{"Aries","Taurus","Gemini","Cancer","Leo","Virgo","Libra","Scorpio","Sagittarius","Capricorn","Aquarius","Pisces"},0),12)+1)+12,12)+1,{1,4,7,8,10,11,12},0)),1,0),0)+IFERROR(IF(ISNUMBER(MATCH(MOD(8-(MOD(MATCH(CALC_PlanetPositions!$B$12,{"Aries","Taurus","Gemini","Cancer","Leo","Virgo","Libra","Scorpio","Sagittarius","Capricorn","Aquarius","Pisces"},0)-MATCH(INPUT_Chart!$C$5,{"Aries","Taurus","Gemini","Cancer","Leo","Virgo","Libra","Scorpio","Sagittarius","Capricorn","Aquarius","Pisces"},0),12)+1)+12,12)+1,{3,4,5,7,9,10,11},0)),1,0),0)+IFERROR(IF(ISNUMBER(MATCH(MOD(8-(MOD(MATCH(CALC_PlanetPositions!$B$13,{"Aries","Taurus","Gemini","Cancer","Leo","Virgo","Libra","Scorpio","Sagittarius","Capricorn","Aquarius","Pisces"},0)-MATCH(INPUT_Chart!$C$5,{"Aries","Taurus","Gemini","Cancer","Leo","Virgo","Libra","Scorpio","Sagittarius","Capricorn","Aquarius","Pisces"},0),12)+1)+12,12)+1,{3,5,6,11},0)),1,0),0)+IFERROR(IF(ISNUMBER(MATCH(MOD(8-(MOD(MATCH(INPUT_Chart!$C$5,{"Aries","Taurus","Gemini","Cancer","Leo","Virgo","Libra","Scorpio","Sagittarius","Capricorn","Aquarius","Pisces"},0)-MATCH(INPUT_Chart!$C$5,{"Aries","Taurus","Gemini","Cancer","Leo","Virgo","Libra","Scorpio","Sagittarius","Capricorn","Aquarius","Pisces"},0),12)+1)+12,12)+1,{3,6,10,11},0)),1,0),0),0)</f>
        <v>3</v>
      </c>
      <c r="J7" s="833">
        <f>IFERROR(IFERROR(IF(ISNUMBER(MATCH(MOD(9-(MOD(MATCH(CALC_PlanetPositions!$B$7,{"Aries","Taurus","Gemini","Cancer","Leo","Virgo","Libra","Scorpio","Sagittarius","Capricorn","Aquarius","Pisces"},0)-MATCH(INPUT_Chart!$C$5,{"Aries","Taurus","Gemini","Cancer","Leo","Virgo","Libra","Scorpio","Sagittarius","Capricorn","Aquarius","Pisces"},0),12)+1)+12,12)+1,{3,6,7,8,10,11},0)),1,0),0)+IFERROR(IF(ISNUMBER(MATCH(MOD(9-(MOD(MATCH(CALC_PlanetPositions!$B$8,{"Aries","Taurus","Gemini","Cancer","Leo","Virgo","Libra","Scorpio","Sagittarius","Capricorn","Aquarius","Pisces"},0)-MATCH(INPUT_Chart!$C$5,{"Aries","Taurus","Gemini","Cancer","Leo","Virgo","Libra","Scorpio","Sagittarius","Capricorn","Aquarius","Pisces"},0),12)+1)+12,12)+1,{1,3,6,7,10,11},0)),1,0),0)+IFERROR(IF(ISNUMBER(MATCH(MOD(9-(MOD(MATCH(CALC_PlanetPositions!$B$9,{"Aries","Taurus","Gemini","Cancer","Leo","Virgo","Libra","Scorpio","Sagittarius","Capricorn","Aquarius","Pisces"},0)-MATCH(INPUT_Chart!$C$5,{"Aries","Taurus","Gemini","Cancer","Leo","Virgo","Libra","Scorpio","Sagittarius","Capricorn","Aquarius","Pisces"},0),12)+1)+12,12)+1,{2,3,5,6,9,10,11},0)),1,0),0)+IFERROR(IF(ISNUMBER(MATCH(MOD(9-(MOD(MATCH(CALC_PlanetPositions!$B$10,{"Aries","Taurus","Gemini","Cancer","Leo","Virgo","Libra","Scorpio","Sagittarius","Capricorn","Aquarius","Pisces"},0)-MATCH(INPUT_Chart!$C$5,{"Aries","Taurus","Gemini","Cancer","Leo","Virgo","Libra","Scorpio","Sagittarius","Capricorn","Aquarius","Pisces"},0),12)+1)+12,12)+1,{1,3,4,5,7,8,10,11},0)),1,0),0)+IFERROR(IF(ISNUMBER(MATCH(MOD(9-(MOD(MATCH(CALC_PlanetPositions!$B$11,{"Aries","Taurus","Gemini","Cancer","Leo","Virgo","Libra","Scorpio","Sagittarius","Capricorn","Aquarius","Pisces"},0)-MATCH(INPUT_Chart!$C$5,{"Aries","Taurus","Gemini","Cancer","Leo","Virgo","Libra","Scorpio","Sagittarius","Capricorn","Aquarius","Pisces"},0),12)+1)+12,12)+1,{1,4,7,8,10,11,12},0)),1,0),0)+IFERROR(IF(ISNUMBER(MATCH(MOD(9-(MOD(MATCH(CALC_PlanetPositions!$B$12,{"Aries","Taurus","Gemini","Cancer","Leo","Virgo","Libra","Scorpio","Sagittarius","Capricorn","Aquarius","Pisces"},0)-MATCH(INPUT_Chart!$C$5,{"Aries","Taurus","Gemini","Cancer","Leo","Virgo","Libra","Scorpio","Sagittarius","Capricorn","Aquarius","Pisces"},0),12)+1)+12,12)+1,{3,4,5,7,9,10,11},0)),1,0),0)+IFERROR(IF(ISNUMBER(MATCH(MOD(9-(MOD(MATCH(CALC_PlanetPositions!$B$13,{"Aries","Taurus","Gemini","Cancer","Leo","Virgo","Libra","Scorpio","Sagittarius","Capricorn","Aquarius","Pisces"},0)-MATCH(INPUT_Chart!$C$5,{"Aries","Taurus","Gemini","Cancer","Leo","Virgo","Libra","Scorpio","Sagittarius","Capricorn","Aquarius","Pisces"},0),12)+1)+12,12)+1,{3,5,6,11},0)),1,0),0)+IFERROR(IF(ISNUMBER(MATCH(MOD(9-(MOD(MATCH(INPUT_Chart!$C$5,{"Aries","Taurus","Gemini","Cancer","Leo","Virgo","Libra","Scorpio","Sagittarius","Capricorn","Aquarius","Pisces"},0)-MATCH(INPUT_Chart!$C$5,{"Aries","Taurus","Gemini","Cancer","Leo","Virgo","Libra","Scorpio","Sagittarius","Capricorn","Aquarius","Pisces"},0),12)+1)+12,12)+1,{3,6,10,11},0)),1,0),0),0)</f>
        <v>5</v>
      </c>
      <c r="K7" s="833">
        <f>IFERROR(IFERROR(IF(ISNUMBER(MATCH(MOD(10-(MOD(MATCH(CALC_PlanetPositions!$B$7,{"Aries","Taurus","Gemini","Cancer","Leo","Virgo","Libra","Scorpio","Sagittarius","Capricorn","Aquarius","Pisces"},0)-MATCH(INPUT_Chart!$C$5,{"Aries","Taurus","Gemini","Cancer","Leo","Virgo","Libra","Scorpio","Sagittarius","Capricorn","Aquarius","Pisces"},0),12)+1)+12,12)+1,{3,6,7,8,10,11},0)),1,0),0)+IFERROR(IF(ISNUMBER(MATCH(MOD(10-(MOD(MATCH(CALC_PlanetPositions!$B$8,{"Aries","Taurus","Gemini","Cancer","Leo","Virgo","Libra","Scorpio","Sagittarius","Capricorn","Aquarius","Pisces"},0)-MATCH(INPUT_Chart!$C$5,{"Aries","Taurus","Gemini","Cancer","Leo","Virgo","Libra","Scorpio","Sagittarius","Capricorn","Aquarius","Pisces"},0),12)+1)+12,12)+1,{1,3,6,7,10,11},0)),1,0),0)+IFERROR(IF(ISNUMBER(MATCH(MOD(10-(MOD(MATCH(CALC_PlanetPositions!$B$9,{"Aries","Taurus","Gemini","Cancer","Leo","Virgo","Libra","Scorpio","Sagittarius","Capricorn","Aquarius","Pisces"},0)-MATCH(INPUT_Chart!$C$5,{"Aries","Taurus","Gemini","Cancer","Leo","Virgo","Libra","Scorpio","Sagittarius","Capricorn","Aquarius","Pisces"},0),12)+1)+12,12)+1,{2,3,5,6,9,10,11},0)),1,0),0)+IFERROR(IF(ISNUMBER(MATCH(MOD(10-(MOD(MATCH(CALC_PlanetPositions!$B$10,{"Aries","Taurus","Gemini","Cancer","Leo","Virgo","Libra","Scorpio","Sagittarius","Capricorn","Aquarius","Pisces"},0)-MATCH(INPUT_Chart!$C$5,{"Aries","Taurus","Gemini","Cancer","Leo","Virgo","Libra","Scorpio","Sagittarius","Capricorn","Aquarius","Pisces"},0),12)+1)+12,12)+1,{1,3,4,5,7,8,10,11},0)),1,0),0)+IFERROR(IF(ISNUMBER(MATCH(MOD(10-(MOD(MATCH(CALC_PlanetPositions!$B$11,{"Aries","Taurus","Gemini","Cancer","Leo","Virgo","Libra","Scorpio","Sagittarius","Capricorn","Aquarius","Pisces"},0)-MATCH(INPUT_Chart!$C$5,{"Aries","Taurus","Gemini","Cancer","Leo","Virgo","Libra","Scorpio","Sagittarius","Capricorn","Aquarius","Pisces"},0),12)+1)+12,12)+1,{1,4,7,8,10,11,12},0)),1,0),0)+IFERROR(IF(ISNUMBER(MATCH(MOD(10-(MOD(MATCH(CALC_PlanetPositions!$B$12,{"Aries","Taurus","Gemini","Cancer","Leo","Virgo","Libra","Scorpio","Sagittarius","Capricorn","Aquarius","Pisces"},0)-MATCH(INPUT_Chart!$C$5,{"Aries","Taurus","Gemini","Cancer","Leo","Virgo","Libra","Scorpio","Sagittarius","Capricorn","Aquarius","Pisces"},0),12)+1)+12,12)+1,{3,4,5,7,9,10,11},0)),1,0),0)+IFERROR(IF(ISNUMBER(MATCH(MOD(10-(MOD(MATCH(CALC_PlanetPositions!$B$13,{"Aries","Taurus","Gemini","Cancer","Leo","Virgo","Libra","Scorpio","Sagittarius","Capricorn","Aquarius","Pisces"},0)-MATCH(INPUT_Chart!$C$5,{"Aries","Taurus","Gemini","Cancer","Leo","Virgo","Libra","Scorpio","Sagittarius","Capricorn","Aquarius","Pisces"},0),12)+1)+12,12)+1,{3,5,6,11},0)),1,0),0)+IFERROR(IF(ISNUMBER(MATCH(MOD(10-(MOD(MATCH(INPUT_Chart!$C$5,{"Aries","Taurus","Gemini","Cancer","Leo","Virgo","Libra","Scorpio","Sagittarius","Capricorn","Aquarius","Pisces"},0)-MATCH(INPUT_Chart!$C$5,{"Aries","Taurus","Gemini","Cancer","Leo","Virgo","Libra","Scorpio","Sagittarius","Capricorn","Aquarius","Pisces"},0),12)+1)+12,12)+1,{3,6,10,11},0)),1,0),0),0)</f>
        <v>4</v>
      </c>
      <c r="L7" s="833">
        <f>IFERROR(IFERROR(IF(ISNUMBER(MATCH(MOD(11-(MOD(MATCH(CALC_PlanetPositions!$B$7,{"Aries","Taurus","Gemini","Cancer","Leo","Virgo","Libra","Scorpio","Sagittarius","Capricorn","Aquarius","Pisces"},0)-MATCH(INPUT_Chart!$C$5,{"Aries","Taurus","Gemini","Cancer","Leo","Virgo","Libra","Scorpio","Sagittarius","Capricorn","Aquarius","Pisces"},0),12)+1)+12,12)+1,{3,6,7,8,10,11},0)),1,0),0)+IFERROR(IF(ISNUMBER(MATCH(MOD(11-(MOD(MATCH(CALC_PlanetPositions!$B$8,{"Aries","Taurus","Gemini","Cancer","Leo","Virgo","Libra","Scorpio","Sagittarius","Capricorn","Aquarius","Pisces"},0)-MATCH(INPUT_Chart!$C$5,{"Aries","Taurus","Gemini","Cancer","Leo","Virgo","Libra","Scorpio","Sagittarius","Capricorn","Aquarius","Pisces"},0),12)+1)+12,12)+1,{1,3,6,7,10,11},0)),1,0),0)+IFERROR(IF(ISNUMBER(MATCH(MOD(11-(MOD(MATCH(CALC_PlanetPositions!$B$9,{"Aries","Taurus","Gemini","Cancer","Leo","Virgo","Libra","Scorpio","Sagittarius","Capricorn","Aquarius","Pisces"},0)-MATCH(INPUT_Chart!$C$5,{"Aries","Taurus","Gemini","Cancer","Leo","Virgo","Libra","Scorpio","Sagittarius","Capricorn","Aquarius","Pisces"},0),12)+1)+12,12)+1,{2,3,5,6,9,10,11},0)),1,0),0)+IFERROR(IF(ISNUMBER(MATCH(MOD(11-(MOD(MATCH(CALC_PlanetPositions!$B$10,{"Aries","Taurus","Gemini","Cancer","Leo","Virgo","Libra","Scorpio","Sagittarius","Capricorn","Aquarius","Pisces"},0)-MATCH(INPUT_Chart!$C$5,{"Aries","Taurus","Gemini","Cancer","Leo","Virgo","Libra","Scorpio","Sagittarius","Capricorn","Aquarius","Pisces"},0),12)+1)+12,12)+1,{1,3,4,5,7,8,10,11},0)),1,0),0)+IFERROR(IF(ISNUMBER(MATCH(MOD(11-(MOD(MATCH(CALC_PlanetPositions!$B$11,{"Aries","Taurus","Gemini","Cancer","Leo","Virgo","Libra","Scorpio","Sagittarius","Capricorn","Aquarius","Pisces"},0)-MATCH(INPUT_Chart!$C$5,{"Aries","Taurus","Gemini","Cancer","Leo","Virgo","Libra","Scorpio","Sagittarius","Capricorn","Aquarius","Pisces"},0),12)+1)+12,12)+1,{1,4,7,8,10,11,12},0)),1,0),0)+IFERROR(IF(ISNUMBER(MATCH(MOD(11-(MOD(MATCH(CALC_PlanetPositions!$B$12,{"Aries","Taurus","Gemini","Cancer","Leo","Virgo","Libra","Scorpio","Sagittarius","Capricorn","Aquarius","Pisces"},0)-MATCH(INPUT_Chart!$C$5,{"Aries","Taurus","Gemini","Cancer","Leo","Virgo","Libra","Scorpio","Sagittarius","Capricorn","Aquarius","Pisces"},0),12)+1)+12,12)+1,{3,4,5,7,9,10,11},0)),1,0),0)+IFERROR(IF(ISNUMBER(MATCH(MOD(11-(MOD(MATCH(CALC_PlanetPositions!$B$13,{"Aries","Taurus","Gemini","Cancer","Leo","Virgo","Libra","Scorpio","Sagittarius","Capricorn","Aquarius","Pisces"},0)-MATCH(INPUT_Chart!$C$5,{"Aries","Taurus","Gemini","Cancer","Leo","Virgo","Libra","Scorpio","Sagittarius","Capricorn","Aquarius","Pisces"},0),12)+1)+12,12)+1,{3,5,6,11},0)),1,0),0)+IFERROR(IF(ISNUMBER(MATCH(MOD(11-(MOD(MATCH(INPUT_Chart!$C$5,{"Aries","Taurus","Gemini","Cancer","Leo","Virgo","Libra","Scorpio","Sagittarius","Capricorn","Aquarius","Pisces"},0)-MATCH(INPUT_Chart!$C$5,{"Aries","Taurus","Gemini","Cancer","Leo","Virgo","Libra","Scorpio","Sagittarius","Capricorn","Aquarius","Pisces"},0),12)+1)+12,12)+1,{3,6,10,11},0)),1,0),0),0)</f>
        <v>3</v>
      </c>
      <c r="M7" s="833">
        <f>IFERROR(IFERROR(IF(ISNUMBER(MATCH(MOD(12-(MOD(MATCH(CALC_PlanetPositions!$B$7,{"Aries","Taurus","Gemini","Cancer","Leo","Virgo","Libra","Scorpio","Sagittarius","Capricorn","Aquarius","Pisces"},0)-MATCH(INPUT_Chart!$C$5,{"Aries","Taurus","Gemini","Cancer","Leo","Virgo","Libra","Scorpio","Sagittarius","Capricorn","Aquarius","Pisces"},0),12)+1)+12,12)+1,{3,6,7,8,10,11},0)),1,0),0)+IFERROR(IF(ISNUMBER(MATCH(MOD(12-(MOD(MATCH(CALC_PlanetPositions!$B$8,{"Aries","Taurus","Gemini","Cancer","Leo","Virgo","Libra","Scorpio","Sagittarius","Capricorn","Aquarius","Pisces"},0)-MATCH(INPUT_Chart!$C$5,{"Aries","Taurus","Gemini","Cancer","Leo","Virgo","Libra","Scorpio","Sagittarius","Capricorn","Aquarius","Pisces"},0),12)+1)+12,12)+1,{1,3,6,7,10,11},0)),1,0),0)+IFERROR(IF(ISNUMBER(MATCH(MOD(12-(MOD(MATCH(CALC_PlanetPositions!$B$9,{"Aries","Taurus","Gemini","Cancer","Leo","Virgo","Libra","Scorpio","Sagittarius","Capricorn","Aquarius","Pisces"},0)-MATCH(INPUT_Chart!$C$5,{"Aries","Taurus","Gemini","Cancer","Leo","Virgo","Libra","Scorpio","Sagittarius","Capricorn","Aquarius","Pisces"},0),12)+1)+12,12)+1,{2,3,5,6,9,10,11},0)),1,0),0)+IFERROR(IF(ISNUMBER(MATCH(MOD(12-(MOD(MATCH(CALC_PlanetPositions!$B$10,{"Aries","Taurus","Gemini","Cancer","Leo","Virgo","Libra","Scorpio","Sagittarius","Capricorn","Aquarius","Pisces"},0)-MATCH(INPUT_Chart!$C$5,{"Aries","Taurus","Gemini","Cancer","Leo","Virgo","Libra","Scorpio","Sagittarius","Capricorn","Aquarius","Pisces"},0),12)+1)+12,12)+1,{1,3,4,5,7,8,10,11},0)),1,0),0)+IFERROR(IF(ISNUMBER(MATCH(MOD(12-(MOD(MATCH(CALC_PlanetPositions!$B$11,{"Aries","Taurus","Gemini","Cancer","Leo","Virgo","Libra","Scorpio","Sagittarius","Capricorn","Aquarius","Pisces"},0)-MATCH(INPUT_Chart!$C$5,{"Aries","Taurus","Gemini","Cancer","Leo","Virgo","Libra","Scorpio","Sagittarius","Capricorn","Aquarius","Pisces"},0),12)+1)+12,12)+1,{1,4,7,8,10,11,12},0)),1,0),0)+IFERROR(IF(ISNUMBER(MATCH(MOD(12-(MOD(MATCH(CALC_PlanetPositions!$B$12,{"Aries","Taurus","Gemini","Cancer","Leo","Virgo","Libra","Scorpio","Sagittarius","Capricorn","Aquarius","Pisces"},0)-MATCH(INPUT_Chart!$C$5,{"Aries","Taurus","Gemini","Cancer","Leo","Virgo","Libra","Scorpio","Sagittarius","Capricorn","Aquarius","Pisces"},0),12)+1)+12,12)+1,{3,4,5,7,9,10,11},0)),1,0),0)+IFERROR(IF(ISNUMBER(MATCH(MOD(12-(MOD(MATCH(CALC_PlanetPositions!$B$13,{"Aries","Taurus","Gemini","Cancer","Leo","Virgo","Libra","Scorpio","Sagittarius","Capricorn","Aquarius","Pisces"},0)-MATCH(INPUT_Chart!$C$5,{"Aries","Taurus","Gemini","Cancer","Leo","Virgo","Libra","Scorpio","Sagittarius","Capricorn","Aquarius","Pisces"},0),12)+1)+12,12)+1,{3,5,6,11},0)),1,0),0)+IFERROR(IF(ISNUMBER(MATCH(MOD(12-(MOD(MATCH(INPUT_Chart!$C$5,{"Aries","Taurus","Gemini","Cancer","Leo","Virgo","Libra","Scorpio","Sagittarius","Capricorn","Aquarius","Pisces"},0)-MATCH(INPUT_Chart!$C$5,{"Aries","Taurus","Gemini","Cancer","Leo","Virgo","Libra","Scorpio","Sagittarius","Capricorn","Aquarius","Pisces"},0),12)+1)+12,12)+1,{3,6,10,11},0)),1,0),0),0)</f>
        <v>6</v>
      </c>
      <c r="N7" s="631">
        <f t="shared" si="0"/>
        <v>49</v>
      </c>
      <c r="O7" s="834">
        <f t="shared" si="1"/>
        <v>4.083333333333333</v>
      </c>
      <c r="P7" s="835" t="s">
        <v>3745</v>
      </c>
    </row>
    <row r="8" spans="1:17" ht="15.75" customHeight="1" x14ac:dyDescent="0.2">
      <c r="A8" s="546" t="s">
        <v>268</v>
      </c>
      <c r="B8" s="830">
        <f>IFERROR(IFERROR(IF(ISNUMBER(MATCH(MOD(1-(MOD(MATCH(CALC_PlanetPositions!$B$7,{"Aries","Taurus","Gemini","Cancer","Leo","Virgo","Libra","Scorpio","Sagittarius","Capricorn","Aquarius","Pisces"},0)-MATCH(INPUT_Chart!$C$5,{"Aries","Taurus","Gemini","Cancer","Leo","Virgo","Libra","Scorpio","Sagittarius","Capricorn","Aquarius","Pisces"},0),12)+1)+12,12)+1,{3,5,6,10,11},0)),1,0),0)+IFERROR(IF(ISNUMBER(MATCH(MOD(1-(MOD(MATCH(CALC_PlanetPositions!$B$8,{"Aries","Taurus","Gemini","Cancer","Leo","Virgo","Libra","Scorpio","Sagittarius","Capricorn","Aquarius","Pisces"},0)-MATCH(INPUT_Chart!$C$5,{"Aries","Taurus","Gemini","Cancer","Leo","Virgo","Libra","Scorpio","Sagittarius","Capricorn","Aquarius","Pisces"},0),12)+1)+12,12)+1,{3,6,11},0)),1,0),0)+IFERROR(IF(ISNUMBER(MATCH(MOD(1-(MOD(MATCH(CALC_PlanetPositions!$B$9,{"Aries","Taurus","Gemini","Cancer","Leo","Virgo","Libra","Scorpio","Sagittarius","Capricorn","Aquarius","Pisces"},0)-MATCH(INPUT_Chart!$C$5,{"Aries","Taurus","Gemini","Cancer","Leo","Virgo","Libra","Scorpio","Sagittarius","Capricorn","Aquarius","Pisces"},0),12)+1)+12,12)+1,{1,2,4,7,8,10,11},0)),1,0),0)+IFERROR(IF(ISNUMBER(MATCH(MOD(1-(MOD(MATCH(CALC_PlanetPositions!$B$10,{"Aries","Taurus","Gemini","Cancer","Leo","Virgo","Libra","Scorpio","Sagittarius","Capricorn","Aquarius","Pisces"},0)-MATCH(INPUT_Chart!$C$5,{"Aries","Taurus","Gemini","Cancer","Leo","Virgo","Libra","Scorpio","Sagittarius","Capricorn","Aquarius","Pisces"},0),12)+1)+12,12)+1,{3,5,6,11},0)),1,0),0)+IFERROR(IF(ISNUMBER(MATCH(MOD(1-(MOD(MATCH(CALC_PlanetPositions!$B$11,{"Aries","Taurus","Gemini","Cancer","Leo","Virgo","Libra","Scorpio","Sagittarius","Capricorn","Aquarius","Pisces"},0)-MATCH(INPUT_Chart!$C$5,{"Aries","Taurus","Gemini","Cancer","Leo","Virgo","Libra","Scorpio","Sagittarius","Capricorn","Aquarius","Pisces"},0),12)+1)+12,12)+1,{6,10,11,12},0)),1,0),0)+IFERROR(IF(ISNUMBER(MATCH(MOD(1-(MOD(MATCH(CALC_PlanetPositions!$B$12,{"Aries","Taurus","Gemini","Cancer","Leo","Virgo","Libra","Scorpio","Sagittarius","Capricorn","Aquarius","Pisces"},0)-MATCH(INPUT_Chart!$C$5,{"Aries","Taurus","Gemini","Cancer","Leo","Virgo","Libra","Scorpio","Sagittarius","Capricorn","Aquarius","Pisces"},0),12)+1)+12,12)+1,{6,8,11,12},0)),1,0),0)+IFERROR(IF(ISNUMBER(MATCH(MOD(1-(MOD(MATCH(CALC_PlanetPositions!$B$13,{"Aries","Taurus","Gemini","Cancer","Leo","Virgo","Libra","Scorpio","Sagittarius","Capricorn","Aquarius","Pisces"},0)-MATCH(INPUT_Chart!$C$5,{"Aries","Taurus","Gemini","Cancer","Leo","Virgo","Libra","Scorpio","Sagittarius","Capricorn","Aquarius","Pisces"},0),12)+1)+12,12)+1,{1,4,7,8,9,10,11},0)),1,0),0)+IFERROR(IF(ISNUMBER(MATCH(MOD(1-(MOD(MATCH(INPUT_Chart!$C$5,{"Aries","Taurus","Gemini","Cancer","Leo","Virgo","Libra","Scorpio","Sagittarius","Capricorn","Aquarius","Pisces"},0)-MATCH(INPUT_Chart!$C$5,{"Aries","Taurus","Gemini","Cancer","Leo","Virgo","Libra","Scorpio","Sagittarius","Capricorn","Aquarius","Pisces"},0),12)+1)+12,12)+1,{1,3,6,10,11},0)),1,0),0),0)</f>
        <v>6</v>
      </c>
      <c r="C8" s="830">
        <f>IFERROR(IFERROR(IF(ISNUMBER(MATCH(MOD(2-(MOD(MATCH(CALC_PlanetPositions!$B$7,{"Aries","Taurus","Gemini","Cancer","Leo","Virgo","Libra","Scorpio","Sagittarius","Capricorn","Aquarius","Pisces"},0)-MATCH(INPUT_Chart!$C$5,{"Aries","Taurus","Gemini","Cancer","Leo","Virgo","Libra","Scorpio","Sagittarius","Capricorn","Aquarius","Pisces"},0),12)+1)+12,12)+1,{3,5,6,10,11},0)),1,0),0)+IFERROR(IF(ISNUMBER(MATCH(MOD(2-(MOD(MATCH(CALC_PlanetPositions!$B$8,{"Aries","Taurus","Gemini","Cancer","Leo","Virgo","Libra","Scorpio","Sagittarius","Capricorn","Aquarius","Pisces"},0)-MATCH(INPUT_Chart!$C$5,{"Aries","Taurus","Gemini","Cancer","Leo","Virgo","Libra","Scorpio","Sagittarius","Capricorn","Aquarius","Pisces"},0),12)+1)+12,12)+1,{3,6,11},0)),1,0),0)+IFERROR(IF(ISNUMBER(MATCH(MOD(2-(MOD(MATCH(CALC_PlanetPositions!$B$9,{"Aries","Taurus","Gemini","Cancer","Leo","Virgo","Libra","Scorpio","Sagittarius","Capricorn","Aquarius","Pisces"},0)-MATCH(INPUT_Chart!$C$5,{"Aries","Taurus","Gemini","Cancer","Leo","Virgo","Libra","Scorpio","Sagittarius","Capricorn","Aquarius","Pisces"},0),12)+1)+12,12)+1,{1,2,4,7,8,10,11},0)),1,0),0)+IFERROR(IF(ISNUMBER(MATCH(MOD(2-(MOD(MATCH(CALC_PlanetPositions!$B$10,{"Aries","Taurus","Gemini","Cancer","Leo","Virgo","Libra","Scorpio","Sagittarius","Capricorn","Aquarius","Pisces"},0)-MATCH(INPUT_Chart!$C$5,{"Aries","Taurus","Gemini","Cancer","Leo","Virgo","Libra","Scorpio","Sagittarius","Capricorn","Aquarius","Pisces"},0),12)+1)+12,12)+1,{3,5,6,11},0)),1,0),0)+IFERROR(IF(ISNUMBER(MATCH(MOD(2-(MOD(MATCH(CALC_PlanetPositions!$B$11,{"Aries","Taurus","Gemini","Cancer","Leo","Virgo","Libra","Scorpio","Sagittarius","Capricorn","Aquarius","Pisces"},0)-MATCH(INPUT_Chart!$C$5,{"Aries","Taurus","Gemini","Cancer","Leo","Virgo","Libra","Scorpio","Sagittarius","Capricorn","Aquarius","Pisces"},0),12)+1)+12,12)+1,{6,10,11,12},0)),1,0),0)+IFERROR(IF(ISNUMBER(MATCH(MOD(2-(MOD(MATCH(CALC_PlanetPositions!$B$12,{"Aries","Taurus","Gemini","Cancer","Leo","Virgo","Libra","Scorpio","Sagittarius","Capricorn","Aquarius","Pisces"},0)-MATCH(INPUT_Chart!$C$5,{"Aries","Taurus","Gemini","Cancer","Leo","Virgo","Libra","Scorpio","Sagittarius","Capricorn","Aquarius","Pisces"},0),12)+1)+12,12)+1,{6,8,11,12},0)),1,0),0)+IFERROR(IF(ISNUMBER(MATCH(MOD(2-(MOD(MATCH(CALC_PlanetPositions!$B$13,{"Aries","Taurus","Gemini","Cancer","Leo","Virgo","Libra","Scorpio","Sagittarius","Capricorn","Aquarius","Pisces"},0)-MATCH(INPUT_Chart!$C$5,{"Aries","Taurus","Gemini","Cancer","Leo","Virgo","Libra","Scorpio","Sagittarius","Capricorn","Aquarius","Pisces"},0),12)+1)+12,12)+1,{1,4,7,8,9,10,11},0)),1,0),0)+IFERROR(IF(ISNUMBER(MATCH(MOD(2-(MOD(MATCH(INPUT_Chart!$C$5,{"Aries","Taurus","Gemini","Cancer","Leo","Virgo","Libra","Scorpio","Sagittarius","Capricorn","Aquarius","Pisces"},0)-MATCH(INPUT_Chart!$C$5,{"Aries","Taurus","Gemini","Cancer","Leo","Virgo","Libra","Scorpio","Sagittarius","Capricorn","Aquarius","Pisces"},0),12)+1)+12,12)+1,{1,3,6,10,11},0)),1,0),0),0)</f>
        <v>2</v>
      </c>
      <c r="D8" s="830">
        <f>IFERROR(IFERROR(IF(ISNUMBER(MATCH(MOD(3-(MOD(MATCH(CALC_PlanetPositions!$B$7,{"Aries","Taurus","Gemini","Cancer","Leo","Virgo","Libra","Scorpio","Sagittarius","Capricorn","Aquarius","Pisces"},0)-MATCH(INPUT_Chart!$C$5,{"Aries","Taurus","Gemini","Cancer","Leo","Virgo","Libra","Scorpio","Sagittarius","Capricorn","Aquarius","Pisces"},0),12)+1)+12,12)+1,{3,5,6,10,11},0)),1,0),0)+IFERROR(IF(ISNUMBER(MATCH(MOD(3-(MOD(MATCH(CALC_PlanetPositions!$B$8,{"Aries","Taurus","Gemini","Cancer","Leo","Virgo","Libra","Scorpio","Sagittarius","Capricorn","Aquarius","Pisces"},0)-MATCH(INPUT_Chart!$C$5,{"Aries","Taurus","Gemini","Cancer","Leo","Virgo","Libra","Scorpio","Sagittarius","Capricorn","Aquarius","Pisces"},0),12)+1)+12,12)+1,{3,6,11},0)),1,0),0)+IFERROR(IF(ISNUMBER(MATCH(MOD(3-(MOD(MATCH(CALC_PlanetPositions!$B$9,{"Aries","Taurus","Gemini","Cancer","Leo","Virgo","Libra","Scorpio","Sagittarius","Capricorn","Aquarius","Pisces"},0)-MATCH(INPUT_Chart!$C$5,{"Aries","Taurus","Gemini","Cancer","Leo","Virgo","Libra","Scorpio","Sagittarius","Capricorn","Aquarius","Pisces"},0),12)+1)+12,12)+1,{1,2,4,7,8,10,11},0)),1,0),0)+IFERROR(IF(ISNUMBER(MATCH(MOD(3-(MOD(MATCH(CALC_PlanetPositions!$B$10,{"Aries","Taurus","Gemini","Cancer","Leo","Virgo","Libra","Scorpio","Sagittarius","Capricorn","Aquarius","Pisces"},0)-MATCH(INPUT_Chart!$C$5,{"Aries","Taurus","Gemini","Cancer","Leo","Virgo","Libra","Scorpio","Sagittarius","Capricorn","Aquarius","Pisces"},0),12)+1)+12,12)+1,{3,5,6,11},0)),1,0),0)+IFERROR(IF(ISNUMBER(MATCH(MOD(3-(MOD(MATCH(CALC_PlanetPositions!$B$11,{"Aries","Taurus","Gemini","Cancer","Leo","Virgo","Libra","Scorpio","Sagittarius","Capricorn","Aquarius","Pisces"},0)-MATCH(INPUT_Chart!$C$5,{"Aries","Taurus","Gemini","Cancer","Leo","Virgo","Libra","Scorpio","Sagittarius","Capricorn","Aquarius","Pisces"},0),12)+1)+12,12)+1,{6,10,11,12},0)),1,0),0)+IFERROR(IF(ISNUMBER(MATCH(MOD(3-(MOD(MATCH(CALC_PlanetPositions!$B$12,{"Aries","Taurus","Gemini","Cancer","Leo","Virgo","Libra","Scorpio","Sagittarius","Capricorn","Aquarius","Pisces"},0)-MATCH(INPUT_Chart!$C$5,{"Aries","Taurus","Gemini","Cancer","Leo","Virgo","Libra","Scorpio","Sagittarius","Capricorn","Aquarius","Pisces"},0),12)+1)+12,12)+1,{6,8,11,12},0)),1,0),0)+IFERROR(IF(ISNUMBER(MATCH(MOD(3-(MOD(MATCH(CALC_PlanetPositions!$B$13,{"Aries","Taurus","Gemini","Cancer","Leo","Virgo","Libra","Scorpio","Sagittarius","Capricorn","Aquarius","Pisces"},0)-MATCH(INPUT_Chart!$C$5,{"Aries","Taurus","Gemini","Cancer","Leo","Virgo","Libra","Scorpio","Sagittarius","Capricorn","Aquarius","Pisces"},0),12)+1)+12,12)+1,{1,4,7,8,9,10,11},0)),1,0),0)+IFERROR(IF(ISNUMBER(MATCH(MOD(3-(MOD(MATCH(INPUT_Chart!$C$5,{"Aries","Taurus","Gemini","Cancer","Leo","Virgo","Libra","Scorpio","Sagittarius","Capricorn","Aquarius","Pisces"},0)-MATCH(INPUT_Chart!$C$5,{"Aries","Taurus","Gemini","Cancer","Leo","Virgo","Libra","Scorpio","Sagittarius","Capricorn","Aquarius","Pisces"},0),12)+1)+12,12)+1,{1,3,6,10,11},0)),1,0),0),0)</f>
        <v>4</v>
      </c>
      <c r="E8" s="830">
        <f>IFERROR(IFERROR(IF(ISNUMBER(MATCH(MOD(4-(MOD(MATCH(CALC_PlanetPositions!$B$7,{"Aries","Taurus","Gemini","Cancer","Leo","Virgo","Libra","Scorpio","Sagittarius","Capricorn","Aquarius","Pisces"},0)-MATCH(INPUT_Chart!$C$5,{"Aries","Taurus","Gemini","Cancer","Leo","Virgo","Libra","Scorpio","Sagittarius","Capricorn","Aquarius","Pisces"},0),12)+1)+12,12)+1,{3,5,6,10,11},0)),1,0),0)+IFERROR(IF(ISNUMBER(MATCH(MOD(4-(MOD(MATCH(CALC_PlanetPositions!$B$8,{"Aries","Taurus","Gemini","Cancer","Leo","Virgo","Libra","Scorpio","Sagittarius","Capricorn","Aquarius","Pisces"},0)-MATCH(INPUT_Chart!$C$5,{"Aries","Taurus","Gemini","Cancer","Leo","Virgo","Libra","Scorpio","Sagittarius","Capricorn","Aquarius","Pisces"},0),12)+1)+12,12)+1,{3,6,11},0)),1,0),0)+IFERROR(IF(ISNUMBER(MATCH(MOD(4-(MOD(MATCH(CALC_PlanetPositions!$B$9,{"Aries","Taurus","Gemini","Cancer","Leo","Virgo","Libra","Scorpio","Sagittarius","Capricorn","Aquarius","Pisces"},0)-MATCH(INPUT_Chart!$C$5,{"Aries","Taurus","Gemini","Cancer","Leo","Virgo","Libra","Scorpio","Sagittarius","Capricorn","Aquarius","Pisces"},0),12)+1)+12,12)+1,{1,2,4,7,8,10,11},0)),1,0),0)+IFERROR(IF(ISNUMBER(MATCH(MOD(4-(MOD(MATCH(CALC_PlanetPositions!$B$10,{"Aries","Taurus","Gemini","Cancer","Leo","Virgo","Libra","Scorpio","Sagittarius","Capricorn","Aquarius","Pisces"},0)-MATCH(INPUT_Chart!$C$5,{"Aries","Taurus","Gemini","Cancer","Leo","Virgo","Libra","Scorpio","Sagittarius","Capricorn","Aquarius","Pisces"},0),12)+1)+12,12)+1,{3,5,6,11},0)),1,0),0)+IFERROR(IF(ISNUMBER(MATCH(MOD(4-(MOD(MATCH(CALC_PlanetPositions!$B$11,{"Aries","Taurus","Gemini","Cancer","Leo","Virgo","Libra","Scorpio","Sagittarius","Capricorn","Aquarius","Pisces"},0)-MATCH(INPUT_Chart!$C$5,{"Aries","Taurus","Gemini","Cancer","Leo","Virgo","Libra","Scorpio","Sagittarius","Capricorn","Aquarius","Pisces"},0),12)+1)+12,12)+1,{6,10,11,12},0)),1,0),0)+IFERROR(IF(ISNUMBER(MATCH(MOD(4-(MOD(MATCH(CALC_PlanetPositions!$B$12,{"Aries","Taurus","Gemini","Cancer","Leo","Virgo","Libra","Scorpio","Sagittarius","Capricorn","Aquarius","Pisces"},0)-MATCH(INPUT_Chart!$C$5,{"Aries","Taurus","Gemini","Cancer","Leo","Virgo","Libra","Scorpio","Sagittarius","Capricorn","Aquarius","Pisces"},0),12)+1)+12,12)+1,{6,8,11,12},0)),1,0),0)+IFERROR(IF(ISNUMBER(MATCH(MOD(4-(MOD(MATCH(CALC_PlanetPositions!$B$13,{"Aries","Taurus","Gemini","Cancer","Leo","Virgo","Libra","Scorpio","Sagittarius","Capricorn","Aquarius","Pisces"},0)-MATCH(INPUT_Chart!$C$5,{"Aries","Taurus","Gemini","Cancer","Leo","Virgo","Libra","Scorpio","Sagittarius","Capricorn","Aquarius","Pisces"},0),12)+1)+12,12)+1,{1,4,7,8,9,10,11},0)),1,0),0)+IFERROR(IF(ISNUMBER(MATCH(MOD(4-(MOD(MATCH(INPUT_Chart!$C$5,{"Aries","Taurus","Gemini","Cancer","Leo","Virgo","Libra","Scorpio","Sagittarius","Capricorn","Aquarius","Pisces"},0)-MATCH(INPUT_Chart!$C$5,{"Aries","Taurus","Gemini","Cancer","Leo","Virgo","Libra","Scorpio","Sagittarius","Capricorn","Aquarius","Pisces"},0),12)+1)+12,12)+1,{1,3,6,10,11},0)),1,0),0),0)</f>
        <v>1</v>
      </c>
      <c r="F8" s="830">
        <f>IFERROR(IFERROR(IF(ISNUMBER(MATCH(MOD(5-(MOD(MATCH(CALC_PlanetPositions!$B$7,{"Aries","Taurus","Gemini","Cancer","Leo","Virgo","Libra","Scorpio","Sagittarius","Capricorn","Aquarius","Pisces"},0)-MATCH(INPUT_Chart!$C$5,{"Aries","Taurus","Gemini","Cancer","Leo","Virgo","Libra","Scorpio","Sagittarius","Capricorn","Aquarius","Pisces"},0),12)+1)+12,12)+1,{3,5,6,10,11},0)),1,0),0)+IFERROR(IF(ISNUMBER(MATCH(MOD(5-(MOD(MATCH(CALC_PlanetPositions!$B$8,{"Aries","Taurus","Gemini","Cancer","Leo","Virgo","Libra","Scorpio","Sagittarius","Capricorn","Aquarius","Pisces"},0)-MATCH(INPUT_Chart!$C$5,{"Aries","Taurus","Gemini","Cancer","Leo","Virgo","Libra","Scorpio","Sagittarius","Capricorn","Aquarius","Pisces"},0),12)+1)+12,12)+1,{3,6,11},0)),1,0),0)+IFERROR(IF(ISNUMBER(MATCH(MOD(5-(MOD(MATCH(CALC_PlanetPositions!$B$9,{"Aries","Taurus","Gemini","Cancer","Leo","Virgo","Libra","Scorpio","Sagittarius","Capricorn","Aquarius","Pisces"},0)-MATCH(INPUT_Chart!$C$5,{"Aries","Taurus","Gemini","Cancer","Leo","Virgo","Libra","Scorpio","Sagittarius","Capricorn","Aquarius","Pisces"},0),12)+1)+12,12)+1,{1,2,4,7,8,10,11},0)),1,0),0)+IFERROR(IF(ISNUMBER(MATCH(MOD(5-(MOD(MATCH(CALC_PlanetPositions!$B$10,{"Aries","Taurus","Gemini","Cancer","Leo","Virgo","Libra","Scorpio","Sagittarius","Capricorn","Aquarius","Pisces"},0)-MATCH(INPUT_Chart!$C$5,{"Aries","Taurus","Gemini","Cancer","Leo","Virgo","Libra","Scorpio","Sagittarius","Capricorn","Aquarius","Pisces"},0),12)+1)+12,12)+1,{3,5,6,11},0)),1,0),0)+IFERROR(IF(ISNUMBER(MATCH(MOD(5-(MOD(MATCH(CALC_PlanetPositions!$B$11,{"Aries","Taurus","Gemini","Cancer","Leo","Virgo","Libra","Scorpio","Sagittarius","Capricorn","Aquarius","Pisces"},0)-MATCH(INPUT_Chart!$C$5,{"Aries","Taurus","Gemini","Cancer","Leo","Virgo","Libra","Scorpio","Sagittarius","Capricorn","Aquarius","Pisces"},0),12)+1)+12,12)+1,{6,10,11,12},0)),1,0),0)+IFERROR(IF(ISNUMBER(MATCH(MOD(5-(MOD(MATCH(CALC_PlanetPositions!$B$12,{"Aries","Taurus","Gemini","Cancer","Leo","Virgo","Libra","Scorpio","Sagittarius","Capricorn","Aquarius","Pisces"},0)-MATCH(INPUT_Chart!$C$5,{"Aries","Taurus","Gemini","Cancer","Leo","Virgo","Libra","Scorpio","Sagittarius","Capricorn","Aquarius","Pisces"},0),12)+1)+12,12)+1,{6,8,11,12},0)),1,0),0)+IFERROR(IF(ISNUMBER(MATCH(MOD(5-(MOD(MATCH(CALC_PlanetPositions!$B$13,{"Aries","Taurus","Gemini","Cancer","Leo","Virgo","Libra","Scorpio","Sagittarius","Capricorn","Aquarius","Pisces"},0)-MATCH(INPUT_Chart!$C$5,{"Aries","Taurus","Gemini","Cancer","Leo","Virgo","Libra","Scorpio","Sagittarius","Capricorn","Aquarius","Pisces"},0),12)+1)+12,12)+1,{1,4,7,8,9,10,11},0)),1,0),0)+IFERROR(IF(ISNUMBER(MATCH(MOD(5-(MOD(MATCH(INPUT_Chart!$C$5,{"Aries","Taurus","Gemini","Cancer","Leo","Virgo","Libra","Scorpio","Sagittarius","Capricorn","Aquarius","Pisces"},0)-MATCH(INPUT_Chart!$C$5,{"Aries","Taurus","Gemini","Cancer","Leo","Virgo","Libra","Scorpio","Sagittarius","Capricorn","Aquarius","Pisces"},0),12)+1)+12,12)+1,{1,3,6,10,11},0)),1,0),0),0)</f>
        <v>5</v>
      </c>
      <c r="G8" s="830">
        <f>IFERROR(IFERROR(IF(ISNUMBER(MATCH(MOD(6-(MOD(MATCH(CALC_PlanetPositions!$B$7,{"Aries","Taurus","Gemini","Cancer","Leo","Virgo","Libra","Scorpio","Sagittarius","Capricorn","Aquarius","Pisces"},0)-MATCH(INPUT_Chart!$C$5,{"Aries","Taurus","Gemini","Cancer","Leo","Virgo","Libra","Scorpio","Sagittarius","Capricorn","Aquarius","Pisces"},0),12)+1)+12,12)+1,{3,5,6,10,11},0)),1,0),0)+IFERROR(IF(ISNUMBER(MATCH(MOD(6-(MOD(MATCH(CALC_PlanetPositions!$B$8,{"Aries","Taurus","Gemini","Cancer","Leo","Virgo","Libra","Scorpio","Sagittarius","Capricorn","Aquarius","Pisces"},0)-MATCH(INPUT_Chart!$C$5,{"Aries","Taurus","Gemini","Cancer","Leo","Virgo","Libra","Scorpio","Sagittarius","Capricorn","Aquarius","Pisces"},0),12)+1)+12,12)+1,{3,6,11},0)),1,0),0)+IFERROR(IF(ISNUMBER(MATCH(MOD(6-(MOD(MATCH(CALC_PlanetPositions!$B$9,{"Aries","Taurus","Gemini","Cancer","Leo","Virgo","Libra","Scorpio","Sagittarius","Capricorn","Aquarius","Pisces"},0)-MATCH(INPUT_Chart!$C$5,{"Aries","Taurus","Gemini","Cancer","Leo","Virgo","Libra","Scorpio","Sagittarius","Capricorn","Aquarius","Pisces"},0),12)+1)+12,12)+1,{1,2,4,7,8,10,11},0)),1,0),0)+IFERROR(IF(ISNUMBER(MATCH(MOD(6-(MOD(MATCH(CALC_PlanetPositions!$B$10,{"Aries","Taurus","Gemini","Cancer","Leo","Virgo","Libra","Scorpio","Sagittarius","Capricorn","Aquarius","Pisces"},0)-MATCH(INPUT_Chart!$C$5,{"Aries","Taurus","Gemini","Cancer","Leo","Virgo","Libra","Scorpio","Sagittarius","Capricorn","Aquarius","Pisces"},0),12)+1)+12,12)+1,{3,5,6,11},0)),1,0),0)+IFERROR(IF(ISNUMBER(MATCH(MOD(6-(MOD(MATCH(CALC_PlanetPositions!$B$11,{"Aries","Taurus","Gemini","Cancer","Leo","Virgo","Libra","Scorpio","Sagittarius","Capricorn","Aquarius","Pisces"},0)-MATCH(INPUT_Chart!$C$5,{"Aries","Taurus","Gemini","Cancer","Leo","Virgo","Libra","Scorpio","Sagittarius","Capricorn","Aquarius","Pisces"},0),12)+1)+12,12)+1,{6,10,11,12},0)),1,0),0)+IFERROR(IF(ISNUMBER(MATCH(MOD(6-(MOD(MATCH(CALC_PlanetPositions!$B$12,{"Aries","Taurus","Gemini","Cancer","Leo","Virgo","Libra","Scorpio","Sagittarius","Capricorn","Aquarius","Pisces"},0)-MATCH(INPUT_Chart!$C$5,{"Aries","Taurus","Gemini","Cancer","Leo","Virgo","Libra","Scorpio","Sagittarius","Capricorn","Aquarius","Pisces"},0),12)+1)+12,12)+1,{6,8,11,12},0)),1,0),0)+IFERROR(IF(ISNUMBER(MATCH(MOD(6-(MOD(MATCH(CALC_PlanetPositions!$B$13,{"Aries","Taurus","Gemini","Cancer","Leo","Virgo","Libra","Scorpio","Sagittarius","Capricorn","Aquarius","Pisces"},0)-MATCH(INPUT_Chart!$C$5,{"Aries","Taurus","Gemini","Cancer","Leo","Virgo","Libra","Scorpio","Sagittarius","Capricorn","Aquarius","Pisces"},0),12)+1)+12,12)+1,{1,4,7,8,9,10,11},0)),1,0),0)+IFERROR(IF(ISNUMBER(MATCH(MOD(6-(MOD(MATCH(INPUT_Chart!$C$5,{"Aries","Taurus","Gemini","Cancer","Leo","Virgo","Libra","Scorpio","Sagittarius","Capricorn","Aquarius","Pisces"},0)-MATCH(INPUT_Chart!$C$5,{"Aries","Taurus","Gemini","Cancer","Leo","Virgo","Libra","Scorpio","Sagittarius","Capricorn","Aquarius","Pisces"},0),12)+1)+12,12)+1,{1,3,6,10,11},0)),1,0),0),0)</f>
        <v>2</v>
      </c>
      <c r="H8" s="830">
        <f>IFERROR(IFERROR(IF(ISNUMBER(MATCH(MOD(7-(MOD(MATCH(CALC_PlanetPositions!$B$7,{"Aries","Taurus","Gemini","Cancer","Leo","Virgo","Libra","Scorpio","Sagittarius","Capricorn","Aquarius","Pisces"},0)-MATCH(INPUT_Chart!$C$5,{"Aries","Taurus","Gemini","Cancer","Leo","Virgo","Libra","Scorpio","Sagittarius","Capricorn","Aquarius","Pisces"},0),12)+1)+12,12)+1,{3,5,6,10,11},0)),1,0),0)+IFERROR(IF(ISNUMBER(MATCH(MOD(7-(MOD(MATCH(CALC_PlanetPositions!$B$8,{"Aries","Taurus","Gemini","Cancer","Leo","Virgo","Libra","Scorpio","Sagittarius","Capricorn","Aquarius","Pisces"},0)-MATCH(INPUT_Chart!$C$5,{"Aries","Taurus","Gemini","Cancer","Leo","Virgo","Libra","Scorpio","Sagittarius","Capricorn","Aquarius","Pisces"},0),12)+1)+12,12)+1,{3,6,11},0)),1,0),0)+IFERROR(IF(ISNUMBER(MATCH(MOD(7-(MOD(MATCH(CALC_PlanetPositions!$B$9,{"Aries","Taurus","Gemini","Cancer","Leo","Virgo","Libra","Scorpio","Sagittarius","Capricorn","Aquarius","Pisces"},0)-MATCH(INPUT_Chart!$C$5,{"Aries","Taurus","Gemini","Cancer","Leo","Virgo","Libra","Scorpio","Sagittarius","Capricorn","Aquarius","Pisces"},0),12)+1)+12,12)+1,{1,2,4,7,8,10,11},0)),1,0),0)+IFERROR(IF(ISNUMBER(MATCH(MOD(7-(MOD(MATCH(CALC_PlanetPositions!$B$10,{"Aries","Taurus","Gemini","Cancer","Leo","Virgo","Libra","Scorpio","Sagittarius","Capricorn","Aquarius","Pisces"},0)-MATCH(INPUT_Chart!$C$5,{"Aries","Taurus","Gemini","Cancer","Leo","Virgo","Libra","Scorpio","Sagittarius","Capricorn","Aquarius","Pisces"},0),12)+1)+12,12)+1,{3,5,6,11},0)),1,0),0)+IFERROR(IF(ISNUMBER(MATCH(MOD(7-(MOD(MATCH(CALC_PlanetPositions!$B$11,{"Aries","Taurus","Gemini","Cancer","Leo","Virgo","Libra","Scorpio","Sagittarius","Capricorn","Aquarius","Pisces"},0)-MATCH(INPUT_Chart!$C$5,{"Aries","Taurus","Gemini","Cancer","Leo","Virgo","Libra","Scorpio","Sagittarius","Capricorn","Aquarius","Pisces"},0),12)+1)+12,12)+1,{6,10,11,12},0)),1,0),0)+IFERROR(IF(ISNUMBER(MATCH(MOD(7-(MOD(MATCH(CALC_PlanetPositions!$B$12,{"Aries","Taurus","Gemini","Cancer","Leo","Virgo","Libra","Scorpio","Sagittarius","Capricorn","Aquarius","Pisces"},0)-MATCH(INPUT_Chart!$C$5,{"Aries","Taurus","Gemini","Cancer","Leo","Virgo","Libra","Scorpio","Sagittarius","Capricorn","Aquarius","Pisces"},0),12)+1)+12,12)+1,{6,8,11,12},0)),1,0),0)+IFERROR(IF(ISNUMBER(MATCH(MOD(7-(MOD(MATCH(CALC_PlanetPositions!$B$13,{"Aries","Taurus","Gemini","Cancer","Leo","Virgo","Libra","Scorpio","Sagittarius","Capricorn","Aquarius","Pisces"},0)-MATCH(INPUT_Chart!$C$5,{"Aries","Taurus","Gemini","Cancer","Leo","Virgo","Libra","Scorpio","Sagittarius","Capricorn","Aquarius","Pisces"},0),12)+1)+12,12)+1,{1,4,7,8,9,10,11},0)),1,0),0)+IFERROR(IF(ISNUMBER(MATCH(MOD(7-(MOD(MATCH(INPUT_Chart!$C$5,{"Aries","Taurus","Gemini","Cancer","Leo","Virgo","Libra","Scorpio","Sagittarius","Capricorn","Aquarius","Pisces"},0)-MATCH(INPUT_Chart!$C$5,{"Aries","Taurus","Gemini","Cancer","Leo","Virgo","Libra","Scorpio","Sagittarius","Capricorn","Aquarius","Pisces"},0),12)+1)+12,12)+1,{1,3,6,10,11},0)),1,0),0),0)</f>
        <v>2</v>
      </c>
      <c r="I8" s="830">
        <f>IFERROR(IFERROR(IF(ISNUMBER(MATCH(MOD(8-(MOD(MATCH(CALC_PlanetPositions!$B$7,{"Aries","Taurus","Gemini","Cancer","Leo","Virgo","Libra","Scorpio","Sagittarius","Capricorn","Aquarius","Pisces"},0)-MATCH(INPUT_Chart!$C$5,{"Aries","Taurus","Gemini","Cancer","Leo","Virgo","Libra","Scorpio","Sagittarius","Capricorn","Aquarius","Pisces"},0),12)+1)+12,12)+1,{3,5,6,10,11},0)),1,0),0)+IFERROR(IF(ISNUMBER(MATCH(MOD(8-(MOD(MATCH(CALC_PlanetPositions!$B$8,{"Aries","Taurus","Gemini","Cancer","Leo","Virgo","Libra","Scorpio","Sagittarius","Capricorn","Aquarius","Pisces"},0)-MATCH(INPUT_Chart!$C$5,{"Aries","Taurus","Gemini","Cancer","Leo","Virgo","Libra","Scorpio","Sagittarius","Capricorn","Aquarius","Pisces"},0),12)+1)+12,12)+1,{3,6,11},0)),1,0),0)+IFERROR(IF(ISNUMBER(MATCH(MOD(8-(MOD(MATCH(CALC_PlanetPositions!$B$9,{"Aries","Taurus","Gemini","Cancer","Leo","Virgo","Libra","Scorpio","Sagittarius","Capricorn","Aquarius","Pisces"},0)-MATCH(INPUT_Chart!$C$5,{"Aries","Taurus","Gemini","Cancer","Leo","Virgo","Libra","Scorpio","Sagittarius","Capricorn","Aquarius","Pisces"},0),12)+1)+12,12)+1,{1,2,4,7,8,10,11},0)),1,0),0)+IFERROR(IF(ISNUMBER(MATCH(MOD(8-(MOD(MATCH(CALC_PlanetPositions!$B$10,{"Aries","Taurus","Gemini","Cancer","Leo","Virgo","Libra","Scorpio","Sagittarius","Capricorn","Aquarius","Pisces"},0)-MATCH(INPUT_Chart!$C$5,{"Aries","Taurus","Gemini","Cancer","Leo","Virgo","Libra","Scorpio","Sagittarius","Capricorn","Aquarius","Pisces"},0),12)+1)+12,12)+1,{3,5,6,11},0)),1,0),0)+IFERROR(IF(ISNUMBER(MATCH(MOD(8-(MOD(MATCH(CALC_PlanetPositions!$B$11,{"Aries","Taurus","Gemini","Cancer","Leo","Virgo","Libra","Scorpio","Sagittarius","Capricorn","Aquarius","Pisces"},0)-MATCH(INPUT_Chart!$C$5,{"Aries","Taurus","Gemini","Cancer","Leo","Virgo","Libra","Scorpio","Sagittarius","Capricorn","Aquarius","Pisces"},0),12)+1)+12,12)+1,{6,10,11,12},0)),1,0),0)+IFERROR(IF(ISNUMBER(MATCH(MOD(8-(MOD(MATCH(CALC_PlanetPositions!$B$12,{"Aries","Taurus","Gemini","Cancer","Leo","Virgo","Libra","Scorpio","Sagittarius","Capricorn","Aquarius","Pisces"},0)-MATCH(INPUT_Chart!$C$5,{"Aries","Taurus","Gemini","Cancer","Leo","Virgo","Libra","Scorpio","Sagittarius","Capricorn","Aquarius","Pisces"},0),12)+1)+12,12)+1,{6,8,11,12},0)),1,0),0)+IFERROR(IF(ISNUMBER(MATCH(MOD(8-(MOD(MATCH(CALC_PlanetPositions!$B$13,{"Aries","Taurus","Gemini","Cancer","Leo","Virgo","Libra","Scorpio","Sagittarius","Capricorn","Aquarius","Pisces"},0)-MATCH(INPUT_Chart!$C$5,{"Aries","Taurus","Gemini","Cancer","Leo","Virgo","Libra","Scorpio","Sagittarius","Capricorn","Aquarius","Pisces"},0),12)+1)+12,12)+1,{1,4,7,8,9,10,11},0)),1,0),0)+IFERROR(IF(ISNUMBER(MATCH(MOD(8-(MOD(MATCH(INPUT_Chart!$C$5,{"Aries","Taurus","Gemini","Cancer","Leo","Virgo","Libra","Scorpio","Sagittarius","Capricorn","Aquarius","Pisces"},0)-MATCH(INPUT_Chart!$C$5,{"Aries","Taurus","Gemini","Cancer","Leo","Virgo","Libra","Scorpio","Sagittarius","Capricorn","Aquarius","Pisces"},0),12)+1)+12,12)+1,{1,3,6,10,11},0)),1,0),0),0)</f>
        <v>5</v>
      </c>
      <c r="J8" s="830">
        <f>IFERROR(IFERROR(IF(ISNUMBER(MATCH(MOD(9-(MOD(MATCH(CALC_PlanetPositions!$B$7,{"Aries","Taurus","Gemini","Cancer","Leo","Virgo","Libra","Scorpio","Sagittarius","Capricorn","Aquarius","Pisces"},0)-MATCH(INPUT_Chart!$C$5,{"Aries","Taurus","Gemini","Cancer","Leo","Virgo","Libra","Scorpio","Sagittarius","Capricorn","Aquarius","Pisces"},0),12)+1)+12,12)+1,{3,5,6,10,11},0)),1,0),0)+IFERROR(IF(ISNUMBER(MATCH(MOD(9-(MOD(MATCH(CALC_PlanetPositions!$B$8,{"Aries","Taurus","Gemini","Cancer","Leo","Virgo","Libra","Scorpio","Sagittarius","Capricorn","Aquarius","Pisces"},0)-MATCH(INPUT_Chart!$C$5,{"Aries","Taurus","Gemini","Cancer","Leo","Virgo","Libra","Scorpio","Sagittarius","Capricorn","Aquarius","Pisces"},0),12)+1)+12,12)+1,{3,6,11},0)),1,0),0)+IFERROR(IF(ISNUMBER(MATCH(MOD(9-(MOD(MATCH(CALC_PlanetPositions!$B$9,{"Aries","Taurus","Gemini","Cancer","Leo","Virgo","Libra","Scorpio","Sagittarius","Capricorn","Aquarius","Pisces"},0)-MATCH(INPUT_Chart!$C$5,{"Aries","Taurus","Gemini","Cancer","Leo","Virgo","Libra","Scorpio","Sagittarius","Capricorn","Aquarius","Pisces"},0),12)+1)+12,12)+1,{1,2,4,7,8,10,11},0)),1,0),0)+IFERROR(IF(ISNUMBER(MATCH(MOD(9-(MOD(MATCH(CALC_PlanetPositions!$B$10,{"Aries","Taurus","Gemini","Cancer","Leo","Virgo","Libra","Scorpio","Sagittarius","Capricorn","Aquarius","Pisces"},0)-MATCH(INPUT_Chart!$C$5,{"Aries","Taurus","Gemini","Cancer","Leo","Virgo","Libra","Scorpio","Sagittarius","Capricorn","Aquarius","Pisces"},0),12)+1)+12,12)+1,{3,5,6,11},0)),1,0),0)+IFERROR(IF(ISNUMBER(MATCH(MOD(9-(MOD(MATCH(CALC_PlanetPositions!$B$11,{"Aries","Taurus","Gemini","Cancer","Leo","Virgo","Libra","Scorpio","Sagittarius","Capricorn","Aquarius","Pisces"},0)-MATCH(INPUT_Chart!$C$5,{"Aries","Taurus","Gemini","Cancer","Leo","Virgo","Libra","Scorpio","Sagittarius","Capricorn","Aquarius","Pisces"},0),12)+1)+12,12)+1,{6,10,11,12},0)),1,0),0)+IFERROR(IF(ISNUMBER(MATCH(MOD(9-(MOD(MATCH(CALC_PlanetPositions!$B$12,{"Aries","Taurus","Gemini","Cancer","Leo","Virgo","Libra","Scorpio","Sagittarius","Capricorn","Aquarius","Pisces"},0)-MATCH(INPUT_Chart!$C$5,{"Aries","Taurus","Gemini","Cancer","Leo","Virgo","Libra","Scorpio","Sagittarius","Capricorn","Aquarius","Pisces"},0),12)+1)+12,12)+1,{6,8,11,12},0)),1,0),0)+IFERROR(IF(ISNUMBER(MATCH(MOD(9-(MOD(MATCH(CALC_PlanetPositions!$B$13,{"Aries","Taurus","Gemini","Cancer","Leo","Virgo","Libra","Scorpio","Sagittarius","Capricorn","Aquarius","Pisces"},0)-MATCH(INPUT_Chart!$C$5,{"Aries","Taurus","Gemini","Cancer","Leo","Virgo","Libra","Scorpio","Sagittarius","Capricorn","Aquarius","Pisces"},0),12)+1)+12,12)+1,{1,4,7,8,9,10,11},0)),1,0),0)+IFERROR(IF(ISNUMBER(MATCH(MOD(9-(MOD(MATCH(INPUT_Chart!$C$5,{"Aries","Taurus","Gemini","Cancer","Leo","Virgo","Libra","Scorpio","Sagittarius","Capricorn","Aquarius","Pisces"},0)-MATCH(INPUT_Chart!$C$5,{"Aries","Taurus","Gemini","Cancer","Leo","Virgo","Libra","Scorpio","Sagittarius","Capricorn","Aquarius","Pisces"},0),12)+1)+12,12)+1,{1,3,6,10,11},0)),1,0),0),0)</f>
        <v>2</v>
      </c>
      <c r="K8" s="830">
        <f>IFERROR(IFERROR(IF(ISNUMBER(MATCH(MOD(10-(MOD(MATCH(CALC_PlanetPositions!$B$7,{"Aries","Taurus","Gemini","Cancer","Leo","Virgo","Libra","Scorpio","Sagittarius","Capricorn","Aquarius","Pisces"},0)-MATCH(INPUT_Chart!$C$5,{"Aries","Taurus","Gemini","Cancer","Leo","Virgo","Libra","Scorpio","Sagittarius","Capricorn","Aquarius","Pisces"},0),12)+1)+12,12)+1,{3,5,6,10,11},0)),1,0),0)+IFERROR(IF(ISNUMBER(MATCH(MOD(10-(MOD(MATCH(CALC_PlanetPositions!$B$8,{"Aries","Taurus","Gemini","Cancer","Leo","Virgo","Libra","Scorpio","Sagittarius","Capricorn","Aquarius","Pisces"},0)-MATCH(INPUT_Chart!$C$5,{"Aries","Taurus","Gemini","Cancer","Leo","Virgo","Libra","Scorpio","Sagittarius","Capricorn","Aquarius","Pisces"},0),12)+1)+12,12)+1,{3,6,11},0)),1,0),0)+IFERROR(IF(ISNUMBER(MATCH(MOD(10-(MOD(MATCH(CALC_PlanetPositions!$B$9,{"Aries","Taurus","Gemini","Cancer","Leo","Virgo","Libra","Scorpio","Sagittarius","Capricorn","Aquarius","Pisces"},0)-MATCH(INPUT_Chart!$C$5,{"Aries","Taurus","Gemini","Cancer","Leo","Virgo","Libra","Scorpio","Sagittarius","Capricorn","Aquarius","Pisces"},0),12)+1)+12,12)+1,{1,2,4,7,8,10,11},0)),1,0),0)+IFERROR(IF(ISNUMBER(MATCH(MOD(10-(MOD(MATCH(CALC_PlanetPositions!$B$10,{"Aries","Taurus","Gemini","Cancer","Leo","Virgo","Libra","Scorpio","Sagittarius","Capricorn","Aquarius","Pisces"},0)-MATCH(INPUT_Chart!$C$5,{"Aries","Taurus","Gemini","Cancer","Leo","Virgo","Libra","Scorpio","Sagittarius","Capricorn","Aquarius","Pisces"},0),12)+1)+12,12)+1,{3,5,6,11},0)),1,0),0)+IFERROR(IF(ISNUMBER(MATCH(MOD(10-(MOD(MATCH(CALC_PlanetPositions!$B$11,{"Aries","Taurus","Gemini","Cancer","Leo","Virgo","Libra","Scorpio","Sagittarius","Capricorn","Aquarius","Pisces"},0)-MATCH(INPUT_Chart!$C$5,{"Aries","Taurus","Gemini","Cancer","Leo","Virgo","Libra","Scorpio","Sagittarius","Capricorn","Aquarius","Pisces"},0),12)+1)+12,12)+1,{6,10,11,12},0)),1,0),0)+IFERROR(IF(ISNUMBER(MATCH(MOD(10-(MOD(MATCH(CALC_PlanetPositions!$B$12,{"Aries","Taurus","Gemini","Cancer","Leo","Virgo","Libra","Scorpio","Sagittarius","Capricorn","Aquarius","Pisces"},0)-MATCH(INPUT_Chart!$C$5,{"Aries","Taurus","Gemini","Cancer","Leo","Virgo","Libra","Scorpio","Sagittarius","Capricorn","Aquarius","Pisces"},0),12)+1)+12,12)+1,{6,8,11,12},0)),1,0),0)+IFERROR(IF(ISNUMBER(MATCH(MOD(10-(MOD(MATCH(CALC_PlanetPositions!$B$13,{"Aries","Taurus","Gemini","Cancer","Leo","Virgo","Libra","Scorpio","Sagittarius","Capricorn","Aquarius","Pisces"},0)-MATCH(INPUT_Chart!$C$5,{"Aries","Taurus","Gemini","Cancer","Leo","Virgo","Libra","Scorpio","Sagittarius","Capricorn","Aquarius","Pisces"},0),12)+1)+12,12)+1,{1,4,7,8,9,10,11},0)),1,0),0)+IFERROR(IF(ISNUMBER(MATCH(MOD(10-(MOD(MATCH(INPUT_Chart!$C$5,{"Aries","Taurus","Gemini","Cancer","Leo","Virgo","Libra","Scorpio","Sagittarius","Capricorn","Aquarius","Pisces"},0)-MATCH(INPUT_Chart!$C$5,{"Aries","Taurus","Gemini","Cancer","Leo","Virgo","Libra","Scorpio","Sagittarius","Capricorn","Aquarius","Pisces"},0),12)+1)+12,12)+1,{1,3,6,10,11},0)),1,0),0),0)</f>
        <v>3</v>
      </c>
      <c r="L8" s="830">
        <f>IFERROR(IFERROR(IF(ISNUMBER(MATCH(MOD(11-(MOD(MATCH(CALC_PlanetPositions!$B$7,{"Aries","Taurus","Gemini","Cancer","Leo","Virgo","Libra","Scorpio","Sagittarius","Capricorn","Aquarius","Pisces"},0)-MATCH(INPUT_Chart!$C$5,{"Aries","Taurus","Gemini","Cancer","Leo","Virgo","Libra","Scorpio","Sagittarius","Capricorn","Aquarius","Pisces"},0),12)+1)+12,12)+1,{3,5,6,10,11},0)),1,0),0)+IFERROR(IF(ISNUMBER(MATCH(MOD(11-(MOD(MATCH(CALC_PlanetPositions!$B$8,{"Aries","Taurus","Gemini","Cancer","Leo","Virgo","Libra","Scorpio","Sagittarius","Capricorn","Aquarius","Pisces"},0)-MATCH(INPUT_Chart!$C$5,{"Aries","Taurus","Gemini","Cancer","Leo","Virgo","Libra","Scorpio","Sagittarius","Capricorn","Aquarius","Pisces"},0),12)+1)+12,12)+1,{3,6,11},0)),1,0),0)+IFERROR(IF(ISNUMBER(MATCH(MOD(11-(MOD(MATCH(CALC_PlanetPositions!$B$9,{"Aries","Taurus","Gemini","Cancer","Leo","Virgo","Libra","Scorpio","Sagittarius","Capricorn","Aquarius","Pisces"},0)-MATCH(INPUT_Chart!$C$5,{"Aries","Taurus","Gemini","Cancer","Leo","Virgo","Libra","Scorpio","Sagittarius","Capricorn","Aquarius","Pisces"},0),12)+1)+12,12)+1,{1,2,4,7,8,10,11},0)),1,0),0)+IFERROR(IF(ISNUMBER(MATCH(MOD(11-(MOD(MATCH(CALC_PlanetPositions!$B$10,{"Aries","Taurus","Gemini","Cancer","Leo","Virgo","Libra","Scorpio","Sagittarius","Capricorn","Aquarius","Pisces"},0)-MATCH(INPUT_Chart!$C$5,{"Aries","Taurus","Gemini","Cancer","Leo","Virgo","Libra","Scorpio","Sagittarius","Capricorn","Aquarius","Pisces"},0),12)+1)+12,12)+1,{3,5,6,11},0)),1,0),0)+IFERROR(IF(ISNUMBER(MATCH(MOD(11-(MOD(MATCH(CALC_PlanetPositions!$B$11,{"Aries","Taurus","Gemini","Cancer","Leo","Virgo","Libra","Scorpio","Sagittarius","Capricorn","Aquarius","Pisces"},0)-MATCH(INPUT_Chart!$C$5,{"Aries","Taurus","Gemini","Cancer","Leo","Virgo","Libra","Scorpio","Sagittarius","Capricorn","Aquarius","Pisces"},0),12)+1)+12,12)+1,{6,10,11,12},0)),1,0),0)+IFERROR(IF(ISNUMBER(MATCH(MOD(11-(MOD(MATCH(CALC_PlanetPositions!$B$12,{"Aries","Taurus","Gemini","Cancer","Leo","Virgo","Libra","Scorpio","Sagittarius","Capricorn","Aquarius","Pisces"},0)-MATCH(INPUT_Chart!$C$5,{"Aries","Taurus","Gemini","Cancer","Leo","Virgo","Libra","Scorpio","Sagittarius","Capricorn","Aquarius","Pisces"},0),12)+1)+12,12)+1,{6,8,11,12},0)),1,0),0)+IFERROR(IF(ISNUMBER(MATCH(MOD(11-(MOD(MATCH(CALC_PlanetPositions!$B$13,{"Aries","Taurus","Gemini","Cancer","Leo","Virgo","Libra","Scorpio","Sagittarius","Capricorn","Aquarius","Pisces"},0)-MATCH(INPUT_Chart!$C$5,{"Aries","Taurus","Gemini","Cancer","Leo","Virgo","Libra","Scorpio","Sagittarius","Capricorn","Aquarius","Pisces"},0),12)+1)+12,12)+1,{1,4,7,8,9,10,11},0)),1,0),0)+IFERROR(IF(ISNUMBER(MATCH(MOD(11-(MOD(MATCH(INPUT_Chart!$C$5,{"Aries","Taurus","Gemini","Cancer","Leo","Virgo","Libra","Scorpio","Sagittarius","Capricorn","Aquarius","Pisces"},0)-MATCH(INPUT_Chart!$C$5,{"Aries","Taurus","Gemini","Cancer","Leo","Virgo","Libra","Scorpio","Sagittarius","Capricorn","Aquarius","Pisces"},0),12)+1)+12,12)+1,{1,3,6,10,11},0)),1,0),0),0)</f>
        <v>4</v>
      </c>
      <c r="M8" s="830">
        <f>IFERROR(IFERROR(IF(ISNUMBER(MATCH(MOD(12-(MOD(MATCH(CALC_PlanetPositions!$B$7,{"Aries","Taurus","Gemini","Cancer","Leo","Virgo","Libra","Scorpio","Sagittarius","Capricorn","Aquarius","Pisces"},0)-MATCH(INPUT_Chart!$C$5,{"Aries","Taurus","Gemini","Cancer","Leo","Virgo","Libra","Scorpio","Sagittarius","Capricorn","Aquarius","Pisces"},0),12)+1)+12,12)+1,{3,5,6,10,11},0)),1,0),0)+IFERROR(IF(ISNUMBER(MATCH(MOD(12-(MOD(MATCH(CALC_PlanetPositions!$B$8,{"Aries","Taurus","Gemini","Cancer","Leo","Virgo","Libra","Scorpio","Sagittarius","Capricorn","Aquarius","Pisces"},0)-MATCH(INPUT_Chart!$C$5,{"Aries","Taurus","Gemini","Cancer","Leo","Virgo","Libra","Scorpio","Sagittarius","Capricorn","Aquarius","Pisces"},0),12)+1)+12,12)+1,{3,6,11},0)),1,0),0)+IFERROR(IF(ISNUMBER(MATCH(MOD(12-(MOD(MATCH(CALC_PlanetPositions!$B$9,{"Aries","Taurus","Gemini","Cancer","Leo","Virgo","Libra","Scorpio","Sagittarius","Capricorn","Aquarius","Pisces"},0)-MATCH(INPUT_Chart!$C$5,{"Aries","Taurus","Gemini","Cancer","Leo","Virgo","Libra","Scorpio","Sagittarius","Capricorn","Aquarius","Pisces"},0),12)+1)+12,12)+1,{1,2,4,7,8,10,11},0)),1,0),0)+IFERROR(IF(ISNUMBER(MATCH(MOD(12-(MOD(MATCH(CALC_PlanetPositions!$B$10,{"Aries","Taurus","Gemini","Cancer","Leo","Virgo","Libra","Scorpio","Sagittarius","Capricorn","Aquarius","Pisces"},0)-MATCH(INPUT_Chart!$C$5,{"Aries","Taurus","Gemini","Cancer","Leo","Virgo","Libra","Scorpio","Sagittarius","Capricorn","Aquarius","Pisces"},0),12)+1)+12,12)+1,{3,5,6,11},0)),1,0),0)+IFERROR(IF(ISNUMBER(MATCH(MOD(12-(MOD(MATCH(CALC_PlanetPositions!$B$11,{"Aries","Taurus","Gemini","Cancer","Leo","Virgo","Libra","Scorpio","Sagittarius","Capricorn","Aquarius","Pisces"},0)-MATCH(INPUT_Chart!$C$5,{"Aries","Taurus","Gemini","Cancer","Leo","Virgo","Libra","Scorpio","Sagittarius","Capricorn","Aquarius","Pisces"},0),12)+1)+12,12)+1,{6,10,11,12},0)),1,0),0)+IFERROR(IF(ISNUMBER(MATCH(MOD(12-(MOD(MATCH(CALC_PlanetPositions!$B$12,{"Aries","Taurus","Gemini","Cancer","Leo","Virgo","Libra","Scorpio","Sagittarius","Capricorn","Aquarius","Pisces"},0)-MATCH(INPUT_Chart!$C$5,{"Aries","Taurus","Gemini","Cancer","Leo","Virgo","Libra","Scorpio","Sagittarius","Capricorn","Aquarius","Pisces"},0),12)+1)+12,12)+1,{6,8,11,12},0)),1,0),0)+IFERROR(IF(ISNUMBER(MATCH(MOD(12-(MOD(MATCH(CALC_PlanetPositions!$B$13,{"Aries","Taurus","Gemini","Cancer","Leo","Virgo","Libra","Scorpio","Sagittarius","Capricorn","Aquarius","Pisces"},0)-MATCH(INPUT_Chart!$C$5,{"Aries","Taurus","Gemini","Cancer","Leo","Virgo","Libra","Scorpio","Sagittarius","Capricorn","Aquarius","Pisces"},0),12)+1)+12,12)+1,{1,4,7,8,9,10,11},0)),1,0),0)+IFERROR(IF(ISNUMBER(MATCH(MOD(12-(MOD(MATCH(INPUT_Chart!$C$5,{"Aries","Taurus","Gemini","Cancer","Leo","Virgo","Libra","Scorpio","Sagittarius","Capricorn","Aquarius","Pisces"},0)-MATCH(INPUT_Chart!$C$5,{"Aries","Taurus","Gemini","Cancer","Leo","Virgo","Libra","Scorpio","Sagittarius","Capricorn","Aquarius","Pisces"},0),12)+1)+12,12)+1,{1,3,6,10,11},0)),1,0),0),0)</f>
        <v>3</v>
      </c>
      <c r="N8" s="626">
        <f t="shared" si="0"/>
        <v>39</v>
      </c>
      <c r="O8" s="831">
        <f t="shared" si="1"/>
        <v>3.25</v>
      </c>
      <c r="P8" s="832" t="s">
        <v>3745</v>
      </c>
    </row>
    <row r="9" spans="1:17" ht="15.75" customHeight="1" x14ac:dyDescent="0.2">
      <c r="A9" s="551" t="s">
        <v>269</v>
      </c>
      <c r="B9" s="833">
        <f>IFERROR(IFERROR(IF(ISNUMBER(MATCH(MOD(1-(MOD(MATCH(CALC_PlanetPositions!$B$7,{"Aries","Taurus","Gemini","Cancer","Leo","Virgo","Libra","Scorpio","Sagittarius","Capricorn","Aquarius","Pisces"},0)-MATCH(INPUT_Chart!$C$5,{"Aries","Taurus","Gemini","Cancer","Leo","Virgo","Libra","Scorpio","Sagittarius","Capricorn","Aquarius","Pisces"},0),12)+1)+12,12)+1,{5,6,9,11,12},0)),1,0),0)+IFERROR(IF(ISNUMBER(MATCH(MOD(1-(MOD(MATCH(CALC_PlanetPositions!$B$8,{"Aries","Taurus","Gemini","Cancer","Leo","Virgo","Libra","Scorpio","Sagittarius","Capricorn","Aquarius","Pisces"},0)-MATCH(INPUT_Chart!$C$5,{"Aries","Taurus","Gemini","Cancer","Leo","Virgo","Libra","Scorpio","Sagittarius","Capricorn","Aquarius","Pisces"},0),12)+1)+12,12)+1,{2,4,6,8,10,11},0)),1,0),0)+IFERROR(IF(ISNUMBER(MATCH(MOD(1-(MOD(MATCH(CALC_PlanetPositions!$B$9,{"Aries","Taurus","Gemini","Cancer","Leo","Virgo","Libra","Scorpio","Sagittarius","Capricorn","Aquarius","Pisces"},0)-MATCH(INPUT_Chart!$C$5,{"Aries","Taurus","Gemini","Cancer","Leo","Virgo","Libra","Scorpio","Sagittarius","Capricorn","Aquarius","Pisces"},0),12)+1)+12,12)+1,{1,2,4,7,8,9,10,11},0)),1,0),0)+IFERROR(IF(ISNUMBER(MATCH(MOD(1-(MOD(MATCH(CALC_PlanetPositions!$B$10,{"Aries","Taurus","Gemini","Cancer","Leo","Virgo","Libra","Scorpio","Sagittarius","Capricorn","Aquarius","Pisces"},0)-MATCH(INPUT_Chart!$C$5,{"Aries","Taurus","Gemini","Cancer","Leo","Virgo","Libra","Scorpio","Sagittarius","Capricorn","Aquarius","Pisces"},0),12)+1)+12,12)+1,{1,3,5,6,9,10,11,12},0)),1,0),0)+IFERROR(IF(ISNUMBER(MATCH(MOD(1-(MOD(MATCH(CALC_PlanetPositions!$B$11,{"Aries","Taurus","Gemini","Cancer","Leo","Virgo","Libra","Scorpio","Sagittarius","Capricorn","Aquarius","Pisces"},0)-MATCH(INPUT_Chart!$C$5,{"Aries","Taurus","Gemini","Cancer","Leo","Virgo","Libra","Scorpio","Sagittarius","Capricorn","Aquarius","Pisces"},0),12)+1)+12,12)+1,{6,8,11,12},0)),1,0),0)+IFERROR(IF(ISNUMBER(MATCH(MOD(1-(MOD(MATCH(CALC_PlanetPositions!$B$12,{"Aries","Taurus","Gemini","Cancer","Leo","Virgo","Libra","Scorpio","Sagittarius","Capricorn","Aquarius","Pisces"},0)-MATCH(INPUT_Chart!$C$5,{"Aries","Taurus","Gemini","Cancer","Leo","Virgo","Libra","Scorpio","Sagittarius","Capricorn","Aquarius","Pisces"},0),12)+1)+12,12)+1,{1,2,3,4,5,8,9,11},0)),1,0),0)+IFERROR(IF(ISNUMBER(MATCH(MOD(1-(MOD(MATCH(CALC_PlanetPositions!$B$13,{"Aries","Taurus","Gemini","Cancer","Leo","Virgo","Libra","Scorpio","Sagittarius","Capricorn","Aquarius","Pisces"},0)-MATCH(INPUT_Chart!$C$5,{"Aries","Taurus","Gemini","Cancer","Leo","Virgo","Libra","Scorpio","Sagittarius","Capricorn","Aquarius","Pisces"},0),12)+1)+12,12)+1,{1,2,4,7,8,9,10,11},0)),1,0),0)+IFERROR(IF(ISNUMBER(MATCH(MOD(1-(MOD(MATCH(INPUT_Chart!$C$5,{"Aries","Taurus","Gemini","Cancer","Leo","Virgo","Libra","Scorpio","Sagittarius","Capricorn","Aquarius","Pisces"},0)-MATCH(INPUT_Chart!$C$5,{"Aries","Taurus","Gemini","Cancer","Leo","Virgo","Libra","Scorpio","Sagittarius","Capricorn","Aquarius","Pisces"},0),12)+1)+12,12)+1,{1,2,4,6,8,10,11},0)),1,0),0),0)</f>
        <v>7</v>
      </c>
      <c r="C9" s="833">
        <f>IFERROR(IFERROR(IF(ISNUMBER(MATCH(MOD(2-(MOD(MATCH(CALC_PlanetPositions!$B$7,{"Aries","Taurus","Gemini","Cancer","Leo","Virgo","Libra","Scorpio","Sagittarius","Capricorn","Aquarius","Pisces"},0)-MATCH(INPUT_Chart!$C$5,{"Aries","Taurus","Gemini","Cancer","Leo","Virgo","Libra","Scorpio","Sagittarius","Capricorn","Aquarius","Pisces"},0),12)+1)+12,12)+1,{5,6,9,11,12},0)),1,0),0)+IFERROR(IF(ISNUMBER(MATCH(MOD(2-(MOD(MATCH(CALC_PlanetPositions!$B$8,{"Aries","Taurus","Gemini","Cancer","Leo","Virgo","Libra","Scorpio","Sagittarius","Capricorn","Aquarius","Pisces"},0)-MATCH(INPUT_Chart!$C$5,{"Aries","Taurus","Gemini","Cancer","Leo","Virgo","Libra","Scorpio","Sagittarius","Capricorn","Aquarius","Pisces"},0),12)+1)+12,12)+1,{2,4,6,8,10,11},0)),1,0),0)+IFERROR(IF(ISNUMBER(MATCH(MOD(2-(MOD(MATCH(CALC_PlanetPositions!$B$9,{"Aries","Taurus","Gemini","Cancer","Leo","Virgo","Libra","Scorpio","Sagittarius","Capricorn","Aquarius","Pisces"},0)-MATCH(INPUT_Chart!$C$5,{"Aries","Taurus","Gemini","Cancer","Leo","Virgo","Libra","Scorpio","Sagittarius","Capricorn","Aquarius","Pisces"},0),12)+1)+12,12)+1,{1,2,4,7,8,9,10,11},0)),1,0),0)+IFERROR(IF(ISNUMBER(MATCH(MOD(2-(MOD(MATCH(CALC_PlanetPositions!$B$10,{"Aries","Taurus","Gemini","Cancer","Leo","Virgo","Libra","Scorpio","Sagittarius","Capricorn","Aquarius","Pisces"},0)-MATCH(INPUT_Chart!$C$5,{"Aries","Taurus","Gemini","Cancer","Leo","Virgo","Libra","Scorpio","Sagittarius","Capricorn","Aquarius","Pisces"},0),12)+1)+12,12)+1,{1,3,5,6,9,10,11,12},0)),1,0),0)+IFERROR(IF(ISNUMBER(MATCH(MOD(2-(MOD(MATCH(CALC_PlanetPositions!$B$11,{"Aries","Taurus","Gemini","Cancer","Leo","Virgo","Libra","Scorpio","Sagittarius","Capricorn","Aquarius","Pisces"},0)-MATCH(INPUT_Chart!$C$5,{"Aries","Taurus","Gemini","Cancer","Leo","Virgo","Libra","Scorpio","Sagittarius","Capricorn","Aquarius","Pisces"},0),12)+1)+12,12)+1,{6,8,11,12},0)),1,0),0)+IFERROR(IF(ISNUMBER(MATCH(MOD(2-(MOD(MATCH(CALC_PlanetPositions!$B$12,{"Aries","Taurus","Gemini","Cancer","Leo","Virgo","Libra","Scorpio","Sagittarius","Capricorn","Aquarius","Pisces"},0)-MATCH(INPUT_Chart!$C$5,{"Aries","Taurus","Gemini","Cancer","Leo","Virgo","Libra","Scorpio","Sagittarius","Capricorn","Aquarius","Pisces"},0),12)+1)+12,12)+1,{1,2,3,4,5,8,9,11},0)),1,0),0)+IFERROR(IF(ISNUMBER(MATCH(MOD(2-(MOD(MATCH(CALC_PlanetPositions!$B$13,{"Aries","Taurus","Gemini","Cancer","Leo","Virgo","Libra","Scorpio","Sagittarius","Capricorn","Aquarius","Pisces"},0)-MATCH(INPUT_Chart!$C$5,{"Aries","Taurus","Gemini","Cancer","Leo","Virgo","Libra","Scorpio","Sagittarius","Capricorn","Aquarius","Pisces"},0),12)+1)+12,12)+1,{1,2,4,7,8,9,10,11},0)),1,0),0)+IFERROR(IF(ISNUMBER(MATCH(MOD(2-(MOD(MATCH(INPUT_Chart!$C$5,{"Aries","Taurus","Gemini","Cancer","Leo","Virgo","Libra","Scorpio","Sagittarius","Capricorn","Aquarius","Pisces"},0)-MATCH(INPUT_Chart!$C$5,{"Aries","Taurus","Gemini","Cancer","Leo","Virgo","Libra","Scorpio","Sagittarius","Capricorn","Aquarius","Pisces"},0),12)+1)+12,12)+1,{1,2,4,6,8,10,11},0)),1,0),0),0)</f>
        <v>4</v>
      </c>
      <c r="D9" s="833">
        <f>IFERROR(IFERROR(IF(ISNUMBER(MATCH(MOD(3-(MOD(MATCH(CALC_PlanetPositions!$B$7,{"Aries","Taurus","Gemini","Cancer","Leo","Virgo","Libra","Scorpio","Sagittarius","Capricorn","Aquarius","Pisces"},0)-MATCH(INPUT_Chart!$C$5,{"Aries","Taurus","Gemini","Cancer","Leo","Virgo","Libra","Scorpio","Sagittarius","Capricorn","Aquarius","Pisces"},0),12)+1)+12,12)+1,{5,6,9,11,12},0)),1,0),0)+IFERROR(IF(ISNUMBER(MATCH(MOD(3-(MOD(MATCH(CALC_PlanetPositions!$B$8,{"Aries","Taurus","Gemini","Cancer","Leo","Virgo","Libra","Scorpio","Sagittarius","Capricorn","Aquarius","Pisces"},0)-MATCH(INPUT_Chart!$C$5,{"Aries","Taurus","Gemini","Cancer","Leo","Virgo","Libra","Scorpio","Sagittarius","Capricorn","Aquarius","Pisces"},0),12)+1)+12,12)+1,{2,4,6,8,10,11},0)),1,0),0)+IFERROR(IF(ISNUMBER(MATCH(MOD(3-(MOD(MATCH(CALC_PlanetPositions!$B$9,{"Aries","Taurus","Gemini","Cancer","Leo","Virgo","Libra","Scorpio","Sagittarius","Capricorn","Aquarius","Pisces"},0)-MATCH(INPUT_Chart!$C$5,{"Aries","Taurus","Gemini","Cancer","Leo","Virgo","Libra","Scorpio","Sagittarius","Capricorn","Aquarius","Pisces"},0),12)+1)+12,12)+1,{1,2,4,7,8,9,10,11},0)),1,0),0)+IFERROR(IF(ISNUMBER(MATCH(MOD(3-(MOD(MATCH(CALC_PlanetPositions!$B$10,{"Aries","Taurus","Gemini","Cancer","Leo","Virgo","Libra","Scorpio","Sagittarius","Capricorn","Aquarius","Pisces"},0)-MATCH(INPUT_Chart!$C$5,{"Aries","Taurus","Gemini","Cancer","Leo","Virgo","Libra","Scorpio","Sagittarius","Capricorn","Aquarius","Pisces"},0),12)+1)+12,12)+1,{1,3,5,6,9,10,11,12},0)),1,0),0)+IFERROR(IF(ISNUMBER(MATCH(MOD(3-(MOD(MATCH(CALC_PlanetPositions!$B$11,{"Aries","Taurus","Gemini","Cancer","Leo","Virgo","Libra","Scorpio","Sagittarius","Capricorn","Aquarius","Pisces"},0)-MATCH(INPUT_Chart!$C$5,{"Aries","Taurus","Gemini","Cancer","Leo","Virgo","Libra","Scorpio","Sagittarius","Capricorn","Aquarius","Pisces"},0),12)+1)+12,12)+1,{6,8,11,12},0)),1,0),0)+IFERROR(IF(ISNUMBER(MATCH(MOD(3-(MOD(MATCH(CALC_PlanetPositions!$B$12,{"Aries","Taurus","Gemini","Cancer","Leo","Virgo","Libra","Scorpio","Sagittarius","Capricorn","Aquarius","Pisces"},0)-MATCH(INPUT_Chart!$C$5,{"Aries","Taurus","Gemini","Cancer","Leo","Virgo","Libra","Scorpio","Sagittarius","Capricorn","Aquarius","Pisces"},0),12)+1)+12,12)+1,{1,2,3,4,5,8,9,11},0)),1,0),0)+IFERROR(IF(ISNUMBER(MATCH(MOD(3-(MOD(MATCH(CALC_PlanetPositions!$B$13,{"Aries","Taurus","Gemini","Cancer","Leo","Virgo","Libra","Scorpio","Sagittarius","Capricorn","Aquarius","Pisces"},0)-MATCH(INPUT_Chart!$C$5,{"Aries","Taurus","Gemini","Cancer","Leo","Virgo","Libra","Scorpio","Sagittarius","Capricorn","Aquarius","Pisces"},0),12)+1)+12,12)+1,{1,2,4,7,8,9,10,11},0)),1,0),0)+IFERROR(IF(ISNUMBER(MATCH(MOD(3-(MOD(MATCH(INPUT_Chart!$C$5,{"Aries","Taurus","Gemini","Cancer","Leo","Virgo","Libra","Scorpio","Sagittarius","Capricorn","Aquarius","Pisces"},0)-MATCH(INPUT_Chart!$C$5,{"Aries","Taurus","Gemini","Cancer","Leo","Virgo","Libra","Scorpio","Sagittarius","Capricorn","Aquarius","Pisces"},0),12)+1)+12,12)+1,{1,2,4,6,8,10,11},0)),1,0),0),0)</f>
        <v>4</v>
      </c>
      <c r="E9" s="833">
        <f>IFERROR(IFERROR(IF(ISNUMBER(MATCH(MOD(4-(MOD(MATCH(CALC_PlanetPositions!$B$7,{"Aries","Taurus","Gemini","Cancer","Leo","Virgo","Libra","Scorpio","Sagittarius","Capricorn","Aquarius","Pisces"},0)-MATCH(INPUT_Chart!$C$5,{"Aries","Taurus","Gemini","Cancer","Leo","Virgo","Libra","Scorpio","Sagittarius","Capricorn","Aquarius","Pisces"},0),12)+1)+12,12)+1,{5,6,9,11,12},0)),1,0),0)+IFERROR(IF(ISNUMBER(MATCH(MOD(4-(MOD(MATCH(CALC_PlanetPositions!$B$8,{"Aries","Taurus","Gemini","Cancer","Leo","Virgo","Libra","Scorpio","Sagittarius","Capricorn","Aquarius","Pisces"},0)-MATCH(INPUT_Chart!$C$5,{"Aries","Taurus","Gemini","Cancer","Leo","Virgo","Libra","Scorpio","Sagittarius","Capricorn","Aquarius","Pisces"},0),12)+1)+12,12)+1,{2,4,6,8,10,11},0)),1,0),0)+IFERROR(IF(ISNUMBER(MATCH(MOD(4-(MOD(MATCH(CALC_PlanetPositions!$B$9,{"Aries","Taurus","Gemini","Cancer","Leo","Virgo","Libra","Scorpio","Sagittarius","Capricorn","Aquarius","Pisces"},0)-MATCH(INPUT_Chart!$C$5,{"Aries","Taurus","Gemini","Cancer","Leo","Virgo","Libra","Scorpio","Sagittarius","Capricorn","Aquarius","Pisces"},0),12)+1)+12,12)+1,{1,2,4,7,8,9,10,11},0)),1,0),0)+IFERROR(IF(ISNUMBER(MATCH(MOD(4-(MOD(MATCH(CALC_PlanetPositions!$B$10,{"Aries","Taurus","Gemini","Cancer","Leo","Virgo","Libra","Scorpio","Sagittarius","Capricorn","Aquarius","Pisces"},0)-MATCH(INPUT_Chart!$C$5,{"Aries","Taurus","Gemini","Cancer","Leo","Virgo","Libra","Scorpio","Sagittarius","Capricorn","Aquarius","Pisces"},0),12)+1)+12,12)+1,{1,3,5,6,9,10,11,12},0)),1,0),0)+IFERROR(IF(ISNUMBER(MATCH(MOD(4-(MOD(MATCH(CALC_PlanetPositions!$B$11,{"Aries","Taurus","Gemini","Cancer","Leo","Virgo","Libra","Scorpio","Sagittarius","Capricorn","Aquarius","Pisces"},0)-MATCH(INPUT_Chart!$C$5,{"Aries","Taurus","Gemini","Cancer","Leo","Virgo","Libra","Scorpio","Sagittarius","Capricorn","Aquarius","Pisces"},0),12)+1)+12,12)+1,{6,8,11,12},0)),1,0),0)+IFERROR(IF(ISNUMBER(MATCH(MOD(4-(MOD(MATCH(CALC_PlanetPositions!$B$12,{"Aries","Taurus","Gemini","Cancer","Leo","Virgo","Libra","Scorpio","Sagittarius","Capricorn","Aquarius","Pisces"},0)-MATCH(INPUT_Chart!$C$5,{"Aries","Taurus","Gemini","Cancer","Leo","Virgo","Libra","Scorpio","Sagittarius","Capricorn","Aquarius","Pisces"},0),12)+1)+12,12)+1,{1,2,3,4,5,8,9,11},0)),1,0),0)+IFERROR(IF(ISNUMBER(MATCH(MOD(4-(MOD(MATCH(CALC_PlanetPositions!$B$13,{"Aries","Taurus","Gemini","Cancer","Leo","Virgo","Libra","Scorpio","Sagittarius","Capricorn","Aquarius","Pisces"},0)-MATCH(INPUT_Chart!$C$5,{"Aries","Taurus","Gemini","Cancer","Leo","Virgo","Libra","Scorpio","Sagittarius","Capricorn","Aquarius","Pisces"},0),12)+1)+12,12)+1,{1,2,4,7,8,9,10,11},0)),1,0),0)+IFERROR(IF(ISNUMBER(MATCH(MOD(4-(MOD(MATCH(INPUT_Chart!$C$5,{"Aries","Taurus","Gemini","Cancer","Leo","Virgo","Libra","Scorpio","Sagittarius","Capricorn","Aquarius","Pisces"},0)-MATCH(INPUT_Chart!$C$5,{"Aries","Taurus","Gemini","Cancer","Leo","Virgo","Libra","Scorpio","Sagittarius","Capricorn","Aquarius","Pisces"},0),12)+1)+12,12)+1,{1,2,4,6,8,10,11},0)),1,0),0),0)</f>
        <v>5</v>
      </c>
      <c r="F9" s="833">
        <f>IFERROR(IFERROR(IF(ISNUMBER(MATCH(MOD(5-(MOD(MATCH(CALC_PlanetPositions!$B$7,{"Aries","Taurus","Gemini","Cancer","Leo","Virgo","Libra","Scorpio","Sagittarius","Capricorn","Aquarius","Pisces"},0)-MATCH(INPUT_Chart!$C$5,{"Aries","Taurus","Gemini","Cancer","Leo","Virgo","Libra","Scorpio","Sagittarius","Capricorn","Aquarius","Pisces"},0),12)+1)+12,12)+1,{5,6,9,11,12},0)),1,0),0)+IFERROR(IF(ISNUMBER(MATCH(MOD(5-(MOD(MATCH(CALC_PlanetPositions!$B$8,{"Aries","Taurus","Gemini","Cancer","Leo","Virgo","Libra","Scorpio","Sagittarius","Capricorn","Aquarius","Pisces"},0)-MATCH(INPUT_Chart!$C$5,{"Aries","Taurus","Gemini","Cancer","Leo","Virgo","Libra","Scorpio","Sagittarius","Capricorn","Aquarius","Pisces"},0),12)+1)+12,12)+1,{2,4,6,8,10,11},0)),1,0),0)+IFERROR(IF(ISNUMBER(MATCH(MOD(5-(MOD(MATCH(CALC_PlanetPositions!$B$9,{"Aries","Taurus","Gemini","Cancer","Leo","Virgo","Libra","Scorpio","Sagittarius","Capricorn","Aquarius","Pisces"},0)-MATCH(INPUT_Chart!$C$5,{"Aries","Taurus","Gemini","Cancer","Leo","Virgo","Libra","Scorpio","Sagittarius","Capricorn","Aquarius","Pisces"},0),12)+1)+12,12)+1,{1,2,4,7,8,9,10,11},0)),1,0),0)+IFERROR(IF(ISNUMBER(MATCH(MOD(5-(MOD(MATCH(CALC_PlanetPositions!$B$10,{"Aries","Taurus","Gemini","Cancer","Leo","Virgo","Libra","Scorpio","Sagittarius","Capricorn","Aquarius","Pisces"},0)-MATCH(INPUT_Chart!$C$5,{"Aries","Taurus","Gemini","Cancer","Leo","Virgo","Libra","Scorpio","Sagittarius","Capricorn","Aquarius","Pisces"},0),12)+1)+12,12)+1,{1,3,5,6,9,10,11,12},0)),1,0),0)+IFERROR(IF(ISNUMBER(MATCH(MOD(5-(MOD(MATCH(CALC_PlanetPositions!$B$11,{"Aries","Taurus","Gemini","Cancer","Leo","Virgo","Libra","Scorpio","Sagittarius","Capricorn","Aquarius","Pisces"},0)-MATCH(INPUT_Chart!$C$5,{"Aries","Taurus","Gemini","Cancer","Leo","Virgo","Libra","Scorpio","Sagittarius","Capricorn","Aquarius","Pisces"},0),12)+1)+12,12)+1,{6,8,11,12},0)),1,0),0)+IFERROR(IF(ISNUMBER(MATCH(MOD(5-(MOD(MATCH(CALC_PlanetPositions!$B$12,{"Aries","Taurus","Gemini","Cancer","Leo","Virgo","Libra","Scorpio","Sagittarius","Capricorn","Aquarius","Pisces"},0)-MATCH(INPUT_Chart!$C$5,{"Aries","Taurus","Gemini","Cancer","Leo","Virgo","Libra","Scorpio","Sagittarius","Capricorn","Aquarius","Pisces"},0),12)+1)+12,12)+1,{1,2,3,4,5,8,9,11},0)),1,0),0)+IFERROR(IF(ISNUMBER(MATCH(MOD(5-(MOD(MATCH(CALC_PlanetPositions!$B$13,{"Aries","Taurus","Gemini","Cancer","Leo","Virgo","Libra","Scorpio","Sagittarius","Capricorn","Aquarius","Pisces"},0)-MATCH(INPUT_Chart!$C$5,{"Aries","Taurus","Gemini","Cancer","Leo","Virgo","Libra","Scorpio","Sagittarius","Capricorn","Aquarius","Pisces"},0),12)+1)+12,12)+1,{1,2,4,7,8,9,10,11},0)),1,0),0)+IFERROR(IF(ISNUMBER(MATCH(MOD(5-(MOD(MATCH(INPUT_Chart!$C$5,{"Aries","Taurus","Gemini","Cancer","Leo","Virgo","Libra","Scorpio","Sagittarius","Capricorn","Aquarius","Pisces"},0)-MATCH(INPUT_Chart!$C$5,{"Aries","Taurus","Gemini","Cancer","Leo","Virgo","Libra","Scorpio","Sagittarius","Capricorn","Aquarius","Pisces"},0),12)+1)+12,12)+1,{1,2,4,6,8,10,11},0)),1,0),0),0)</f>
        <v>4</v>
      </c>
      <c r="G9" s="833">
        <f>IFERROR(IFERROR(IF(ISNUMBER(MATCH(MOD(6-(MOD(MATCH(CALC_PlanetPositions!$B$7,{"Aries","Taurus","Gemini","Cancer","Leo","Virgo","Libra","Scorpio","Sagittarius","Capricorn","Aquarius","Pisces"},0)-MATCH(INPUT_Chart!$C$5,{"Aries","Taurus","Gemini","Cancer","Leo","Virgo","Libra","Scorpio","Sagittarius","Capricorn","Aquarius","Pisces"},0),12)+1)+12,12)+1,{5,6,9,11,12},0)),1,0),0)+IFERROR(IF(ISNUMBER(MATCH(MOD(6-(MOD(MATCH(CALC_PlanetPositions!$B$8,{"Aries","Taurus","Gemini","Cancer","Leo","Virgo","Libra","Scorpio","Sagittarius","Capricorn","Aquarius","Pisces"},0)-MATCH(INPUT_Chart!$C$5,{"Aries","Taurus","Gemini","Cancer","Leo","Virgo","Libra","Scorpio","Sagittarius","Capricorn","Aquarius","Pisces"},0),12)+1)+12,12)+1,{2,4,6,8,10,11},0)),1,0),0)+IFERROR(IF(ISNUMBER(MATCH(MOD(6-(MOD(MATCH(CALC_PlanetPositions!$B$9,{"Aries","Taurus","Gemini","Cancer","Leo","Virgo","Libra","Scorpio","Sagittarius","Capricorn","Aquarius","Pisces"},0)-MATCH(INPUT_Chart!$C$5,{"Aries","Taurus","Gemini","Cancer","Leo","Virgo","Libra","Scorpio","Sagittarius","Capricorn","Aquarius","Pisces"},0),12)+1)+12,12)+1,{1,2,4,7,8,9,10,11},0)),1,0),0)+IFERROR(IF(ISNUMBER(MATCH(MOD(6-(MOD(MATCH(CALC_PlanetPositions!$B$10,{"Aries","Taurus","Gemini","Cancer","Leo","Virgo","Libra","Scorpio","Sagittarius","Capricorn","Aquarius","Pisces"},0)-MATCH(INPUT_Chart!$C$5,{"Aries","Taurus","Gemini","Cancer","Leo","Virgo","Libra","Scorpio","Sagittarius","Capricorn","Aquarius","Pisces"},0),12)+1)+12,12)+1,{1,3,5,6,9,10,11,12},0)),1,0),0)+IFERROR(IF(ISNUMBER(MATCH(MOD(6-(MOD(MATCH(CALC_PlanetPositions!$B$11,{"Aries","Taurus","Gemini","Cancer","Leo","Virgo","Libra","Scorpio","Sagittarius","Capricorn","Aquarius","Pisces"},0)-MATCH(INPUT_Chart!$C$5,{"Aries","Taurus","Gemini","Cancer","Leo","Virgo","Libra","Scorpio","Sagittarius","Capricorn","Aquarius","Pisces"},0),12)+1)+12,12)+1,{6,8,11,12},0)),1,0),0)+IFERROR(IF(ISNUMBER(MATCH(MOD(6-(MOD(MATCH(CALC_PlanetPositions!$B$12,{"Aries","Taurus","Gemini","Cancer","Leo","Virgo","Libra","Scorpio","Sagittarius","Capricorn","Aquarius","Pisces"},0)-MATCH(INPUT_Chart!$C$5,{"Aries","Taurus","Gemini","Cancer","Leo","Virgo","Libra","Scorpio","Sagittarius","Capricorn","Aquarius","Pisces"},0),12)+1)+12,12)+1,{1,2,3,4,5,8,9,11},0)),1,0),0)+IFERROR(IF(ISNUMBER(MATCH(MOD(6-(MOD(MATCH(CALC_PlanetPositions!$B$13,{"Aries","Taurus","Gemini","Cancer","Leo","Virgo","Libra","Scorpio","Sagittarius","Capricorn","Aquarius","Pisces"},0)-MATCH(INPUT_Chart!$C$5,{"Aries","Taurus","Gemini","Cancer","Leo","Virgo","Libra","Scorpio","Sagittarius","Capricorn","Aquarius","Pisces"},0),12)+1)+12,12)+1,{1,2,4,7,8,9,10,11},0)),1,0),0)+IFERROR(IF(ISNUMBER(MATCH(MOD(6-(MOD(MATCH(INPUT_Chart!$C$5,{"Aries","Taurus","Gemini","Cancer","Leo","Virgo","Libra","Scorpio","Sagittarius","Capricorn","Aquarius","Pisces"},0)-MATCH(INPUT_Chart!$C$5,{"Aries","Taurus","Gemini","Cancer","Leo","Virgo","Libra","Scorpio","Sagittarius","Capricorn","Aquarius","Pisces"},0),12)+1)+12,12)+1,{1,2,4,6,8,10,11},0)),1,0),0),0)</f>
        <v>4</v>
      </c>
      <c r="H9" s="833">
        <f>IFERROR(IFERROR(IF(ISNUMBER(MATCH(MOD(7-(MOD(MATCH(CALC_PlanetPositions!$B$7,{"Aries","Taurus","Gemini","Cancer","Leo","Virgo","Libra","Scorpio","Sagittarius","Capricorn","Aquarius","Pisces"},0)-MATCH(INPUT_Chart!$C$5,{"Aries","Taurus","Gemini","Cancer","Leo","Virgo","Libra","Scorpio","Sagittarius","Capricorn","Aquarius","Pisces"},0),12)+1)+12,12)+1,{5,6,9,11,12},0)),1,0),0)+IFERROR(IF(ISNUMBER(MATCH(MOD(7-(MOD(MATCH(CALC_PlanetPositions!$B$8,{"Aries","Taurus","Gemini","Cancer","Leo","Virgo","Libra","Scorpio","Sagittarius","Capricorn","Aquarius","Pisces"},0)-MATCH(INPUT_Chart!$C$5,{"Aries","Taurus","Gemini","Cancer","Leo","Virgo","Libra","Scorpio","Sagittarius","Capricorn","Aquarius","Pisces"},0),12)+1)+12,12)+1,{2,4,6,8,10,11},0)),1,0),0)+IFERROR(IF(ISNUMBER(MATCH(MOD(7-(MOD(MATCH(CALC_PlanetPositions!$B$9,{"Aries","Taurus","Gemini","Cancer","Leo","Virgo","Libra","Scorpio","Sagittarius","Capricorn","Aquarius","Pisces"},0)-MATCH(INPUT_Chart!$C$5,{"Aries","Taurus","Gemini","Cancer","Leo","Virgo","Libra","Scorpio","Sagittarius","Capricorn","Aquarius","Pisces"},0),12)+1)+12,12)+1,{1,2,4,7,8,9,10,11},0)),1,0),0)+IFERROR(IF(ISNUMBER(MATCH(MOD(7-(MOD(MATCH(CALC_PlanetPositions!$B$10,{"Aries","Taurus","Gemini","Cancer","Leo","Virgo","Libra","Scorpio","Sagittarius","Capricorn","Aquarius","Pisces"},0)-MATCH(INPUT_Chart!$C$5,{"Aries","Taurus","Gemini","Cancer","Leo","Virgo","Libra","Scorpio","Sagittarius","Capricorn","Aquarius","Pisces"},0),12)+1)+12,12)+1,{1,3,5,6,9,10,11,12},0)),1,0),0)+IFERROR(IF(ISNUMBER(MATCH(MOD(7-(MOD(MATCH(CALC_PlanetPositions!$B$11,{"Aries","Taurus","Gemini","Cancer","Leo","Virgo","Libra","Scorpio","Sagittarius","Capricorn","Aquarius","Pisces"},0)-MATCH(INPUT_Chart!$C$5,{"Aries","Taurus","Gemini","Cancer","Leo","Virgo","Libra","Scorpio","Sagittarius","Capricorn","Aquarius","Pisces"},0),12)+1)+12,12)+1,{6,8,11,12},0)),1,0),0)+IFERROR(IF(ISNUMBER(MATCH(MOD(7-(MOD(MATCH(CALC_PlanetPositions!$B$12,{"Aries","Taurus","Gemini","Cancer","Leo","Virgo","Libra","Scorpio","Sagittarius","Capricorn","Aquarius","Pisces"},0)-MATCH(INPUT_Chart!$C$5,{"Aries","Taurus","Gemini","Cancer","Leo","Virgo","Libra","Scorpio","Sagittarius","Capricorn","Aquarius","Pisces"},0),12)+1)+12,12)+1,{1,2,3,4,5,8,9,11},0)),1,0),0)+IFERROR(IF(ISNUMBER(MATCH(MOD(7-(MOD(MATCH(CALC_PlanetPositions!$B$13,{"Aries","Taurus","Gemini","Cancer","Leo","Virgo","Libra","Scorpio","Sagittarius","Capricorn","Aquarius","Pisces"},0)-MATCH(INPUT_Chart!$C$5,{"Aries","Taurus","Gemini","Cancer","Leo","Virgo","Libra","Scorpio","Sagittarius","Capricorn","Aquarius","Pisces"},0),12)+1)+12,12)+1,{1,2,4,7,8,9,10,11},0)),1,0),0)+IFERROR(IF(ISNUMBER(MATCH(MOD(7-(MOD(MATCH(INPUT_Chart!$C$5,{"Aries","Taurus","Gemini","Cancer","Leo","Virgo","Libra","Scorpio","Sagittarius","Capricorn","Aquarius","Pisces"},0)-MATCH(INPUT_Chart!$C$5,{"Aries","Taurus","Gemini","Cancer","Leo","Virgo","Libra","Scorpio","Sagittarius","Capricorn","Aquarius","Pisces"},0),12)+1)+12,12)+1,{1,2,4,6,8,10,11},0)),1,0),0),0)</f>
        <v>3</v>
      </c>
      <c r="I9" s="833">
        <f>IFERROR(IFERROR(IF(ISNUMBER(MATCH(MOD(8-(MOD(MATCH(CALC_PlanetPositions!$B$7,{"Aries","Taurus","Gemini","Cancer","Leo","Virgo","Libra","Scorpio","Sagittarius","Capricorn","Aquarius","Pisces"},0)-MATCH(INPUT_Chart!$C$5,{"Aries","Taurus","Gemini","Cancer","Leo","Virgo","Libra","Scorpio","Sagittarius","Capricorn","Aquarius","Pisces"},0),12)+1)+12,12)+1,{5,6,9,11,12},0)),1,0),0)+IFERROR(IF(ISNUMBER(MATCH(MOD(8-(MOD(MATCH(CALC_PlanetPositions!$B$8,{"Aries","Taurus","Gemini","Cancer","Leo","Virgo","Libra","Scorpio","Sagittarius","Capricorn","Aquarius","Pisces"},0)-MATCH(INPUT_Chart!$C$5,{"Aries","Taurus","Gemini","Cancer","Leo","Virgo","Libra","Scorpio","Sagittarius","Capricorn","Aquarius","Pisces"},0),12)+1)+12,12)+1,{2,4,6,8,10,11},0)),1,0),0)+IFERROR(IF(ISNUMBER(MATCH(MOD(8-(MOD(MATCH(CALC_PlanetPositions!$B$9,{"Aries","Taurus","Gemini","Cancer","Leo","Virgo","Libra","Scorpio","Sagittarius","Capricorn","Aquarius","Pisces"},0)-MATCH(INPUT_Chart!$C$5,{"Aries","Taurus","Gemini","Cancer","Leo","Virgo","Libra","Scorpio","Sagittarius","Capricorn","Aquarius","Pisces"},0),12)+1)+12,12)+1,{1,2,4,7,8,9,10,11},0)),1,0),0)+IFERROR(IF(ISNUMBER(MATCH(MOD(8-(MOD(MATCH(CALC_PlanetPositions!$B$10,{"Aries","Taurus","Gemini","Cancer","Leo","Virgo","Libra","Scorpio","Sagittarius","Capricorn","Aquarius","Pisces"},0)-MATCH(INPUT_Chart!$C$5,{"Aries","Taurus","Gemini","Cancer","Leo","Virgo","Libra","Scorpio","Sagittarius","Capricorn","Aquarius","Pisces"},0),12)+1)+12,12)+1,{1,3,5,6,9,10,11,12},0)),1,0),0)+IFERROR(IF(ISNUMBER(MATCH(MOD(8-(MOD(MATCH(CALC_PlanetPositions!$B$11,{"Aries","Taurus","Gemini","Cancer","Leo","Virgo","Libra","Scorpio","Sagittarius","Capricorn","Aquarius","Pisces"},0)-MATCH(INPUT_Chart!$C$5,{"Aries","Taurus","Gemini","Cancer","Leo","Virgo","Libra","Scorpio","Sagittarius","Capricorn","Aquarius","Pisces"},0),12)+1)+12,12)+1,{6,8,11,12},0)),1,0),0)+IFERROR(IF(ISNUMBER(MATCH(MOD(8-(MOD(MATCH(CALC_PlanetPositions!$B$12,{"Aries","Taurus","Gemini","Cancer","Leo","Virgo","Libra","Scorpio","Sagittarius","Capricorn","Aquarius","Pisces"},0)-MATCH(INPUT_Chart!$C$5,{"Aries","Taurus","Gemini","Cancer","Leo","Virgo","Libra","Scorpio","Sagittarius","Capricorn","Aquarius","Pisces"},0),12)+1)+12,12)+1,{1,2,3,4,5,8,9,11},0)),1,0),0)+IFERROR(IF(ISNUMBER(MATCH(MOD(8-(MOD(MATCH(CALC_PlanetPositions!$B$13,{"Aries","Taurus","Gemini","Cancer","Leo","Virgo","Libra","Scorpio","Sagittarius","Capricorn","Aquarius","Pisces"},0)-MATCH(INPUT_Chart!$C$5,{"Aries","Taurus","Gemini","Cancer","Leo","Virgo","Libra","Scorpio","Sagittarius","Capricorn","Aquarius","Pisces"},0),12)+1)+12,12)+1,{1,2,4,7,8,9,10,11},0)),1,0),0)+IFERROR(IF(ISNUMBER(MATCH(MOD(8-(MOD(MATCH(INPUT_Chart!$C$5,{"Aries","Taurus","Gemini","Cancer","Leo","Virgo","Libra","Scorpio","Sagittarius","Capricorn","Aquarius","Pisces"},0)-MATCH(INPUT_Chart!$C$5,{"Aries","Taurus","Gemini","Cancer","Leo","Virgo","Libra","Scorpio","Sagittarius","Capricorn","Aquarius","Pisces"},0),12)+1)+12,12)+1,{1,2,4,6,8,10,11},0)),1,0),0),0)</f>
        <v>5</v>
      </c>
      <c r="J9" s="833">
        <f>IFERROR(IFERROR(IF(ISNUMBER(MATCH(MOD(9-(MOD(MATCH(CALC_PlanetPositions!$B$7,{"Aries","Taurus","Gemini","Cancer","Leo","Virgo","Libra","Scorpio","Sagittarius","Capricorn","Aquarius","Pisces"},0)-MATCH(INPUT_Chart!$C$5,{"Aries","Taurus","Gemini","Cancer","Leo","Virgo","Libra","Scorpio","Sagittarius","Capricorn","Aquarius","Pisces"},0),12)+1)+12,12)+1,{5,6,9,11,12},0)),1,0),0)+IFERROR(IF(ISNUMBER(MATCH(MOD(9-(MOD(MATCH(CALC_PlanetPositions!$B$8,{"Aries","Taurus","Gemini","Cancer","Leo","Virgo","Libra","Scorpio","Sagittarius","Capricorn","Aquarius","Pisces"},0)-MATCH(INPUT_Chart!$C$5,{"Aries","Taurus","Gemini","Cancer","Leo","Virgo","Libra","Scorpio","Sagittarius","Capricorn","Aquarius","Pisces"},0),12)+1)+12,12)+1,{2,4,6,8,10,11},0)),1,0),0)+IFERROR(IF(ISNUMBER(MATCH(MOD(9-(MOD(MATCH(CALC_PlanetPositions!$B$9,{"Aries","Taurus","Gemini","Cancer","Leo","Virgo","Libra","Scorpio","Sagittarius","Capricorn","Aquarius","Pisces"},0)-MATCH(INPUT_Chart!$C$5,{"Aries","Taurus","Gemini","Cancer","Leo","Virgo","Libra","Scorpio","Sagittarius","Capricorn","Aquarius","Pisces"},0),12)+1)+12,12)+1,{1,2,4,7,8,9,10,11},0)),1,0),0)+IFERROR(IF(ISNUMBER(MATCH(MOD(9-(MOD(MATCH(CALC_PlanetPositions!$B$10,{"Aries","Taurus","Gemini","Cancer","Leo","Virgo","Libra","Scorpio","Sagittarius","Capricorn","Aquarius","Pisces"},0)-MATCH(INPUT_Chart!$C$5,{"Aries","Taurus","Gemini","Cancer","Leo","Virgo","Libra","Scorpio","Sagittarius","Capricorn","Aquarius","Pisces"},0),12)+1)+12,12)+1,{1,3,5,6,9,10,11,12},0)),1,0),0)+IFERROR(IF(ISNUMBER(MATCH(MOD(9-(MOD(MATCH(CALC_PlanetPositions!$B$11,{"Aries","Taurus","Gemini","Cancer","Leo","Virgo","Libra","Scorpio","Sagittarius","Capricorn","Aquarius","Pisces"},0)-MATCH(INPUT_Chart!$C$5,{"Aries","Taurus","Gemini","Cancer","Leo","Virgo","Libra","Scorpio","Sagittarius","Capricorn","Aquarius","Pisces"},0),12)+1)+12,12)+1,{6,8,11,12},0)),1,0),0)+IFERROR(IF(ISNUMBER(MATCH(MOD(9-(MOD(MATCH(CALC_PlanetPositions!$B$12,{"Aries","Taurus","Gemini","Cancer","Leo","Virgo","Libra","Scorpio","Sagittarius","Capricorn","Aquarius","Pisces"},0)-MATCH(INPUT_Chart!$C$5,{"Aries","Taurus","Gemini","Cancer","Leo","Virgo","Libra","Scorpio","Sagittarius","Capricorn","Aquarius","Pisces"},0),12)+1)+12,12)+1,{1,2,3,4,5,8,9,11},0)),1,0),0)+IFERROR(IF(ISNUMBER(MATCH(MOD(9-(MOD(MATCH(CALC_PlanetPositions!$B$13,{"Aries","Taurus","Gemini","Cancer","Leo","Virgo","Libra","Scorpio","Sagittarius","Capricorn","Aquarius","Pisces"},0)-MATCH(INPUT_Chart!$C$5,{"Aries","Taurus","Gemini","Cancer","Leo","Virgo","Libra","Scorpio","Sagittarius","Capricorn","Aquarius","Pisces"},0),12)+1)+12,12)+1,{1,2,4,7,8,9,10,11},0)),1,0),0)+IFERROR(IF(ISNUMBER(MATCH(MOD(9-(MOD(MATCH(INPUT_Chart!$C$5,{"Aries","Taurus","Gemini","Cancer","Leo","Virgo","Libra","Scorpio","Sagittarius","Capricorn","Aquarius","Pisces"},0)-MATCH(INPUT_Chart!$C$5,{"Aries","Taurus","Gemini","Cancer","Leo","Virgo","Libra","Scorpio","Sagittarius","Capricorn","Aquarius","Pisces"},0),12)+1)+12,12)+1,{1,2,4,6,8,10,11},0)),1,0),0),0)</f>
        <v>2</v>
      </c>
      <c r="K9" s="833">
        <f>IFERROR(IFERROR(IF(ISNUMBER(MATCH(MOD(10-(MOD(MATCH(CALC_PlanetPositions!$B$7,{"Aries","Taurus","Gemini","Cancer","Leo","Virgo","Libra","Scorpio","Sagittarius","Capricorn","Aquarius","Pisces"},0)-MATCH(INPUT_Chart!$C$5,{"Aries","Taurus","Gemini","Cancer","Leo","Virgo","Libra","Scorpio","Sagittarius","Capricorn","Aquarius","Pisces"},0),12)+1)+12,12)+1,{5,6,9,11,12},0)),1,0),0)+IFERROR(IF(ISNUMBER(MATCH(MOD(10-(MOD(MATCH(CALC_PlanetPositions!$B$8,{"Aries","Taurus","Gemini","Cancer","Leo","Virgo","Libra","Scorpio","Sagittarius","Capricorn","Aquarius","Pisces"},0)-MATCH(INPUT_Chart!$C$5,{"Aries","Taurus","Gemini","Cancer","Leo","Virgo","Libra","Scorpio","Sagittarius","Capricorn","Aquarius","Pisces"},0),12)+1)+12,12)+1,{2,4,6,8,10,11},0)),1,0),0)+IFERROR(IF(ISNUMBER(MATCH(MOD(10-(MOD(MATCH(CALC_PlanetPositions!$B$9,{"Aries","Taurus","Gemini","Cancer","Leo","Virgo","Libra","Scorpio","Sagittarius","Capricorn","Aquarius","Pisces"},0)-MATCH(INPUT_Chart!$C$5,{"Aries","Taurus","Gemini","Cancer","Leo","Virgo","Libra","Scorpio","Sagittarius","Capricorn","Aquarius","Pisces"},0),12)+1)+12,12)+1,{1,2,4,7,8,9,10,11},0)),1,0),0)+IFERROR(IF(ISNUMBER(MATCH(MOD(10-(MOD(MATCH(CALC_PlanetPositions!$B$10,{"Aries","Taurus","Gemini","Cancer","Leo","Virgo","Libra","Scorpio","Sagittarius","Capricorn","Aquarius","Pisces"},0)-MATCH(INPUT_Chart!$C$5,{"Aries","Taurus","Gemini","Cancer","Leo","Virgo","Libra","Scorpio","Sagittarius","Capricorn","Aquarius","Pisces"},0),12)+1)+12,12)+1,{1,3,5,6,9,10,11,12},0)),1,0),0)+IFERROR(IF(ISNUMBER(MATCH(MOD(10-(MOD(MATCH(CALC_PlanetPositions!$B$11,{"Aries","Taurus","Gemini","Cancer","Leo","Virgo","Libra","Scorpio","Sagittarius","Capricorn","Aquarius","Pisces"},0)-MATCH(INPUT_Chart!$C$5,{"Aries","Taurus","Gemini","Cancer","Leo","Virgo","Libra","Scorpio","Sagittarius","Capricorn","Aquarius","Pisces"},0),12)+1)+12,12)+1,{6,8,11,12},0)),1,0),0)+IFERROR(IF(ISNUMBER(MATCH(MOD(10-(MOD(MATCH(CALC_PlanetPositions!$B$12,{"Aries","Taurus","Gemini","Cancer","Leo","Virgo","Libra","Scorpio","Sagittarius","Capricorn","Aquarius","Pisces"},0)-MATCH(INPUT_Chart!$C$5,{"Aries","Taurus","Gemini","Cancer","Leo","Virgo","Libra","Scorpio","Sagittarius","Capricorn","Aquarius","Pisces"},0),12)+1)+12,12)+1,{1,2,3,4,5,8,9,11},0)),1,0),0)+IFERROR(IF(ISNUMBER(MATCH(MOD(10-(MOD(MATCH(CALC_PlanetPositions!$B$13,{"Aries","Taurus","Gemini","Cancer","Leo","Virgo","Libra","Scorpio","Sagittarius","Capricorn","Aquarius","Pisces"},0)-MATCH(INPUT_Chart!$C$5,{"Aries","Taurus","Gemini","Cancer","Leo","Virgo","Libra","Scorpio","Sagittarius","Capricorn","Aquarius","Pisces"},0),12)+1)+12,12)+1,{1,2,4,7,8,9,10,11},0)),1,0),0)+IFERROR(IF(ISNUMBER(MATCH(MOD(10-(MOD(MATCH(INPUT_Chart!$C$5,{"Aries","Taurus","Gemini","Cancer","Leo","Virgo","Libra","Scorpio","Sagittarius","Capricorn","Aquarius","Pisces"},0)-MATCH(INPUT_Chart!$C$5,{"Aries","Taurus","Gemini","Cancer","Leo","Virgo","Libra","Scorpio","Sagittarius","Capricorn","Aquarius","Pisces"},0),12)+1)+12,12)+1,{1,2,4,6,8,10,11},0)),1,0),0),0)</f>
        <v>5</v>
      </c>
      <c r="L9" s="833">
        <f>IFERROR(IFERROR(IF(ISNUMBER(MATCH(MOD(11-(MOD(MATCH(CALC_PlanetPositions!$B$7,{"Aries","Taurus","Gemini","Cancer","Leo","Virgo","Libra","Scorpio","Sagittarius","Capricorn","Aquarius","Pisces"},0)-MATCH(INPUT_Chart!$C$5,{"Aries","Taurus","Gemini","Cancer","Leo","Virgo","Libra","Scorpio","Sagittarius","Capricorn","Aquarius","Pisces"},0),12)+1)+12,12)+1,{5,6,9,11,12},0)),1,0),0)+IFERROR(IF(ISNUMBER(MATCH(MOD(11-(MOD(MATCH(CALC_PlanetPositions!$B$8,{"Aries","Taurus","Gemini","Cancer","Leo","Virgo","Libra","Scorpio","Sagittarius","Capricorn","Aquarius","Pisces"},0)-MATCH(INPUT_Chart!$C$5,{"Aries","Taurus","Gemini","Cancer","Leo","Virgo","Libra","Scorpio","Sagittarius","Capricorn","Aquarius","Pisces"},0),12)+1)+12,12)+1,{2,4,6,8,10,11},0)),1,0),0)+IFERROR(IF(ISNUMBER(MATCH(MOD(11-(MOD(MATCH(CALC_PlanetPositions!$B$9,{"Aries","Taurus","Gemini","Cancer","Leo","Virgo","Libra","Scorpio","Sagittarius","Capricorn","Aquarius","Pisces"},0)-MATCH(INPUT_Chart!$C$5,{"Aries","Taurus","Gemini","Cancer","Leo","Virgo","Libra","Scorpio","Sagittarius","Capricorn","Aquarius","Pisces"},0),12)+1)+12,12)+1,{1,2,4,7,8,9,10,11},0)),1,0),0)+IFERROR(IF(ISNUMBER(MATCH(MOD(11-(MOD(MATCH(CALC_PlanetPositions!$B$10,{"Aries","Taurus","Gemini","Cancer","Leo","Virgo","Libra","Scorpio","Sagittarius","Capricorn","Aquarius","Pisces"},0)-MATCH(INPUT_Chart!$C$5,{"Aries","Taurus","Gemini","Cancer","Leo","Virgo","Libra","Scorpio","Sagittarius","Capricorn","Aquarius","Pisces"},0),12)+1)+12,12)+1,{1,3,5,6,9,10,11,12},0)),1,0),0)+IFERROR(IF(ISNUMBER(MATCH(MOD(11-(MOD(MATCH(CALC_PlanetPositions!$B$11,{"Aries","Taurus","Gemini","Cancer","Leo","Virgo","Libra","Scorpio","Sagittarius","Capricorn","Aquarius","Pisces"},0)-MATCH(INPUT_Chart!$C$5,{"Aries","Taurus","Gemini","Cancer","Leo","Virgo","Libra","Scorpio","Sagittarius","Capricorn","Aquarius","Pisces"},0),12)+1)+12,12)+1,{6,8,11,12},0)),1,0),0)+IFERROR(IF(ISNUMBER(MATCH(MOD(11-(MOD(MATCH(CALC_PlanetPositions!$B$12,{"Aries","Taurus","Gemini","Cancer","Leo","Virgo","Libra","Scorpio","Sagittarius","Capricorn","Aquarius","Pisces"},0)-MATCH(INPUT_Chart!$C$5,{"Aries","Taurus","Gemini","Cancer","Leo","Virgo","Libra","Scorpio","Sagittarius","Capricorn","Aquarius","Pisces"},0),12)+1)+12,12)+1,{1,2,3,4,5,8,9,11},0)),1,0),0)+IFERROR(IF(ISNUMBER(MATCH(MOD(11-(MOD(MATCH(CALC_PlanetPositions!$B$13,{"Aries","Taurus","Gemini","Cancer","Leo","Virgo","Libra","Scorpio","Sagittarius","Capricorn","Aquarius","Pisces"},0)-MATCH(INPUT_Chart!$C$5,{"Aries","Taurus","Gemini","Cancer","Leo","Virgo","Libra","Scorpio","Sagittarius","Capricorn","Aquarius","Pisces"},0),12)+1)+12,12)+1,{1,2,4,7,8,9,10,11},0)),1,0),0)+IFERROR(IF(ISNUMBER(MATCH(MOD(11-(MOD(MATCH(INPUT_Chart!$C$5,{"Aries","Taurus","Gemini","Cancer","Leo","Virgo","Libra","Scorpio","Sagittarius","Capricorn","Aquarius","Pisces"},0)-MATCH(INPUT_Chart!$C$5,{"Aries","Taurus","Gemini","Cancer","Leo","Virgo","Libra","Scorpio","Sagittarius","Capricorn","Aquarius","Pisces"},0),12)+1)+12,12)+1,{1,2,4,6,8,10,11},0)),1,0),0),0)</f>
        <v>7</v>
      </c>
      <c r="M9" s="833">
        <f>IFERROR(IFERROR(IF(ISNUMBER(MATCH(MOD(12-(MOD(MATCH(CALC_PlanetPositions!$B$7,{"Aries","Taurus","Gemini","Cancer","Leo","Virgo","Libra","Scorpio","Sagittarius","Capricorn","Aquarius","Pisces"},0)-MATCH(INPUT_Chart!$C$5,{"Aries","Taurus","Gemini","Cancer","Leo","Virgo","Libra","Scorpio","Sagittarius","Capricorn","Aquarius","Pisces"},0),12)+1)+12,12)+1,{5,6,9,11,12},0)),1,0),0)+IFERROR(IF(ISNUMBER(MATCH(MOD(12-(MOD(MATCH(CALC_PlanetPositions!$B$8,{"Aries","Taurus","Gemini","Cancer","Leo","Virgo","Libra","Scorpio","Sagittarius","Capricorn","Aquarius","Pisces"},0)-MATCH(INPUT_Chart!$C$5,{"Aries","Taurus","Gemini","Cancer","Leo","Virgo","Libra","Scorpio","Sagittarius","Capricorn","Aquarius","Pisces"},0),12)+1)+12,12)+1,{2,4,6,8,10,11},0)),1,0),0)+IFERROR(IF(ISNUMBER(MATCH(MOD(12-(MOD(MATCH(CALC_PlanetPositions!$B$9,{"Aries","Taurus","Gemini","Cancer","Leo","Virgo","Libra","Scorpio","Sagittarius","Capricorn","Aquarius","Pisces"},0)-MATCH(INPUT_Chart!$C$5,{"Aries","Taurus","Gemini","Cancer","Leo","Virgo","Libra","Scorpio","Sagittarius","Capricorn","Aquarius","Pisces"},0),12)+1)+12,12)+1,{1,2,4,7,8,9,10,11},0)),1,0),0)+IFERROR(IF(ISNUMBER(MATCH(MOD(12-(MOD(MATCH(CALC_PlanetPositions!$B$10,{"Aries","Taurus","Gemini","Cancer","Leo","Virgo","Libra","Scorpio","Sagittarius","Capricorn","Aquarius","Pisces"},0)-MATCH(INPUT_Chart!$C$5,{"Aries","Taurus","Gemini","Cancer","Leo","Virgo","Libra","Scorpio","Sagittarius","Capricorn","Aquarius","Pisces"},0),12)+1)+12,12)+1,{1,3,5,6,9,10,11,12},0)),1,0),0)+IFERROR(IF(ISNUMBER(MATCH(MOD(12-(MOD(MATCH(CALC_PlanetPositions!$B$11,{"Aries","Taurus","Gemini","Cancer","Leo","Virgo","Libra","Scorpio","Sagittarius","Capricorn","Aquarius","Pisces"},0)-MATCH(INPUT_Chart!$C$5,{"Aries","Taurus","Gemini","Cancer","Leo","Virgo","Libra","Scorpio","Sagittarius","Capricorn","Aquarius","Pisces"},0),12)+1)+12,12)+1,{6,8,11,12},0)),1,0),0)+IFERROR(IF(ISNUMBER(MATCH(MOD(12-(MOD(MATCH(CALC_PlanetPositions!$B$12,{"Aries","Taurus","Gemini","Cancer","Leo","Virgo","Libra","Scorpio","Sagittarius","Capricorn","Aquarius","Pisces"},0)-MATCH(INPUT_Chart!$C$5,{"Aries","Taurus","Gemini","Cancer","Leo","Virgo","Libra","Scorpio","Sagittarius","Capricorn","Aquarius","Pisces"},0),12)+1)+12,12)+1,{1,2,3,4,5,8,9,11},0)),1,0),0)+IFERROR(IF(ISNUMBER(MATCH(MOD(12-(MOD(MATCH(CALC_PlanetPositions!$B$13,{"Aries","Taurus","Gemini","Cancer","Leo","Virgo","Libra","Scorpio","Sagittarius","Capricorn","Aquarius","Pisces"},0)-MATCH(INPUT_Chart!$C$5,{"Aries","Taurus","Gemini","Cancer","Leo","Virgo","Libra","Scorpio","Sagittarius","Capricorn","Aquarius","Pisces"},0),12)+1)+12,12)+1,{1,2,4,7,8,9,10,11},0)),1,0),0)+IFERROR(IF(ISNUMBER(MATCH(MOD(12-(MOD(MATCH(INPUT_Chart!$C$5,{"Aries","Taurus","Gemini","Cancer","Leo","Virgo","Libra","Scorpio","Sagittarius","Capricorn","Aquarius","Pisces"},0)-MATCH(INPUT_Chart!$C$5,{"Aries","Taurus","Gemini","Cancer","Leo","Virgo","Libra","Scorpio","Sagittarius","Capricorn","Aquarius","Pisces"},0),12)+1)+12,12)+1,{1,2,4,6,8,10,11},0)),1,0),0),0)</f>
        <v>4</v>
      </c>
      <c r="N9" s="631">
        <f t="shared" si="0"/>
        <v>54</v>
      </c>
      <c r="O9" s="834">
        <f t="shared" si="1"/>
        <v>4.5</v>
      </c>
      <c r="P9" s="835" t="s">
        <v>3745</v>
      </c>
    </row>
    <row r="10" spans="1:17" ht="15.75" customHeight="1" x14ac:dyDescent="0.2">
      <c r="A10" s="546" t="s">
        <v>270</v>
      </c>
      <c r="B10" s="830">
        <f>IFERROR(IFERROR(IF(ISNUMBER(MATCH(MOD(1-(MOD(MATCH(CALC_PlanetPositions!$B$7,{"Aries","Taurus","Gemini","Cancer","Leo","Virgo","Libra","Scorpio","Sagittarius","Capricorn","Aquarius","Pisces"},0)-MATCH(INPUT_Chart!$C$5,{"Aries","Taurus","Gemini","Cancer","Leo","Virgo","Libra","Scorpio","Sagittarius","Capricorn","Aquarius","Pisces"},0),12)+1)+12,12)+1,{1,2,3,4,7,8,9,10,11},0)),1,0),0)+IFERROR(IF(ISNUMBER(MATCH(MOD(1-(MOD(MATCH(CALC_PlanetPositions!$B$8,{"Aries","Taurus","Gemini","Cancer","Leo","Virgo","Libra","Scorpio","Sagittarius","Capricorn","Aquarius","Pisces"},0)-MATCH(INPUT_Chart!$C$5,{"Aries","Taurus","Gemini","Cancer","Leo","Virgo","Libra","Scorpio","Sagittarius","Capricorn","Aquarius","Pisces"},0),12)+1)+12,12)+1,{2,5,7,9,11},0)),1,0),0)+IFERROR(IF(ISNUMBER(MATCH(MOD(1-(MOD(MATCH(CALC_PlanetPositions!$B$9,{"Aries","Taurus","Gemini","Cancer","Leo","Virgo","Libra","Scorpio","Sagittarius","Capricorn","Aquarius","Pisces"},0)-MATCH(INPUT_Chart!$C$5,{"Aries","Taurus","Gemini","Cancer","Leo","Virgo","Libra","Scorpio","Sagittarius","Capricorn","Aquarius","Pisces"},0),12)+1)+12,12)+1,{1,2,4,7,8,10,11},0)),1,0),0)+IFERROR(IF(ISNUMBER(MATCH(MOD(1-(MOD(MATCH(CALC_PlanetPositions!$B$10,{"Aries","Taurus","Gemini","Cancer","Leo","Virgo","Libra","Scorpio","Sagittarius","Capricorn","Aquarius","Pisces"},0)-MATCH(INPUT_Chart!$C$5,{"Aries","Taurus","Gemini","Cancer","Leo","Virgo","Libra","Scorpio","Sagittarius","Capricorn","Aquarius","Pisces"},0),12)+1)+12,12)+1,{1,2,4,5,6,9,10,11},0)),1,0),0)+IFERROR(IF(ISNUMBER(MATCH(MOD(1-(MOD(MATCH(CALC_PlanetPositions!$B$11,{"Aries","Taurus","Gemini","Cancer","Leo","Virgo","Libra","Scorpio","Sagittarius","Capricorn","Aquarius","Pisces"},0)-MATCH(INPUT_Chart!$C$5,{"Aries","Taurus","Gemini","Cancer","Leo","Virgo","Libra","Scorpio","Sagittarius","Capricorn","Aquarius","Pisces"},0),12)+1)+12,12)+1,{1,2,3,4,7,8,10,11},0)),1,0),0)+IFERROR(IF(ISNUMBER(MATCH(MOD(1-(MOD(MATCH(CALC_PlanetPositions!$B$12,{"Aries","Taurus","Gemini","Cancer","Leo","Virgo","Libra","Scorpio","Sagittarius","Capricorn","Aquarius","Pisces"},0)-MATCH(INPUT_Chart!$C$5,{"Aries","Taurus","Gemini","Cancer","Leo","Virgo","Libra","Scorpio","Sagittarius","Capricorn","Aquarius","Pisces"},0),12)+1)+12,12)+1,{2,5,6,9,10,11},0)),1,0),0)+IFERROR(IF(ISNUMBER(MATCH(MOD(1-(MOD(MATCH(CALC_PlanetPositions!$B$13,{"Aries","Taurus","Gemini","Cancer","Leo","Virgo","Libra","Scorpio","Sagittarius","Capricorn","Aquarius","Pisces"},0)-MATCH(INPUT_Chart!$C$5,{"Aries","Taurus","Gemini","Cancer","Leo","Virgo","Libra","Scorpio","Sagittarius","Capricorn","Aquarius","Pisces"},0),12)+1)+12,12)+1,{3,5,6,12},0)),1,0),0)+IFERROR(IF(ISNUMBER(MATCH(MOD(1-(MOD(MATCH(INPUT_Chart!$C$5,{"Aries","Taurus","Gemini","Cancer","Leo","Virgo","Libra","Scorpio","Sagittarius","Capricorn","Aquarius","Pisces"},0)-MATCH(INPUT_Chart!$C$5,{"Aries","Taurus","Gemini","Cancer","Leo","Virgo","Libra","Scorpio","Sagittarius","Capricorn","Aquarius","Pisces"},0),12)+1)+12,12)+1,{1,2,4,5,6,7,9,10,11},0)),1,0),0),0)</f>
        <v>6</v>
      </c>
      <c r="C10" s="830">
        <f>IFERROR(IFERROR(IF(ISNUMBER(MATCH(MOD(2-(MOD(MATCH(CALC_PlanetPositions!$B$7,{"Aries","Taurus","Gemini","Cancer","Leo","Virgo","Libra","Scorpio","Sagittarius","Capricorn","Aquarius","Pisces"},0)-MATCH(INPUT_Chart!$C$5,{"Aries","Taurus","Gemini","Cancer","Leo","Virgo","Libra","Scorpio","Sagittarius","Capricorn","Aquarius","Pisces"},0),12)+1)+12,12)+1,{1,2,3,4,7,8,9,10,11},0)),1,0),0)+IFERROR(IF(ISNUMBER(MATCH(MOD(2-(MOD(MATCH(CALC_PlanetPositions!$B$8,{"Aries","Taurus","Gemini","Cancer","Leo","Virgo","Libra","Scorpio","Sagittarius","Capricorn","Aquarius","Pisces"},0)-MATCH(INPUT_Chart!$C$5,{"Aries","Taurus","Gemini","Cancer","Leo","Virgo","Libra","Scorpio","Sagittarius","Capricorn","Aquarius","Pisces"},0),12)+1)+12,12)+1,{2,5,7,9,11},0)),1,0),0)+IFERROR(IF(ISNUMBER(MATCH(MOD(2-(MOD(MATCH(CALC_PlanetPositions!$B$9,{"Aries","Taurus","Gemini","Cancer","Leo","Virgo","Libra","Scorpio","Sagittarius","Capricorn","Aquarius","Pisces"},0)-MATCH(INPUT_Chart!$C$5,{"Aries","Taurus","Gemini","Cancer","Leo","Virgo","Libra","Scorpio","Sagittarius","Capricorn","Aquarius","Pisces"},0),12)+1)+12,12)+1,{1,2,4,7,8,10,11},0)),1,0),0)+IFERROR(IF(ISNUMBER(MATCH(MOD(2-(MOD(MATCH(CALC_PlanetPositions!$B$10,{"Aries","Taurus","Gemini","Cancer","Leo","Virgo","Libra","Scorpio","Sagittarius","Capricorn","Aquarius","Pisces"},0)-MATCH(INPUT_Chart!$C$5,{"Aries","Taurus","Gemini","Cancer","Leo","Virgo","Libra","Scorpio","Sagittarius","Capricorn","Aquarius","Pisces"},0),12)+1)+12,12)+1,{1,2,4,5,6,9,10,11},0)),1,0),0)+IFERROR(IF(ISNUMBER(MATCH(MOD(2-(MOD(MATCH(CALC_PlanetPositions!$B$11,{"Aries","Taurus","Gemini","Cancer","Leo","Virgo","Libra","Scorpio","Sagittarius","Capricorn","Aquarius","Pisces"},0)-MATCH(INPUT_Chart!$C$5,{"Aries","Taurus","Gemini","Cancer","Leo","Virgo","Libra","Scorpio","Sagittarius","Capricorn","Aquarius","Pisces"},0),12)+1)+12,12)+1,{1,2,3,4,7,8,10,11},0)),1,0),0)+IFERROR(IF(ISNUMBER(MATCH(MOD(2-(MOD(MATCH(CALC_PlanetPositions!$B$12,{"Aries","Taurus","Gemini","Cancer","Leo","Virgo","Libra","Scorpio","Sagittarius","Capricorn","Aquarius","Pisces"},0)-MATCH(INPUT_Chart!$C$5,{"Aries","Taurus","Gemini","Cancer","Leo","Virgo","Libra","Scorpio","Sagittarius","Capricorn","Aquarius","Pisces"},0),12)+1)+12,12)+1,{2,5,6,9,10,11},0)),1,0),0)+IFERROR(IF(ISNUMBER(MATCH(MOD(2-(MOD(MATCH(CALC_PlanetPositions!$B$13,{"Aries","Taurus","Gemini","Cancer","Leo","Virgo","Libra","Scorpio","Sagittarius","Capricorn","Aquarius","Pisces"},0)-MATCH(INPUT_Chart!$C$5,{"Aries","Taurus","Gemini","Cancer","Leo","Virgo","Libra","Scorpio","Sagittarius","Capricorn","Aquarius","Pisces"},0),12)+1)+12,12)+1,{3,5,6,12},0)),1,0),0)+IFERROR(IF(ISNUMBER(MATCH(MOD(2-(MOD(MATCH(INPUT_Chart!$C$5,{"Aries","Taurus","Gemini","Cancer","Leo","Virgo","Libra","Scorpio","Sagittarius","Capricorn","Aquarius","Pisces"},0)-MATCH(INPUT_Chart!$C$5,{"Aries","Taurus","Gemini","Cancer","Leo","Virgo","Libra","Scorpio","Sagittarius","Capricorn","Aquarius","Pisces"},0),12)+1)+12,12)+1,{1,2,4,5,6,7,9,10,11},0)),1,0),0),0)</f>
        <v>3</v>
      </c>
      <c r="D10" s="830">
        <f>IFERROR(IFERROR(IF(ISNUMBER(MATCH(MOD(3-(MOD(MATCH(CALC_PlanetPositions!$B$7,{"Aries","Taurus","Gemini","Cancer","Leo","Virgo","Libra","Scorpio","Sagittarius","Capricorn","Aquarius","Pisces"},0)-MATCH(INPUT_Chart!$C$5,{"Aries","Taurus","Gemini","Cancer","Leo","Virgo","Libra","Scorpio","Sagittarius","Capricorn","Aquarius","Pisces"},0),12)+1)+12,12)+1,{1,2,3,4,7,8,9,10,11},0)),1,0),0)+IFERROR(IF(ISNUMBER(MATCH(MOD(3-(MOD(MATCH(CALC_PlanetPositions!$B$8,{"Aries","Taurus","Gemini","Cancer","Leo","Virgo","Libra","Scorpio","Sagittarius","Capricorn","Aquarius","Pisces"},0)-MATCH(INPUT_Chart!$C$5,{"Aries","Taurus","Gemini","Cancer","Leo","Virgo","Libra","Scorpio","Sagittarius","Capricorn","Aquarius","Pisces"},0),12)+1)+12,12)+1,{2,5,7,9,11},0)),1,0),0)+IFERROR(IF(ISNUMBER(MATCH(MOD(3-(MOD(MATCH(CALC_PlanetPositions!$B$9,{"Aries","Taurus","Gemini","Cancer","Leo","Virgo","Libra","Scorpio","Sagittarius","Capricorn","Aquarius","Pisces"},0)-MATCH(INPUT_Chart!$C$5,{"Aries","Taurus","Gemini","Cancer","Leo","Virgo","Libra","Scorpio","Sagittarius","Capricorn","Aquarius","Pisces"},0),12)+1)+12,12)+1,{1,2,4,7,8,10,11},0)),1,0),0)+IFERROR(IF(ISNUMBER(MATCH(MOD(3-(MOD(MATCH(CALC_PlanetPositions!$B$10,{"Aries","Taurus","Gemini","Cancer","Leo","Virgo","Libra","Scorpio","Sagittarius","Capricorn","Aquarius","Pisces"},0)-MATCH(INPUT_Chart!$C$5,{"Aries","Taurus","Gemini","Cancer","Leo","Virgo","Libra","Scorpio","Sagittarius","Capricorn","Aquarius","Pisces"},0),12)+1)+12,12)+1,{1,2,4,5,6,9,10,11},0)),1,0),0)+IFERROR(IF(ISNUMBER(MATCH(MOD(3-(MOD(MATCH(CALC_PlanetPositions!$B$11,{"Aries","Taurus","Gemini","Cancer","Leo","Virgo","Libra","Scorpio","Sagittarius","Capricorn","Aquarius","Pisces"},0)-MATCH(INPUT_Chart!$C$5,{"Aries","Taurus","Gemini","Cancer","Leo","Virgo","Libra","Scorpio","Sagittarius","Capricorn","Aquarius","Pisces"},0),12)+1)+12,12)+1,{1,2,3,4,7,8,10,11},0)),1,0),0)+IFERROR(IF(ISNUMBER(MATCH(MOD(3-(MOD(MATCH(CALC_PlanetPositions!$B$12,{"Aries","Taurus","Gemini","Cancer","Leo","Virgo","Libra","Scorpio","Sagittarius","Capricorn","Aquarius","Pisces"},0)-MATCH(INPUT_Chart!$C$5,{"Aries","Taurus","Gemini","Cancer","Leo","Virgo","Libra","Scorpio","Sagittarius","Capricorn","Aquarius","Pisces"},0),12)+1)+12,12)+1,{2,5,6,9,10,11},0)),1,0),0)+IFERROR(IF(ISNUMBER(MATCH(MOD(3-(MOD(MATCH(CALC_PlanetPositions!$B$13,{"Aries","Taurus","Gemini","Cancer","Leo","Virgo","Libra","Scorpio","Sagittarius","Capricorn","Aquarius","Pisces"},0)-MATCH(INPUT_Chart!$C$5,{"Aries","Taurus","Gemini","Cancer","Leo","Virgo","Libra","Scorpio","Sagittarius","Capricorn","Aquarius","Pisces"},0),12)+1)+12,12)+1,{3,5,6,12},0)),1,0),0)+IFERROR(IF(ISNUMBER(MATCH(MOD(3-(MOD(MATCH(INPUT_Chart!$C$5,{"Aries","Taurus","Gemini","Cancer","Leo","Virgo","Libra","Scorpio","Sagittarius","Capricorn","Aquarius","Pisces"},0)-MATCH(INPUT_Chart!$C$5,{"Aries","Taurus","Gemini","Cancer","Leo","Virgo","Libra","Scorpio","Sagittarius","Capricorn","Aquarius","Pisces"},0),12)+1)+12,12)+1,{1,2,4,5,6,7,9,10,11},0)),1,0),0),0)</f>
        <v>4</v>
      </c>
      <c r="E10" s="830">
        <f>IFERROR(IFERROR(IF(ISNUMBER(MATCH(MOD(4-(MOD(MATCH(CALC_PlanetPositions!$B$7,{"Aries","Taurus","Gemini","Cancer","Leo","Virgo","Libra","Scorpio","Sagittarius","Capricorn","Aquarius","Pisces"},0)-MATCH(INPUT_Chart!$C$5,{"Aries","Taurus","Gemini","Cancer","Leo","Virgo","Libra","Scorpio","Sagittarius","Capricorn","Aquarius","Pisces"},0),12)+1)+12,12)+1,{1,2,3,4,7,8,9,10,11},0)),1,0),0)+IFERROR(IF(ISNUMBER(MATCH(MOD(4-(MOD(MATCH(CALC_PlanetPositions!$B$8,{"Aries","Taurus","Gemini","Cancer","Leo","Virgo","Libra","Scorpio","Sagittarius","Capricorn","Aquarius","Pisces"},0)-MATCH(INPUT_Chart!$C$5,{"Aries","Taurus","Gemini","Cancer","Leo","Virgo","Libra","Scorpio","Sagittarius","Capricorn","Aquarius","Pisces"},0),12)+1)+12,12)+1,{2,5,7,9,11},0)),1,0),0)+IFERROR(IF(ISNUMBER(MATCH(MOD(4-(MOD(MATCH(CALC_PlanetPositions!$B$9,{"Aries","Taurus","Gemini","Cancer","Leo","Virgo","Libra","Scorpio","Sagittarius","Capricorn","Aquarius","Pisces"},0)-MATCH(INPUT_Chart!$C$5,{"Aries","Taurus","Gemini","Cancer","Leo","Virgo","Libra","Scorpio","Sagittarius","Capricorn","Aquarius","Pisces"},0),12)+1)+12,12)+1,{1,2,4,7,8,10,11},0)),1,0),0)+IFERROR(IF(ISNUMBER(MATCH(MOD(4-(MOD(MATCH(CALC_PlanetPositions!$B$10,{"Aries","Taurus","Gemini","Cancer","Leo","Virgo","Libra","Scorpio","Sagittarius","Capricorn","Aquarius","Pisces"},0)-MATCH(INPUT_Chart!$C$5,{"Aries","Taurus","Gemini","Cancer","Leo","Virgo","Libra","Scorpio","Sagittarius","Capricorn","Aquarius","Pisces"},0),12)+1)+12,12)+1,{1,2,4,5,6,9,10,11},0)),1,0),0)+IFERROR(IF(ISNUMBER(MATCH(MOD(4-(MOD(MATCH(CALC_PlanetPositions!$B$11,{"Aries","Taurus","Gemini","Cancer","Leo","Virgo","Libra","Scorpio","Sagittarius","Capricorn","Aquarius","Pisces"},0)-MATCH(INPUT_Chart!$C$5,{"Aries","Taurus","Gemini","Cancer","Leo","Virgo","Libra","Scorpio","Sagittarius","Capricorn","Aquarius","Pisces"},0),12)+1)+12,12)+1,{1,2,3,4,7,8,10,11},0)),1,0),0)+IFERROR(IF(ISNUMBER(MATCH(MOD(4-(MOD(MATCH(CALC_PlanetPositions!$B$12,{"Aries","Taurus","Gemini","Cancer","Leo","Virgo","Libra","Scorpio","Sagittarius","Capricorn","Aquarius","Pisces"},0)-MATCH(INPUT_Chart!$C$5,{"Aries","Taurus","Gemini","Cancer","Leo","Virgo","Libra","Scorpio","Sagittarius","Capricorn","Aquarius","Pisces"},0),12)+1)+12,12)+1,{2,5,6,9,10,11},0)),1,0),0)+IFERROR(IF(ISNUMBER(MATCH(MOD(4-(MOD(MATCH(CALC_PlanetPositions!$B$13,{"Aries","Taurus","Gemini","Cancer","Leo","Virgo","Libra","Scorpio","Sagittarius","Capricorn","Aquarius","Pisces"},0)-MATCH(INPUT_Chart!$C$5,{"Aries","Taurus","Gemini","Cancer","Leo","Virgo","Libra","Scorpio","Sagittarius","Capricorn","Aquarius","Pisces"},0),12)+1)+12,12)+1,{3,5,6,12},0)),1,0),0)+IFERROR(IF(ISNUMBER(MATCH(MOD(4-(MOD(MATCH(INPUT_Chart!$C$5,{"Aries","Taurus","Gemini","Cancer","Leo","Virgo","Libra","Scorpio","Sagittarius","Capricorn","Aquarius","Pisces"},0)-MATCH(INPUT_Chart!$C$5,{"Aries","Taurus","Gemini","Cancer","Leo","Virgo","Libra","Scorpio","Sagittarius","Capricorn","Aquarius","Pisces"},0),12)+1)+12,12)+1,{1,2,4,5,6,7,9,10,11},0)),1,0),0),0)</f>
        <v>6</v>
      </c>
      <c r="F10" s="830">
        <f>IFERROR(IFERROR(IF(ISNUMBER(MATCH(MOD(5-(MOD(MATCH(CALC_PlanetPositions!$B$7,{"Aries","Taurus","Gemini","Cancer","Leo","Virgo","Libra","Scorpio","Sagittarius","Capricorn","Aquarius","Pisces"},0)-MATCH(INPUT_Chart!$C$5,{"Aries","Taurus","Gemini","Cancer","Leo","Virgo","Libra","Scorpio","Sagittarius","Capricorn","Aquarius","Pisces"},0),12)+1)+12,12)+1,{1,2,3,4,7,8,9,10,11},0)),1,0),0)+IFERROR(IF(ISNUMBER(MATCH(MOD(5-(MOD(MATCH(CALC_PlanetPositions!$B$8,{"Aries","Taurus","Gemini","Cancer","Leo","Virgo","Libra","Scorpio","Sagittarius","Capricorn","Aquarius","Pisces"},0)-MATCH(INPUT_Chart!$C$5,{"Aries","Taurus","Gemini","Cancer","Leo","Virgo","Libra","Scorpio","Sagittarius","Capricorn","Aquarius","Pisces"},0),12)+1)+12,12)+1,{2,5,7,9,11},0)),1,0),0)+IFERROR(IF(ISNUMBER(MATCH(MOD(5-(MOD(MATCH(CALC_PlanetPositions!$B$9,{"Aries","Taurus","Gemini","Cancer","Leo","Virgo","Libra","Scorpio","Sagittarius","Capricorn","Aquarius","Pisces"},0)-MATCH(INPUT_Chart!$C$5,{"Aries","Taurus","Gemini","Cancer","Leo","Virgo","Libra","Scorpio","Sagittarius","Capricorn","Aquarius","Pisces"},0),12)+1)+12,12)+1,{1,2,4,7,8,10,11},0)),1,0),0)+IFERROR(IF(ISNUMBER(MATCH(MOD(5-(MOD(MATCH(CALC_PlanetPositions!$B$10,{"Aries","Taurus","Gemini","Cancer","Leo","Virgo","Libra","Scorpio","Sagittarius","Capricorn","Aquarius","Pisces"},0)-MATCH(INPUT_Chart!$C$5,{"Aries","Taurus","Gemini","Cancer","Leo","Virgo","Libra","Scorpio","Sagittarius","Capricorn","Aquarius","Pisces"},0),12)+1)+12,12)+1,{1,2,4,5,6,9,10,11},0)),1,0),0)+IFERROR(IF(ISNUMBER(MATCH(MOD(5-(MOD(MATCH(CALC_PlanetPositions!$B$11,{"Aries","Taurus","Gemini","Cancer","Leo","Virgo","Libra","Scorpio","Sagittarius","Capricorn","Aquarius","Pisces"},0)-MATCH(INPUT_Chart!$C$5,{"Aries","Taurus","Gemini","Cancer","Leo","Virgo","Libra","Scorpio","Sagittarius","Capricorn","Aquarius","Pisces"},0),12)+1)+12,12)+1,{1,2,3,4,7,8,10,11},0)),1,0),0)+IFERROR(IF(ISNUMBER(MATCH(MOD(5-(MOD(MATCH(CALC_PlanetPositions!$B$12,{"Aries","Taurus","Gemini","Cancer","Leo","Virgo","Libra","Scorpio","Sagittarius","Capricorn","Aquarius","Pisces"},0)-MATCH(INPUT_Chart!$C$5,{"Aries","Taurus","Gemini","Cancer","Leo","Virgo","Libra","Scorpio","Sagittarius","Capricorn","Aquarius","Pisces"},0),12)+1)+12,12)+1,{2,5,6,9,10,11},0)),1,0),0)+IFERROR(IF(ISNUMBER(MATCH(MOD(5-(MOD(MATCH(CALC_PlanetPositions!$B$13,{"Aries","Taurus","Gemini","Cancer","Leo","Virgo","Libra","Scorpio","Sagittarius","Capricorn","Aquarius","Pisces"},0)-MATCH(INPUT_Chart!$C$5,{"Aries","Taurus","Gemini","Cancer","Leo","Virgo","Libra","Scorpio","Sagittarius","Capricorn","Aquarius","Pisces"},0),12)+1)+12,12)+1,{3,5,6,12},0)),1,0),0)+IFERROR(IF(ISNUMBER(MATCH(MOD(5-(MOD(MATCH(INPUT_Chart!$C$5,{"Aries","Taurus","Gemini","Cancer","Leo","Virgo","Libra","Scorpio","Sagittarius","Capricorn","Aquarius","Pisces"},0)-MATCH(INPUT_Chart!$C$5,{"Aries","Taurus","Gemini","Cancer","Leo","Virgo","Libra","Scorpio","Sagittarius","Capricorn","Aquarius","Pisces"},0),12)+1)+12,12)+1,{1,2,4,5,6,7,9,10,11},0)),1,0),0),0)</f>
        <v>4</v>
      </c>
      <c r="G10" s="830">
        <f>IFERROR(IFERROR(IF(ISNUMBER(MATCH(MOD(6-(MOD(MATCH(CALC_PlanetPositions!$B$7,{"Aries","Taurus","Gemini","Cancer","Leo","Virgo","Libra","Scorpio","Sagittarius","Capricorn","Aquarius","Pisces"},0)-MATCH(INPUT_Chart!$C$5,{"Aries","Taurus","Gemini","Cancer","Leo","Virgo","Libra","Scorpio","Sagittarius","Capricorn","Aquarius","Pisces"},0),12)+1)+12,12)+1,{1,2,3,4,7,8,9,10,11},0)),1,0),0)+IFERROR(IF(ISNUMBER(MATCH(MOD(6-(MOD(MATCH(CALC_PlanetPositions!$B$8,{"Aries","Taurus","Gemini","Cancer","Leo","Virgo","Libra","Scorpio","Sagittarius","Capricorn","Aquarius","Pisces"},0)-MATCH(INPUT_Chart!$C$5,{"Aries","Taurus","Gemini","Cancer","Leo","Virgo","Libra","Scorpio","Sagittarius","Capricorn","Aquarius","Pisces"},0),12)+1)+12,12)+1,{2,5,7,9,11},0)),1,0),0)+IFERROR(IF(ISNUMBER(MATCH(MOD(6-(MOD(MATCH(CALC_PlanetPositions!$B$9,{"Aries","Taurus","Gemini","Cancer","Leo","Virgo","Libra","Scorpio","Sagittarius","Capricorn","Aquarius","Pisces"},0)-MATCH(INPUT_Chart!$C$5,{"Aries","Taurus","Gemini","Cancer","Leo","Virgo","Libra","Scorpio","Sagittarius","Capricorn","Aquarius","Pisces"},0),12)+1)+12,12)+1,{1,2,4,7,8,10,11},0)),1,0),0)+IFERROR(IF(ISNUMBER(MATCH(MOD(6-(MOD(MATCH(CALC_PlanetPositions!$B$10,{"Aries","Taurus","Gemini","Cancer","Leo","Virgo","Libra","Scorpio","Sagittarius","Capricorn","Aquarius","Pisces"},0)-MATCH(INPUT_Chart!$C$5,{"Aries","Taurus","Gemini","Cancer","Leo","Virgo","Libra","Scorpio","Sagittarius","Capricorn","Aquarius","Pisces"},0),12)+1)+12,12)+1,{1,2,4,5,6,9,10,11},0)),1,0),0)+IFERROR(IF(ISNUMBER(MATCH(MOD(6-(MOD(MATCH(CALC_PlanetPositions!$B$11,{"Aries","Taurus","Gemini","Cancer","Leo","Virgo","Libra","Scorpio","Sagittarius","Capricorn","Aquarius","Pisces"},0)-MATCH(INPUT_Chart!$C$5,{"Aries","Taurus","Gemini","Cancer","Leo","Virgo","Libra","Scorpio","Sagittarius","Capricorn","Aquarius","Pisces"},0),12)+1)+12,12)+1,{1,2,3,4,7,8,10,11},0)),1,0),0)+IFERROR(IF(ISNUMBER(MATCH(MOD(6-(MOD(MATCH(CALC_PlanetPositions!$B$12,{"Aries","Taurus","Gemini","Cancer","Leo","Virgo","Libra","Scorpio","Sagittarius","Capricorn","Aquarius","Pisces"},0)-MATCH(INPUT_Chart!$C$5,{"Aries","Taurus","Gemini","Cancer","Leo","Virgo","Libra","Scorpio","Sagittarius","Capricorn","Aquarius","Pisces"},0),12)+1)+12,12)+1,{2,5,6,9,10,11},0)),1,0),0)+IFERROR(IF(ISNUMBER(MATCH(MOD(6-(MOD(MATCH(CALC_PlanetPositions!$B$13,{"Aries","Taurus","Gemini","Cancer","Leo","Virgo","Libra","Scorpio","Sagittarius","Capricorn","Aquarius","Pisces"},0)-MATCH(INPUT_Chart!$C$5,{"Aries","Taurus","Gemini","Cancer","Leo","Virgo","Libra","Scorpio","Sagittarius","Capricorn","Aquarius","Pisces"},0),12)+1)+12,12)+1,{3,5,6,12},0)),1,0),0)+IFERROR(IF(ISNUMBER(MATCH(MOD(6-(MOD(MATCH(INPUT_Chart!$C$5,{"Aries","Taurus","Gemini","Cancer","Leo","Virgo","Libra","Scorpio","Sagittarius","Capricorn","Aquarius","Pisces"},0)-MATCH(INPUT_Chart!$C$5,{"Aries","Taurus","Gemini","Cancer","Leo","Virgo","Libra","Scorpio","Sagittarius","Capricorn","Aquarius","Pisces"},0),12)+1)+12,12)+1,{1,2,4,5,6,7,9,10,11},0)),1,0),0),0)</f>
        <v>4</v>
      </c>
      <c r="H10" s="830">
        <f>IFERROR(IFERROR(IF(ISNUMBER(MATCH(MOD(7-(MOD(MATCH(CALC_PlanetPositions!$B$7,{"Aries","Taurus","Gemini","Cancer","Leo","Virgo","Libra","Scorpio","Sagittarius","Capricorn","Aquarius","Pisces"},0)-MATCH(INPUT_Chart!$C$5,{"Aries","Taurus","Gemini","Cancer","Leo","Virgo","Libra","Scorpio","Sagittarius","Capricorn","Aquarius","Pisces"},0),12)+1)+12,12)+1,{1,2,3,4,7,8,9,10,11},0)),1,0),0)+IFERROR(IF(ISNUMBER(MATCH(MOD(7-(MOD(MATCH(CALC_PlanetPositions!$B$8,{"Aries","Taurus","Gemini","Cancer","Leo","Virgo","Libra","Scorpio","Sagittarius","Capricorn","Aquarius","Pisces"},0)-MATCH(INPUT_Chart!$C$5,{"Aries","Taurus","Gemini","Cancer","Leo","Virgo","Libra","Scorpio","Sagittarius","Capricorn","Aquarius","Pisces"},0),12)+1)+12,12)+1,{2,5,7,9,11},0)),1,0),0)+IFERROR(IF(ISNUMBER(MATCH(MOD(7-(MOD(MATCH(CALC_PlanetPositions!$B$9,{"Aries","Taurus","Gemini","Cancer","Leo","Virgo","Libra","Scorpio","Sagittarius","Capricorn","Aquarius","Pisces"},0)-MATCH(INPUT_Chart!$C$5,{"Aries","Taurus","Gemini","Cancer","Leo","Virgo","Libra","Scorpio","Sagittarius","Capricorn","Aquarius","Pisces"},0),12)+1)+12,12)+1,{1,2,4,7,8,10,11},0)),1,0),0)+IFERROR(IF(ISNUMBER(MATCH(MOD(7-(MOD(MATCH(CALC_PlanetPositions!$B$10,{"Aries","Taurus","Gemini","Cancer","Leo","Virgo","Libra","Scorpio","Sagittarius","Capricorn","Aquarius","Pisces"},0)-MATCH(INPUT_Chart!$C$5,{"Aries","Taurus","Gemini","Cancer","Leo","Virgo","Libra","Scorpio","Sagittarius","Capricorn","Aquarius","Pisces"},0),12)+1)+12,12)+1,{1,2,4,5,6,9,10,11},0)),1,0),0)+IFERROR(IF(ISNUMBER(MATCH(MOD(7-(MOD(MATCH(CALC_PlanetPositions!$B$11,{"Aries","Taurus","Gemini","Cancer","Leo","Virgo","Libra","Scorpio","Sagittarius","Capricorn","Aquarius","Pisces"},0)-MATCH(INPUT_Chart!$C$5,{"Aries","Taurus","Gemini","Cancer","Leo","Virgo","Libra","Scorpio","Sagittarius","Capricorn","Aquarius","Pisces"},0),12)+1)+12,12)+1,{1,2,3,4,7,8,10,11},0)),1,0),0)+IFERROR(IF(ISNUMBER(MATCH(MOD(7-(MOD(MATCH(CALC_PlanetPositions!$B$12,{"Aries","Taurus","Gemini","Cancer","Leo","Virgo","Libra","Scorpio","Sagittarius","Capricorn","Aquarius","Pisces"},0)-MATCH(INPUT_Chart!$C$5,{"Aries","Taurus","Gemini","Cancer","Leo","Virgo","Libra","Scorpio","Sagittarius","Capricorn","Aquarius","Pisces"},0),12)+1)+12,12)+1,{2,5,6,9,10,11},0)),1,0),0)+IFERROR(IF(ISNUMBER(MATCH(MOD(7-(MOD(MATCH(CALC_PlanetPositions!$B$13,{"Aries","Taurus","Gemini","Cancer","Leo","Virgo","Libra","Scorpio","Sagittarius","Capricorn","Aquarius","Pisces"},0)-MATCH(INPUT_Chart!$C$5,{"Aries","Taurus","Gemini","Cancer","Leo","Virgo","Libra","Scorpio","Sagittarius","Capricorn","Aquarius","Pisces"},0),12)+1)+12,12)+1,{3,5,6,12},0)),1,0),0)+IFERROR(IF(ISNUMBER(MATCH(MOD(7-(MOD(MATCH(INPUT_Chart!$C$5,{"Aries","Taurus","Gemini","Cancer","Leo","Virgo","Libra","Scorpio","Sagittarius","Capricorn","Aquarius","Pisces"},0)-MATCH(INPUT_Chart!$C$5,{"Aries","Taurus","Gemini","Cancer","Leo","Virgo","Libra","Scorpio","Sagittarius","Capricorn","Aquarius","Pisces"},0),12)+1)+12,12)+1,{1,2,4,5,6,7,9,10,11},0)),1,0),0),0)</f>
        <v>6</v>
      </c>
      <c r="I10" s="830">
        <f>IFERROR(IFERROR(IF(ISNUMBER(MATCH(MOD(8-(MOD(MATCH(CALC_PlanetPositions!$B$7,{"Aries","Taurus","Gemini","Cancer","Leo","Virgo","Libra","Scorpio","Sagittarius","Capricorn","Aquarius","Pisces"},0)-MATCH(INPUT_Chart!$C$5,{"Aries","Taurus","Gemini","Cancer","Leo","Virgo","Libra","Scorpio","Sagittarius","Capricorn","Aquarius","Pisces"},0),12)+1)+12,12)+1,{1,2,3,4,7,8,9,10,11},0)),1,0),0)+IFERROR(IF(ISNUMBER(MATCH(MOD(8-(MOD(MATCH(CALC_PlanetPositions!$B$8,{"Aries","Taurus","Gemini","Cancer","Leo","Virgo","Libra","Scorpio","Sagittarius","Capricorn","Aquarius","Pisces"},0)-MATCH(INPUT_Chart!$C$5,{"Aries","Taurus","Gemini","Cancer","Leo","Virgo","Libra","Scorpio","Sagittarius","Capricorn","Aquarius","Pisces"},0),12)+1)+12,12)+1,{2,5,7,9,11},0)),1,0),0)+IFERROR(IF(ISNUMBER(MATCH(MOD(8-(MOD(MATCH(CALC_PlanetPositions!$B$9,{"Aries","Taurus","Gemini","Cancer","Leo","Virgo","Libra","Scorpio","Sagittarius","Capricorn","Aquarius","Pisces"},0)-MATCH(INPUT_Chart!$C$5,{"Aries","Taurus","Gemini","Cancer","Leo","Virgo","Libra","Scorpio","Sagittarius","Capricorn","Aquarius","Pisces"},0),12)+1)+12,12)+1,{1,2,4,7,8,10,11},0)),1,0),0)+IFERROR(IF(ISNUMBER(MATCH(MOD(8-(MOD(MATCH(CALC_PlanetPositions!$B$10,{"Aries","Taurus","Gemini","Cancer","Leo","Virgo","Libra","Scorpio","Sagittarius","Capricorn","Aquarius","Pisces"},0)-MATCH(INPUT_Chart!$C$5,{"Aries","Taurus","Gemini","Cancer","Leo","Virgo","Libra","Scorpio","Sagittarius","Capricorn","Aquarius","Pisces"},0),12)+1)+12,12)+1,{1,2,4,5,6,9,10,11},0)),1,0),0)+IFERROR(IF(ISNUMBER(MATCH(MOD(8-(MOD(MATCH(CALC_PlanetPositions!$B$11,{"Aries","Taurus","Gemini","Cancer","Leo","Virgo","Libra","Scorpio","Sagittarius","Capricorn","Aquarius","Pisces"},0)-MATCH(INPUT_Chart!$C$5,{"Aries","Taurus","Gemini","Cancer","Leo","Virgo","Libra","Scorpio","Sagittarius","Capricorn","Aquarius","Pisces"},0),12)+1)+12,12)+1,{1,2,3,4,7,8,10,11},0)),1,0),0)+IFERROR(IF(ISNUMBER(MATCH(MOD(8-(MOD(MATCH(CALC_PlanetPositions!$B$12,{"Aries","Taurus","Gemini","Cancer","Leo","Virgo","Libra","Scorpio","Sagittarius","Capricorn","Aquarius","Pisces"},0)-MATCH(INPUT_Chart!$C$5,{"Aries","Taurus","Gemini","Cancer","Leo","Virgo","Libra","Scorpio","Sagittarius","Capricorn","Aquarius","Pisces"},0),12)+1)+12,12)+1,{2,5,6,9,10,11},0)),1,0),0)+IFERROR(IF(ISNUMBER(MATCH(MOD(8-(MOD(MATCH(CALC_PlanetPositions!$B$13,{"Aries","Taurus","Gemini","Cancer","Leo","Virgo","Libra","Scorpio","Sagittarius","Capricorn","Aquarius","Pisces"},0)-MATCH(INPUT_Chart!$C$5,{"Aries","Taurus","Gemini","Cancer","Leo","Virgo","Libra","Scorpio","Sagittarius","Capricorn","Aquarius","Pisces"},0),12)+1)+12,12)+1,{3,5,6,12},0)),1,0),0)+IFERROR(IF(ISNUMBER(MATCH(MOD(8-(MOD(MATCH(INPUT_Chart!$C$5,{"Aries","Taurus","Gemini","Cancer","Leo","Virgo","Libra","Scorpio","Sagittarius","Capricorn","Aquarius","Pisces"},0)-MATCH(INPUT_Chart!$C$5,{"Aries","Taurus","Gemini","Cancer","Leo","Virgo","Libra","Scorpio","Sagittarius","Capricorn","Aquarius","Pisces"},0),12)+1)+12,12)+1,{1,2,4,5,6,7,9,10,11},0)),1,0),0),0)</f>
        <v>5</v>
      </c>
      <c r="J10" s="830">
        <f>IFERROR(IFERROR(IF(ISNUMBER(MATCH(MOD(9-(MOD(MATCH(CALC_PlanetPositions!$B$7,{"Aries","Taurus","Gemini","Cancer","Leo","Virgo","Libra","Scorpio","Sagittarius","Capricorn","Aquarius","Pisces"},0)-MATCH(INPUT_Chart!$C$5,{"Aries","Taurus","Gemini","Cancer","Leo","Virgo","Libra","Scorpio","Sagittarius","Capricorn","Aquarius","Pisces"},0),12)+1)+12,12)+1,{1,2,3,4,7,8,9,10,11},0)),1,0),0)+IFERROR(IF(ISNUMBER(MATCH(MOD(9-(MOD(MATCH(CALC_PlanetPositions!$B$8,{"Aries","Taurus","Gemini","Cancer","Leo","Virgo","Libra","Scorpio","Sagittarius","Capricorn","Aquarius","Pisces"},0)-MATCH(INPUT_Chart!$C$5,{"Aries","Taurus","Gemini","Cancer","Leo","Virgo","Libra","Scorpio","Sagittarius","Capricorn","Aquarius","Pisces"},0),12)+1)+12,12)+1,{2,5,7,9,11},0)),1,0),0)+IFERROR(IF(ISNUMBER(MATCH(MOD(9-(MOD(MATCH(CALC_PlanetPositions!$B$9,{"Aries","Taurus","Gemini","Cancer","Leo","Virgo","Libra","Scorpio","Sagittarius","Capricorn","Aquarius","Pisces"},0)-MATCH(INPUT_Chart!$C$5,{"Aries","Taurus","Gemini","Cancer","Leo","Virgo","Libra","Scorpio","Sagittarius","Capricorn","Aquarius","Pisces"},0),12)+1)+12,12)+1,{1,2,4,7,8,10,11},0)),1,0),0)+IFERROR(IF(ISNUMBER(MATCH(MOD(9-(MOD(MATCH(CALC_PlanetPositions!$B$10,{"Aries","Taurus","Gemini","Cancer","Leo","Virgo","Libra","Scorpio","Sagittarius","Capricorn","Aquarius","Pisces"},0)-MATCH(INPUT_Chart!$C$5,{"Aries","Taurus","Gemini","Cancer","Leo","Virgo","Libra","Scorpio","Sagittarius","Capricorn","Aquarius","Pisces"},0),12)+1)+12,12)+1,{1,2,4,5,6,9,10,11},0)),1,0),0)+IFERROR(IF(ISNUMBER(MATCH(MOD(9-(MOD(MATCH(CALC_PlanetPositions!$B$11,{"Aries","Taurus","Gemini","Cancer","Leo","Virgo","Libra","Scorpio","Sagittarius","Capricorn","Aquarius","Pisces"},0)-MATCH(INPUT_Chart!$C$5,{"Aries","Taurus","Gemini","Cancer","Leo","Virgo","Libra","Scorpio","Sagittarius","Capricorn","Aquarius","Pisces"},0),12)+1)+12,12)+1,{1,2,3,4,7,8,10,11},0)),1,0),0)+IFERROR(IF(ISNUMBER(MATCH(MOD(9-(MOD(MATCH(CALC_PlanetPositions!$B$12,{"Aries","Taurus","Gemini","Cancer","Leo","Virgo","Libra","Scorpio","Sagittarius","Capricorn","Aquarius","Pisces"},0)-MATCH(INPUT_Chart!$C$5,{"Aries","Taurus","Gemini","Cancer","Leo","Virgo","Libra","Scorpio","Sagittarius","Capricorn","Aquarius","Pisces"},0),12)+1)+12,12)+1,{2,5,6,9,10,11},0)),1,0),0)+IFERROR(IF(ISNUMBER(MATCH(MOD(9-(MOD(MATCH(CALC_PlanetPositions!$B$13,{"Aries","Taurus","Gemini","Cancer","Leo","Virgo","Libra","Scorpio","Sagittarius","Capricorn","Aquarius","Pisces"},0)-MATCH(INPUT_Chart!$C$5,{"Aries","Taurus","Gemini","Cancer","Leo","Virgo","Libra","Scorpio","Sagittarius","Capricorn","Aquarius","Pisces"},0),12)+1)+12,12)+1,{3,5,6,12},0)),1,0),0)+IFERROR(IF(ISNUMBER(MATCH(MOD(9-(MOD(MATCH(INPUT_Chart!$C$5,{"Aries","Taurus","Gemini","Cancer","Leo","Virgo","Libra","Scorpio","Sagittarius","Capricorn","Aquarius","Pisces"},0)-MATCH(INPUT_Chart!$C$5,{"Aries","Taurus","Gemini","Cancer","Leo","Virgo","Libra","Scorpio","Sagittarius","Capricorn","Aquarius","Pisces"},0),12)+1)+12,12)+1,{1,2,4,5,6,7,9,10,11},0)),1,0),0),0)</f>
        <v>5</v>
      </c>
      <c r="K10" s="830">
        <f>IFERROR(IFERROR(IF(ISNUMBER(MATCH(MOD(10-(MOD(MATCH(CALC_PlanetPositions!$B$7,{"Aries","Taurus","Gemini","Cancer","Leo","Virgo","Libra","Scorpio","Sagittarius","Capricorn","Aquarius","Pisces"},0)-MATCH(INPUT_Chart!$C$5,{"Aries","Taurus","Gemini","Cancer","Leo","Virgo","Libra","Scorpio","Sagittarius","Capricorn","Aquarius","Pisces"},0),12)+1)+12,12)+1,{1,2,3,4,7,8,9,10,11},0)),1,0),0)+IFERROR(IF(ISNUMBER(MATCH(MOD(10-(MOD(MATCH(CALC_PlanetPositions!$B$8,{"Aries","Taurus","Gemini","Cancer","Leo","Virgo","Libra","Scorpio","Sagittarius","Capricorn","Aquarius","Pisces"},0)-MATCH(INPUT_Chart!$C$5,{"Aries","Taurus","Gemini","Cancer","Leo","Virgo","Libra","Scorpio","Sagittarius","Capricorn","Aquarius","Pisces"},0),12)+1)+12,12)+1,{2,5,7,9,11},0)),1,0),0)+IFERROR(IF(ISNUMBER(MATCH(MOD(10-(MOD(MATCH(CALC_PlanetPositions!$B$9,{"Aries","Taurus","Gemini","Cancer","Leo","Virgo","Libra","Scorpio","Sagittarius","Capricorn","Aquarius","Pisces"},0)-MATCH(INPUT_Chart!$C$5,{"Aries","Taurus","Gemini","Cancer","Leo","Virgo","Libra","Scorpio","Sagittarius","Capricorn","Aquarius","Pisces"},0),12)+1)+12,12)+1,{1,2,4,7,8,10,11},0)),1,0),0)+IFERROR(IF(ISNUMBER(MATCH(MOD(10-(MOD(MATCH(CALC_PlanetPositions!$B$10,{"Aries","Taurus","Gemini","Cancer","Leo","Virgo","Libra","Scorpio","Sagittarius","Capricorn","Aquarius","Pisces"},0)-MATCH(INPUT_Chart!$C$5,{"Aries","Taurus","Gemini","Cancer","Leo","Virgo","Libra","Scorpio","Sagittarius","Capricorn","Aquarius","Pisces"},0),12)+1)+12,12)+1,{1,2,4,5,6,9,10,11},0)),1,0),0)+IFERROR(IF(ISNUMBER(MATCH(MOD(10-(MOD(MATCH(CALC_PlanetPositions!$B$11,{"Aries","Taurus","Gemini","Cancer","Leo","Virgo","Libra","Scorpio","Sagittarius","Capricorn","Aquarius","Pisces"},0)-MATCH(INPUT_Chart!$C$5,{"Aries","Taurus","Gemini","Cancer","Leo","Virgo","Libra","Scorpio","Sagittarius","Capricorn","Aquarius","Pisces"},0),12)+1)+12,12)+1,{1,2,3,4,7,8,10,11},0)),1,0),0)+IFERROR(IF(ISNUMBER(MATCH(MOD(10-(MOD(MATCH(CALC_PlanetPositions!$B$12,{"Aries","Taurus","Gemini","Cancer","Leo","Virgo","Libra","Scorpio","Sagittarius","Capricorn","Aquarius","Pisces"},0)-MATCH(INPUT_Chart!$C$5,{"Aries","Taurus","Gemini","Cancer","Leo","Virgo","Libra","Scorpio","Sagittarius","Capricorn","Aquarius","Pisces"},0),12)+1)+12,12)+1,{2,5,6,9,10,11},0)),1,0),0)+IFERROR(IF(ISNUMBER(MATCH(MOD(10-(MOD(MATCH(CALC_PlanetPositions!$B$13,{"Aries","Taurus","Gemini","Cancer","Leo","Virgo","Libra","Scorpio","Sagittarius","Capricorn","Aquarius","Pisces"},0)-MATCH(INPUT_Chart!$C$5,{"Aries","Taurus","Gemini","Cancer","Leo","Virgo","Libra","Scorpio","Sagittarius","Capricorn","Aquarius","Pisces"},0),12)+1)+12,12)+1,{3,5,6,12},0)),1,0),0)+IFERROR(IF(ISNUMBER(MATCH(MOD(10-(MOD(MATCH(INPUT_Chart!$C$5,{"Aries","Taurus","Gemini","Cancer","Leo","Virgo","Libra","Scorpio","Sagittarius","Capricorn","Aquarius","Pisces"},0)-MATCH(INPUT_Chart!$C$5,{"Aries","Taurus","Gemini","Cancer","Leo","Virgo","Libra","Scorpio","Sagittarius","Capricorn","Aquarius","Pisces"},0),12)+1)+12,12)+1,{1,2,4,5,6,7,9,10,11},0)),1,0),0),0)</f>
        <v>2</v>
      </c>
      <c r="L10" s="830">
        <f>IFERROR(IFERROR(IF(ISNUMBER(MATCH(MOD(11-(MOD(MATCH(CALC_PlanetPositions!$B$7,{"Aries","Taurus","Gemini","Cancer","Leo","Virgo","Libra","Scorpio","Sagittarius","Capricorn","Aquarius","Pisces"},0)-MATCH(INPUT_Chart!$C$5,{"Aries","Taurus","Gemini","Cancer","Leo","Virgo","Libra","Scorpio","Sagittarius","Capricorn","Aquarius","Pisces"},0),12)+1)+12,12)+1,{1,2,3,4,7,8,9,10,11},0)),1,0),0)+IFERROR(IF(ISNUMBER(MATCH(MOD(11-(MOD(MATCH(CALC_PlanetPositions!$B$8,{"Aries","Taurus","Gemini","Cancer","Leo","Virgo","Libra","Scorpio","Sagittarius","Capricorn","Aquarius","Pisces"},0)-MATCH(INPUT_Chart!$C$5,{"Aries","Taurus","Gemini","Cancer","Leo","Virgo","Libra","Scorpio","Sagittarius","Capricorn","Aquarius","Pisces"},0),12)+1)+12,12)+1,{2,5,7,9,11},0)),1,0),0)+IFERROR(IF(ISNUMBER(MATCH(MOD(11-(MOD(MATCH(CALC_PlanetPositions!$B$9,{"Aries","Taurus","Gemini","Cancer","Leo","Virgo","Libra","Scorpio","Sagittarius","Capricorn","Aquarius","Pisces"},0)-MATCH(INPUT_Chart!$C$5,{"Aries","Taurus","Gemini","Cancer","Leo","Virgo","Libra","Scorpio","Sagittarius","Capricorn","Aquarius","Pisces"},0),12)+1)+12,12)+1,{1,2,4,7,8,10,11},0)),1,0),0)+IFERROR(IF(ISNUMBER(MATCH(MOD(11-(MOD(MATCH(CALC_PlanetPositions!$B$10,{"Aries","Taurus","Gemini","Cancer","Leo","Virgo","Libra","Scorpio","Sagittarius","Capricorn","Aquarius","Pisces"},0)-MATCH(INPUT_Chart!$C$5,{"Aries","Taurus","Gemini","Cancer","Leo","Virgo","Libra","Scorpio","Sagittarius","Capricorn","Aquarius","Pisces"},0),12)+1)+12,12)+1,{1,2,4,5,6,9,10,11},0)),1,0),0)+IFERROR(IF(ISNUMBER(MATCH(MOD(11-(MOD(MATCH(CALC_PlanetPositions!$B$11,{"Aries","Taurus","Gemini","Cancer","Leo","Virgo","Libra","Scorpio","Sagittarius","Capricorn","Aquarius","Pisces"},0)-MATCH(INPUT_Chart!$C$5,{"Aries","Taurus","Gemini","Cancer","Leo","Virgo","Libra","Scorpio","Sagittarius","Capricorn","Aquarius","Pisces"},0),12)+1)+12,12)+1,{1,2,3,4,7,8,10,11},0)),1,0),0)+IFERROR(IF(ISNUMBER(MATCH(MOD(11-(MOD(MATCH(CALC_PlanetPositions!$B$12,{"Aries","Taurus","Gemini","Cancer","Leo","Virgo","Libra","Scorpio","Sagittarius","Capricorn","Aquarius","Pisces"},0)-MATCH(INPUT_Chart!$C$5,{"Aries","Taurus","Gemini","Cancer","Leo","Virgo","Libra","Scorpio","Sagittarius","Capricorn","Aquarius","Pisces"},0),12)+1)+12,12)+1,{2,5,6,9,10,11},0)),1,0),0)+IFERROR(IF(ISNUMBER(MATCH(MOD(11-(MOD(MATCH(CALC_PlanetPositions!$B$13,{"Aries","Taurus","Gemini","Cancer","Leo","Virgo","Libra","Scorpio","Sagittarius","Capricorn","Aquarius","Pisces"},0)-MATCH(INPUT_Chart!$C$5,{"Aries","Taurus","Gemini","Cancer","Leo","Virgo","Libra","Scorpio","Sagittarius","Capricorn","Aquarius","Pisces"},0),12)+1)+12,12)+1,{3,5,6,12},0)),1,0),0)+IFERROR(IF(ISNUMBER(MATCH(MOD(11-(MOD(MATCH(INPUT_Chart!$C$5,{"Aries","Taurus","Gemini","Cancer","Leo","Virgo","Libra","Scorpio","Sagittarius","Capricorn","Aquarius","Pisces"},0)-MATCH(INPUT_Chart!$C$5,{"Aries","Taurus","Gemini","Cancer","Leo","Virgo","Libra","Scorpio","Sagittarius","Capricorn","Aquarius","Pisces"},0),12)+1)+12,12)+1,{1,2,4,5,6,7,9,10,11},0)),1,0),0),0)</f>
        <v>6</v>
      </c>
      <c r="M10" s="830">
        <f>IFERROR(IFERROR(IF(ISNUMBER(MATCH(MOD(12-(MOD(MATCH(CALC_PlanetPositions!$B$7,{"Aries","Taurus","Gemini","Cancer","Leo","Virgo","Libra","Scorpio","Sagittarius","Capricorn","Aquarius","Pisces"},0)-MATCH(INPUT_Chart!$C$5,{"Aries","Taurus","Gemini","Cancer","Leo","Virgo","Libra","Scorpio","Sagittarius","Capricorn","Aquarius","Pisces"},0),12)+1)+12,12)+1,{1,2,3,4,7,8,9,10,11},0)),1,0),0)+IFERROR(IF(ISNUMBER(MATCH(MOD(12-(MOD(MATCH(CALC_PlanetPositions!$B$8,{"Aries","Taurus","Gemini","Cancer","Leo","Virgo","Libra","Scorpio","Sagittarius","Capricorn","Aquarius","Pisces"},0)-MATCH(INPUT_Chart!$C$5,{"Aries","Taurus","Gemini","Cancer","Leo","Virgo","Libra","Scorpio","Sagittarius","Capricorn","Aquarius","Pisces"},0),12)+1)+12,12)+1,{2,5,7,9,11},0)),1,0),0)+IFERROR(IF(ISNUMBER(MATCH(MOD(12-(MOD(MATCH(CALC_PlanetPositions!$B$9,{"Aries","Taurus","Gemini","Cancer","Leo","Virgo","Libra","Scorpio","Sagittarius","Capricorn","Aquarius","Pisces"},0)-MATCH(INPUT_Chart!$C$5,{"Aries","Taurus","Gemini","Cancer","Leo","Virgo","Libra","Scorpio","Sagittarius","Capricorn","Aquarius","Pisces"},0),12)+1)+12,12)+1,{1,2,4,7,8,10,11},0)),1,0),0)+IFERROR(IF(ISNUMBER(MATCH(MOD(12-(MOD(MATCH(CALC_PlanetPositions!$B$10,{"Aries","Taurus","Gemini","Cancer","Leo","Virgo","Libra","Scorpio","Sagittarius","Capricorn","Aquarius","Pisces"},0)-MATCH(INPUT_Chart!$C$5,{"Aries","Taurus","Gemini","Cancer","Leo","Virgo","Libra","Scorpio","Sagittarius","Capricorn","Aquarius","Pisces"},0),12)+1)+12,12)+1,{1,2,4,5,6,9,10,11},0)),1,0),0)+IFERROR(IF(ISNUMBER(MATCH(MOD(12-(MOD(MATCH(CALC_PlanetPositions!$B$11,{"Aries","Taurus","Gemini","Cancer","Leo","Virgo","Libra","Scorpio","Sagittarius","Capricorn","Aquarius","Pisces"},0)-MATCH(INPUT_Chart!$C$5,{"Aries","Taurus","Gemini","Cancer","Leo","Virgo","Libra","Scorpio","Sagittarius","Capricorn","Aquarius","Pisces"},0),12)+1)+12,12)+1,{1,2,3,4,7,8,10,11},0)),1,0),0)+IFERROR(IF(ISNUMBER(MATCH(MOD(12-(MOD(MATCH(CALC_PlanetPositions!$B$12,{"Aries","Taurus","Gemini","Cancer","Leo","Virgo","Libra","Scorpio","Sagittarius","Capricorn","Aquarius","Pisces"},0)-MATCH(INPUT_Chart!$C$5,{"Aries","Taurus","Gemini","Cancer","Leo","Virgo","Libra","Scorpio","Sagittarius","Capricorn","Aquarius","Pisces"},0),12)+1)+12,12)+1,{2,5,6,9,10,11},0)),1,0),0)+IFERROR(IF(ISNUMBER(MATCH(MOD(12-(MOD(MATCH(CALC_PlanetPositions!$B$13,{"Aries","Taurus","Gemini","Cancer","Leo","Virgo","Libra","Scorpio","Sagittarius","Capricorn","Aquarius","Pisces"},0)-MATCH(INPUT_Chart!$C$5,{"Aries","Taurus","Gemini","Cancer","Leo","Virgo","Libra","Scorpio","Sagittarius","Capricorn","Aquarius","Pisces"},0),12)+1)+12,12)+1,{3,5,6,12},0)),1,0),0)+IFERROR(IF(ISNUMBER(MATCH(MOD(12-(MOD(MATCH(INPUT_Chart!$C$5,{"Aries","Taurus","Gemini","Cancer","Leo","Virgo","Libra","Scorpio","Sagittarius","Capricorn","Aquarius","Pisces"},0)-MATCH(INPUT_Chart!$C$5,{"Aries","Taurus","Gemini","Cancer","Leo","Virgo","Libra","Scorpio","Sagittarius","Capricorn","Aquarius","Pisces"},0),12)+1)+12,12)+1,{1,2,4,5,6,7,9,10,11},0)),1,0),0),0)</f>
        <v>5</v>
      </c>
      <c r="N10" s="626">
        <f t="shared" si="0"/>
        <v>56</v>
      </c>
      <c r="O10" s="831">
        <f t="shared" si="1"/>
        <v>4.666666666666667</v>
      </c>
      <c r="P10" s="832" t="s">
        <v>3745</v>
      </c>
    </row>
    <row r="11" spans="1:17" ht="15.75" customHeight="1" x14ac:dyDescent="0.2">
      <c r="A11" s="551" t="s">
        <v>271</v>
      </c>
      <c r="B11" s="833">
        <f>IFERROR(IFERROR(IF(ISNUMBER(MATCH(MOD(1-(MOD(MATCH(CALC_PlanetPositions!$B$7,{"Aries","Taurus","Gemini","Cancer","Leo","Virgo","Libra","Scorpio","Sagittarius","Capricorn","Aquarius","Pisces"},0)-MATCH(INPUT_Chart!$C$5,{"Aries","Taurus","Gemini","Cancer","Leo","Virgo","Libra","Scorpio","Sagittarius","Capricorn","Aquarius","Pisces"},0),12)+1)+12,12)+1,{8,11,12},0)),1,0),0)+IFERROR(IF(ISNUMBER(MATCH(MOD(1-(MOD(MATCH(CALC_PlanetPositions!$B$8,{"Aries","Taurus","Gemini","Cancer","Leo","Virgo","Libra","Scorpio","Sagittarius","Capricorn","Aquarius","Pisces"},0)-MATCH(INPUT_Chart!$C$5,{"Aries","Taurus","Gemini","Cancer","Leo","Virgo","Libra","Scorpio","Sagittarius","Capricorn","Aquarius","Pisces"},0),12)+1)+12,12)+1,{1,2,3,4,5,8,9,11,12},0)),1,0),0)+IFERROR(IF(ISNUMBER(MATCH(MOD(1-(MOD(MATCH(CALC_PlanetPositions!$B$9,{"Aries","Taurus","Gemini","Cancer","Leo","Virgo","Libra","Scorpio","Sagittarius","Capricorn","Aquarius","Pisces"},0)-MATCH(INPUT_Chart!$C$5,{"Aries","Taurus","Gemini","Cancer","Leo","Virgo","Libra","Scorpio","Sagittarius","Capricorn","Aquarius","Pisces"},0),12)+1)+12,12)+1,{3,5,6,9,11,12},0)),1,0),0)+IFERROR(IF(ISNUMBER(MATCH(MOD(1-(MOD(MATCH(CALC_PlanetPositions!$B$10,{"Aries","Taurus","Gemini","Cancer","Leo","Virgo","Libra","Scorpio","Sagittarius","Capricorn","Aquarius","Pisces"},0)-MATCH(INPUT_Chart!$C$5,{"Aries","Taurus","Gemini","Cancer","Leo","Virgo","Libra","Scorpio","Sagittarius","Capricorn","Aquarius","Pisces"},0),12)+1)+12,12)+1,{3,5,6,9,11},0)),1,0),0)+IFERROR(IF(ISNUMBER(MATCH(MOD(1-(MOD(MATCH(CALC_PlanetPositions!$B$11,{"Aries","Taurus","Gemini","Cancer","Leo","Virgo","Libra","Scorpio","Sagittarius","Capricorn","Aquarius","Pisces"},0)-MATCH(INPUT_Chart!$C$5,{"Aries","Taurus","Gemini","Cancer","Leo","Virgo","Libra","Scorpio","Sagittarius","Capricorn","Aquarius","Pisces"},0),12)+1)+12,12)+1,{5,8,9,10,11},0)),1,0),0)+IFERROR(IF(ISNUMBER(MATCH(MOD(1-(MOD(MATCH(CALC_PlanetPositions!$B$12,{"Aries","Taurus","Gemini","Cancer","Leo","Virgo","Libra","Scorpio","Sagittarius","Capricorn","Aquarius","Pisces"},0)-MATCH(INPUT_Chart!$C$5,{"Aries","Taurus","Gemini","Cancer","Leo","Virgo","Libra","Scorpio","Sagittarius","Capricorn","Aquarius","Pisces"},0),12)+1)+12,12)+1,{1,2,3,4,5,8,9,10,11},0)),1,0),0)+IFERROR(IF(ISNUMBER(MATCH(MOD(1-(MOD(MATCH(CALC_PlanetPositions!$B$13,{"Aries","Taurus","Gemini","Cancer","Leo","Virgo","Libra","Scorpio","Sagittarius","Capricorn","Aquarius","Pisces"},0)-MATCH(INPUT_Chart!$C$5,{"Aries","Taurus","Gemini","Cancer","Leo","Virgo","Libra","Scorpio","Sagittarius","Capricorn","Aquarius","Pisces"},0),12)+1)+12,12)+1,{3,4,5,8,9,10,11},0)),1,0),0)+IFERROR(IF(ISNUMBER(MATCH(MOD(1-(MOD(MATCH(INPUT_Chart!$C$5,{"Aries","Taurus","Gemini","Cancer","Leo","Virgo","Libra","Scorpio","Sagittarius","Capricorn","Aquarius","Pisces"},0)-MATCH(INPUT_Chart!$C$5,{"Aries","Taurus","Gemini","Cancer","Leo","Virgo","Libra","Scorpio","Sagittarius","Capricorn","Aquarius","Pisces"},0),12)+1)+12,12)+1,{1,2,3,4,5,8,9,11},0)),1,0),0),0)</f>
        <v>8</v>
      </c>
      <c r="C11" s="833">
        <f>IFERROR(IFERROR(IF(ISNUMBER(MATCH(MOD(2-(MOD(MATCH(CALC_PlanetPositions!$B$7,{"Aries","Taurus","Gemini","Cancer","Leo","Virgo","Libra","Scorpio","Sagittarius","Capricorn","Aquarius","Pisces"},0)-MATCH(INPUT_Chart!$C$5,{"Aries","Taurus","Gemini","Cancer","Leo","Virgo","Libra","Scorpio","Sagittarius","Capricorn","Aquarius","Pisces"},0),12)+1)+12,12)+1,{8,11,12},0)),1,0),0)+IFERROR(IF(ISNUMBER(MATCH(MOD(2-(MOD(MATCH(CALC_PlanetPositions!$B$8,{"Aries","Taurus","Gemini","Cancer","Leo","Virgo","Libra","Scorpio","Sagittarius","Capricorn","Aquarius","Pisces"},0)-MATCH(INPUT_Chart!$C$5,{"Aries","Taurus","Gemini","Cancer","Leo","Virgo","Libra","Scorpio","Sagittarius","Capricorn","Aquarius","Pisces"},0),12)+1)+12,12)+1,{1,2,3,4,5,8,9,11,12},0)),1,0),0)+IFERROR(IF(ISNUMBER(MATCH(MOD(2-(MOD(MATCH(CALC_PlanetPositions!$B$9,{"Aries","Taurus","Gemini","Cancer","Leo","Virgo","Libra","Scorpio","Sagittarius","Capricorn","Aquarius","Pisces"},0)-MATCH(INPUT_Chart!$C$5,{"Aries","Taurus","Gemini","Cancer","Leo","Virgo","Libra","Scorpio","Sagittarius","Capricorn","Aquarius","Pisces"},0),12)+1)+12,12)+1,{3,5,6,9,11,12},0)),1,0),0)+IFERROR(IF(ISNUMBER(MATCH(MOD(2-(MOD(MATCH(CALC_PlanetPositions!$B$10,{"Aries","Taurus","Gemini","Cancer","Leo","Virgo","Libra","Scorpio","Sagittarius","Capricorn","Aquarius","Pisces"},0)-MATCH(INPUT_Chart!$C$5,{"Aries","Taurus","Gemini","Cancer","Leo","Virgo","Libra","Scorpio","Sagittarius","Capricorn","Aquarius","Pisces"},0),12)+1)+12,12)+1,{3,5,6,9,11},0)),1,0),0)+IFERROR(IF(ISNUMBER(MATCH(MOD(2-(MOD(MATCH(CALC_PlanetPositions!$B$11,{"Aries","Taurus","Gemini","Cancer","Leo","Virgo","Libra","Scorpio","Sagittarius","Capricorn","Aquarius","Pisces"},0)-MATCH(INPUT_Chart!$C$5,{"Aries","Taurus","Gemini","Cancer","Leo","Virgo","Libra","Scorpio","Sagittarius","Capricorn","Aquarius","Pisces"},0),12)+1)+12,12)+1,{5,8,9,10,11},0)),1,0),0)+IFERROR(IF(ISNUMBER(MATCH(MOD(2-(MOD(MATCH(CALC_PlanetPositions!$B$12,{"Aries","Taurus","Gemini","Cancer","Leo","Virgo","Libra","Scorpio","Sagittarius","Capricorn","Aquarius","Pisces"},0)-MATCH(INPUT_Chart!$C$5,{"Aries","Taurus","Gemini","Cancer","Leo","Virgo","Libra","Scorpio","Sagittarius","Capricorn","Aquarius","Pisces"},0),12)+1)+12,12)+1,{1,2,3,4,5,8,9,10,11},0)),1,0),0)+IFERROR(IF(ISNUMBER(MATCH(MOD(2-(MOD(MATCH(CALC_PlanetPositions!$B$13,{"Aries","Taurus","Gemini","Cancer","Leo","Virgo","Libra","Scorpio","Sagittarius","Capricorn","Aquarius","Pisces"},0)-MATCH(INPUT_Chart!$C$5,{"Aries","Taurus","Gemini","Cancer","Leo","Virgo","Libra","Scorpio","Sagittarius","Capricorn","Aquarius","Pisces"},0),12)+1)+12,12)+1,{3,4,5,8,9,10,11},0)),1,0),0)+IFERROR(IF(ISNUMBER(MATCH(MOD(2-(MOD(MATCH(INPUT_Chart!$C$5,{"Aries","Taurus","Gemini","Cancer","Leo","Virgo","Libra","Scorpio","Sagittarius","Capricorn","Aquarius","Pisces"},0)-MATCH(INPUT_Chart!$C$5,{"Aries","Taurus","Gemini","Cancer","Leo","Virgo","Libra","Scorpio","Sagittarius","Capricorn","Aquarius","Pisces"},0),12)+1)+12,12)+1,{1,2,3,4,5,8,9,11},0)),1,0),0),0)</f>
        <v>4</v>
      </c>
      <c r="D11" s="833">
        <f>IFERROR(IFERROR(IF(ISNUMBER(MATCH(MOD(3-(MOD(MATCH(CALC_PlanetPositions!$B$7,{"Aries","Taurus","Gemini","Cancer","Leo","Virgo","Libra","Scorpio","Sagittarius","Capricorn","Aquarius","Pisces"},0)-MATCH(INPUT_Chart!$C$5,{"Aries","Taurus","Gemini","Cancer","Leo","Virgo","Libra","Scorpio","Sagittarius","Capricorn","Aquarius","Pisces"},0),12)+1)+12,12)+1,{8,11,12},0)),1,0),0)+IFERROR(IF(ISNUMBER(MATCH(MOD(3-(MOD(MATCH(CALC_PlanetPositions!$B$8,{"Aries","Taurus","Gemini","Cancer","Leo","Virgo","Libra","Scorpio","Sagittarius","Capricorn","Aquarius","Pisces"},0)-MATCH(INPUT_Chart!$C$5,{"Aries","Taurus","Gemini","Cancer","Leo","Virgo","Libra","Scorpio","Sagittarius","Capricorn","Aquarius","Pisces"},0),12)+1)+12,12)+1,{1,2,3,4,5,8,9,11,12},0)),1,0),0)+IFERROR(IF(ISNUMBER(MATCH(MOD(3-(MOD(MATCH(CALC_PlanetPositions!$B$9,{"Aries","Taurus","Gemini","Cancer","Leo","Virgo","Libra","Scorpio","Sagittarius","Capricorn","Aquarius","Pisces"},0)-MATCH(INPUT_Chart!$C$5,{"Aries","Taurus","Gemini","Cancer","Leo","Virgo","Libra","Scorpio","Sagittarius","Capricorn","Aquarius","Pisces"},0),12)+1)+12,12)+1,{3,5,6,9,11,12},0)),1,0),0)+IFERROR(IF(ISNUMBER(MATCH(MOD(3-(MOD(MATCH(CALC_PlanetPositions!$B$10,{"Aries","Taurus","Gemini","Cancer","Leo","Virgo","Libra","Scorpio","Sagittarius","Capricorn","Aquarius","Pisces"},0)-MATCH(INPUT_Chart!$C$5,{"Aries","Taurus","Gemini","Cancer","Leo","Virgo","Libra","Scorpio","Sagittarius","Capricorn","Aquarius","Pisces"},0),12)+1)+12,12)+1,{3,5,6,9,11},0)),1,0),0)+IFERROR(IF(ISNUMBER(MATCH(MOD(3-(MOD(MATCH(CALC_PlanetPositions!$B$11,{"Aries","Taurus","Gemini","Cancer","Leo","Virgo","Libra","Scorpio","Sagittarius","Capricorn","Aquarius","Pisces"},0)-MATCH(INPUT_Chart!$C$5,{"Aries","Taurus","Gemini","Cancer","Leo","Virgo","Libra","Scorpio","Sagittarius","Capricorn","Aquarius","Pisces"},0),12)+1)+12,12)+1,{5,8,9,10,11},0)),1,0),0)+IFERROR(IF(ISNUMBER(MATCH(MOD(3-(MOD(MATCH(CALC_PlanetPositions!$B$12,{"Aries","Taurus","Gemini","Cancer","Leo","Virgo","Libra","Scorpio","Sagittarius","Capricorn","Aquarius","Pisces"},0)-MATCH(INPUT_Chart!$C$5,{"Aries","Taurus","Gemini","Cancer","Leo","Virgo","Libra","Scorpio","Sagittarius","Capricorn","Aquarius","Pisces"},0),12)+1)+12,12)+1,{1,2,3,4,5,8,9,10,11},0)),1,0),0)+IFERROR(IF(ISNUMBER(MATCH(MOD(3-(MOD(MATCH(CALC_PlanetPositions!$B$13,{"Aries","Taurus","Gemini","Cancer","Leo","Virgo","Libra","Scorpio","Sagittarius","Capricorn","Aquarius","Pisces"},0)-MATCH(INPUT_Chart!$C$5,{"Aries","Taurus","Gemini","Cancer","Leo","Virgo","Libra","Scorpio","Sagittarius","Capricorn","Aquarius","Pisces"},0),12)+1)+12,12)+1,{3,4,5,8,9,10,11},0)),1,0),0)+IFERROR(IF(ISNUMBER(MATCH(MOD(3-(MOD(MATCH(INPUT_Chart!$C$5,{"Aries","Taurus","Gemini","Cancer","Leo","Virgo","Libra","Scorpio","Sagittarius","Capricorn","Aquarius","Pisces"},0)-MATCH(INPUT_Chart!$C$5,{"Aries","Taurus","Gemini","Cancer","Leo","Virgo","Libra","Scorpio","Sagittarius","Capricorn","Aquarius","Pisces"},0),12)+1)+12,12)+1,{1,2,3,4,5,8,9,11},0)),1,0),0),0)</f>
        <v>4</v>
      </c>
      <c r="E11" s="833">
        <f>IFERROR(IFERROR(IF(ISNUMBER(MATCH(MOD(4-(MOD(MATCH(CALC_PlanetPositions!$B$7,{"Aries","Taurus","Gemini","Cancer","Leo","Virgo","Libra","Scorpio","Sagittarius","Capricorn","Aquarius","Pisces"},0)-MATCH(INPUT_Chart!$C$5,{"Aries","Taurus","Gemini","Cancer","Leo","Virgo","Libra","Scorpio","Sagittarius","Capricorn","Aquarius","Pisces"},0),12)+1)+12,12)+1,{8,11,12},0)),1,0),0)+IFERROR(IF(ISNUMBER(MATCH(MOD(4-(MOD(MATCH(CALC_PlanetPositions!$B$8,{"Aries","Taurus","Gemini","Cancer","Leo","Virgo","Libra","Scorpio","Sagittarius","Capricorn","Aquarius","Pisces"},0)-MATCH(INPUT_Chart!$C$5,{"Aries","Taurus","Gemini","Cancer","Leo","Virgo","Libra","Scorpio","Sagittarius","Capricorn","Aquarius","Pisces"},0),12)+1)+12,12)+1,{1,2,3,4,5,8,9,11,12},0)),1,0),0)+IFERROR(IF(ISNUMBER(MATCH(MOD(4-(MOD(MATCH(CALC_PlanetPositions!$B$9,{"Aries","Taurus","Gemini","Cancer","Leo","Virgo","Libra","Scorpio","Sagittarius","Capricorn","Aquarius","Pisces"},0)-MATCH(INPUT_Chart!$C$5,{"Aries","Taurus","Gemini","Cancer","Leo","Virgo","Libra","Scorpio","Sagittarius","Capricorn","Aquarius","Pisces"},0),12)+1)+12,12)+1,{3,5,6,9,11,12},0)),1,0),0)+IFERROR(IF(ISNUMBER(MATCH(MOD(4-(MOD(MATCH(CALC_PlanetPositions!$B$10,{"Aries","Taurus","Gemini","Cancer","Leo","Virgo","Libra","Scorpio","Sagittarius","Capricorn","Aquarius","Pisces"},0)-MATCH(INPUT_Chart!$C$5,{"Aries","Taurus","Gemini","Cancer","Leo","Virgo","Libra","Scorpio","Sagittarius","Capricorn","Aquarius","Pisces"},0),12)+1)+12,12)+1,{3,5,6,9,11},0)),1,0),0)+IFERROR(IF(ISNUMBER(MATCH(MOD(4-(MOD(MATCH(CALC_PlanetPositions!$B$11,{"Aries","Taurus","Gemini","Cancer","Leo","Virgo","Libra","Scorpio","Sagittarius","Capricorn","Aquarius","Pisces"},0)-MATCH(INPUT_Chart!$C$5,{"Aries","Taurus","Gemini","Cancer","Leo","Virgo","Libra","Scorpio","Sagittarius","Capricorn","Aquarius","Pisces"},0),12)+1)+12,12)+1,{5,8,9,10,11},0)),1,0),0)+IFERROR(IF(ISNUMBER(MATCH(MOD(4-(MOD(MATCH(CALC_PlanetPositions!$B$12,{"Aries","Taurus","Gemini","Cancer","Leo","Virgo","Libra","Scorpio","Sagittarius","Capricorn","Aquarius","Pisces"},0)-MATCH(INPUT_Chart!$C$5,{"Aries","Taurus","Gemini","Cancer","Leo","Virgo","Libra","Scorpio","Sagittarius","Capricorn","Aquarius","Pisces"},0),12)+1)+12,12)+1,{1,2,3,4,5,8,9,10,11},0)),1,0),0)+IFERROR(IF(ISNUMBER(MATCH(MOD(4-(MOD(MATCH(CALC_PlanetPositions!$B$13,{"Aries","Taurus","Gemini","Cancer","Leo","Virgo","Libra","Scorpio","Sagittarius","Capricorn","Aquarius","Pisces"},0)-MATCH(INPUT_Chart!$C$5,{"Aries","Taurus","Gemini","Cancer","Leo","Virgo","Libra","Scorpio","Sagittarius","Capricorn","Aquarius","Pisces"},0),12)+1)+12,12)+1,{3,4,5,8,9,10,11},0)),1,0),0)+IFERROR(IF(ISNUMBER(MATCH(MOD(4-(MOD(MATCH(INPUT_Chart!$C$5,{"Aries","Taurus","Gemini","Cancer","Leo","Virgo","Libra","Scorpio","Sagittarius","Capricorn","Aquarius","Pisces"},0)-MATCH(INPUT_Chart!$C$5,{"Aries","Taurus","Gemini","Cancer","Leo","Virgo","Libra","Scorpio","Sagittarius","Capricorn","Aquarius","Pisces"},0),12)+1)+12,12)+1,{1,2,3,4,5,8,9,11},0)),1,0),0),0)</f>
        <v>5</v>
      </c>
      <c r="F11" s="833">
        <f>IFERROR(IFERROR(IF(ISNUMBER(MATCH(MOD(5-(MOD(MATCH(CALC_PlanetPositions!$B$7,{"Aries","Taurus","Gemini","Cancer","Leo","Virgo","Libra","Scorpio","Sagittarius","Capricorn","Aquarius","Pisces"},0)-MATCH(INPUT_Chart!$C$5,{"Aries","Taurus","Gemini","Cancer","Leo","Virgo","Libra","Scorpio","Sagittarius","Capricorn","Aquarius","Pisces"},0),12)+1)+12,12)+1,{8,11,12},0)),1,0),0)+IFERROR(IF(ISNUMBER(MATCH(MOD(5-(MOD(MATCH(CALC_PlanetPositions!$B$8,{"Aries","Taurus","Gemini","Cancer","Leo","Virgo","Libra","Scorpio","Sagittarius","Capricorn","Aquarius","Pisces"},0)-MATCH(INPUT_Chart!$C$5,{"Aries","Taurus","Gemini","Cancer","Leo","Virgo","Libra","Scorpio","Sagittarius","Capricorn","Aquarius","Pisces"},0),12)+1)+12,12)+1,{1,2,3,4,5,8,9,11,12},0)),1,0),0)+IFERROR(IF(ISNUMBER(MATCH(MOD(5-(MOD(MATCH(CALC_PlanetPositions!$B$9,{"Aries","Taurus","Gemini","Cancer","Leo","Virgo","Libra","Scorpio","Sagittarius","Capricorn","Aquarius","Pisces"},0)-MATCH(INPUT_Chart!$C$5,{"Aries","Taurus","Gemini","Cancer","Leo","Virgo","Libra","Scorpio","Sagittarius","Capricorn","Aquarius","Pisces"},0),12)+1)+12,12)+1,{3,5,6,9,11,12},0)),1,0),0)+IFERROR(IF(ISNUMBER(MATCH(MOD(5-(MOD(MATCH(CALC_PlanetPositions!$B$10,{"Aries","Taurus","Gemini","Cancer","Leo","Virgo","Libra","Scorpio","Sagittarius","Capricorn","Aquarius","Pisces"},0)-MATCH(INPUT_Chart!$C$5,{"Aries","Taurus","Gemini","Cancer","Leo","Virgo","Libra","Scorpio","Sagittarius","Capricorn","Aquarius","Pisces"},0),12)+1)+12,12)+1,{3,5,6,9,11},0)),1,0),0)+IFERROR(IF(ISNUMBER(MATCH(MOD(5-(MOD(MATCH(CALC_PlanetPositions!$B$11,{"Aries","Taurus","Gemini","Cancer","Leo","Virgo","Libra","Scorpio","Sagittarius","Capricorn","Aquarius","Pisces"},0)-MATCH(INPUT_Chart!$C$5,{"Aries","Taurus","Gemini","Cancer","Leo","Virgo","Libra","Scorpio","Sagittarius","Capricorn","Aquarius","Pisces"},0),12)+1)+12,12)+1,{5,8,9,10,11},0)),1,0),0)+IFERROR(IF(ISNUMBER(MATCH(MOD(5-(MOD(MATCH(CALC_PlanetPositions!$B$12,{"Aries","Taurus","Gemini","Cancer","Leo","Virgo","Libra","Scorpio","Sagittarius","Capricorn","Aquarius","Pisces"},0)-MATCH(INPUT_Chart!$C$5,{"Aries","Taurus","Gemini","Cancer","Leo","Virgo","Libra","Scorpio","Sagittarius","Capricorn","Aquarius","Pisces"},0),12)+1)+12,12)+1,{1,2,3,4,5,8,9,10,11},0)),1,0),0)+IFERROR(IF(ISNUMBER(MATCH(MOD(5-(MOD(MATCH(CALC_PlanetPositions!$B$13,{"Aries","Taurus","Gemini","Cancer","Leo","Virgo","Libra","Scorpio","Sagittarius","Capricorn","Aquarius","Pisces"},0)-MATCH(INPUT_Chart!$C$5,{"Aries","Taurus","Gemini","Cancer","Leo","Virgo","Libra","Scorpio","Sagittarius","Capricorn","Aquarius","Pisces"},0),12)+1)+12,12)+1,{3,4,5,8,9,10,11},0)),1,0),0)+IFERROR(IF(ISNUMBER(MATCH(MOD(5-(MOD(MATCH(INPUT_Chart!$C$5,{"Aries","Taurus","Gemini","Cancer","Leo","Virgo","Libra","Scorpio","Sagittarius","Capricorn","Aquarius","Pisces"},0)-MATCH(INPUT_Chart!$C$5,{"Aries","Taurus","Gemini","Cancer","Leo","Virgo","Libra","Scorpio","Sagittarius","Capricorn","Aquarius","Pisces"},0),12)+1)+12,12)+1,{1,2,3,4,5,8,9,11},0)),1,0),0),0)</f>
        <v>5</v>
      </c>
      <c r="G11" s="833">
        <f>IFERROR(IFERROR(IF(ISNUMBER(MATCH(MOD(6-(MOD(MATCH(CALC_PlanetPositions!$B$7,{"Aries","Taurus","Gemini","Cancer","Leo","Virgo","Libra","Scorpio","Sagittarius","Capricorn","Aquarius","Pisces"},0)-MATCH(INPUT_Chart!$C$5,{"Aries","Taurus","Gemini","Cancer","Leo","Virgo","Libra","Scorpio","Sagittarius","Capricorn","Aquarius","Pisces"},0),12)+1)+12,12)+1,{8,11,12},0)),1,0),0)+IFERROR(IF(ISNUMBER(MATCH(MOD(6-(MOD(MATCH(CALC_PlanetPositions!$B$8,{"Aries","Taurus","Gemini","Cancer","Leo","Virgo","Libra","Scorpio","Sagittarius","Capricorn","Aquarius","Pisces"},0)-MATCH(INPUT_Chart!$C$5,{"Aries","Taurus","Gemini","Cancer","Leo","Virgo","Libra","Scorpio","Sagittarius","Capricorn","Aquarius","Pisces"},0),12)+1)+12,12)+1,{1,2,3,4,5,8,9,11,12},0)),1,0),0)+IFERROR(IF(ISNUMBER(MATCH(MOD(6-(MOD(MATCH(CALC_PlanetPositions!$B$9,{"Aries","Taurus","Gemini","Cancer","Leo","Virgo","Libra","Scorpio","Sagittarius","Capricorn","Aquarius","Pisces"},0)-MATCH(INPUT_Chart!$C$5,{"Aries","Taurus","Gemini","Cancer","Leo","Virgo","Libra","Scorpio","Sagittarius","Capricorn","Aquarius","Pisces"},0),12)+1)+12,12)+1,{3,5,6,9,11,12},0)),1,0),0)+IFERROR(IF(ISNUMBER(MATCH(MOD(6-(MOD(MATCH(CALC_PlanetPositions!$B$10,{"Aries","Taurus","Gemini","Cancer","Leo","Virgo","Libra","Scorpio","Sagittarius","Capricorn","Aquarius","Pisces"},0)-MATCH(INPUT_Chart!$C$5,{"Aries","Taurus","Gemini","Cancer","Leo","Virgo","Libra","Scorpio","Sagittarius","Capricorn","Aquarius","Pisces"},0),12)+1)+12,12)+1,{3,5,6,9,11},0)),1,0),0)+IFERROR(IF(ISNUMBER(MATCH(MOD(6-(MOD(MATCH(CALC_PlanetPositions!$B$11,{"Aries","Taurus","Gemini","Cancer","Leo","Virgo","Libra","Scorpio","Sagittarius","Capricorn","Aquarius","Pisces"},0)-MATCH(INPUT_Chart!$C$5,{"Aries","Taurus","Gemini","Cancer","Leo","Virgo","Libra","Scorpio","Sagittarius","Capricorn","Aquarius","Pisces"},0),12)+1)+12,12)+1,{5,8,9,10,11},0)),1,0),0)+IFERROR(IF(ISNUMBER(MATCH(MOD(6-(MOD(MATCH(CALC_PlanetPositions!$B$12,{"Aries","Taurus","Gemini","Cancer","Leo","Virgo","Libra","Scorpio","Sagittarius","Capricorn","Aquarius","Pisces"},0)-MATCH(INPUT_Chart!$C$5,{"Aries","Taurus","Gemini","Cancer","Leo","Virgo","Libra","Scorpio","Sagittarius","Capricorn","Aquarius","Pisces"},0),12)+1)+12,12)+1,{1,2,3,4,5,8,9,10,11},0)),1,0),0)+IFERROR(IF(ISNUMBER(MATCH(MOD(6-(MOD(MATCH(CALC_PlanetPositions!$B$13,{"Aries","Taurus","Gemini","Cancer","Leo","Virgo","Libra","Scorpio","Sagittarius","Capricorn","Aquarius","Pisces"},0)-MATCH(INPUT_Chart!$C$5,{"Aries","Taurus","Gemini","Cancer","Leo","Virgo","Libra","Scorpio","Sagittarius","Capricorn","Aquarius","Pisces"},0),12)+1)+12,12)+1,{3,4,5,8,9,10,11},0)),1,0),0)+IFERROR(IF(ISNUMBER(MATCH(MOD(6-(MOD(MATCH(INPUT_Chart!$C$5,{"Aries","Taurus","Gemini","Cancer","Leo","Virgo","Libra","Scorpio","Sagittarius","Capricorn","Aquarius","Pisces"},0)-MATCH(INPUT_Chart!$C$5,{"Aries","Taurus","Gemini","Cancer","Leo","Virgo","Libra","Scorpio","Sagittarius","Capricorn","Aquarius","Pisces"},0),12)+1)+12,12)+1,{1,2,3,4,5,8,9,11},0)),1,0),0),0)</f>
        <v>4</v>
      </c>
      <c r="H11" s="833">
        <f>IFERROR(IFERROR(IF(ISNUMBER(MATCH(MOD(7-(MOD(MATCH(CALC_PlanetPositions!$B$7,{"Aries","Taurus","Gemini","Cancer","Leo","Virgo","Libra","Scorpio","Sagittarius","Capricorn","Aquarius","Pisces"},0)-MATCH(INPUT_Chart!$C$5,{"Aries","Taurus","Gemini","Cancer","Leo","Virgo","Libra","Scorpio","Sagittarius","Capricorn","Aquarius","Pisces"},0),12)+1)+12,12)+1,{8,11,12},0)),1,0),0)+IFERROR(IF(ISNUMBER(MATCH(MOD(7-(MOD(MATCH(CALC_PlanetPositions!$B$8,{"Aries","Taurus","Gemini","Cancer","Leo","Virgo","Libra","Scorpio","Sagittarius","Capricorn","Aquarius","Pisces"},0)-MATCH(INPUT_Chart!$C$5,{"Aries","Taurus","Gemini","Cancer","Leo","Virgo","Libra","Scorpio","Sagittarius","Capricorn","Aquarius","Pisces"},0),12)+1)+12,12)+1,{1,2,3,4,5,8,9,11,12},0)),1,0),0)+IFERROR(IF(ISNUMBER(MATCH(MOD(7-(MOD(MATCH(CALC_PlanetPositions!$B$9,{"Aries","Taurus","Gemini","Cancer","Leo","Virgo","Libra","Scorpio","Sagittarius","Capricorn","Aquarius","Pisces"},0)-MATCH(INPUT_Chart!$C$5,{"Aries","Taurus","Gemini","Cancer","Leo","Virgo","Libra","Scorpio","Sagittarius","Capricorn","Aquarius","Pisces"},0),12)+1)+12,12)+1,{3,5,6,9,11,12},0)),1,0),0)+IFERROR(IF(ISNUMBER(MATCH(MOD(7-(MOD(MATCH(CALC_PlanetPositions!$B$10,{"Aries","Taurus","Gemini","Cancer","Leo","Virgo","Libra","Scorpio","Sagittarius","Capricorn","Aquarius","Pisces"},0)-MATCH(INPUT_Chart!$C$5,{"Aries","Taurus","Gemini","Cancer","Leo","Virgo","Libra","Scorpio","Sagittarius","Capricorn","Aquarius","Pisces"},0),12)+1)+12,12)+1,{3,5,6,9,11},0)),1,0),0)+IFERROR(IF(ISNUMBER(MATCH(MOD(7-(MOD(MATCH(CALC_PlanetPositions!$B$11,{"Aries","Taurus","Gemini","Cancer","Leo","Virgo","Libra","Scorpio","Sagittarius","Capricorn","Aquarius","Pisces"},0)-MATCH(INPUT_Chart!$C$5,{"Aries","Taurus","Gemini","Cancer","Leo","Virgo","Libra","Scorpio","Sagittarius","Capricorn","Aquarius","Pisces"},0),12)+1)+12,12)+1,{5,8,9,10,11},0)),1,0),0)+IFERROR(IF(ISNUMBER(MATCH(MOD(7-(MOD(MATCH(CALC_PlanetPositions!$B$12,{"Aries","Taurus","Gemini","Cancer","Leo","Virgo","Libra","Scorpio","Sagittarius","Capricorn","Aquarius","Pisces"},0)-MATCH(INPUT_Chart!$C$5,{"Aries","Taurus","Gemini","Cancer","Leo","Virgo","Libra","Scorpio","Sagittarius","Capricorn","Aquarius","Pisces"},0),12)+1)+12,12)+1,{1,2,3,4,5,8,9,10,11},0)),1,0),0)+IFERROR(IF(ISNUMBER(MATCH(MOD(7-(MOD(MATCH(CALC_PlanetPositions!$B$13,{"Aries","Taurus","Gemini","Cancer","Leo","Virgo","Libra","Scorpio","Sagittarius","Capricorn","Aquarius","Pisces"},0)-MATCH(INPUT_Chart!$C$5,{"Aries","Taurus","Gemini","Cancer","Leo","Virgo","Libra","Scorpio","Sagittarius","Capricorn","Aquarius","Pisces"},0),12)+1)+12,12)+1,{3,4,5,8,9,10,11},0)),1,0),0)+IFERROR(IF(ISNUMBER(MATCH(MOD(7-(MOD(MATCH(INPUT_Chart!$C$5,{"Aries","Taurus","Gemini","Cancer","Leo","Virgo","Libra","Scorpio","Sagittarius","Capricorn","Aquarius","Pisces"},0)-MATCH(INPUT_Chart!$C$5,{"Aries","Taurus","Gemini","Cancer","Leo","Virgo","Libra","Scorpio","Sagittarius","Capricorn","Aquarius","Pisces"},0),12)+1)+12,12)+1,{1,2,3,4,5,8,9,11},0)),1,0),0),0)</f>
        <v>5</v>
      </c>
      <c r="I11" s="833">
        <f>IFERROR(IFERROR(IF(ISNUMBER(MATCH(MOD(8-(MOD(MATCH(CALC_PlanetPositions!$B$7,{"Aries","Taurus","Gemini","Cancer","Leo","Virgo","Libra","Scorpio","Sagittarius","Capricorn","Aquarius","Pisces"},0)-MATCH(INPUT_Chart!$C$5,{"Aries","Taurus","Gemini","Cancer","Leo","Virgo","Libra","Scorpio","Sagittarius","Capricorn","Aquarius","Pisces"},0),12)+1)+12,12)+1,{8,11,12},0)),1,0),0)+IFERROR(IF(ISNUMBER(MATCH(MOD(8-(MOD(MATCH(CALC_PlanetPositions!$B$8,{"Aries","Taurus","Gemini","Cancer","Leo","Virgo","Libra","Scorpio","Sagittarius","Capricorn","Aquarius","Pisces"},0)-MATCH(INPUT_Chart!$C$5,{"Aries","Taurus","Gemini","Cancer","Leo","Virgo","Libra","Scorpio","Sagittarius","Capricorn","Aquarius","Pisces"},0),12)+1)+12,12)+1,{1,2,3,4,5,8,9,11,12},0)),1,0),0)+IFERROR(IF(ISNUMBER(MATCH(MOD(8-(MOD(MATCH(CALC_PlanetPositions!$B$9,{"Aries","Taurus","Gemini","Cancer","Leo","Virgo","Libra","Scorpio","Sagittarius","Capricorn","Aquarius","Pisces"},0)-MATCH(INPUT_Chart!$C$5,{"Aries","Taurus","Gemini","Cancer","Leo","Virgo","Libra","Scorpio","Sagittarius","Capricorn","Aquarius","Pisces"},0),12)+1)+12,12)+1,{3,5,6,9,11,12},0)),1,0),0)+IFERROR(IF(ISNUMBER(MATCH(MOD(8-(MOD(MATCH(CALC_PlanetPositions!$B$10,{"Aries","Taurus","Gemini","Cancer","Leo","Virgo","Libra","Scorpio","Sagittarius","Capricorn","Aquarius","Pisces"},0)-MATCH(INPUT_Chart!$C$5,{"Aries","Taurus","Gemini","Cancer","Leo","Virgo","Libra","Scorpio","Sagittarius","Capricorn","Aquarius","Pisces"},0),12)+1)+12,12)+1,{3,5,6,9,11},0)),1,0),0)+IFERROR(IF(ISNUMBER(MATCH(MOD(8-(MOD(MATCH(CALC_PlanetPositions!$B$11,{"Aries","Taurus","Gemini","Cancer","Leo","Virgo","Libra","Scorpio","Sagittarius","Capricorn","Aquarius","Pisces"},0)-MATCH(INPUT_Chart!$C$5,{"Aries","Taurus","Gemini","Cancer","Leo","Virgo","Libra","Scorpio","Sagittarius","Capricorn","Aquarius","Pisces"},0),12)+1)+12,12)+1,{5,8,9,10,11},0)),1,0),0)+IFERROR(IF(ISNUMBER(MATCH(MOD(8-(MOD(MATCH(CALC_PlanetPositions!$B$12,{"Aries","Taurus","Gemini","Cancer","Leo","Virgo","Libra","Scorpio","Sagittarius","Capricorn","Aquarius","Pisces"},0)-MATCH(INPUT_Chart!$C$5,{"Aries","Taurus","Gemini","Cancer","Leo","Virgo","Libra","Scorpio","Sagittarius","Capricorn","Aquarius","Pisces"},0),12)+1)+12,12)+1,{1,2,3,4,5,8,9,10,11},0)),1,0),0)+IFERROR(IF(ISNUMBER(MATCH(MOD(8-(MOD(MATCH(CALC_PlanetPositions!$B$13,{"Aries","Taurus","Gemini","Cancer","Leo","Virgo","Libra","Scorpio","Sagittarius","Capricorn","Aquarius","Pisces"},0)-MATCH(INPUT_Chart!$C$5,{"Aries","Taurus","Gemini","Cancer","Leo","Virgo","Libra","Scorpio","Sagittarius","Capricorn","Aquarius","Pisces"},0),12)+1)+12,12)+1,{3,4,5,8,9,10,11},0)),1,0),0)+IFERROR(IF(ISNUMBER(MATCH(MOD(8-(MOD(MATCH(INPUT_Chart!$C$5,{"Aries","Taurus","Gemini","Cancer","Leo","Virgo","Libra","Scorpio","Sagittarius","Capricorn","Aquarius","Pisces"},0)-MATCH(INPUT_Chart!$C$5,{"Aries","Taurus","Gemini","Cancer","Leo","Virgo","Libra","Scorpio","Sagittarius","Capricorn","Aquarius","Pisces"},0),12)+1)+12,12)+1,{1,2,3,4,5,8,9,11},0)),1,0),0),0)</f>
        <v>2</v>
      </c>
      <c r="J11" s="833">
        <f>IFERROR(IFERROR(IF(ISNUMBER(MATCH(MOD(9-(MOD(MATCH(CALC_PlanetPositions!$B$7,{"Aries","Taurus","Gemini","Cancer","Leo","Virgo","Libra","Scorpio","Sagittarius","Capricorn","Aquarius","Pisces"},0)-MATCH(INPUT_Chart!$C$5,{"Aries","Taurus","Gemini","Cancer","Leo","Virgo","Libra","Scorpio","Sagittarius","Capricorn","Aquarius","Pisces"},0),12)+1)+12,12)+1,{8,11,12},0)),1,0),0)+IFERROR(IF(ISNUMBER(MATCH(MOD(9-(MOD(MATCH(CALC_PlanetPositions!$B$8,{"Aries","Taurus","Gemini","Cancer","Leo","Virgo","Libra","Scorpio","Sagittarius","Capricorn","Aquarius","Pisces"},0)-MATCH(INPUT_Chart!$C$5,{"Aries","Taurus","Gemini","Cancer","Leo","Virgo","Libra","Scorpio","Sagittarius","Capricorn","Aquarius","Pisces"},0),12)+1)+12,12)+1,{1,2,3,4,5,8,9,11,12},0)),1,0),0)+IFERROR(IF(ISNUMBER(MATCH(MOD(9-(MOD(MATCH(CALC_PlanetPositions!$B$9,{"Aries","Taurus","Gemini","Cancer","Leo","Virgo","Libra","Scorpio","Sagittarius","Capricorn","Aquarius","Pisces"},0)-MATCH(INPUT_Chart!$C$5,{"Aries","Taurus","Gemini","Cancer","Leo","Virgo","Libra","Scorpio","Sagittarius","Capricorn","Aquarius","Pisces"},0),12)+1)+12,12)+1,{3,5,6,9,11,12},0)),1,0),0)+IFERROR(IF(ISNUMBER(MATCH(MOD(9-(MOD(MATCH(CALC_PlanetPositions!$B$10,{"Aries","Taurus","Gemini","Cancer","Leo","Virgo","Libra","Scorpio","Sagittarius","Capricorn","Aquarius","Pisces"},0)-MATCH(INPUT_Chart!$C$5,{"Aries","Taurus","Gemini","Cancer","Leo","Virgo","Libra","Scorpio","Sagittarius","Capricorn","Aquarius","Pisces"},0),12)+1)+12,12)+1,{3,5,6,9,11},0)),1,0),0)+IFERROR(IF(ISNUMBER(MATCH(MOD(9-(MOD(MATCH(CALC_PlanetPositions!$B$11,{"Aries","Taurus","Gemini","Cancer","Leo","Virgo","Libra","Scorpio","Sagittarius","Capricorn","Aquarius","Pisces"},0)-MATCH(INPUT_Chart!$C$5,{"Aries","Taurus","Gemini","Cancer","Leo","Virgo","Libra","Scorpio","Sagittarius","Capricorn","Aquarius","Pisces"},0),12)+1)+12,12)+1,{5,8,9,10,11},0)),1,0),0)+IFERROR(IF(ISNUMBER(MATCH(MOD(9-(MOD(MATCH(CALC_PlanetPositions!$B$12,{"Aries","Taurus","Gemini","Cancer","Leo","Virgo","Libra","Scorpio","Sagittarius","Capricorn","Aquarius","Pisces"},0)-MATCH(INPUT_Chart!$C$5,{"Aries","Taurus","Gemini","Cancer","Leo","Virgo","Libra","Scorpio","Sagittarius","Capricorn","Aquarius","Pisces"},0),12)+1)+12,12)+1,{1,2,3,4,5,8,9,10,11},0)),1,0),0)+IFERROR(IF(ISNUMBER(MATCH(MOD(9-(MOD(MATCH(CALC_PlanetPositions!$B$13,{"Aries","Taurus","Gemini","Cancer","Leo","Virgo","Libra","Scorpio","Sagittarius","Capricorn","Aquarius","Pisces"},0)-MATCH(INPUT_Chart!$C$5,{"Aries","Taurus","Gemini","Cancer","Leo","Virgo","Libra","Scorpio","Sagittarius","Capricorn","Aquarius","Pisces"},0),12)+1)+12,12)+1,{3,4,5,8,9,10,11},0)),1,0),0)+IFERROR(IF(ISNUMBER(MATCH(MOD(9-(MOD(MATCH(INPUT_Chart!$C$5,{"Aries","Taurus","Gemini","Cancer","Leo","Virgo","Libra","Scorpio","Sagittarius","Capricorn","Aquarius","Pisces"},0)-MATCH(INPUT_Chart!$C$5,{"Aries","Taurus","Gemini","Cancer","Leo","Virgo","Libra","Scorpio","Sagittarius","Capricorn","Aquarius","Pisces"},0),12)+1)+12,12)+1,{1,2,3,4,5,8,9,11},0)),1,0),0),0)</f>
        <v>1</v>
      </c>
      <c r="K11" s="833">
        <f>IFERROR(IFERROR(IF(ISNUMBER(MATCH(MOD(10-(MOD(MATCH(CALC_PlanetPositions!$B$7,{"Aries","Taurus","Gemini","Cancer","Leo","Virgo","Libra","Scorpio","Sagittarius","Capricorn","Aquarius","Pisces"},0)-MATCH(INPUT_Chart!$C$5,{"Aries","Taurus","Gemini","Cancer","Leo","Virgo","Libra","Scorpio","Sagittarius","Capricorn","Aquarius","Pisces"},0),12)+1)+12,12)+1,{8,11,12},0)),1,0),0)+IFERROR(IF(ISNUMBER(MATCH(MOD(10-(MOD(MATCH(CALC_PlanetPositions!$B$8,{"Aries","Taurus","Gemini","Cancer","Leo","Virgo","Libra","Scorpio","Sagittarius","Capricorn","Aquarius","Pisces"},0)-MATCH(INPUT_Chart!$C$5,{"Aries","Taurus","Gemini","Cancer","Leo","Virgo","Libra","Scorpio","Sagittarius","Capricorn","Aquarius","Pisces"},0),12)+1)+12,12)+1,{1,2,3,4,5,8,9,11,12},0)),1,0),0)+IFERROR(IF(ISNUMBER(MATCH(MOD(10-(MOD(MATCH(CALC_PlanetPositions!$B$9,{"Aries","Taurus","Gemini","Cancer","Leo","Virgo","Libra","Scorpio","Sagittarius","Capricorn","Aquarius","Pisces"},0)-MATCH(INPUT_Chart!$C$5,{"Aries","Taurus","Gemini","Cancer","Leo","Virgo","Libra","Scorpio","Sagittarius","Capricorn","Aquarius","Pisces"},0),12)+1)+12,12)+1,{3,5,6,9,11,12},0)),1,0),0)+IFERROR(IF(ISNUMBER(MATCH(MOD(10-(MOD(MATCH(CALC_PlanetPositions!$B$10,{"Aries","Taurus","Gemini","Cancer","Leo","Virgo","Libra","Scorpio","Sagittarius","Capricorn","Aquarius","Pisces"},0)-MATCH(INPUT_Chart!$C$5,{"Aries","Taurus","Gemini","Cancer","Leo","Virgo","Libra","Scorpio","Sagittarius","Capricorn","Aquarius","Pisces"},0),12)+1)+12,12)+1,{3,5,6,9,11},0)),1,0),0)+IFERROR(IF(ISNUMBER(MATCH(MOD(10-(MOD(MATCH(CALC_PlanetPositions!$B$11,{"Aries","Taurus","Gemini","Cancer","Leo","Virgo","Libra","Scorpio","Sagittarius","Capricorn","Aquarius","Pisces"},0)-MATCH(INPUT_Chart!$C$5,{"Aries","Taurus","Gemini","Cancer","Leo","Virgo","Libra","Scorpio","Sagittarius","Capricorn","Aquarius","Pisces"},0),12)+1)+12,12)+1,{5,8,9,10,11},0)),1,0),0)+IFERROR(IF(ISNUMBER(MATCH(MOD(10-(MOD(MATCH(CALC_PlanetPositions!$B$12,{"Aries","Taurus","Gemini","Cancer","Leo","Virgo","Libra","Scorpio","Sagittarius","Capricorn","Aquarius","Pisces"},0)-MATCH(INPUT_Chart!$C$5,{"Aries","Taurus","Gemini","Cancer","Leo","Virgo","Libra","Scorpio","Sagittarius","Capricorn","Aquarius","Pisces"},0),12)+1)+12,12)+1,{1,2,3,4,5,8,9,10,11},0)),1,0),0)+IFERROR(IF(ISNUMBER(MATCH(MOD(10-(MOD(MATCH(CALC_PlanetPositions!$B$13,{"Aries","Taurus","Gemini","Cancer","Leo","Virgo","Libra","Scorpio","Sagittarius","Capricorn","Aquarius","Pisces"},0)-MATCH(INPUT_Chart!$C$5,{"Aries","Taurus","Gemini","Cancer","Leo","Virgo","Libra","Scorpio","Sagittarius","Capricorn","Aquarius","Pisces"},0),12)+1)+12,12)+1,{3,4,5,8,9,10,11},0)),1,0),0)+IFERROR(IF(ISNUMBER(MATCH(MOD(10-(MOD(MATCH(INPUT_Chart!$C$5,{"Aries","Taurus","Gemini","Cancer","Leo","Virgo","Libra","Scorpio","Sagittarius","Capricorn","Aquarius","Pisces"},0)-MATCH(INPUT_Chart!$C$5,{"Aries","Taurus","Gemini","Cancer","Leo","Virgo","Libra","Scorpio","Sagittarius","Capricorn","Aquarius","Pisces"},0),12)+1)+12,12)+1,{1,2,3,4,5,8,9,11},0)),1,0),0),0)</f>
        <v>6</v>
      </c>
      <c r="L11" s="833">
        <f>IFERROR(IFERROR(IF(ISNUMBER(MATCH(MOD(11-(MOD(MATCH(CALC_PlanetPositions!$B$7,{"Aries","Taurus","Gemini","Cancer","Leo","Virgo","Libra","Scorpio","Sagittarius","Capricorn","Aquarius","Pisces"},0)-MATCH(INPUT_Chart!$C$5,{"Aries","Taurus","Gemini","Cancer","Leo","Virgo","Libra","Scorpio","Sagittarius","Capricorn","Aquarius","Pisces"},0),12)+1)+12,12)+1,{8,11,12},0)),1,0),0)+IFERROR(IF(ISNUMBER(MATCH(MOD(11-(MOD(MATCH(CALC_PlanetPositions!$B$8,{"Aries","Taurus","Gemini","Cancer","Leo","Virgo","Libra","Scorpio","Sagittarius","Capricorn","Aquarius","Pisces"},0)-MATCH(INPUT_Chart!$C$5,{"Aries","Taurus","Gemini","Cancer","Leo","Virgo","Libra","Scorpio","Sagittarius","Capricorn","Aquarius","Pisces"},0),12)+1)+12,12)+1,{1,2,3,4,5,8,9,11,12},0)),1,0),0)+IFERROR(IF(ISNUMBER(MATCH(MOD(11-(MOD(MATCH(CALC_PlanetPositions!$B$9,{"Aries","Taurus","Gemini","Cancer","Leo","Virgo","Libra","Scorpio","Sagittarius","Capricorn","Aquarius","Pisces"},0)-MATCH(INPUT_Chart!$C$5,{"Aries","Taurus","Gemini","Cancer","Leo","Virgo","Libra","Scorpio","Sagittarius","Capricorn","Aquarius","Pisces"},0),12)+1)+12,12)+1,{3,5,6,9,11,12},0)),1,0),0)+IFERROR(IF(ISNUMBER(MATCH(MOD(11-(MOD(MATCH(CALC_PlanetPositions!$B$10,{"Aries","Taurus","Gemini","Cancer","Leo","Virgo","Libra","Scorpio","Sagittarius","Capricorn","Aquarius","Pisces"},0)-MATCH(INPUT_Chart!$C$5,{"Aries","Taurus","Gemini","Cancer","Leo","Virgo","Libra","Scorpio","Sagittarius","Capricorn","Aquarius","Pisces"},0),12)+1)+12,12)+1,{3,5,6,9,11},0)),1,0),0)+IFERROR(IF(ISNUMBER(MATCH(MOD(11-(MOD(MATCH(CALC_PlanetPositions!$B$11,{"Aries","Taurus","Gemini","Cancer","Leo","Virgo","Libra","Scorpio","Sagittarius","Capricorn","Aquarius","Pisces"},0)-MATCH(INPUT_Chart!$C$5,{"Aries","Taurus","Gemini","Cancer","Leo","Virgo","Libra","Scorpio","Sagittarius","Capricorn","Aquarius","Pisces"},0),12)+1)+12,12)+1,{5,8,9,10,11},0)),1,0),0)+IFERROR(IF(ISNUMBER(MATCH(MOD(11-(MOD(MATCH(CALC_PlanetPositions!$B$12,{"Aries","Taurus","Gemini","Cancer","Leo","Virgo","Libra","Scorpio","Sagittarius","Capricorn","Aquarius","Pisces"},0)-MATCH(INPUT_Chart!$C$5,{"Aries","Taurus","Gemini","Cancer","Leo","Virgo","Libra","Scorpio","Sagittarius","Capricorn","Aquarius","Pisces"},0),12)+1)+12,12)+1,{1,2,3,4,5,8,9,10,11},0)),1,0),0)+IFERROR(IF(ISNUMBER(MATCH(MOD(11-(MOD(MATCH(CALC_PlanetPositions!$B$13,{"Aries","Taurus","Gemini","Cancer","Leo","Virgo","Libra","Scorpio","Sagittarius","Capricorn","Aquarius","Pisces"},0)-MATCH(INPUT_Chart!$C$5,{"Aries","Taurus","Gemini","Cancer","Leo","Virgo","Libra","Scorpio","Sagittarius","Capricorn","Aquarius","Pisces"},0),12)+1)+12,12)+1,{3,4,5,8,9,10,11},0)),1,0),0)+IFERROR(IF(ISNUMBER(MATCH(MOD(11-(MOD(MATCH(INPUT_Chart!$C$5,{"Aries","Taurus","Gemini","Cancer","Leo","Virgo","Libra","Scorpio","Sagittarius","Capricorn","Aquarius","Pisces"},0)-MATCH(INPUT_Chart!$C$5,{"Aries","Taurus","Gemini","Cancer","Leo","Virgo","Libra","Scorpio","Sagittarius","Capricorn","Aquarius","Pisces"},0),12)+1)+12,12)+1,{1,2,3,4,5,8,9,11},0)),1,0),0),0)</f>
        <v>5</v>
      </c>
      <c r="M11" s="833">
        <f>IFERROR(IFERROR(IF(ISNUMBER(MATCH(MOD(12-(MOD(MATCH(CALC_PlanetPositions!$B$7,{"Aries","Taurus","Gemini","Cancer","Leo","Virgo","Libra","Scorpio","Sagittarius","Capricorn","Aquarius","Pisces"},0)-MATCH(INPUT_Chart!$C$5,{"Aries","Taurus","Gemini","Cancer","Leo","Virgo","Libra","Scorpio","Sagittarius","Capricorn","Aquarius","Pisces"},0),12)+1)+12,12)+1,{8,11,12},0)),1,0),0)+IFERROR(IF(ISNUMBER(MATCH(MOD(12-(MOD(MATCH(CALC_PlanetPositions!$B$8,{"Aries","Taurus","Gemini","Cancer","Leo","Virgo","Libra","Scorpio","Sagittarius","Capricorn","Aquarius","Pisces"},0)-MATCH(INPUT_Chart!$C$5,{"Aries","Taurus","Gemini","Cancer","Leo","Virgo","Libra","Scorpio","Sagittarius","Capricorn","Aquarius","Pisces"},0),12)+1)+12,12)+1,{1,2,3,4,5,8,9,11,12},0)),1,0),0)+IFERROR(IF(ISNUMBER(MATCH(MOD(12-(MOD(MATCH(CALC_PlanetPositions!$B$9,{"Aries","Taurus","Gemini","Cancer","Leo","Virgo","Libra","Scorpio","Sagittarius","Capricorn","Aquarius","Pisces"},0)-MATCH(INPUT_Chart!$C$5,{"Aries","Taurus","Gemini","Cancer","Leo","Virgo","Libra","Scorpio","Sagittarius","Capricorn","Aquarius","Pisces"},0),12)+1)+12,12)+1,{3,5,6,9,11,12},0)),1,0),0)+IFERROR(IF(ISNUMBER(MATCH(MOD(12-(MOD(MATCH(CALC_PlanetPositions!$B$10,{"Aries","Taurus","Gemini","Cancer","Leo","Virgo","Libra","Scorpio","Sagittarius","Capricorn","Aquarius","Pisces"},0)-MATCH(INPUT_Chart!$C$5,{"Aries","Taurus","Gemini","Cancer","Leo","Virgo","Libra","Scorpio","Sagittarius","Capricorn","Aquarius","Pisces"},0),12)+1)+12,12)+1,{3,5,6,9,11},0)),1,0),0)+IFERROR(IF(ISNUMBER(MATCH(MOD(12-(MOD(MATCH(CALC_PlanetPositions!$B$11,{"Aries","Taurus","Gemini","Cancer","Leo","Virgo","Libra","Scorpio","Sagittarius","Capricorn","Aquarius","Pisces"},0)-MATCH(INPUT_Chart!$C$5,{"Aries","Taurus","Gemini","Cancer","Leo","Virgo","Libra","Scorpio","Sagittarius","Capricorn","Aquarius","Pisces"},0),12)+1)+12,12)+1,{5,8,9,10,11},0)),1,0),0)+IFERROR(IF(ISNUMBER(MATCH(MOD(12-(MOD(MATCH(CALC_PlanetPositions!$B$12,{"Aries","Taurus","Gemini","Cancer","Leo","Virgo","Libra","Scorpio","Sagittarius","Capricorn","Aquarius","Pisces"},0)-MATCH(INPUT_Chart!$C$5,{"Aries","Taurus","Gemini","Cancer","Leo","Virgo","Libra","Scorpio","Sagittarius","Capricorn","Aquarius","Pisces"},0),12)+1)+12,12)+1,{1,2,3,4,5,8,9,10,11},0)),1,0),0)+IFERROR(IF(ISNUMBER(MATCH(MOD(12-(MOD(MATCH(CALC_PlanetPositions!$B$13,{"Aries","Taurus","Gemini","Cancer","Leo","Virgo","Libra","Scorpio","Sagittarius","Capricorn","Aquarius","Pisces"},0)-MATCH(INPUT_Chart!$C$5,{"Aries","Taurus","Gemini","Cancer","Leo","Virgo","Libra","Scorpio","Sagittarius","Capricorn","Aquarius","Pisces"},0),12)+1)+12,12)+1,{3,4,5,8,9,10,11},0)),1,0),0)+IFERROR(IF(ISNUMBER(MATCH(MOD(12-(MOD(MATCH(INPUT_Chart!$C$5,{"Aries","Taurus","Gemini","Cancer","Leo","Virgo","Libra","Scorpio","Sagittarius","Capricorn","Aquarius","Pisces"},0)-MATCH(INPUT_Chart!$C$5,{"Aries","Taurus","Gemini","Cancer","Leo","Virgo","Libra","Scorpio","Sagittarius","Capricorn","Aquarius","Pisces"},0),12)+1)+12,12)+1,{1,2,3,4,5,8,9,11},0)),1,0),0),0)</f>
        <v>3</v>
      </c>
      <c r="N11" s="631">
        <f t="shared" si="0"/>
        <v>52</v>
      </c>
      <c r="O11" s="834">
        <f t="shared" si="1"/>
        <v>4.333333333333333</v>
      </c>
      <c r="P11" s="835" t="s">
        <v>3745</v>
      </c>
    </row>
    <row r="12" spans="1:17" ht="15.75" customHeight="1" x14ac:dyDescent="0.2">
      <c r="A12" s="546" t="s">
        <v>272</v>
      </c>
      <c r="B12" s="830">
        <f>IFERROR(IFERROR(IF(ISNUMBER(MATCH(MOD(1-(MOD(MATCH(CALC_PlanetPositions!$B$7,{"Aries","Taurus","Gemini","Cancer","Leo","Virgo","Libra","Scorpio","Sagittarius","Capricorn","Aquarius","Pisces"},0)-MATCH(INPUT_Chart!$C$5,{"Aries","Taurus","Gemini","Cancer","Leo","Virgo","Libra","Scorpio","Sagittarius","Capricorn","Aquarius","Pisces"},0),12)+1)+12,12)+1,{1,2,4,7,8,10,11},0)),1,0),0)+IFERROR(IF(ISNUMBER(MATCH(MOD(1-(MOD(MATCH(CALC_PlanetPositions!$B$8,{"Aries","Taurus","Gemini","Cancer","Leo","Virgo","Libra","Scorpio","Sagittarius","Capricorn","Aquarius","Pisces"},0)-MATCH(INPUT_Chart!$C$5,{"Aries","Taurus","Gemini","Cancer","Leo","Virgo","Libra","Scorpio","Sagittarius","Capricorn","Aquarius","Pisces"},0),12)+1)+12,12)+1,{3,6,11},0)),1,0),0)+IFERROR(IF(ISNUMBER(MATCH(MOD(1-(MOD(MATCH(CALC_PlanetPositions!$B$9,{"Aries","Taurus","Gemini","Cancer","Leo","Virgo","Libra","Scorpio","Sagittarius","Capricorn","Aquarius","Pisces"},0)-MATCH(INPUT_Chart!$C$5,{"Aries","Taurus","Gemini","Cancer","Leo","Virgo","Libra","Scorpio","Sagittarius","Capricorn","Aquarius","Pisces"},0),12)+1)+12,12)+1,{3,5,6,10,11,12},0)),1,0),0)+IFERROR(IF(ISNUMBER(MATCH(MOD(1-(MOD(MATCH(CALC_PlanetPositions!$B$10,{"Aries","Taurus","Gemini","Cancer","Leo","Virgo","Libra","Scorpio","Sagittarius","Capricorn","Aquarius","Pisces"},0)-MATCH(INPUT_Chart!$C$5,{"Aries","Taurus","Gemini","Cancer","Leo","Virgo","Libra","Scorpio","Sagittarius","Capricorn","Aquarius","Pisces"},0),12)+1)+12,12)+1,{6,8,9,10,11,12},0)),1,0),0)+IFERROR(IF(ISNUMBER(MATCH(MOD(1-(MOD(MATCH(CALC_PlanetPositions!$B$11,{"Aries","Taurus","Gemini","Cancer","Leo","Virgo","Libra","Scorpio","Sagittarius","Capricorn","Aquarius","Pisces"},0)-MATCH(INPUT_Chart!$C$5,{"Aries","Taurus","Gemini","Cancer","Leo","Virgo","Libra","Scorpio","Sagittarius","Capricorn","Aquarius","Pisces"},0),12)+1)+12,12)+1,{5,6,11,12},0)),1,0),0)+IFERROR(IF(ISNUMBER(MATCH(MOD(1-(MOD(MATCH(CALC_PlanetPositions!$B$12,{"Aries","Taurus","Gemini","Cancer","Leo","Virgo","Libra","Scorpio","Sagittarius","Capricorn","Aquarius","Pisces"},0)-MATCH(INPUT_Chart!$C$5,{"Aries","Taurus","Gemini","Cancer","Leo","Virgo","Libra","Scorpio","Sagittarius","Capricorn","Aquarius","Pisces"},0),12)+1)+12,12)+1,{6,11,12},0)),1,0),0)+IFERROR(IF(ISNUMBER(MATCH(MOD(1-(MOD(MATCH(CALC_PlanetPositions!$B$13,{"Aries","Taurus","Gemini","Cancer","Leo","Virgo","Libra","Scorpio","Sagittarius","Capricorn","Aquarius","Pisces"},0)-MATCH(INPUT_Chart!$C$5,{"Aries","Taurus","Gemini","Cancer","Leo","Virgo","Libra","Scorpio","Sagittarius","Capricorn","Aquarius","Pisces"},0),12)+1)+12,12)+1,{3,5,6,11},0)),1,0),0)+IFERROR(IF(ISNUMBER(MATCH(MOD(1-(MOD(MATCH(INPUT_Chart!$C$5,{"Aries","Taurus","Gemini","Cancer","Leo","Virgo","Libra","Scorpio","Sagittarius","Capricorn","Aquarius","Pisces"},0)-MATCH(INPUT_Chart!$C$5,{"Aries","Taurus","Gemini","Cancer","Leo","Virgo","Libra","Scorpio","Sagittarius","Capricorn","Aquarius","Pisces"},0),12)+1)+12,12)+1,{1,3,4,6,10,11},0)),1,0),0),0)</f>
        <v>7</v>
      </c>
      <c r="C12" s="830">
        <f>IFERROR(IFERROR(IF(ISNUMBER(MATCH(MOD(2-(MOD(MATCH(CALC_PlanetPositions!$B$7,{"Aries","Taurus","Gemini","Cancer","Leo","Virgo","Libra","Scorpio","Sagittarius","Capricorn","Aquarius","Pisces"},0)-MATCH(INPUT_Chart!$C$5,{"Aries","Taurus","Gemini","Cancer","Leo","Virgo","Libra","Scorpio","Sagittarius","Capricorn","Aquarius","Pisces"},0),12)+1)+12,12)+1,{1,2,4,7,8,10,11},0)),1,0),0)+IFERROR(IF(ISNUMBER(MATCH(MOD(2-(MOD(MATCH(CALC_PlanetPositions!$B$8,{"Aries","Taurus","Gemini","Cancer","Leo","Virgo","Libra","Scorpio","Sagittarius","Capricorn","Aquarius","Pisces"},0)-MATCH(INPUT_Chart!$C$5,{"Aries","Taurus","Gemini","Cancer","Leo","Virgo","Libra","Scorpio","Sagittarius","Capricorn","Aquarius","Pisces"},0),12)+1)+12,12)+1,{3,6,11},0)),1,0),0)+IFERROR(IF(ISNUMBER(MATCH(MOD(2-(MOD(MATCH(CALC_PlanetPositions!$B$9,{"Aries","Taurus","Gemini","Cancer","Leo","Virgo","Libra","Scorpio","Sagittarius","Capricorn","Aquarius","Pisces"},0)-MATCH(INPUT_Chart!$C$5,{"Aries","Taurus","Gemini","Cancer","Leo","Virgo","Libra","Scorpio","Sagittarius","Capricorn","Aquarius","Pisces"},0),12)+1)+12,12)+1,{3,5,6,10,11,12},0)),1,0),0)+IFERROR(IF(ISNUMBER(MATCH(MOD(2-(MOD(MATCH(CALC_PlanetPositions!$B$10,{"Aries","Taurus","Gemini","Cancer","Leo","Virgo","Libra","Scorpio","Sagittarius","Capricorn","Aquarius","Pisces"},0)-MATCH(INPUT_Chart!$C$5,{"Aries","Taurus","Gemini","Cancer","Leo","Virgo","Libra","Scorpio","Sagittarius","Capricorn","Aquarius","Pisces"},0),12)+1)+12,12)+1,{6,8,9,10,11,12},0)),1,0),0)+IFERROR(IF(ISNUMBER(MATCH(MOD(2-(MOD(MATCH(CALC_PlanetPositions!$B$11,{"Aries","Taurus","Gemini","Cancer","Leo","Virgo","Libra","Scorpio","Sagittarius","Capricorn","Aquarius","Pisces"},0)-MATCH(INPUT_Chart!$C$5,{"Aries","Taurus","Gemini","Cancer","Leo","Virgo","Libra","Scorpio","Sagittarius","Capricorn","Aquarius","Pisces"},0),12)+1)+12,12)+1,{5,6,11,12},0)),1,0),0)+IFERROR(IF(ISNUMBER(MATCH(MOD(2-(MOD(MATCH(CALC_PlanetPositions!$B$12,{"Aries","Taurus","Gemini","Cancer","Leo","Virgo","Libra","Scorpio","Sagittarius","Capricorn","Aquarius","Pisces"},0)-MATCH(INPUT_Chart!$C$5,{"Aries","Taurus","Gemini","Cancer","Leo","Virgo","Libra","Scorpio","Sagittarius","Capricorn","Aquarius","Pisces"},0),12)+1)+12,12)+1,{6,11,12},0)),1,0),0)+IFERROR(IF(ISNUMBER(MATCH(MOD(2-(MOD(MATCH(CALC_PlanetPositions!$B$13,{"Aries","Taurus","Gemini","Cancer","Leo","Virgo","Libra","Scorpio","Sagittarius","Capricorn","Aquarius","Pisces"},0)-MATCH(INPUT_Chart!$C$5,{"Aries","Taurus","Gemini","Cancer","Leo","Virgo","Libra","Scorpio","Sagittarius","Capricorn","Aquarius","Pisces"},0),12)+1)+12,12)+1,{3,5,6,11},0)),1,0),0)+IFERROR(IF(ISNUMBER(MATCH(MOD(2-(MOD(MATCH(INPUT_Chart!$C$5,{"Aries","Taurus","Gemini","Cancer","Leo","Virgo","Libra","Scorpio","Sagittarius","Capricorn","Aquarius","Pisces"},0)-MATCH(INPUT_Chart!$C$5,{"Aries","Taurus","Gemini","Cancer","Leo","Virgo","Libra","Scorpio","Sagittarius","Capricorn","Aquarius","Pisces"},0),12)+1)+12,12)+1,{1,3,4,6,10,11},0)),1,0),0),0)</f>
        <v>2</v>
      </c>
      <c r="D12" s="830">
        <f>IFERROR(IFERROR(IF(ISNUMBER(MATCH(MOD(3-(MOD(MATCH(CALC_PlanetPositions!$B$7,{"Aries","Taurus","Gemini","Cancer","Leo","Virgo","Libra","Scorpio","Sagittarius","Capricorn","Aquarius","Pisces"},0)-MATCH(INPUT_Chart!$C$5,{"Aries","Taurus","Gemini","Cancer","Leo","Virgo","Libra","Scorpio","Sagittarius","Capricorn","Aquarius","Pisces"},0),12)+1)+12,12)+1,{1,2,4,7,8,10,11},0)),1,0),0)+IFERROR(IF(ISNUMBER(MATCH(MOD(3-(MOD(MATCH(CALC_PlanetPositions!$B$8,{"Aries","Taurus","Gemini","Cancer","Leo","Virgo","Libra","Scorpio","Sagittarius","Capricorn","Aquarius","Pisces"},0)-MATCH(INPUT_Chart!$C$5,{"Aries","Taurus","Gemini","Cancer","Leo","Virgo","Libra","Scorpio","Sagittarius","Capricorn","Aquarius","Pisces"},0),12)+1)+12,12)+1,{3,6,11},0)),1,0),0)+IFERROR(IF(ISNUMBER(MATCH(MOD(3-(MOD(MATCH(CALC_PlanetPositions!$B$9,{"Aries","Taurus","Gemini","Cancer","Leo","Virgo","Libra","Scorpio","Sagittarius","Capricorn","Aquarius","Pisces"},0)-MATCH(INPUT_Chart!$C$5,{"Aries","Taurus","Gemini","Cancer","Leo","Virgo","Libra","Scorpio","Sagittarius","Capricorn","Aquarius","Pisces"},0),12)+1)+12,12)+1,{3,5,6,10,11,12},0)),1,0),0)+IFERROR(IF(ISNUMBER(MATCH(MOD(3-(MOD(MATCH(CALC_PlanetPositions!$B$10,{"Aries","Taurus","Gemini","Cancer","Leo","Virgo","Libra","Scorpio","Sagittarius","Capricorn","Aquarius","Pisces"},0)-MATCH(INPUT_Chart!$C$5,{"Aries","Taurus","Gemini","Cancer","Leo","Virgo","Libra","Scorpio","Sagittarius","Capricorn","Aquarius","Pisces"},0),12)+1)+12,12)+1,{6,8,9,10,11,12},0)),1,0),0)+IFERROR(IF(ISNUMBER(MATCH(MOD(3-(MOD(MATCH(CALC_PlanetPositions!$B$11,{"Aries","Taurus","Gemini","Cancer","Leo","Virgo","Libra","Scorpio","Sagittarius","Capricorn","Aquarius","Pisces"},0)-MATCH(INPUT_Chart!$C$5,{"Aries","Taurus","Gemini","Cancer","Leo","Virgo","Libra","Scorpio","Sagittarius","Capricorn","Aquarius","Pisces"},0),12)+1)+12,12)+1,{5,6,11,12},0)),1,0),0)+IFERROR(IF(ISNUMBER(MATCH(MOD(3-(MOD(MATCH(CALC_PlanetPositions!$B$12,{"Aries","Taurus","Gemini","Cancer","Leo","Virgo","Libra","Scorpio","Sagittarius","Capricorn","Aquarius","Pisces"},0)-MATCH(INPUT_Chart!$C$5,{"Aries","Taurus","Gemini","Cancer","Leo","Virgo","Libra","Scorpio","Sagittarius","Capricorn","Aquarius","Pisces"},0),12)+1)+12,12)+1,{6,11,12},0)),1,0),0)+IFERROR(IF(ISNUMBER(MATCH(MOD(3-(MOD(MATCH(CALC_PlanetPositions!$B$13,{"Aries","Taurus","Gemini","Cancer","Leo","Virgo","Libra","Scorpio","Sagittarius","Capricorn","Aquarius","Pisces"},0)-MATCH(INPUT_Chart!$C$5,{"Aries","Taurus","Gemini","Cancer","Leo","Virgo","Libra","Scorpio","Sagittarius","Capricorn","Aquarius","Pisces"},0),12)+1)+12,12)+1,{3,5,6,11},0)),1,0),0)+IFERROR(IF(ISNUMBER(MATCH(MOD(3-(MOD(MATCH(INPUT_Chart!$C$5,{"Aries","Taurus","Gemini","Cancer","Leo","Virgo","Libra","Scorpio","Sagittarius","Capricorn","Aquarius","Pisces"},0)-MATCH(INPUT_Chart!$C$5,{"Aries","Taurus","Gemini","Cancer","Leo","Virgo","Libra","Scorpio","Sagittarius","Capricorn","Aquarius","Pisces"},0),12)+1)+12,12)+1,{1,3,4,6,10,11},0)),1,0),0),0)</f>
        <v>2</v>
      </c>
      <c r="E12" s="830">
        <f>IFERROR(IFERROR(IF(ISNUMBER(MATCH(MOD(4-(MOD(MATCH(CALC_PlanetPositions!$B$7,{"Aries","Taurus","Gemini","Cancer","Leo","Virgo","Libra","Scorpio","Sagittarius","Capricorn","Aquarius","Pisces"},0)-MATCH(INPUT_Chart!$C$5,{"Aries","Taurus","Gemini","Cancer","Leo","Virgo","Libra","Scorpio","Sagittarius","Capricorn","Aquarius","Pisces"},0),12)+1)+12,12)+1,{1,2,4,7,8,10,11},0)),1,0),0)+IFERROR(IF(ISNUMBER(MATCH(MOD(4-(MOD(MATCH(CALC_PlanetPositions!$B$8,{"Aries","Taurus","Gemini","Cancer","Leo","Virgo","Libra","Scorpio","Sagittarius","Capricorn","Aquarius","Pisces"},0)-MATCH(INPUT_Chart!$C$5,{"Aries","Taurus","Gemini","Cancer","Leo","Virgo","Libra","Scorpio","Sagittarius","Capricorn","Aquarius","Pisces"},0),12)+1)+12,12)+1,{3,6,11},0)),1,0),0)+IFERROR(IF(ISNUMBER(MATCH(MOD(4-(MOD(MATCH(CALC_PlanetPositions!$B$9,{"Aries","Taurus","Gemini","Cancer","Leo","Virgo","Libra","Scorpio","Sagittarius","Capricorn","Aquarius","Pisces"},0)-MATCH(INPUT_Chart!$C$5,{"Aries","Taurus","Gemini","Cancer","Leo","Virgo","Libra","Scorpio","Sagittarius","Capricorn","Aquarius","Pisces"},0),12)+1)+12,12)+1,{3,5,6,10,11,12},0)),1,0),0)+IFERROR(IF(ISNUMBER(MATCH(MOD(4-(MOD(MATCH(CALC_PlanetPositions!$B$10,{"Aries","Taurus","Gemini","Cancer","Leo","Virgo","Libra","Scorpio","Sagittarius","Capricorn","Aquarius","Pisces"},0)-MATCH(INPUT_Chart!$C$5,{"Aries","Taurus","Gemini","Cancer","Leo","Virgo","Libra","Scorpio","Sagittarius","Capricorn","Aquarius","Pisces"},0),12)+1)+12,12)+1,{6,8,9,10,11,12},0)),1,0),0)+IFERROR(IF(ISNUMBER(MATCH(MOD(4-(MOD(MATCH(CALC_PlanetPositions!$B$11,{"Aries","Taurus","Gemini","Cancer","Leo","Virgo","Libra","Scorpio","Sagittarius","Capricorn","Aquarius","Pisces"},0)-MATCH(INPUT_Chart!$C$5,{"Aries","Taurus","Gemini","Cancer","Leo","Virgo","Libra","Scorpio","Sagittarius","Capricorn","Aquarius","Pisces"},0),12)+1)+12,12)+1,{5,6,11,12},0)),1,0),0)+IFERROR(IF(ISNUMBER(MATCH(MOD(4-(MOD(MATCH(CALC_PlanetPositions!$B$12,{"Aries","Taurus","Gemini","Cancer","Leo","Virgo","Libra","Scorpio","Sagittarius","Capricorn","Aquarius","Pisces"},0)-MATCH(INPUT_Chart!$C$5,{"Aries","Taurus","Gemini","Cancer","Leo","Virgo","Libra","Scorpio","Sagittarius","Capricorn","Aquarius","Pisces"},0),12)+1)+12,12)+1,{6,11,12},0)),1,0),0)+IFERROR(IF(ISNUMBER(MATCH(MOD(4-(MOD(MATCH(CALC_PlanetPositions!$B$13,{"Aries","Taurus","Gemini","Cancer","Leo","Virgo","Libra","Scorpio","Sagittarius","Capricorn","Aquarius","Pisces"},0)-MATCH(INPUT_Chart!$C$5,{"Aries","Taurus","Gemini","Cancer","Leo","Virgo","Libra","Scorpio","Sagittarius","Capricorn","Aquarius","Pisces"},0),12)+1)+12,12)+1,{3,5,6,11},0)),1,0),0)+IFERROR(IF(ISNUMBER(MATCH(MOD(4-(MOD(MATCH(INPUT_Chart!$C$5,{"Aries","Taurus","Gemini","Cancer","Leo","Virgo","Libra","Scorpio","Sagittarius","Capricorn","Aquarius","Pisces"},0)-MATCH(INPUT_Chart!$C$5,{"Aries","Taurus","Gemini","Cancer","Leo","Virgo","Libra","Scorpio","Sagittarius","Capricorn","Aquarius","Pisces"},0),12)+1)+12,12)+1,{1,3,4,6,10,11},0)),1,0),0),0)</f>
        <v>4</v>
      </c>
      <c r="F12" s="830">
        <f>IFERROR(IFERROR(IF(ISNUMBER(MATCH(MOD(5-(MOD(MATCH(CALC_PlanetPositions!$B$7,{"Aries","Taurus","Gemini","Cancer","Leo","Virgo","Libra","Scorpio","Sagittarius","Capricorn","Aquarius","Pisces"},0)-MATCH(INPUT_Chart!$C$5,{"Aries","Taurus","Gemini","Cancer","Leo","Virgo","Libra","Scorpio","Sagittarius","Capricorn","Aquarius","Pisces"},0),12)+1)+12,12)+1,{1,2,4,7,8,10,11},0)),1,0),0)+IFERROR(IF(ISNUMBER(MATCH(MOD(5-(MOD(MATCH(CALC_PlanetPositions!$B$8,{"Aries","Taurus","Gemini","Cancer","Leo","Virgo","Libra","Scorpio","Sagittarius","Capricorn","Aquarius","Pisces"},0)-MATCH(INPUT_Chart!$C$5,{"Aries","Taurus","Gemini","Cancer","Leo","Virgo","Libra","Scorpio","Sagittarius","Capricorn","Aquarius","Pisces"},0),12)+1)+12,12)+1,{3,6,11},0)),1,0),0)+IFERROR(IF(ISNUMBER(MATCH(MOD(5-(MOD(MATCH(CALC_PlanetPositions!$B$9,{"Aries","Taurus","Gemini","Cancer","Leo","Virgo","Libra","Scorpio","Sagittarius","Capricorn","Aquarius","Pisces"},0)-MATCH(INPUT_Chart!$C$5,{"Aries","Taurus","Gemini","Cancer","Leo","Virgo","Libra","Scorpio","Sagittarius","Capricorn","Aquarius","Pisces"},0),12)+1)+12,12)+1,{3,5,6,10,11,12},0)),1,0),0)+IFERROR(IF(ISNUMBER(MATCH(MOD(5-(MOD(MATCH(CALC_PlanetPositions!$B$10,{"Aries","Taurus","Gemini","Cancer","Leo","Virgo","Libra","Scorpio","Sagittarius","Capricorn","Aquarius","Pisces"},0)-MATCH(INPUT_Chart!$C$5,{"Aries","Taurus","Gemini","Cancer","Leo","Virgo","Libra","Scorpio","Sagittarius","Capricorn","Aquarius","Pisces"},0),12)+1)+12,12)+1,{6,8,9,10,11,12},0)),1,0),0)+IFERROR(IF(ISNUMBER(MATCH(MOD(5-(MOD(MATCH(CALC_PlanetPositions!$B$11,{"Aries","Taurus","Gemini","Cancer","Leo","Virgo","Libra","Scorpio","Sagittarius","Capricorn","Aquarius","Pisces"},0)-MATCH(INPUT_Chart!$C$5,{"Aries","Taurus","Gemini","Cancer","Leo","Virgo","Libra","Scorpio","Sagittarius","Capricorn","Aquarius","Pisces"},0),12)+1)+12,12)+1,{5,6,11,12},0)),1,0),0)+IFERROR(IF(ISNUMBER(MATCH(MOD(5-(MOD(MATCH(CALC_PlanetPositions!$B$12,{"Aries","Taurus","Gemini","Cancer","Leo","Virgo","Libra","Scorpio","Sagittarius","Capricorn","Aquarius","Pisces"},0)-MATCH(INPUT_Chart!$C$5,{"Aries","Taurus","Gemini","Cancer","Leo","Virgo","Libra","Scorpio","Sagittarius","Capricorn","Aquarius","Pisces"},0),12)+1)+12,12)+1,{6,11,12},0)),1,0),0)+IFERROR(IF(ISNUMBER(MATCH(MOD(5-(MOD(MATCH(CALC_PlanetPositions!$B$13,{"Aries","Taurus","Gemini","Cancer","Leo","Virgo","Libra","Scorpio","Sagittarius","Capricorn","Aquarius","Pisces"},0)-MATCH(INPUT_Chart!$C$5,{"Aries","Taurus","Gemini","Cancer","Leo","Virgo","Libra","Scorpio","Sagittarius","Capricorn","Aquarius","Pisces"},0),12)+1)+12,12)+1,{3,5,6,11},0)),1,0),0)+IFERROR(IF(ISNUMBER(MATCH(MOD(5-(MOD(MATCH(INPUT_Chart!$C$5,{"Aries","Taurus","Gemini","Cancer","Leo","Virgo","Libra","Scorpio","Sagittarius","Capricorn","Aquarius","Pisces"},0)-MATCH(INPUT_Chart!$C$5,{"Aries","Taurus","Gemini","Cancer","Leo","Virgo","Libra","Scorpio","Sagittarius","Capricorn","Aquarius","Pisces"},0),12)+1)+12,12)+1,{1,3,4,6,10,11},0)),1,0),0),0)</f>
        <v>3</v>
      </c>
      <c r="G12" s="830">
        <f>IFERROR(IFERROR(IF(ISNUMBER(MATCH(MOD(6-(MOD(MATCH(CALC_PlanetPositions!$B$7,{"Aries","Taurus","Gemini","Cancer","Leo","Virgo","Libra","Scorpio","Sagittarius","Capricorn","Aquarius","Pisces"},0)-MATCH(INPUT_Chart!$C$5,{"Aries","Taurus","Gemini","Cancer","Leo","Virgo","Libra","Scorpio","Sagittarius","Capricorn","Aquarius","Pisces"},0),12)+1)+12,12)+1,{1,2,4,7,8,10,11},0)),1,0),0)+IFERROR(IF(ISNUMBER(MATCH(MOD(6-(MOD(MATCH(CALC_PlanetPositions!$B$8,{"Aries","Taurus","Gemini","Cancer","Leo","Virgo","Libra","Scorpio","Sagittarius","Capricorn","Aquarius","Pisces"},0)-MATCH(INPUT_Chart!$C$5,{"Aries","Taurus","Gemini","Cancer","Leo","Virgo","Libra","Scorpio","Sagittarius","Capricorn","Aquarius","Pisces"},0),12)+1)+12,12)+1,{3,6,11},0)),1,0),0)+IFERROR(IF(ISNUMBER(MATCH(MOD(6-(MOD(MATCH(CALC_PlanetPositions!$B$9,{"Aries","Taurus","Gemini","Cancer","Leo","Virgo","Libra","Scorpio","Sagittarius","Capricorn","Aquarius","Pisces"},0)-MATCH(INPUT_Chart!$C$5,{"Aries","Taurus","Gemini","Cancer","Leo","Virgo","Libra","Scorpio","Sagittarius","Capricorn","Aquarius","Pisces"},0),12)+1)+12,12)+1,{3,5,6,10,11,12},0)),1,0),0)+IFERROR(IF(ISNUMBER(MATCH(MOD(6-(MOD(MATCH(CALC_PlanetPositions!$B$10,{"Aries","Taurus","Gemini","Cancer","Leo","Virgo","Libra","Scorpio","Sagittarius","Capricorn","Aquarius","Pisces"},0)-MATCH(INPUT_Chart!$C$5,{"Aries","Taurus","Gemini","Cancer","Leo","Virgo","Libra","Scorpio","Sagittarius","Capricorn","Aquarius","Pisces"},0),12)+1)+12,12)+1,{6,8,9,10,11,12},0)),1,0),0)+IFERROR(IF(ISNUMBER(MATCH(MOD(6-(MOD(MATCH(CALC_PlanetPositions!$B$11,{"Aries","Taurus","Gemini","Cancer","Leo","Virgo","Libra","Scorpio","Sagittarius","Capricorn","Aquarius","Pisces"},0)-MATCH(INPUT_Chart!$C$5,{"Aries","Taurus","Gemini","Cancer","Leo","Virgo","Libra","Scorpio","Sagittarius","Capricorn","Aquarius","Pisces"},0),12)+1)+12,12)+1,{5,6,11,12},0)),1,0),0)+IFERROR(IF(ISNUMBER(MATCH(MOD(6-(MOD(MATCH(CALC_PlanetPositions!$B$12,{"Aries","Taurus","Gemini","Cancer","Leo","Virgo","Libra","Scorpio","Sagittarius","Capricorn","Aquarius","Pisces"},0)-MATCH(INPUT_Chart!$C$5,{"Aries","Taurus","Gemini","Cancer","Leo","Virgo","Libra","Scorpio","Sagittarius","Capricorn","Aquarius","Pisces"},0),12)+1)+12,12)+1,{6,11,12},0)),1,0),0)+IFERROR(IF(ISNUMBER(MATCH(MOD(6-(MOD(MATCH(CALC_PlanetPositions!$B$13,{"Aries","Taurus","Gemini","Cancer","Leo","Virgo","Libra","Scorpio","Sagittarius","Capricorn","Aquarius","Pisces"},0)-MATCH(INPUT_Chart!$C$5,{"Aries","Taurus","Gemini","Cancer","Leo","Virgo","Libra","Scorpio","Sagittarius","Capricorn","Aquarius","Pisces"},0),12)+1)+12,12)+1,{3,5,6,11},0)),1,0),0)+IFERROR(IF(ISNUMBER(MATCH(MOD(6-(MOD(MATCH(INPUT_Chart!$C$5,{"Aries","Taurus","Gemini","Cancer","Leo","Virgo","Libra","Scorpio","Sagittarius","Capricorn","Aquarius","Pisces"},0)-MATCH(INPUT_Chart!$C$5,{"Aries","Taurus","Gemini","Cancer","Leo","Virgo","Libra","Scorpio","Sagittarius","Capricorn","Aquarius","Pisces"},0),12)+1)+12,12)+1,{1,3,4,6,10,11},0)),1,0),0),0)</f>
        <v>3</v>
      </c>
      <c r="H12" s="830">
        <f>IFERROR(IFERROR(IF(ISNUMBER(MATCH(MOD(7-(MOD(MATCH(CALC_PlanetPositions!$B$7,{"Aries","Taurus","Gemini","Cancer","Leo","Virgo","Libra","Scorpio","Sagittarius","Capricorn","Aquarius","Pisces"},0)-MATCH(INPUT_Chart!$C$5,{"Aries","Taurus","Gemini","Cancer","Leo","Virgo","Libra","Scorpio","Sagittarius","Capricorn","Aquarius","Pisces"},0),12)+1)+12,12)+1,{1,2,4,7,8,10,11},0)),1,0),0)+IFERROR(IF(ISNUMBER(MATCH(MOD(7-(MOD(MATCH(CALC_PlanetPositions!$B$8,{"Aries","Taurus","Gemini","Cancer","Leo","Virgo","Libra","Scorpio","Sagittarius","Capricorn","Aquarius","Pisces"},0)-MATCH(INPUT_Chart!$C$5,{"Aries","Taurus","Gemini","Cancer","Leo","Virgo","Libra","Scorpio","Sagittarius","Capricorn","Aquarius","Pisces"},0),12)+1)+12,12)+1,{3,6,11},0)),1,0),0)+IFERROR(IF(ISNUMBER(MATCH(MOD(7-(MOD(MATCH(CALC_PlanetPositions!$B$9,{"Aries","Taurus","Gemini","Cancer","Leo","Virgo","Libra","Scorpio","Sagittarius","Capricorn","Aquarius","Pisces"},0)-MATCH(INPUT_Chart!$C$5,{"Aries","Taurus","Gemini","Cancer","Leo","Virgo","Libra","Scorpio","Sagittarius","Capricorn","Aquarius","Pisces"},0),12)+1)+12,12)+1,{3,5,6,10,11,12},0)),1,0),0)+IFERROR(IF(ISNUMBER(MATCH(MOD(7-(MOD(MATCH(CALC_PlanetPositions!$B$10,{"Aries","Taurus","Gemini","Cancer","Leo","Virgo","Libra","Scorpio","Sagittarius","Capricorn","Aquarius","Pisces"},0)-MATCH(INPUT_Chart!$C$5,{"Aries","Taurus","Gemini","Cancer","Leo","Virgo","Libra","Scorpio","Sagittarius","Capricorn","Aquarius","Pisces"},0),12)+1)+12,12)+1,{6,8,9,10,11,12},0)),1,0),0)+IFERROR(IF(ISNUMBER(MATCH(MOD(7-(MOD(MATCH(CALC_PlanetPositions!$B$11,{"Aries","Taurus","Gemini","Cancer","Leo","Virgo","Libra","Scorpio","Sagittarius","Capricorn","Aquarius","Pisces"},0)-MATCH(INPUT_Chart!$C$5,{"Aries","Taurus","Gemini","Cancer","Leo","Virgo","Libra","Scorpio","Sagittarius","Capricorn","Aquarius","Pisces"},0),12)+1)+12,12)+1,{5,6,11,12},0)),1,0),0)+IFERROR(IF(ISNUMBER(MATCH(MOD(7-(MOD(MATCH(CALC_PlanetPositions!$B$12,{"Aries","Taurus","Gemini","Cancer","Leo","Virgo","Libra","Scorpio","Sagittarius","Capricorn","Aquarius","Pisces"},0)-MATCH(INPUT_Chart!$C$5,{"Aries","Taurus","Gemini","Cancer","Leo","Virgo","Libra","Scorpio","Sagittarius","Capricorn","Aquarius","Pisces"},0),12)+1)+12,12)+1,{6,11,12},0)),1,0),0)+IFERROR(IF(ISNUMBER(MATCH(MOD(7-(MOD(MATCH(CALC_PlanetPositions!$B$13,{"Aries","Taurus","Gemini","Cancer","Leo","Virgo","Libra","Scorpio","Sagittarius","Capricorn","Aquarius","Pisces"},0)-MATCH(INPUT_Chart!$C$5,{"Aries","Taurus","Gemini","Cancer","Leo","Virgo","Libra","Scorpio","Sagittarius","Capricorn","Aquarius","Pisces"},0),12)+1)+12,12)+1,{3,5,6,11},0)),1,0),0)+IFERROR(IF(ISNUMBER(MATCH(MOD(7-(MOD(MATCH(INPUT_Chart!$C$5,{"Aries","Taurus","Gemini","Cancer","Leo","Virgo","Libra","Scorpio","Sagittarius","Capricorn","Aquarius","Pisces"},0)-MATCH(INPUT_Chart!$C$5,{"Aries","Taurus","Gemini","Cancer","Leo","Virgo","Libra","Scorpio","Sagittarius","Capricorn","Aquarius","Pisces"},0),12)+1)+12,12)+1,{1,3,4,6,10,11},0)),1,0),0),0)</f>
        <v>2</v>
      </c>
      <c r="I12" s="830">
        <f>IFERROR(IFERROR(IF(ISNUMBER(MATCH(MOD(8-(MOD(MATCH(CALC_PlanetPositions!$B$7,{"Aries","Taurus","Gemini","Cancer","Leo","Virgo","Libra","Scorpio","Sagittarius","Capricorn","Aquarius","Pisces"},0)-MATCH(INPUT_Chart!$C$5,{"Aries","Taurus","Gemini","Cancer","Leo","Virgo","Libra","Scorpio","Sagittarius","Capricorn","Aquarius","Pisces"},0),12)+1)+12,12)+1,{1,2,4,7,8,10,11},0)),1,0),0)+IFERROR(IF(ISNUMBER(MATCH(MOD(8-(MOD(MATCH(CALC_PlanetPositions!$B$8,{"Aries","Taurus","Gemini","Cancer","Leo","Virgo","Libra","Scorpio","Sagittarius","Capricorn","Aquarius","Pisces"},0)-MATCH(INPUT_Chart!$C$5,{"Aries","Taurus","Gemini","Cancer","Leo","Virgo","Libra","Scorpio","Sagittarius","Capricorn","Aquarius","Pisces"},0),12)+1)+12,12)+1,{3,6,11},0)),1,0),0)+IFERROR(IF(ISNUMBER(MATCH(MOD(8-(MOD(MATCH(CALC_PlanetPositions!$B$9,{"Aries","Taurus","Gemini","Cancer","Leo","Virgo","Libra","Scorpio","Sagittarius","Capricorn","Aquarius","Pisces"},0)-MATCH(INPUT_Chart!$C$5,{"Aries","Taurus","Gemini","Cancer","Leo","Virgo","Libra","Scorpio","Sagittarius","Capricorn","Aquarius","Pisces"},0),12)+1)+12,12)+1,{3,5,6,10,11,12},0)),1,0),0)+IFERROR(IF(ISNUMBER(MATCH(MOD(8-(MOD(MATCH(CALC_PlanetPositions!$B$10,{"Aries","Taurus","Gemini","Cancer","Leo","Virgo","Libra","Scorpio","Sagittarius","Capricorn","Aquarius","Pisces"},0)-MATCH(INPUT_Chart!$C$5,{"Aries","Taurus","Gemini","Cancer","Leo","Virgo","Libra","Scorpio","Sagittarius","Capricorn","Aquarius","Pisces"},0),12)+1)+12,12)+1,{6,8,9,10,11,12},0)),1,0),0)+IFERROR(IF(ISNUMBER(MATCH(MOD(8-(MOD(MATCH(CALC_PlanetPositions!$B$11,{"Aries","Taurus","Gemini","Cancer","Leo","Virgo","Libra","Scorpio","Sagittarius","Capricorn","Aquarius","Pisces"},0)-MATCH(INPUT_Chart!$C$5,{"Aries","Taurus","Gemini","Cancer","Leo","Virgo","Libra","Scorpio","Sagittarius","Capricorn","Aquarius","Pisces"},0),12)+1)+12,12)+1,{5,6,11,12},0)),1,0),0)+IFERROR(IF(ISNUMBER(MATCH(MOD(8-(MOD(MATCH(CALC_PlanetPositions!$B$12,{"Aries","Taurus","Gemini","Cancer","Leo","Virgo","Libra","Scorpio","Sagittarius","Capricorn","Aquarius","Pisces"},0)-MATCH(INPUT_Chart!$C$5,{"Aries","Taurus","Gemini","Cancer","Leo","Virgo","Libra","Scorpio","Sagittarius","Capricorn","Aquarius","Pisces"},0),12)+1)+12,12)+1,{6,11,12},0)),1,0),0)+IFERROR(IF(ISNUMBER(MATCH(MOD(8-(MOD(MATCH(CALC_PlanetPositions!$B$13,{"Aries","Taurus","Gemini","Cancer","Leo","Virgo","Libra","Scorpio","Sagittarius","Capricorn","Aquarius","Pisces"},0)-MATCH(INPUT_Chart!$C$5,{"Aries","Taurus","Gemini","Cancer","Leo","Virgo","Libra","Scorpio","Sagittarius","Capricorn","Aquarius","Pisces"},0),12)+1)+12,12)+1,{3,5,6,11},0)),1,0),0)+IFERROR(IF(ISNUMBER(MATCH(MOD(8-(MOD(MATCH(INPUT_Chart!$C$5,{"Aries","Taurus","Gemini","Cancer","Leo","Virgo","Libra","Scorpio","Sagittarius","Capricorn","Aquarius","Pisces"},0)-MATCH(INPUT_Chart!$C$5,{"Aries","Taurus","Gemini","Cancer","Leo","Virgo","Libra","Scorpio","Sagittarius","Capricorn","Aquarius","Pisces"},0),12)+1)+12,12)+1,{1,3,4,6,10,11},0)),1,0),0),0)</f>
        <v>4</v>
      </c>
      <c r="J12" s="830">
        <f>IFERROR(IFERROR(IF(ISNUMBER(MATCH(MOD(9-(MOD(MATCH(CALC_PlanetPositions!$B$7,{"Aries","Taurus","Gemini","Cancer","Leo","Virgo","Libra","Scorpio","Sagittarius","Capricorn","Aquarius","Pisces"},0)-MATCH(INPUT_Chart!$C$5,{"Aries","Taurus","Gemini","Cancer","Leo","Virgo","Libra","Scorpio","Sagittarius","Capricorn","Aquarius","Pisces"},0),12)+1)+12,12)+1,{1,2,4,7,8,10,11},0)),1,0),0)+IFERROR(IF(ISNUMBER(MATCH(MOD(9-(MOD(MATCH(CALC_PlanetPositions!$B$8,{"Aries","Taurus","Gemini","Cancer","Leo","Virgo","Libra","Scorpio","Sagittarius","Capricorn","Aquarius","Pisces"},0)-MATCH(INPUT_Chart!$C$5,{"Aries","Taurus","Gemini","Cancer","Leo","Virgo","Libra","Scorpio","Sagittarius","Capricorn","Aquarius","Pisces"},0),12)+1)+12,12)+1,{3,6,11},0)),1,0),0)+IFERROR(IF(ISNUMBER(MATCH(MOD(9-(MOD(MATCH(CALC_PlanetPositions!$B$9,{"Aries","Taurus","Gemini","Cancer","Leo","Virgo","Libra","Scorpio","Sagittarius","Capricorn","Aquarius","Pisces"},0)-MATCH(INPUT_Chart!$C$5,{"Aries","Taurus","Gemini","Cancer","Leo","Virgo","Libra","Scorpio","Sagittarius","Capricorn","Aquarius","Pisces"},0),12)+1)+12,12)+1,{3,5,6,10,11,12},0)),1,0),0)+IFERROR(IF(ISNUMBER(MATCH(MOD(9-(MOD(MATCH(CALC_PlanetPositions!$B$10,{"Aries","Taurus","Gemini","Cancer","Leo","Virgo","Libra","Scorpio","Sagittarius","Capricorn","Aquarius","Pisces"},0)-MATCH(INPUT_Chart!$C$5,{"Aries","Taurus","Gemini","Cancer","Leo","Virgo","Libra","Scorpio","Sagittarius","Capricorn","Aquarius","Pisces"},0),12)+1)+12,12)+1,{6,8,9,10,11,12},0)),1,0),0)+IFERROR(IF(ISNUMBER(MATCH(MOD(9-(MOD(MATCH(CALC_PlanetPositions!$B$11,{"Aries","Taurus","Gemini","Cancer","Leo","Virgo","Libra","Scorpio","Sagittarius","Capricorn","Aquarius","Pisces"},0)-MATCH(INPUT_Chart!$C$5,{"Aries","Taurus","Gemini","Cancer","Leo","Virgo","Libra","Scorpio","Sagittarius","Capricorn","Aquarius","Pisces"},0),12)+1)+12,12)+1,{5,6,11,12},0)),1,0),0)+IFERROR(IF(ISNUMBER(MATCH(MOD(9-(MOD(MATCH(CALC_PlanetPositions!$B$12,{"Aries","Taurus","Gemini","Cancer","Leo","Virgo","Libra","Scorpio","Sagittarius","Capricorn","Aquarius","Pisces"},0)-MATCH(INPUT_Chart!$C$5,{"Aries","Taurus","Gemini","Cancer","Leo","Virgo","Libra","Scorpio","Sagittarius","Capricorn","Aquarius","Pisces"},0),12)+1)+12,12)+1,{6,11,12},0)),1,0),0)+IFERROR(IF(ISNUMBER(MATCH(MOD(9-(MOD(MATCH(CALC_PlanetPositions!$B$13,{"Aries","Taurus","Gemini","Cancer","Leo","Virgo","Libra","Scorpio","Sagittarius","Capricorn","Aquarius","Pisces"},0)-MATCH(INPUT_Chart!$C$5,{"Aries","Taurus","Gemini","Cancer","Leo","Virgo","Libra","Scorpio","Sagittarius","Capricorn","Aquarius","Pisces"},0),12)+1)+12,12)+1,{3,5,6,11},0)),1,0),0)+IFERROR(IF(ISNUMBER(MATCH(MOD(9-(MOD(MATCH(INPUT_Chart!$C$5,{"Aries","Taurus","Gemini","Cancer","Leo","Virgo","Libra","Scorpio","Sagittarius","Capricorn","Aquarius","Pisces"},0)-MATCH(INPUT_Chart!$C$5,{"Aries","Taurus","Gemini","Cancer","Leo","Virgo","Libra","Scorpio","Sagittarius","Capricorn","Aquarius","Pisces"},0),12)+1)+12,12)+1,{1,3,4,6,10,11},0)),1,0),0),0)</f>
        <v>1</v>
      </c>
      <c r="K12" s="830">
        <f>IFERROR(IFERROR(IF(ISNUMBER(MATCH(MOD(10-(MOD(MATCH(CALC_PlanetPositions!$B$7,{"Aries","Taurus","Gemini","Cancer","Leo","Virgo","Libra","Scorpio","Sagittarius","Capricorn","Aquarius","Pisces"},0)-MATCH(INPUT_Chart!$C$5,{"Aries","Taurus","Gemini","Cancer","Leo","Virgo","Libra","Scorpio","Sagittarius","Capricorn","Aquarius","Pisces"},0),12)+1)+12,12)+1,{1,2,4,7,8,10,11},0)),1,0),0)+IFERROR(IF(ISNUMBER(MATCH(MOD(10-(MOD(MATCH(CALC_PlanetPositions!$B$8,{"Aries","Taurus","Gemini","Cancer","Leo","Virgo","Libra","Scorpio","Sagittarius","Capricorn","Aquarius","Pisces"},0)-MATCH(INPUT_Chart!$C$5,{"Aries","Taurus","Gemini","Cancer","Leo","Virgo","Libra","Scorpio","Sagittarius","Capricorn","Aquarius","Pisces"},0),12)+1)+12,12)+1,{3,6,11},0)),1,0),0)+IFERROR(IF(ISNUMBER(MATCH(MOD(10-(MOD(MATCH(CALC_PlanetPositions!$B$9,{"Aries","Taurus","Gemini","Cancer","Leo","Virgo","Libra","Scorpio","Sagittarius","Capricorn","Aquarius","Pisces"},0)-MATCH(INPUT_Chart!$C$5,{"Aries","Taurus","Gemini","Cancer","Leo","Virgo","Libra","Scorpio","Sagittarius","Capricorn","Aquarius","Pisces"},0),12)+1)+12,12)+1,{3,5,6,10,11,12},0)),1,0),0)+IFERROR(IF(ISNUMBER(MATCH(MOD(10-(MOD(MATCH(CALC_PlanetPositions!$B$10,{"Aries","Taurus","Gemini","Cancer","Leo","Virgo","Libra","Scorpio","Sagittarius","Capricorn","Aquarius","Pisces"},0)-MATCH(INPUT_Chart!$C$5,{"Aries","Taurus","Gemini","Cancer","Leo","Virgo","Libra","Scorpio","Sagittarius","Capricorn","Aquarius","Pisces"},0),12)+1)+12,12)+1,{6,8,9,10,11,12},0)),1,0),0)+IFERROR(IF(ISNUMBER(MATCH(MOD(10-(MOD(MATCH(CALC_PlanetPositions!$B$11,{"Aries","Taurus","Gemini","Cancer","Leo","Virgo","Libra","Scorpio","Sagittarius","Capricorn","Aquarius","Pisces"},0)-MATCH(INPUT_Chart!$C$5,{"Aries","Taurus","Gemini","Cancer","Leo","Virgo","Libra","Scorpio","Sagittarius","Capricorn","Aquarius","Pisces"},0),12)+1)+12,12)+1,{5,6,11,12},0)),1,0),0)+IFERROR(IF(ISNUMBER(MATCH(MOD(10-(MOD(MATCH(CALC_PlanetPositions!$B$12,{"Aries","Taurus","Gemini","Cancer","Leo","Virgo","Libra","Scorpio","Sagittarius","Capricorn","Aquarius","Pisces"},0)-MATCH(INPUT_Chart!$C$5,{"Aries","Taurus","Gemini","Cancer","Leo","Virgo","Libra","Scorpio","Sagittarius","Capricorn","Aquarius","Pisces"},0),12)+1)+12,12)+1,{6,11,12},0)),1,0),0)+IFERROR(IF(ISNUMBER(MATCH(MOD(10-(MOD(MATCH(CALC_PlanetPositions!$B$13,{"Aries","Taurus","Gemini","Cancer","Leo","Virgo","Libra","Scorpio","Sagittarius","Capricorn","Aquarius","Pisces"},0)-MATCH(INPUT_Chart!$C$5,{"Aries","Taurus","Gemini","Cancer","Leo","Virgo","Libra","Scorpio","Sagittarius","Capricorn","Aquarius","Pisces"},0),12)+1)+12,12)+1,{3,5,6,11},0)),1,0),0)+IFERROR(IF(ISNUMBER(MATCH(MOD(10-(MOD(MATCH(INPUT_Chart!$C$5,{"Aries","Taurus","Gemini","Cancer","Leo","Virgo","Libra","Scorpio","Sagittarius","Capricorn","Aquarius","Pisces"},0)-MATCH(INPUT_Chart!$C$5,{"Aries","Taurus","Gemini","Cancer","Leo","Virgo","Libra","Scorpio","Sagittarius","Capricorn","Aquarius","Pisces"},0),12)+1)+12,12)+1,{1,3,4,6,10,11},0)),1,0),0),0)</f>
        <v>4</v>
      </c>
      <c r="L12" s="830">
        <f>IFERROR(IFERROR(IF(ISNUMBER(MATCH(MOD(11-(MOD(MATCH(CALC_PlanetPositions!$B$7,{"Aries","Taurus","Gemini","Cancer","Leo","Virgo","Libra","Scorpio","Sagittarius","Capricorn","Aquarius","Pisces"},0)-MATCH(INPUT_Chart!$C$5,{"Aries","Taurus","Gemini","Cancer","Leo","Virgo","Libra","Scorpio","Sagittarius","Capricorn","Aquarius","Pisces"},0),12)+1)+12,12)+1,{1,2,4,7,8,10,11},0)),1,0),0)+IFERROR(IF(ISNUMBER(MATCH(MOD(11-(MOD(MATCH(CALC_PlanetPositions!$B$8,{"Aries","Taurus","Gemini","Cancer","Leo","Virgo","Libra","Scorpio","Sagittarius","Capricorn","Aquarius","Pisces"},0)-MATCH(INPUT_Chart!$C$5,{"Aries","Taurus","Gemini","Cancer","Leo","Virgo","Libra","Scorpio","Sagittarius","Capricorn","Aquarius","Pisces"},0),12)+1)+12,12)+1,{3,6,11},0)),1,0),0)+IFERROR(IF(ISNUMBER(MATCH(MOD(11-(MOD(MATCH(CALC_PlanetPositions!$B$9,{"Aries","Taurus","Gemini","Cancer","Leo","Virgo","Libra","Scorpio","Sagittarius","Capricorn","Aquarius","Pisces"},0)-MATCH(INPUT_Chart!$C$5,{"Aries","Taurus","Gemini","Cancer","Leo","Virgo","Libra","Scorpio","Sagittarius","Capricorn","Aquarius","Pisces"},0),12)+1)+12,12)+1,{3,5,6,10,11,12},0)),1,0),0)+IFERROR(IF(ISNUMBER(MATCH(MOD(11-(MOD(MATCH(CALC_PlanetPositions!$B$10,{"Aries","Taurus","Gemini","Cancer","Leo","Virgo","Libra","Scorpio","Sagittarius","Capricorn","Aquarius","Pisces"},0)-MATCH(INPUT_Chart!$C$5,{"Aries","Taurus","Gemini","Cancer","Leo","Virgo","Libra","Scorpio","Sagittarius","Capricorn","Aquarius","Pisces"},0),12)+1)+12,12)+1,{6,8,9,10,11,12},0)),1,0),0)+IFERROR(IF(ISNUMBER(MATCH(MOD(11-(MOD(MATCH(CALC_PlanetPositions!$B$11,{"Aries","Taurus","Gemini","Cancer","Leo","Virgo","Libra","Scorpio","Sagittarius","Capricorn","Aquarius","Pisces"},0)-MATCH(INPUT_Chart!$C$5,{"Aries","Taurus","Gemini","Cancer","Leo","Virgo","Libra","Scorpio","Sagittarius","Capricorn","Aquarius","Pisces"},0),12)+1)+12,12)+1,{5,6,11,12},0)),1,0),0)+IFERROR(IF(ISNUMBER(MATCH(MOD(11-(MOD(MATCH(CALC_PlanetPositions!$B$12,{"Aries","Taurus","Gemini","Cancer","Leo","Virgo","Libra","Scorpio","Sagittarius","Capricorn","Aquarius","Pisces"},0)-MATCH(INPUT_Chart!$C$5,{"Aries","Taurus","Gemini","Cancer","Leo","Virgo","Libra","Scorpio","Sagittarius","Capricorn","Aquarius","Pisces"},0),12)+1)+12,12)+1,{6,11,12},0)),1,0),0)+IFERROR(IF(ISNUMBER(MATCH(MOD(11-(MOD(MATCH(CALC_PlanetPositions!$B$13,{"Aries","Taurus","Gemini","Cancer","Leo","Virgo","Libra","Scorpio","Sagittarius","Capricorn","Aquarius","Pisces"},0)-MATCH(INPUT_Chart!$C$5,{"Aries","Taurus","Gemini","Cancer","Leo","Virgo","Libra","Scorpio","Sagittarius","Capricorn","Aquarius","Pisces"},0),12)+1)+12,12)+1,{3,5,6,11},0)),1,0),0)+IFERROR(IF(ISNUMBER(MATCH(MOD(11-(MOD(MATCH(INPUT_Chart!$C$5,{"Aries","Taurus","Gemini","Cancer","Leo","Virgo","Libra","Scorpio","Sagittarius","Capricorn","Aquarius","Pisces"},0)-MATCH(INPUT_Chart!$C$5,{"Aries","Taurus","Gemini","Cancer","Leo","Virgo","Libra","Scorpio","Sagittarius","Capricorn","Aquarius","Pisces"},0),12)+1)+12,12)+1,{1,3,4,6,10,11},0)),1,0),0),0)</f>
        <v>4</v>
      </c>
      <c r="M12" s="830">
        <f>IFERROR(IFERROR(IF(ISNUMBER(MATCH(MOD(12-(MOD(MATCH(CALC_PlanetPositions!$B$7,{"Aries","Taurus","Gemini","Cancer","Leo","Virgo","Libra","Scorpio","Sagittarius","Capricorn","Aquarius","Pisces"},0)-MATCH(INPUT_Chart!$C$5,{"Aries","Taurus","Gemini","Cancer","Leo","Virgo","Libra","Scorpio","Sagittarius","Capricorn","Aquarius","Pisces"},0),12)+1)+12,12)+1,{1,2,4,7,8,10,11},0)),1,0),0)+IFERROR(IF(ISNUMBER(MATCH(MOD(12-(MOD(MATCH(CALC_PlanetPositions!$B$8,{"Aries","Taurus","Gemini","Cancer","Leo","Virgo","Libra","Scorpio","Sagittarius","Capricorn","Aquarius","Pisces"},0)-MATCH(INPUT_Chart!$C$5,{"Aries","Taurus","Gemini","Cancer","Leo","Virgo","Libra","Scorpio","Sagittarius","Capricorn","Aquarius","Pisces"},0),12)+1)+12,12)+1,{3,6,11},0)),1,0),0)+IFERROR(IF(ISNUMBER(MATCH(MOD(12-(MOD(MATCH(CALC_PlanetPositions!$B$9,{"Aries","Taurus","Gemini","Cancer","Leo","Virgo","Libra","Scorpio","Sagittarius","Capricorn","Aquarius","Pisces"},0)-MATCH(INPUT_Chart!$C$5,{"Aries","Taurus","Gemini","Cancer","Leo","Virgo","Libra","Scorpio","Sagittarius","Capricorn","Aquarius","Pisces"},0),12)+1)+12,12)+1,{3,5,6,10,11,12},0)),1,0),0)+IFERROR(IF(ISNUMBER(MATCH(MOD(12-(MOD(MATCH(CALC_PlanetPositions!$B$10,{"Aries","Taurus","Gemini","Cancer","Leo","Virgo","Libra","Scorpio","Sagittarius","Capricorn","Aquarius","Pisces"},0)-MATCH(INPUT_Chart!$C$5,{"Aries","Taurus","Gemini","Cancer","Leo","Virgo","Libra","Scorpio","Sagittarius","Capricorn","Aquarius","Pisces"},0),12)+1)+12,12)+1,{6,8,9,10,11,12},0)),1,0),0)+IFERROR(IF(ISNUMBER(MATCH(MOD(12-(MOD(MATCH(CALC_PlanetPositions!$B$11,{"Aries","Taurus","Gemini","Cancer","Leo","Virgo","Libra","Scorpio","Sagittarius","Capricorn","Aquarius","Pisces"},0)-MATCH(INPUT_Chart!$C$5,{"Aries","Taurus","Gemini","Cancer","Leo","Virgo","Libra","Scorpio","Sagittarius","Capricorn","Aquarius","Pisces"},0),12)+1)+12,12)+1,{5,6,11,12},0)),1,0),0)+IFERROR(IF(ISNUMBER(MATCH(MOD(12-(MOD(MATCH(CALC_PlanetPositions!$B$12,{"Aries","Taurus","Gemini","Cancer","Leo","Virgo","Libra","Scorpio","Sagittarius","Capricorn","Aquarius","Pisces"},0)-MATCH(INPUT_Chart!$C$5,{"Aries","Taurus","Gemini","Cancer","Leo","Virgo","Libra","Scorpio","Sagittarius","Capricorn","Aquarius","Pisces"},0),12)+1)+12,12)+1,{6,11,12},0)),1,0),0)+IFERROR(IF(ISNUMBER(MATCH(MOD(12-(MOD(MATCH(CALC_PlanetPositions!$B$13,{"Aries","Taurus","Gemini","Cancer","Leo","Virgo","Libra","Scorpio","Sagittarius","Capricorn","Aquarius","Pisces"},0)-MATCH(INPUT_Chart!$C$5,{"Aries","Taurus","Gemini","Cancer","Leo","Virgo","Libra","Scorpio","Sagittarius","Capricorn","Aquarius","Pisces"},0),12)+1)+12,12)+1,{3,5,6,11},0)),1,0),0)+IFERROR(IF(ISNUMBER(MATCH(MOD(12-(MOD(MATCH(INPUT_Chart!$C$5,{"Aries","Taurus","Gemini","Cancer","Leo","Virgo","Libra","Scorpio","Sagittarius","Capricorn","Aquarius","Pisces"},0)-MATCH(INPUT_Chart!$C$5,{"Aries","Taurus","Gemini","Cancer","Leo","Virgo","Libra","Scorpio","Sagittarius","Capricorn","Aquarius","Pisces"},0),12)+1)+12,12)+1,{1,3,4,6,10,11},0)),1,0),0),0)</f>
        <v>3</v>
      </c>
      <c r="N12" s="626">
        <f t="shared" si="0"/>
        <v>39</v>
      </c>
      <c r="O12" s="831">
        <f t="shared" si="1"/>
        <v>3.25</v>
      </c>
      <c r="P12" s="836" t="s">
        <v>3745</v>
      </c>
    </row>
    <row r="13" spans="1:17" ht="15.75" customHeight="1" x14ac:dyDescent="0.2">
      <c r="A13" s="551" t="s">
        <v>265</v>
      </c>
      <c r="B13" s="833">
        <f>IFERROR(IFERROR(IF(ISNUMBER(MATCH(MOD(1-(MOD(MATCH(CALC_PlanetPositions!$B$7,{"Aries","Taurus","Gemini","Cancer","Leo","Virgo","Libra","Scorpio","Sagittarius","Capricorn","Aquarius","Pisces"},0)-MATCH(INPUT_Chart!$C$5,{"Aries","Taurus","Gemini","Cancer","Leo","Virgo","Libra","Scorpio","Sagittarius","Capricorn","Aquarius","Pisces"},0),12)+1)+12,12)+1,{3,6,10,11},0)),1,0),0)+IFERROR(IF(ISNUMBER(MATCH(MOD(1-(MOD(MATCH(CALC_PlanetPositions!$B$8,{"Aries","Taurus","Gemini","Cancer","Leo","Virgo","Libra","Scorpio","Sagittarius","Capricorn","Aquarius","Pisces"},0)-MATCH(INPUT_Chart!$C$5,{"Aries","Taurus","Gemini","Cancer","Leo","Virgo","Libra","Scorpio","Sagittarius","Capricorn","Aquarius","Pisces"},0),12)+1)+12,12)+1,{3,6,10,11},0)),1,0),0)+IFERROR(IF(ISNUMBER(MATCH(MOD(1-(MOD(MATCH(CALC_PlanetPositions!$B$9,{"Aries","Taurus","Gemini","Cancer","Leo","Virgo","Libra","Scorpio","Sagittarius","Capricorn","Aquarius","Pisces"},0)-MATCH(INPUT_Chart!$C$5,{"Aries","Taurus","Gemini","Cancer","Leo","Virgo","Libra","Scorpio","Sagittarius","Capricorn","Aquarius","Pisces"},0),12)+1)+12,12)+1,{1,3,6,10,11},0)),1,0),0)+IFERROR(IF(ISNUMBER(MATCH(MOD(1-(MOD(MATCH(CALC_PlanetPositions!$B$10,{"Aries","Taurus","Gemini","Cancer","Leo","Virgo","Libra","Scorpio","Sagittarius","Capricorn","Aquarius","Pisces"},0)-MATCH(INPUT_Chart!$C$5,{"Aries","Taurus","Gemini","Cancer","Leo","Virgo","Libra","Scorpio","Sagittarius","Capricorn","Aquarius","Pisces"},0),12)+1)+12,12)+1,{1,3,5,6,10,11},0)),1,0),0)+IFERROR(IF(ISNUMBER(MATCH(MOD(1-(MOD(MATCH(CALC_PlanetPositions!$B$11,{"Aries","Taurus","Gemini","Cancer","Leo","Virgo","Libra","Scorpio","Sagittarius","Capricorn","Aquarius","Pisces"},0)-MATCH(INPUT_Chart!$C$5,{"Aries","Taurus","Gemini","Cancer","Leo","Virgo","Libra","Scorpio","Sagittarius","Capricorn","Aquarius","Pisces"},0),12)+1)+12,12)+1,{1,2,4,5,6,7,9,10,11},0)),1,0),0)+IFERROR(IF(ISNUMBER(MATCH(MOD(1-(MOD(MATCH(CALC_PlanetPositions!$B$12,{"Aries","Taurus","Gemini","Cancer","Leo","Virgo","Libra","Scorpio","Sagittarius","Capricorn","Aquarius","Pisces"},0)-MATCH(INPUT_Chart!$C$5,{"Aries","Taurus","Gemini","Cancer","Leo","Virgo","Libra","Scorpio","Sagittarius","Capricorn","Aquarius","Pisces"},0),12)+1)+12,12)+1,{1,2,3,4,5,8,9,11},0)),1,0),0)+IFERROR(IF(ISNUMBER(MATCH(MOD(1-(MOD(MATCH(CALC_PlanetPositions!$B$13,{"Aries","Taurus","Gemini","Cancer","Leo","Virgo","Libra","Scorpio","Sagittarius","Capricorn","Aquarius","Pisces"},0)-MATCH(INPUT_Chart!$C$5,{"Aries","Taurus","Gemini","Cancer","Leo","Virgo","Libra","Scorpio","Sagittarius","Capricorn","Aquarius","Pisces"},0),12)+1)+12,12)+1,{1,3,4,6,10,11},0)),1,0),0),0)</f>
        <v>5</v>
      </c>
      <c r="C13" s="833">
        <f>IFERROR(IFERROR(IF(ISNUMBER(MATCH(MOD(2-(MOD(MATCH(CALC_PlanetPositions!$B$7,{"Aries","Taurus","Gemini","Cancer","Leo","Virgo","Libra","Scorpio","Sagittarius","Capricorn","Aquarius","Pisces"},0)-MATCH(INPUT_Chart!$C$5,{"Aries","Taurus","Gemini","Cancer","Leo","Virgo","Libra","Scorpio","Sagittarius","Capricorn","Aquarius","Pisces"},0),12)+1)+12,12)+1,{3,6,10,11},0)),1,0),0)+IFERROR(IF(ISNUMBER(MATCH(MOD(2-(MOD(MATCH(CALC_PlanetPositions!$B$8,{"Aries","Taurus","Gemini","Cancer","Leo","Virgo","Libra","Scorpio","Sagittarius","Capricorn","Aquarius","Pisces"},0)-MATCH(INPUT_Chart!$C$5,{"Aries","Taurus","Gemini","Cancer","Leo","Virgo","Libra","Scorpio","Sagittarius","Capricorn","Aquarius","Pisces"},0),12)+1)+12,12)+1,{3,6,10,11},0)),1,0),0)+IFERROR(IF(ISNUMBER(MATCH(MOD(2-(MOD(MATCH(CALC_PlanetPositions!$B$9,{"Aries","Taurus","Gemini","Cancer","Leo","Virgo","Libra","Scorpio","Sagittarius","Capricorn","Aquarius","Pisces"},0)-MATCH(INPUT_Chart!$C$5,{"Aries","Taurus","Gemini","Cancer","Leo","Virgo","Libra","Scorpio","Sagittarius","Capricorn","Aquarius","Pisces"},0),12)+1)+12,12)+1,{1,3,6,10,11},0)),1,0),0)+IFERROR(IF(ISNUMBER(MATCH(MOD(2-(MOD(MATCH(CALC_PlanetPositions!$B$10,{"Aries","Taurus","Gemini","Cancer","Leo","Virgo","Libra","Scorpio","Sagittarius","Capricorn","Aquarius","Pisces"},0)-MATCH(INPUT_Chart!$C$5,{"Aries","Taurus","Gemini","Cancer","Leo","Virgo","Libra","Scorpio","Sagittarius","Capricorn","Aquarius","Pisces"},0),12)+1)+12,12)+1,{1,3,5,6,10,11},0)),1,0),0)+IFERROR(IF(ISNUMBER(MATCH(MOD(2-(MOD(MATCH(CALC_PlanetPositions!$B$11,{"Aries","Taurus","Gemini","Cancer","Leo","Virgo","Libra","Scorpio","Sagittarius","Capricorn","Aquarius","Pisces"},0)-MATCH(INPUT_Chart!$C$5,{"Aries","Taurus","Gemini","Cancer","Leo","Virgo","Libra","Scorpio","Sagittarius","Capricorn","Aquarius","Pisces"},0),12)+1)+12,12)+1,{1,2,4,5,6,7,9,10,11},0)),1,0),0)+IFERROR(IF(ISNUMBER(MATCH(MOD(2-(MOD(MATCH(CALC_PlanetPositions!$B$12,{"Aries","Taurus","Gemini","Cancer","Leo","Virgo","Libra","Scorpio","Sagittarius","Capricorn","Aquarius","Pisces"},0)-MATCH(INPUT_Chart!$C$5,{"Aries","Taurus","Gemini","Cancer","Leo","Virgo","Libra","Scorpio","Sagittarius","Capricorn","Aquarius","Pisces"},0),12)+1)+12,12)+1,{1,2,3,4,5,8,9,11},0)),1,0),0)+IFERROR(IF(ISNUMBER(MATCH(MOD(2-(MOD(MATCH(CALC_PlanetPositions!$B$13,{"Aries","Taurus","Gemini","Cancer","Leo","Virgo","Libra","Scorpio","Sagittarius","Capricorn","Aquarius","Pisces"},0)-MATCH(INPUT_Chart!$C$5,{"Aries","Taurus","Gemini","Cancer","Leo","Virgo","Libra","Scorpio","Sagittarius","Capricorn","Aquarius","Pisces"},0),12)+1)+12,12)+1,{1,3,4,6,10,11},0)),1,0),0),0)</f>
        <v>2</v>
      </c>
      <c r="D13" s="833">
        <f>IFERROR(IFERROR(IF(ISNUMBER(MATCH(MOD(3-(MOD(MATCH(CALC_PlanetPositions!$B$7,{"Aries","Taurus","Gemini","Cancer","Leo","Virgo","Libra","Scorpio","Sagittarius","Capricorn","Aquarius","Pisces"},0)-MATCH(INPUT_Chart!$C$5,{"Aries","Taurus","Gemini","Cancer","Leo","Virgo","Libra","Scorpio","Sagittarius","Capricorn","Aquarius","Pisces"},0),12)+1)+12,12)+1,{3,6,10,11},0)),1,0),0)+IFERROR(IF(ISNUMBER(MATCH(MOD(3-(MOD(MATCH(CALC_PlanetPositions!$B$8,{"Aries","Taurus","Gemini","Cancer","Leo","Virgo","Libra","Scorpio","Sagittarius","Capricorn","Aquarius","Pisces"},0)-MATCH(INPUT_Chart!$C$5,{"Aries","Taurus","Gemini","Cancer","Leo","Virgo","Libra","Scorpio","Sagittarius","Capricorn","Aquarius","Pisces"},0),12)+1)+12,12)+1,{3,6,10,11},0)),1,0),0)+IFERROR(IF(ISNUMBER(MATCH(MOD(3-(MOD(MATCH(CALC_PlanetPositions!$B$9,{"Aries","Taurus","Gemini","Cancer","Leo","Virgo","Libra","Scorpio","Sagittarius","Capricorn","Aquarius","Pisces"},0)-MATCH(INPUT_Chart!$C$5,{"Aries","Taurus","Gemini","Cancer","Leo","Virgo","Libra","Scorpio","Sagittarius","Capricorn","Aquarius","Pisces"},0),12)+1)+12,12)+1,{1,3,6,10,11},0)),1,0),0)+IFERROR(IF(ISNUMBER(MATCH(MOD(3-(MOD(MATCH(CALC_PlanetPositions!$B$10,{"Aries","Taurus","Gemini","Cancer","Leo","Virgo","Libra","Scorpio","Sagittarius","Capricorn","Aquarius","Pisces"},0)-MATCH(INPUT_Chart!$C$5,{"Aries","Taurus","Gemini","Cancer","Leo","Virgo","Libra","Scorpio","Sagittarius","Capricorn","Aquarius","Pisces"},0),12)+1)+12,12)+1,{1,3,5,6,10,11},0)),1,0),0)+IFERROR(IF(ISNUMBER(MATCH(MOD(3-(MOD(MATCH(CALC_PlanetPositions!$B$11,{"Aries","Taurus","Gemini","Cancer","Leo","Virgo","Libra","Scorpio","Sagittarius","Capricorn","Aquarius","Pisces"},0)-MATCH(INPUT_Chart!$C$5,{"Aries","Taurus","Gemini","Cancer","Leo","Virgo","Libra","Scorpio","Sagittarius","Capricorn","Aquarius","Pisces"},0),12)+1)+12,12)+1,{1,2,4,5,6,7,9,10,11},0)),1,0),0)+IFERROR(IF(ISNUMBER(MATCH(MOD(3-(MOD(MATCH(CALC_PlanetPositions!$B$12,{"Aries","Taurus","Gemini","Cancer","Leo","Virgo","Libra","Scorpio","Sagittarius","Capricorn","Aquarius","Pisces"},0)-MATCH(INPUT_Chart!$C$5,{"Aries","Taurus","Gemini","Cancer","Leo","Virgo","Libra","Scorpio","Sagittarius","Capricorn","Aquarius","Pisces"},0),12)+1)+12,12)+1,{1,2,3,4,5,8,9,11},0)),1,0),0)+IFERROR(IF(ISNUMBER(MATCH(MOD(3-(MOD(MATCH(CALC_PlanetPositions!$B$13,{"Aries","Taurus","Gemini","Cancer","Leo","Virgo","Libra","Scorpio","Sagittarius","Capricorn","Aquarius","Pisces"},0)-MATCH(INPUT_Chart!$C$5,{"Aries","Taurus","Gemini","Cancer","Leo","Virgo","Libra","Scorpio","Sagittarius","Capricorn","Aquarius","Pisces"},0),12)+1)+12,12)+1,{1,3,4,6,10,11},0)),1,0),0),0)</f>
        <v>4</v>
      </c>
      <c r="E13" s="833">
        <f>IFERROR(IFERROR(IF(ISNUMBER(MATCH(MOD(4-(MOD(MATCH(CALC_PlanetPositions!$B$7,{"Aries","Taurus","Gemini","Cancer","Leo","Virgo","Libra","Scorpio","Sagittarius","Capricorn","Aquarius","Pisces"},0)-MATCH(INPUT_Chart!$C$5,{"Aries","Taurus","Gemini","Cancer","Leo","Virgo","Libra","Scorpio","Sagittarius","Capricorn","Aquarius","Pisces"},0),12)+1)+12,12)+1,{3,6,10,11},0)),1,0),0)+IFERROR(IF(ISNUMBER(MATCH(MOD(4-(MOD(MATCH(CALC_PlanetPositions!$B$8,{"Aries","Taurus","Gemini","Cancer","Leo","Virgo","Libra","Scorpio","Sagittarius","Capricorn","Aquarius","Pisces"},0)-MATCH(INPUT_Chart!$C$5,{"Aries","Taurus","Gemini","Cancer","Leo","Virgo","Libra","Scorpio","Sagittarius","Capricorn","Aquarius","Pisces"},0),12)+1)+12,12)+1,{3,6,10,11},0)),1,0),0)+IFERROR(IF(ISNUMBER(MATCH(MOD(4-(MOD(MATCH(CALC_PlanetPositions!$B$9,{"Aries","Taurus","Gemini","Cancer","Leo","Virgo","Libra","Scorpio","Sagittarius","Capricorn","Aquarius","Pisces"},0)-MATCH(INPUT_Chart!$C$5,{"Aries","Taurus","Gemini","Cancer","Leo","Virgo","Libra","Scorpio","Sagittarius","Capricorn","Aquarius","Pisces"},0),12)+1)+12,12)+1,{1,3,6,10,11},0)),1,0),0)+IFERROR(IF(ISNUMBER(MATCH(MOD(4-(MOD(MATCH(CALC_PlanetPositions!$B$10,{"Aries","Taurus","Gemini","Cancer","Leo","Virgo","Libra","Scorpio","Sagittarius","Capricorn","Aquarius","Pisces"},0)-MATCH(INPUT_Chart!$C$5,{"Aries","Taurus","Gemini","Cancer","Leo","Virgo","Libra","Scorpio","Sagittarius","Capricorn","Aquarius","Pisces"},0),12)+1)+12,12)+1,{1,3,5,6,10,11},0)),1,0),0)+IFERROR(IF(ISNUMBER(MATCH(MOD(4-(MOD(MATCH(CALC_PlanetPositions!$B$11,{"Aries","Taurus","Gemini","Cancer","Leo","Virgo","Libra","Scorpio","Sagittarius","Capricorn","Aquarius","Pisces"},0)-MATCH(INPUT_Chart!$C$5,{"Aries","Taurus","Gemini","Cancer","Leo","Virgo","Libra","Scorpio","Sagittarius","Capricorn","Aquarius","Pisces"},0),12)+1)+12,12)+1,{1,2,4,5,6,7,9,10,11},0)),1,0),0)+IFERROR(IF(ISNUMBER(MATCH(MOD(4-(MOD(MATCH(CALC_PlanetPositions!$B$12,{"Aries","Taurus","Gemini","Cancer","Leo","Virgo","Libra","Scorpio","Sagittarius","Capricorn","Aquarius","Pisces"},0)-MATCH(INPUT_Chart!$C$5,{"Aries","Taurus","Gemini","Cancer","Leo","Virgo","Libra","Scorpio","Sagittarius","Capricorn","Aquarius","Pisces"},0),12)+1)+12,12)+1,{1,2,3,4,5,8,9,11},0)),1,0),0)+IFERROR(IF(ISNUMBER(MATCH(MOD(4-(MOD(MATCH(CALC_PlanetPositions!$B$13,{"Aries","Taurus","Gemini","Cancer","Leo","Virgo","Libra","Scorpio","Sagittarius","Capricorn","Aquarius","Pisces"},0)-MATCH(INPUT_Chart!$C$5,{"Aries","Taurus","Gemini","Cancer","Leo","Virgo","Libra","Scorpio","Sagittarius","Capricorn","Aquarius","Pisces"},0),12)+1)+12,12)+1,{1,3,4,6,10,11},0)),1,0),0),0)</f>
        <v>3</v>
      </c>
      <c r="F13" s="833">
        <f>IFERROR(IFERROR(IF(ISNUMBER(MATCH(MOD(5-(MOD(MATCH(CALC_PlanetPositions!$B$7,{"Aries","Taurus","Gemini","Cancer","Leo","Virgo","Libra","Scorpio","Sagittarius","Capricorn","Aquarius","Pisces"},0)-MATCH(INPUT_Chart!$C$5,{"Aries","Taurus","Gemini","Cancer","Leo","Virgo","Libra","Scorpio","Sagittarius","Capricorn","Aquarius","Pisces"},0),12)+1)+12,12)+1,{3,6,10,11},0)),1,0),0)+IFERROR(IF(ISNUMBER(MATCH(MOD(5-(MOD(MATCH(CALC_PlanetPositions!$B$8,{"Aries","Taurus","Gemini","Cancer","Leo","Virgo","Libra","Scorpio","Sagittarius","Capricorn","Aquarius","Pisces"},0)-MATCH(INPUT_Chart!$C$5,{"Aries","Taurus","Gemini","Cancer","Leo","Virgo","Libra","Scorpio","Sagittarius","Capricorn","Aquarius","Pisces"},0),12)+1)+12,12)+1,{3,6,10,11},0)),1,0),0)+IFERROR(IF(ISNUMBER(MATCH(MOD(5-(MOD(MATCH(CALC_PlanetPositions!$B$9,{"Aries","Taurus","Gemini","Cancer","Leo","Virgo","Libra","Scorpio","Sagittarius","Capricorn","Aquarius","Pisces"},0)-MATCH(INPUT_Chart!$C$5,{"Aries","Taurus","Gemini","Cancer","Leo","Virgo","Libra","Scorpio","Sagittarius","Capricorn","Aquarius","Pisces"},0),12)+1)+12,12)+1,{1,3,6,10,11},0)),1,0),0)+IFERROR(IF(ISNUMBER(MATCH(MOD(5-(MOD(MATCH(CALC_PlanetPositions!$B$10,{"Aries","Taurus","Gemini","Cancer","Leo","Virgo","Libra","Scorpio","Sagittarius","Capricorn","Aquarius","Pisces"},0)-MATCH(INPUT_Chart!$C$5,{"Aries","Taurus","Gemini","Cancer","Leo","Virgo","Libra","Scorpio","Sagittarius","Capricorn","Aquarius","Pisces"},0),12)+1)+12,12)+1,{1,3,5,6,10,11},0)),1,0),0)+IFERROR(IF(ISNUMBER(MATCH(MOD(5-(MOD(MATCH(CALC_PlanetPositions!$B$11,{"Aries","Taurus","Gemini","Cancer","Leo","Virgo","Libra","Scorpio","Sagittarius","Capricorn","Aquarius","Pisces"},0)-MATCH(INPUT_Chart!$C$5,{"Aries","Taurus","Gemini","Cancer","Leo","Virgo","Libra","Scorpio","Sagittarius","Capricorn","Aquarius","Pisces"},0),12)+1)+12,12)+1,{1,2,4,5,6,7,9,10,11},0)),1,0),0)+IFERROR(IF(ISNUMBER(MATCH(MOD(5-(MOD(MATCH(CALC_PlanetPositions!$B$12,{"Aries","Taurus","Gemini","Cancer","Leo","Virgo","Libra","Scorpio","Sagittarius","Capricorn","Aquarius","Pisces"},0)-MATCH(INPUT_Chart!$C$5,{"Aries","Taurus","Gemini","Cancer","Leo","Virgo","Libra","Scorpio","Sagittarius","Capricorn","Aquarius","Pisces"},0),12)+1)+12,12)+1,{1,2,3,4,5,8,9,11},0)),1,0),0)+IFERROR(IF(ISNUMBER(MATCH(MOD(5-(MOD(MATCH(CALC_PlanetPositions!$B$13,{"Aries","Taurus","Gemini","Cancer","Leo","Virgo","Libra","Scorpio","Sagittarius","Capricorn","Aquarius","Pisces"},0)-MATCH(INPUT_Chart!$C$5,{"Aries","Taurus","Gemini","Cancer","Leo","Virgo","Libra","Scorpio","Sagittarius","Capricorn","Aquarius","Pisces"},0),12)+1)+12,12)+1,{1,3,4,6,10,11},0)),1,0),0),0)</f>
        <v>5</v>
      </c>
      <c r="G13" s="833">
        <f>IFERROR(IFERROR(IF(ISNUMBER(MATCH(MOD(6-(MOD(MATCH(CALC_PlanetPositions!$B$7,{"Aries","Taurus","Gemini","Cancer","Leo","Virgo","Libra","Scorpio","Sagittarius","Capricorn","Aquarius","Pisces"},0)-MATCH(INPUT_Chart!$C$5,{"Aries","Taurus","Gemini","Cancer","Leo","Virgo","Libra","Scorpio","Sagittarius","Capricorn","Aquarius","Pisces"},0),12)+1)+12,12)+1,{3,6,10,11},0)),1,0),0)+IFERROR(IF(ISNUMBER(MATCH(MOD(6-(MOD(MATCH(CALC_PlanetPositions!$B$8,{"Aries","Taurus","Gemini","Cancer","Leo","Virgo","Libra","Scorpio","Sagittarius","Capricorn","Aquarius","Pisces"},0)-MATCH(INPUT_Chart!$C$5,{"Aries","Taurus","Gemini","Cancer","Leo","Virgo","Libra","Scorpio","Sagittarius","Capricorn","Aquarius","Pisces"},0),12)+1)+12,12)+1,{3,6,10,11},0)),1,0),0)+IFERROR(IF(ISNUMBER(MATCH(MOD(6-(MOD(MATCH(CALC_PlanetPositions!$B$9,{"Aries","Taurus","Gemini","Cancer","Leo","Virgo","Libra","Scorpio","Sagittarius","Capricorn","Aquarius","Pisces"},0)-MATCH(INPUT_Chart!$C$5,{"Aries","Taurus","Gemini","Cancer","Leo","Virgo","Libra","Scorpio","Sagittarius","Capricorn","Aquarius","Pisces"},0),12)+1)+12,12)+1,{1,3,6,10,11},0)),1,0),0)+IFERROR(IF(ISNUMBER(MATCH(MOD(6-(MOD(MATCH(CALC_PlanetPositions!$B$10,{"Aries","Taurus","Gemini","Cancer","Leo","Virgo","Libra","Scorpio","Sagittarius","Capricorn","Aquarius","Pisces"},0)-MATCH(INPUT_Chart!$C$5,{"Aries","Taurus","Gemini","Cancer","Leo","Virgo","Libra","Scorpio","Sagittarius","Capricorn","Aquarius","Pisces"},0),12)+1)+12,12)+1,{1,3,5,6,10,11},0)),1,0),0)+IFERROR(IF(ISNUMBER(MATCH(MOD(6-(MOD(MATCH(CALC_PlanetPositions!$B$11,{"Aries","Taurus","Gemini","Cancer","Leo","Virgo","Libra","Scorpio","Sagittarius","Capricorn","Aquarius","Pisces"},0)-MATCH(INPUT_Chart!$C$5,{"Aries","Taurus","Gemini","Cancer","Leo","Virgo","Libra","Scorpio","Sagittarius","Capricorn","Aquarius","Pisces"},0),12)+1)+12,12)+1,{1,2,4,5,6,7,9,10,11},0)),1,0),0)+IFERROR(IF(ISNUMBER(MATCH(MOD(6-(MOD(MATCH(CALC_PlanetPositions!$B$12,{"Aries","Taurus","Gemini","Cancer","Leo","Virgo","Libra","Scorpio","Sagittarius","Capricorn","Aquarius","Pisces"},0)-MATCH(INPUT_Chart!$C$5,{"Aries","Taurus","Gemini","Cancer","Leo","Virgo","Libra","Scorpio","Sagittarius","Capricorn","Aquarius","Pisces"},0),12)+1)+12,12)+1,{1,2,3,4,5,8,9,11},0)),1,0),0)+IFERROR(IF(ISNUMBER(MATCH(MOD(6-(MOD(MATCH(CALC_PlanetPositions!$B$13,{"Aries","Taurus","Gemini","Cancer","Leo","Virgo","Libra","Scorpio","Sagittarius","Capricorn","Aquarius","Pisces"},0)-MATCH(INPUT_Chart!$C$5,{"Aries","Taurus","Gemini","Cancer","Leo","Virgo","Libra","Scorpio","Sagittarius","Capricorn","Aquarius","Pisces"},0),12)+1)+12,12)+1,{1,3,4,6,10,11},0)),1,0),0),0)</f>
        <v>3</v>
      </c>
      <c r="H13" s="833">
        <f>IFERROR(IFERROR(IF(ISNUMBER(MATCH(MOD(7-(MOD(MATCH(CALC_PlanetPositions!$B$7,{"Aries","Taurus","Gemini","Cancer","Leo","Virgo","Libra","Scorpio","Sagittarius","Capricorn","Aquarius","Pisces"},0)-MATCH(INPUT_Chart!$C$5,{"Aries","Taurus","Gemini","Cancer","Leo","Virgo","Libra","Scorpio","Sagittarius","Capricorn","Aquarius","Pisces"},0),12)+1)+12,12)+1,{3,6,10,11},0)),1,0),0)+IFERROR(IF(ISNUMBER(MATCH(MOD(7-(MOD(MATCH(CALC_PlanetPositions!$B$8,{"Aries","Taurus","Gemini","Cancer","Leo","Virgo","Libra","Scorpio","Sagittarius","Capricorn","Aquarius","Pisces"},0)-MATCH(INPUT_Chart!$C$5,{"Aries","Taurus","Gemini","Cancer","Leo","Virgo","Libra","Scorpio","Sagittarius","Capricorn","Aquarius","Pisces"},0),12)+1)+12,12)+1,{3,6,10,11},0)),1,0),0)+IFERROR(IF(ISNUMBER(MATCH(MOD(7-(MOD(MATCH(CALC_PlanetPositions!$B$9,{"Aries","Taurus","Gemini","Cancer","Leo","Virgo","Libra","Scorpio","Sagittarius","Capricorn","Aquarius","Pisces"},0)-MATCH(INPUT_Chart!$C$5,{"Aries","Taurus","Gemini","Cancer","Leo","Virgo","Libra","Scorpio","Sagittarius","Capricorn","Aquarius","Pisces"},0),12)+1)+12,12)+1,{1,3,6,10,11},0)),1,0),0)+IFERROR(IF(ISNUMBER(MATCH(MOD(7-(MOD(MATCH(CALC_PlanetPositions!$B$10,{"Aries","Taurus","Gemini","Cancer","Leo","Virgo","Libra","Scorpio","Sagittarius","Capricorn","Aquarius","Pisces"},0)-MATCH(INPUT_Chart!$C$5,{"Aries","Taurus","Gemini","Cancer","Leo","Virgo","Libra","Scorpio","Sagittarius","Capricorn","Aquarius","Pisces"},0),12)+1)+12,12)+1,{1,3,5,6,10,11},0)),1,0),0)+IFERROR(IF(ISNUMBER(MATCH(MOD(7-(MOD(MATCH(CALC_PlanetPositions!$B$11,{"Aries","Taurus","Gemini","Cancer","Leo","Virgo","Libra","Scorpio","Sagittarius","Capricorn","Aquarius","Pisces"},0)-MATCH(INPUT_Chart!$C$5,{"Aries","Taurus","Gemini","Cancer","Leo","Virgo","Libra","Scorpio","Sagittarius","Capricorn","Aquarius","Pisces"},0),12)+1)+12,12)+1,{1,2,4,5,6,7,9,10,11},0)),1,0),0)+IFERROR(IF(ISNUMBER(MATCH(MOD(7-(MOD(MATCH(CALC_PlanetPositions!$B$12,{"Aries","Taurus","Gemini","Cancer","Leo","Virgo","Libra","Scorpio","Sagittarius","Capricorn","Aquarius","Pisces"},0)-MATCH(INPUT_Chart!$C$5,{"Aries","Taurus","Gemini","Cancer","Leo","Virgo","Libra","Scorpio","Sagittarius","Capricorn","Aquarius","Pisces"},0),12)+1)+12,12)+1,{1,2,3,4,5,8,9,11},0)),1,0),0)+IFERROR(IF(ISNUMBER(MATCH(MOD(7-(MOD(MATCH(CALC_PlanetPositions!$B$13,{"Aries","Taurus","Gemini","Cancer","Leo","Virgo","Libra","Scorpio","Sagittarius","Capricorn","Aquarius","Pisces"},0)-MATCH(INPUT_Chart!$C$5,{"Aries","Taurus","Gemini","Cancer","Leo","Virgo","Libra","Scorpio","Sagittarius","Capricorn","Aquarius","Pisces"},0),12)+1)+12,12)+1,{1,3,4,6,10,11},0)),1,0),0),0)</f>
        <v>4</v>
      </c>
      <c r="I13" s="833">
        <f>IFERROR(IFERROR(IF(ISNUMBER(MATCH(MOD(8-(MOD(MATCH(CALC_PlanetPositions!$B$7,{"Aries","Taurus","Gemini","Cancer","Leo","Virgo","Libra","Scorpio","Sagittarius","Capricorn","Aquarius","Pisces"},0)-MATCH(INPUT_Chart!$C$5,{"Aries","Taurus","Gemini","Cancer","Leo","Virgo","Libra","Scorpio","Sagittarius","Capricorn","Aquarius","Pisces"},0),12)+1)+12,12)+1,{3,6,10,11},0)),1,0),0)+IFERROR(IF(ISNUMBER(MATCH(MOD(8-(MOD(MATCH(CALC_PlanetPositions!$B$8,{"Aries","Taurus","Gemini","Cancer","Leo","Virgo","Libra","Scorpio","Sagittarius","Capricorn","Aquarius","Pisces"},0)-MATCH(INPUT_Chart!$C$5,{"Aries","Taurus","Gemini","Cancer","Leo","Virgo","Libra","Scorpio","Sagittarius","Capricorn","Aquarius","Pisces"},0),12)+1)+12,12)+1,{3,6,10,11},0)),1,0),0)+IFERROR(IF(ISNUMBER(MATCH(MOD(8-(MOD(MATCH(CALC_PlanetPositions!$B$9,{"Aries","Taurus","Gemini","Cancer","Leo","Virgo","Libra","Scorpio","Sagittarius","Capricorn","Aquarius","Pisces"},0)-MATCH(INPUT_Chart!$C$5,{"Aries","Taurus","Gemini","Cancer","Leo","Virgo","Libra","Scorpio","Sagittarius","Capricorn","Aquarius","Pisces"},0),12)+1)+12,12)+1,{1,3,6,10,11},0)),1,0),0)+IFERROR(IF(ISNUMBER(MATCH(MOD(8-(MOD(MATCH(CALC_PlanetPositions!$B$10,{"Aries","Taurus","Gemini","Cancer","Leo","Virgo","Libra","Scorpio","Sagittarius","Capricorn","Aquarius","Pisces"},0)-MATCH(INPUT_Chart!$C$5,{"Aries","Taurus","Gemini","Cancer","Leo","Virgo","Libra","Scorpio","Sagittarius","Capricorn","Aquarius","Pisces"},0),12)+1)+12,12)+1,{1,3,5,6,10,11},0)),1,0),0)+IFERROR(IF(ISNUMBER(MATCH(MOD(8-(MOD(MATCH(CALC_PlanetPositions!$B$11,{"Aries","Taurus","Gemini","Cancer","Leo","Virgo","Libra","Scorpio","Sagittarius","Capricorn","Aquarius","Pisces"},0)-MATCH(INPUT_Chart!$C$5,{"Aries","Taurus","Gemini","Cancer","Leo","Virgo","Libra","Scorpio","Sagittarius","Capricorn","Aquarius","Pisces"},0),12)+1)+12,12)+1,{1,2,4,5,6,7,9,10,11},0)),1,0),0)+IFERROR(IF(ISNUMBER(MATCH(MOD(8-(MOD(MATCH(CALC_PlanetPositions!$B$12,{"Aries","Taurus","Gemini","Cancer","Leo","Virgo","Libra","Scorpio","Sagittarius","Capricorn","Aquarius","Pisces"},0)-MATCH(INPUT_Chart!$C$5,{"Aries","Taurus","Gemini","Cancer","Leo","Virgo","Libra","Scorpio","Sagittarius","Capricorn","Aquarius","Pisces"},0),12)+1)+12,12)+1,{1,2,3,4,5,8,9,11},0)),1,0),0)+IFERROR(IF(ISNUMBER(MATCH(MOD(8-(MOD(MATCH(CALC_PlanetPositions!$B$13,{"Aries","Taurus","Gemini","Cancer","Leo","Virgo","Libra","Scorpio","Sagittarius","Capricorn","Aquarius","Pisces"},0)-MATCH(INPUT_Chart!$C$5,{"Aries","Taurus","Gemini","Cancer","Leo","Virgo","Libra","Scorpio","Sagittarius","Capricorn","Aquarius","Pisces"},0),12)+1)+12,12)+1,{1,3,4,6,10,11},0)),1,0),0),0)</f>
        <v>4</v>
      </c>
      <c r="J13" s="833">
        <f>IFERROR(IFERROR(IF(ISNUMBER(MATCH(MOD(9-(MOD(MATCH(CALC_PlanetPositions!$B$7,{"Aries","Taurus","Gemini","Cancer","Leo","Virgo","Libra","Scorpio","Sagittarius","Capricorn","Aquarius","Pisces"},0)-MATCH(INPUT_Chart!$C$5,{"Aries","Taurus","Gemini","Cancer","Leo","Virgo","Libra","Scorpio","Sagittarius","Capricorn","Aquarius","Pisces"},0),12)+1)+12,12)+1,{3,6,10,11},0)),1,0),0)+IFERROR(IF(ISNUMBER(MATCH(MOD(9-(MOD(MATCH(CALC_PlanetPositions!$B$8,{"Aries","Taurus","Gemini","Cancer","Leo","Virgo","Libra","Scorpio","Sagittarius","Capricorn","Aquarius","Pisces"},0)-MATCH(INPUT_Chart!$C$5,{"Aries","Taurus","Gemini","Cancer","Leo","Virgo","Libra","Scorpio","Sagittarius","Capricorn","Aquarius","Pisces"},0),12)+1)+12,12)+1,{3,6,10,11},0)),1,0),0)+IFERROR(IF(ISNUMBER(MATCH(MOD(9-(MOD(MATCH(CALC_PlanetPositions!$B$9,{"Aries","Taurus","Gemini","Cancer","Leo","Virgo","Libra","Scorpio","Sagittarius","Capricorn","Aquarius","Pisces"},0)-MATCH(INPUT_Chart!$C$5,{"Aries","Taurus","Gemini","Cancer","Leo","Virgo","Libra","Scorpio","Sagittarius","Capricorn","Aquarius","Pisces"},0),12)+1)+12,12)+1,{1,3,6,10,11},0)),1,0),0)+IFERROR(IF(ISNUMBER(MATCH(MOD(9-(MOD(MATCH(CALC_PlanetPositions!$B$10,{"Aries","Taurus","Gemini","Cancer","Leo","Virgo","Libra","Scorpio","Sagittarius","Capricorn","Aquarius","Pisces"},0)-MATCH(INPUT_Chart!$C$5,{"Aries","Taurus","Gemini","Cancer","Leo","Virgo","Libra","Scorpio","Sagittarius","Capricorn","Aquarius","Pisces"},0),12)+1)+12,12)+1,{1,3,5,6,10,11},0)),1,0),0)+IFERROR(IF(ISNUMBER(MATCH(MOD(9-(MOD(MATCH(CALC_PlanetPositions!$B$11,{"Aries","Taurus","Gemini","Cancer","Leo","Virgo","Libra","Scorpio","Sagittarius","Capricorn","Aquarius","Pisces"},0)-MATCH(INPUT_Chart!$C$5,{"Aries","Taurus","Gemini","Cancer","Leo","Virgo","Libra","Scorpio","Sagittarius","Capricorn","Aquarius","Pisces"},0),12)+1)+12,12)+1,{1,2,4,5,6,7,9,10,11},0)),1,0),0)+IFERROR(IF(ISNUMBER(MATCH(MOD(9-(MOD(MATCH(CALC_PlanetPositions!$B$12,{"Aries","Taurus","Gemini","Cancer","Leo","Virgo","Libra","Scorpio","Sagittarius","Capricorn","Aquarius","Pisces"},0)-MATCH(INPUT_Chart!$C$5,{"Aries","Taurus","Gemini","Cancer","Leo","Virgo","Libra","Scorpio","Sagittarius","Capricorn","Aquarius","Pisces"},0),12)+1)+12,12)+1,{1,2,3,4,5,8,9,11},0)),1,0),0)+IFERROR(IF(ISNUMBER(MATCH(MOD(9-(MOD(MATCH(CALC_PlanetPositions!$B$13,{"Aries","Taurus","Gemini","Cancer","Leo","Virgo","Libra","Scorpio","Sagittarius","Capricorn","Aquarius","Pisces"},0)-MATCH(INPUT_Chart!$C$5,{"Aries","Taurus","Gemini","Cancer","Leo","Virgo","Libra","Scorpio","Sagittarius","Capricorn","Aquarius","Pisces"},0),12)+1)+12,12)+1,{1,3,4,6,10,11},0)),1,0),0),0)</f>
        <v>1</v>
      </c>
      <c r="K13" s="833">
        <f>IFERROR(IFERROR(IF(ISNUMBER(MATCH(MOD(10-(MOD(MATCH(CALC_PlanetPositions!$B$7,{"Aries","Taurus","Gemini","Cancer","Leo","Virgo","Libra","Scorpio","Sagittarius","Capricorn","Aquarius","Pisces"},0)-MATCH(INPUT_Chart!$C$5,{"Aries","Taurus","Gemini","Cancer","Leo","Virgo","Libra","Scorpio","Sagittarius","Capricorn","Aquarius","Pisces"},0),12)+1)+12,12)+1,{3,6,10,11},0)),1,0),0)+IFERROR(IF(ISNUMBER(MATCH(MOD(10-(MOD(MATCH(CALC_PlanetPositions!$B$8,{"Aries","Taurus","Gemini","Cancer","Leo","Virgo","Libra","Scorpio","Sagittarius","Capricorn","Aquarius","Pisces"},0)-MATCH(INPUT_Chart!$C$5,{"Aries","Taurus","Gemini","Cancer","Leo","Virgo","Libra","Scorpio","Sagittarius","Capricorn","Aquarius","Pisces"},0),12)+1)+12,12)+1,{3,6,10,11},0)),1,0),0)+IFERROR(IF(ISNUMBER(MATCH(MOD(10-(MOD(MATCH(CALC_PlanetPositions!$B$9,{"Aries","Taurus","Gemini","Cancer","Leo","Virgo","Libra","Scorpio","Sagittarius","Capricorn","Aquarius","Pisces"},0)-MATCH(INPUT_Chart!$C$5,{"Aries","Taurus","Gemini","Cancer","Leo","Virgo","Libra","Scorpio","Sagittarius","Capricorn","Aquarius","Pisces"},0),12)+1)+12,12)+1,{1,3,6,10,11},0)),1,0),0)+IFERROR(IF(ISNUMBER(MATCH(MOD(10-(MOD(MATCH(CALC_PlanetPositions!$B$10,{"Aries","Taurus","Gemini","Cancer","Leo","Virgo","Libra","Scorpio","Sagittarius","Capricorn","Aquarius","Pisces"},0)-MATCH(INPUT_Chart!$C$5,{"Aries","Taurus","Gemini","Cancer","Leo","Virgo","Libra","Scorpio","Sagittarius","Capricorn","Aquarius","Pisces"},0),12)+1)+12,12)+1,{1,3,5,6,10,11},0)),1,0),0)+IFERROR(IF(ISNUMBER(MATCH(MOD(10-(MOD(MATCH(CALC_PlanetPositions!$B$11,{"Aries","Taurus","Gemini","Cancer","Leo","Virgo","Libra","Scorpio","Sagittarius","Capricorn","Aquarius","Pisces"},0)-MATCH(INPUT_Chart!$C$5,{"Aries","Taurus","Gemini","Cancer","Leo","Virgo","Libra","Scorpio","Sagittarius","Capricorn","Aquarius","Pisces"},0),12)+1)+12,12)+1,{1,2,4,5,6,7,9,10,11},0)),1,0),0)+IFERROR(IF(ISNUMBER(MATCH(MOD(10-(MOD(MATCH(CALC_PlanetPositions!$B$12,{"Aries","Taurus","Gemini","Cancer","Leo","Virgo","Libra","Scorpio","Sagittarius","Capricorn","Aquarius","Pisces"},0)-MATCH(INPUT_Chart!$C$5,{"Aries","Taurus","Gemini","Cancer","Leo","Virgo","Libra","Scorpio","Sagittarius","Capricorn","Aquarius","Pisces"},0),12)+1)+12,12)+1,{1,2,3,4,5,8,9,11},0)),1,0),0)+IFERROR(IF(ISNUMBER(MATCH(MOD(10-(MOD(MATCH(CALC_PlanetPositions!$B$13,{"Aries","Taurus","Gemini","Cancer","Leo","Virgo","Libra","Scorpio","Sagittarius","Capricorn","Aquarius","Pisces"},0)-MATCH(INPUT_Chart!$C$5,{"Aries","Taurus","Gemini","Cancer","Leo","Virgo","Libra","Scorpio","Sagittarius","Capricorn","Aquarius","Pisces"},0),12)+1)+12,12)+1,{1,3,4,6,10,11},0)),1,0),0),0)</f>
        <v>2</v>
      </c>
      <c r="L13" s="833">
        <f>IFERROR(IFERROR(IF(ISNUMBER(MATCH(MOD(11-(MOD(MATCH(CALC_PlanetPositions!$B$7,{"Aries","Taurus","Gemini","Cancer","Leo","Virgo","Libra","Scorpio","Sagittarius","Capricorn","Aquarius","Pisces"},0)-MATCH(INPUT_Chart!$C$5,{"Aries","Taurus","Gemini","Cancer","Leo","Virgo","Libra","Scorpio","Sagittarius","Capricorn","Aquarius","Pisces"},0),12)+1)+12,12)+1,{3,6,10,11},0)),1,0),0)+IFERROR(IF(ISNUMBER(MATCH(MOD(11-(MOD(MATCH(CALC_PlanetPositions!$B$8,{"Aries","Taurus","Gemini","Cancer","Leo","Virgo","Libra","Scorpio","Sagittarius","Capricorn","Aquarius","Pisces"},0)-MATCH(INPUT_Chart!$C$5,{"Aries","Taurus","Gemini","Cancer","Leo","Virgo","Libra","Scorpio","Sagittarius","Capricorn","Aquarius","Pisces"},0),12)+1)+12,12)+1,{3,6,10,11},0)),1,0),0)+IFERROR(IF(ISNUMBER(MATCH(MOD(11-(MOD(MATCH(CALC_PlanetPositions!$B$9,{"Aries","Taurus","Gemini","Cancer","Leo","Virgo","Libra","Scorpio","Sagittarius","Capricorn","Aquarius","Pisces"},0)-MATCH(INPUT_Chart!$C$5,{"Aries","Taurus","Gemini","Cancer","Leo","Virgo","Libra","Scorpio","Sagittarius","Capricorn","Aquarius","Pisces"},0),12)+1)+12,12)+1,{1,3,6,10,11},0)),1,0),0)+IFERROR(IF(ISNUMBER(MATCH(MOD(11-(MOD(MATCH(CALC_PlanetPositions!$B$10,{"Aries","Taurus","Gemini","Cancer","Leo","Virgo","Libra","Scorpio","Sagittarius","Capricorn","Aquarius","Pisces"},0)-MATCH(INPUT_Chart!$C$5,{"Aries","Taurus","Gemini","Cancer","Leo","Virgo","Libra","Scorpio","Sagittarius","Capricorn","Aquarius","Pisces"},0),12)+1)+12,12)+1,{1,3,5,6,10,11},0)),1,0),0)+IFERROR(IF(ISNUMBER(MATCH(MOD(11-(MOD(MATCH(CALC_PlanetPositions!$B$11,{"Aries","Taurus","Gemini","Cancer","Leo","Virgo","Libra","Scorpio","Sagittarius","Capricorn","Aquarius","Pisces"},0)-MATCH(INPUT_Chart!$C$5,{"Aries","Taurus","Gemini","Cancer","Leo","Virgo","Libra","Scorpio","Sagittarius","Capricorn","Aquarius","Pisces"},0),12)+1)+12,12)+1,{1,2,4,5,6,7,9,10,11},0)),1,0),0)+IFERROR(IF(ISNUMBER(MATCH(MOD(11-(MOD(MATCH(CALC_PlanetPositions!$B$12,{"Aries","Taurus","Gemini","Cancer","Leo","Virgo","Libra","Scorpio","Sagittarius","Capricorn","Aquarius","Pisces"},0)-MATCH(INPUT_Chart!$C$5,{"Aries","Taurus","Gemini","Cancer","Leo","Virgo","Libra","Scorpio","Sagittarius","Capricorn","Aquarius","Pisces"},0),12)+1)+12,12)+1,{1,2,3,4,5,8,9,11},0)),1,0),0)+IFERROR(IF(ISNUMBER(MATCH(MOD(11-(MOD(MATCH(CALC_PlanetPositions!$B$13,{"Aries","Taurus","Gemini","Cancer","Leo","Virgo","Libra","Scorpio","Sagittarius","Capricorn","Aquarius","Pisces"},0)-MATCH(INPUT_Chart!$C$5,{"Aries","Taurus","Gemini","Cancer","Leo","Virgo","Libra","Scorpio","Sagittarius","Capricorn","Aquarius","Pisces"},0),12)+1)+12,12)+1,{1,3,4,6,10,11},0)),1,0),0),0)</f>
        <v>3</v>
      </c>
      <c r="M13" s="833">
        <f>IFERROR(IFERROR(IF(ISNUMBER(MATCH(MOD(12-(MOD(MATCH(CALC_PlanetPositions!$B$7,{"Aries","Taurus","Gemini","Cancer","Leo","Virgo","Libra","Scorpio","Sagittarius","Capricorn","Aquarius","Pisces"},0)-MATCH(INPUT_Chart!$C$5,{"Aries","Taurus","Gemini","Cancer","Leo","Virgo","Libra","Scorpio","Sagittarius","Capricorn","Aquarius","Pisces"},0),12)+1)+12,12)+1,{3,6,10,11},0)),1,0),0)+IFERROR(IF(ISNUMBER(MATCH(MOD(12-(MOD(MATCH(CALC_PlanetPositions!$B$8,{"Aries","Taurus","Gemini","Cancer","Leo","Virgo","Libra","Scorpio","Sagittarius","Capricorn","Aquarius","Pisces"},0)-MATCH(INPUT_Chart!$C$5,{"Aries","Taurus","Gemini","Cancer","Leo","Virgo","Libra","Scorpio","Sagittarius","Capricorn","Aquarius","Pisces"},0),12)+1)+12,12)+1,{3,6,10,11},0)),1,0),0)+IFERROR(IF(ISNUMBER(MATCH(MOD(12-(MOD(MATCH(CALC_PlanetPositions!$B$9,{"Aries","Taurus","Gemini","Cancer","Leo","Virgo","Libra","Scorpio","Sagittarius","Capricorn","Aquarius","Pisces"},0)-MATCH(INPUT_Chart!$C$5,{"Aries","Taurus","Gemini","Cancer","Leo","Virgo","Libra","Scorpio","Sagittarius","Capricorn","Aquarius","Pisces"},0),12)+1)+12,12)+1,{1,3,6,10,11},0)),1,0),0)+IFERROR(IF(ISNUMBER(MATCH(MOD(12-(MOD(MATCH(CALC_PlanetPositions!$B$10,{"Aries","Taurus","Gemini","Cancer","Leo","Virgo","Libra","Scorpio","Sagittarius","Capricorn","Aquarius","Pisces"},0)-MATCH(INPUT_Chart!$C$5,{"Aries","Taurus","Gemini","Cancer","Leo","Virgo","Libra","Scorpio","Sagittarius","Capricorn","Aquarius","Pisces"},0),12)+1)+12,12)+1,{1,3,5,6,10,11},0)),1,0),0)+IFERROR(IF(ISNUMBER(MATCH(MOD(12-(MOD(MATCH(CALC_PlanetPositions!$B$11,{"Aries","Taurus","Gemini","Cancer","Leo","Virgo","Libra","Scorpio","Sagittarius","Capricorn","Aquarius","Pisces"},0)-MATCH(INPUT_Chart!$C$5,{"Aries","Taurus","Gemini","Cancer","Leo","Virgo","Libra","Scorpio","Sagittarius","Capricorn","Aquarius","Pisces"},0),12)+1)+12,12)+1,{1,2,4,5,6,7,9,10,11},0)),1,0),0)+IFERROR(IF(ISNUMBER(MATCH(MOD(12-(MOD(MATCH(CALC_PlanetPositions!$B$12,{"Aries","Taurus","Gemini","Cancer","Leo","Virgo","Libra","Scorpio","Sagittarius","Capricorn","Aquarius","Pisces"},0)-MATCH(INPUT_Chart!$C$5,{"Aries","Taurus","Gemini","Cancer","Leo","Virgo","Libra","Scorpio","Sagittarius","Capricorn","Aquarius","Pisces"},0),12)+1)+12,12)+1,{1,2,3,4,5,8,9,11},0)),1,0),0)+IFERROR(IF(ISNUMBER(MATCH(MOD(12-(MOD(MATCH(CALC_PlanetPositions!$B$13,{"Aries","Taurus","Gemini","Cancer","Leo","Virgo","Libra","Scorpio","Sagittarius","Capricorn","Aquarius","Pisces"},0)-MATCH(INPUT_Chart!$C$5,{"Aries","Taurus","Gemini","Cancer","Leo","Virgo","Libra","Scorpio","Sagittarius","Capricorn","Aquarius","Pisces"},0),12)+1)+12,12)+1,{1,3,4,6,10,11},0)),1,0),0),0)</f>
        <v>6</v>
      </c>
      <c r="N13" s="631">
        <f t="shared" si="0"/>
        <v>42</v>
      </c>
      <c r="O13" s="834">
        <f t="shared" si="1"/>
        <v>3.5</v>
      </c>
      <c r="P13" s="837" t="s">
        <v>3746</v>
      </c>
    </row>
    <row r="15" spans="1:17" ht="18" customHeight="1" x14ac:dyDescent="0.2">
      <c r="A15" s="838" t="s">
        <v>3747</v>
      </c>
      <c r="B15" s="839">
        <f t="shared" ref="B15:M15" si="2">IFERROR(SUM(B6:B12),0)</f>
        <v>44</v>
      </c>
      <c r="C15" s="839">
        <f t="shared" si="2"/>
        <v>19</v>
      </c>
      <c r="D15" s="839">
        <f t="shared" si="2"/>
        <v>27</v>
      </c>
      <c r="E15" s="839">
        <f t="shared" si="2"/>
        <v>27</v>
      </c>
      <c r="F15" s="839">
        <f t="shared" si="2"/>
        <v>30</v>
      </c>
      <c r="G15" s="839">
        <f t="shared" si="2"/>
        <v>25</v>
      </c>
      <c r="H15" s="839">
        <f t="shared" si="2"/>
        <v>23</v>
      </c>
      <c r="I15" s="839">
        <f t="shared" si="2"/>
        <v>28</v>
      </c>
      <c r="J15" s="839">
        <f t="shared" si="2"/>
        <v>20</v>
      </c>
      <c r="K15" s="839">
        <f t="shared" si="2"/>
        <v>29</v>
      </c>
      <c r="L15" s="839">
        <f t="shared" si="2"/>
        <v>35</v>
      </c>
      <c r="M15" s="839">
        <f t="shared" si="2"/>
        <v>30</v>
      </c>
      <c r="N15" s="839">
        <f>SUM(N6:N13)</f>
        <v>379</v>
      </c>
    </row>
    <row r="16" spans="1:17" ht="15.75" customHeight="1" x14ac:dyDescent="0.2">
      <c r="A16" s="840" t="s">
        <v>1565</v>
      </c>
      <c r="B16" s="841" t="str">
        <f t="shared" ref="B16:M16" si="3">IFERROR(IF(B15&gt;=28,"★★ Strong",IF(B15&gt;=22,"★ Moderate",IF(B15&gt;=18,"Adequate","⚠ Weak"))),"")</f>
        <v>★★ Strong</v>
      </c>
      <c r="C16" s="841" t="str">
        <f t="shared" si="3"/>
        <v>Adequate</v>
      </c>
      <c r="D16" s="841" t="str">
        <f t="shared" si="3"/>
        <v>★ Moderate</v>
      </c>
      <c r="E16" s="841" t="str">
        <f t="shared" si="3"/>
        <v>★ Moderate</v>
      </c>
      <c r="F16" s="841" t="str">
        <f t="shared" si="3"/>
        <v>★★ Strong</v>
      </c>
      <c r="G16" s="841" t="str">
        <f t="shared" si="3"/>
        <v>★ Moderate</v>
      </c>
      <c r="H16" s="841" t="str">
        <f t="shared" si="3"/>
        <v>★ Moderate</v>
      </c>
      <c r="I16" s="841" t="str">
        <f t="shared" si="3"/>
        <v>★★ Strong</v>
      </c>
      <c r="J16" s="841" t="str">
        <f t="shared" si="3"/>
        <v>Adequate</v>
      </c>
      <c r="K16" s="841" t="str">
        <f t="shared" si="3"/>
        <v>★★ Strong</v>
      </c>
      <c r="L16" s="841" t="str">
        <f t="shared" si="3"/>
        <v>★★ Strong</v>
      </c>
      <c r="M16" s="841" t="str">
        <f t="shared" si="3"/>
        <v>★★ Strong</v>
      </c>
    </row>
    <row r="18" spans="1:16" ht="18" customHeight="1" x14ac:dyDescent="0.2">
      <c r="A18" s="1524" t="s">
        <v>3748</v>
      </c>
      <c r="B18" s="1524"/>
      <c r="C18" s="1524"/>
      <c r="D18" s="1524"/>
      <c r="E18" s="1524"/>
      <c r="F18" s="1524"/>
      <c r="G18" s="1524"/>
      <c r="H18" s="1524"/>
      <c r="I18" s="1524"/>
      <c r="J18" s="1524"/>
      <c r="K18" s="1524"/>
      <c r="L18" s="1524"/>
      <c r="M18" s="1524"/>
      <c r="N18" s="1524"/>
      <c r="O18" s="1524"/>
      <c r="P18" s="1524"/>
    </row>
    <row r="19" spans="1:16" ht="24" customHeight="1" x14ac:dyDescent="0.2">
      <c r="A19" s="842" t="s">
        <v>3749</v>
      </c>
      <c r="B19" s="1562" t="s">
        <v>3750</v>
      </c>
      <c r="C19" s="1562"/>
      <c r="D19" s="1562"/>
      <c r="E19" s="1562"/>
      <c r="F19" s="1562"/>
      <c r="G19" s="1562"/>
      <c r="H19" s="1562"/>
      <c r="I19" s="1562"/>
      <c r="J19" s="1562"/>
      <c r="K19" s="1562"/>
      <c r="L19" s="1562"/>
      <c r="M19" s="1562"/>
      <c r="N19" s="1562"/>
      <c r="O19" s="1562"/>
      <c r="P19" s="1562"/>
    </row>
    <row r="20" spans="1:16" ht="24" customHeight="1" x14ac:dyDescent="0.2">
      <c r="A20" s="843" t="s">
        <v>3751</v>
      </c>
      <c r="B20" s="1525" t="s">
        <v>3752</v>
      </c>
      <c r="C20" s="1525"/>
      <c r="D20" s="1525"/>
      <c r="E20" s="1525"/>
      <c r="F20" s="1525"/>
      <c r="G20" s="1525"/>
      <c r="H20" s="1525"/>
      <c r="I20" s="1525"/>
      <c r="J20" s="1525"/>
      <c r="K20" s="1525"/>
      <c r="L20" s="1525"/>
      <c r="M20" s="1525"/>
      <c r="N20" s="1525"/>
      <c r="O20" s="1525"/>
      <c r="P20" s="1525"/>
    </row>
    <row r="21" spans="1:16" ht="24" customHeight="1" x14ac:dyDescent="0.2">
      <c r="A21" s="842" t="s">
        <v>3753</v>
      </c>
      <c r="B21" s="1562" t="s">
        <v>3754</v>
      </c>
      <c r="C21" s="1562"/>
      <c r="D21" s="1562"/>
      <c r="E21" s="1562"/>
      <c r="F21" s="1562"/>
      <c r="G21" s="1562"/>
      <c r="H21" s="1562"/>
      <c r="I21" s="1562"/>
      <c r="J21" s="1562"/>
      <c r="K21" s="1562"/>
      <c r="L21" s="1562"/>
      <c r="M21" s="1562"/>
      <c r="N21" s="1562"/>
      <c r="O21" s="1562"/>
      <c r="P21" s="1562"/>
    </row>
    <row r="22" spans="1:16" ht="24" customHeight="1" x14ac:dyDescent="0.2">
      <c r="A22" s="843" t="s">
        <v>3755</v>
      </c>
      <c r="B22" s="1525" t="s">
        <v>3756</v>
      </c>
      <c r="C22" s="1525"/>
      <c r="D22" s="1525"/>
      <c r="E22" s="1525"/>
      <c r="F22" s="1525"/>
      <c r="G22" s="1525"/>
      <c r="H22" s="1525"/>
      <c r="I22" s="1525"/>
      <c r="J22" s="1525"/>
      <c r="K22" s="1525"/>
      <c r="L22" s="1525"/>
      <c r="M22" s="1525"/>
      <c r="N22" s="1525"/>
      <c r="O22" s="1525"/>
      <c r="P22" s="1525"/>
    </row>
    <row r="23" spans="1:16" ht="24" customHeight="1" x14ac:dyDescent="0.2">
      <c r="A23" s="842" t="s">
        <v>3757</v>
      </c>
      <c r="B23" s="1562" t="s">
        <v>3758</v>
      </c>
      <c r="C23" s="1562"/>
      <c r="D23" s="1562"/>
      <c r="E23" s="1562"/>
      <c r="F23" s="1562"/>
      <c r="G23" s="1562"/>
      <c r="H23" s="1562"/>
      <c r="I23" s="1562"/>
      <c r="J23" s="1562"/>
      <c r="K23" s="1562"/>
      <c r="L23" s="1562"/>
      <c r="M23" s="1562"/>
      <c r="N23" s="1562"/>
      <c r="O23" s="1562"/>
      <c r="P23" s="1562"/>
    </row>
    <row r="26" spans="1:16" ht="49.5" customHeight="1" x14ac:dyDescent="0.2">
      <c r="A26" s="844" t="s">
        <v>3759</v>
      </c>
    </row>
    <row r="27" spans="1:16" ht="15" customHeight="1" x14ac:dyDescent="0.2">
      <c r="A27" s="845" t="s">
        <v>2280</v>
      </c>
      <c r="B27" s="845" t="s">
        <v>844</v>
      </c>
      <c r="C27" s="845" t="s">
        <v>1544</v>
      </c>
      <c r="D27" s="845" t="s">
        <v>847</v>
      </c>
      <c r="E27" s="845" t="s">
        <v>842</v>
      </c>
      <c r="F27" s="845" t="s">
        <v>1545</v>
      </c>
      <c r="G27" s="845" t="s">
        <v>1546</v>
      </c>
      <c r="H27" s="845" t="s">
        <v>846</v>
      </c>
      <c r="I27" s="845" t="s">
        <v>1547</v>
      </c>
      <c r="J27" s="845" t="s">
        <v>848</v>
      </c>
      <c r="K27" s="845" t="s">
        <v>841</v>
      </c>
      <c r="L27" s="845" t="s">
        <v>1548</v>
      </c>
      <c r="M27" s="845" t="s">
        <v>1549</v>
      </c>
    </row>
    <row r="28" spans="1:16" ht="34.5" customHeight="1" x14ac:dyDescent="0.2">
      <c r="A28" s="846" t="s">
        <v>3760</v>
      </c>
      <c r="B28" s="847">
        <v>44</v>
      </c>
      <c r="C28" s="847">
        <v>19</v>
      </c>
      <c r="D28" s="847">
        <v>28</v>
      </c>
      <c r="E28" s="847">
        <v>24</v>
      </c>
      <c r="F28" s="847">
        <v>25</v>
      </c>
      <c r="G28" s="847">
        <v>26</v>
      </c>
      <c r="H28" s="847">
        <v>23</v>
      </c>
      <c r="I28" s="847">
        <v>22</v>
      </c>
      <c r="J28" s="847">
        <v>29</v>
      </c>
      <c r="K28" s="847">
        <v>25</v>
      </c>
      <c r="L28" s="847">
        <v>26</v>
      </c>
      <c r="M28" s="847">
        <v>21</v>
      </c>
    </row>
    <row r="29" spans="1:16" ht="23.25" customHeight="1" x14ac:dyDescent="0.2">
      <c r="A29" s="848" t="s">
        <v>3761</v>
      </c>
      <c r="B29" s="332">
        <f t="shared" ref="B29:M29" si="4">B15</f>
        <v>44</v>
      </c>
      <c r="C29" s="332">
        <f t="shared" si="4"/>
        <v>19</v>
      </c>
      <c r="D29" s="332">
        <f t="shared" si="4"/>
        <v>27</v>
      </c>
      <c r="E29" s="332">
        <f t="shared" si="4"/>
        <v>27</v>
      </c>
      <c r="F29" s="332">
        <f t="shared" si="4"/>
        <v>30</v>
      </c>
      <c r="G29" s="332">
        <f t="shared" si="4"/>
        <v>25</v>
      </c>
      <c r="H29" s="332">
        <f t="shared" si="4"/>
        <v>23</v>
      </c>
      <c r="I29" s="332">
        <f t="shared" si="4"/>
        <v>28</v>
      </c>
      <c r="J29" s="332">
        <f t="shared" si="4"/>
        <v>20</v>
      </c>
      <c r="K29" s="332">
        <f t="shared" si="4"/>
        <v>29</v>
      </c>
      <c r="L29" s="332">
        <f t="shared" si="4"/>
        <v>35</v>
      </c>
      <c r="M29" s="332">
        <f t="shared" si="4"/>
        <v>30</v>
      </c>
    </row>
    <row r="30" spans="1:16" ht="34.5" customHeight="1" x14ac:dyDescent="0.2">
      <c r="A30" s="849" t="s">
        <v>3762</v>
      </c>
      <c r="B30" s="850">
        <f t="shared" ref="B30:M30" si="5">B29-B28</f>
        <v>0</v>
      </c>
      <c r="C30" s="850">
        <f t="shared" si="5"/>
        <v>0</v>
      </c>
      <c r="D30" s="850">
        <f t="shared" si="5"/>
        <v>-1</v>
      </c>
      <c r="E30" s="850">
        <f t="shared" si="5"/>
        <v>3</v>
      </c>
      <c r="F30" s="850">
        <f t="shared" si="5"/>
        <v>5</v>
      </c>
      <c r="G30" s="850">
        <f t="shared" si="5"/>
        <v>-1</v>
      </c>
      <c r="H30" s="850">
        <f t="shared" si="5"/>
        <v>0</v>
      </c>
      <c r="I30" s="850">
        <f t="shared" si="5"/>
        <v>6</v>
      </c>
      <c r="J30" s="850">
        <f t="shared" si="5"/>
        <v>-9</v>
      </c>
      <c r="K30" s="850">
        <f t="shared" si="5"/>
        <v>4</v>
      </c>
      <c r="L30" s="850">
        <f t="shared" si="5"/>
        <v>9</v>
      </c>
      <c r="M30" s="850">
        <f t="shared" si="5"/>
        <v>9</v>
      </c>
    </row>
    <row r="31" spans="1:16" ht="54.75" customHeight="1" x14ac:dyDescent="0.2">
      <c r="A31" s="555" t="s">
        <v>3763</v>
      </c>
      <c r="B31" t="str">
        <f t="shared" ref="B31:M31" si="6">IF(B30=0,"✓","⚠ "&amp; B30)</f>
        <v>✓</v>
      </c>
      <c r="C31" t="str">
        <f t="shared" si="6"/>
        <v>✓</v>
      </c>
      <c r="D31" t="str">
        <f t="shared" si="6"/>
        <v>⚠ -1</v>
      </c>
      <c r="E31" t="str">
        <f t="shared" si="6"/>
        <v>⚠ 3</v>
      </c>
      <c r="F31" t="str">
        <f t="shared" si="6"/>
        <v>⚠ 5</v>
      </c>
      <c r="G31" t="str">
        <f t="shared" si="6"/>
        <v>⚠ -1</v>
      </c>
      <c r="H31" t="str">
        <f t="shared" si="6"/>
        <v>✓</v>
      </c>
      <c r="I31" t="str">
        <f t="shared" si="6"/>
        <v>⚠ 6</v>
      </c>
      <c r="J31" t="str">
        <f t="shared" si="6"/>
        <v>⚠ -9</v>
      </c>
      <c r="K31" t="str">
        <f t="shared" si="6"/>
        <v>⚠ 4</v>
      </c>
      <c r="L31" t="str">
        <f t="shared" si="6"/>
        <v>⚠ 9</v>
      </c>
      <c r="M31" t="str">
        <f t="shared" si="6"/>
        <v>⚠ 9</v>
      </c>
    </row>
    <row r="33" spans="1:1" ht="49.5" customHeight="1" x14ac:dyDescent="0.2">
      <c r="A33" s="562" t="s">
        <v>3764</v>
      </c>
    </row>
  </sheetData>
  <mergeCells count="9">
    <mergeCell ref="B20:P20"/>
    <mergeCell ref="B21:P21"/>
    <mergeCell ref="B22:P22"/>
    <mergeCell ref="B23:P23"/>
    <mergeCell ref="A1:P1"/>
    <mergeCell ref="A2:P2"/>
    <mergeCell ref="A4:P4"/>
    <mergeCell ref="A18:P18"/>
    <mergeCell ref="B19:P19"/>
  </mergeCell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84"/>
  <sheetViews>
    <sheetView zoomScaleNormal="100" workbookViewId="0"/>
  </sheetViews>
  <sheetFormatPr defaultColWidth="8.609375" defaultRowHeight="15" x14ac:dyDescent="0.2"/>
  <cols>
    <col min="1" max="1" width="34.97265625" customWidth="1"/>
    <col min="2" max="3" width="22.05859375" customWidth="1"/>
    <col min="4" max="4" width="18.0234375" customWidth="1"/>
  </cols>
  <sheetData>
    <row r="1" spans="1:6" ht="15" customHeight="1" x14ac:dyDescent="0.2">
      <c r="A1" s="851" t="s">
        <v>3765</v>
      </c>
    </row>
    <row r="3" spans="1:6" ht="15" customHeight="1" x14ac:dyDescent="0.2">
      <c r="A3" s="852" t="s">
        <v>3766</v>
      </c>
    </row>
    <row r="4" spans="1:6" ht="15" customHeight="1" x14ac:dyDescent="0.2">
      <c r="A4" s="853" t="s">
        <v>319</v>
      </c>
      <c r="B4" s="853" t="s">
        <v>3767</v>
      </c>
      <c r="C4" s="853" t="s">
        <v>3768</v>
      </c>
      <c r="D4" s="853" t="s">
        <v>3769</v>
      </c>
      <c r="E4" s="853" t="s">
        <v>3770</v>
      </c>
      <c r="F4" s="853" t="s">
        <v>282</v>
      </c>
    </row>
    <row r="5" spans="1:6" ht="15" customHeight="1" x14ac:dyDescent="0.2">
      <c r="A5" s="4" t="s">
        <v>266</v>
      </c>
      <c r="B5" s="4">
        <v>10</v>
      </c>
      <c r="C5" s="4">
        <v>190</v>
      </c>
      <c r="D5" s="4" t="s">
        <v>345</v>
      </c>
      <c r="E5" s="4">
        <v>10</v>
      </c>
      <c r="F5" s="4" t="s">
        <v>3771</v>
      </c>
    </row>
    <row r="6" spans="1:6" ht="15" customHeight="1" x14ac:dyDescent="0.2">
      <c r="A6" s="4" t="s">
        <v>267</v>
      </c>
      <c r="B6" s="4">
        <v>33</v>
      </c>
      <c r="C6" s="4">
        <v>213</v>
      </c>
      <c r="D6" s="4" t="s">
        <v>346</v>
      </c>
      <c r="E6" s="4">
        <v>3</v>
      </c>
      <c r="F6" s="4" t="s">
        <v>3772</v>
      </c>
    </row>
    <row r="7" spans="1:6" ht="15" customHeight="1" x14ac:dyDescent="0.2">
      <c r="A7" s="4" t="s">
        <v>268</v>
      </c>
      <c r="B7" s="4">
        <v>298</v>
      </c>
      <c r="C7" s="4">
        <v>118</v>
      </c>
      <c r="D7" s="4" t="s">
        <v>352</v>
      </c>
      <c r="E7" s="4">
        <v>28</v>
      </c>
      <c r="F7" s="4" t="s">
        <v>3773</v>
      </c>
    </row>
    <row r="8" spans="1:6" ht="15" customHeight="1" x14ac:dyDescent="0.2">
      <c r="A8" s="4" t="s">
        <v>269</v>
      </c>
      <c r="B8" s="4">
        <v>165</v>
      </c>
      <c r="C8" s="4">
        <v>345</v>
      </c>
      <c r="D8" s="4" t="s">
        <v>348</v>
      </c>
      <c r="E8" s="4">
        <v>15</v>
      </c>
      <c r="F8" s="4" t="s">
        <v>3774</v>
      </c>
    </row>
    <row r="9" spans="1:6" ht="15" customHeight="1" x14ac:dyDescent="0.2">
      <c r="A9" s="4" t="s">
        <v>270</v>
      </c>
      <c r="B9" s="4">
        <v>95</v>
      </c>
      <c r="C9" s="4">
        <v>275</v>
      </c>
      <c r="D9" s="4" t="s">
        <v>347</v>
      </c>
      <c r="E9" s="4">
        <v>5</v>
      </c>
      <c r="F9" s="4" t="s">
        <v>3775</v>
      </c>
    </row>
    <row r="10" spans="1:6" ht="15" customHeight="1" x14ac:dyDescent="0.2">
      <c r="A10" s="4" t="s">
        <v>271</v>
      </c>
      <c r="B10" s="4">
        <v>357</v>
      </c>
      <c r="C10" s="4">
        <v>177</v>
      </c>
      <c r="D10" s="4" t="s">
        <v>323</v>
      </c>
      <c r="E10" s="4">
        <v>27</v>
      </c>
      <c r="F10" s="4" t="s">
        <v>3776</v>
      </c>
    </row>
    <row r="11" spans="1:6" ht="15" customHeight="1" x14ac:dyDescent="0.2">
      <c r="A11" s="4" t="s">
        <v>272</v>
      </c>
      <c r="B11" s="4">
        <v>200</v>
      </c>
      <c r="C11" s="4">
        <v>20</v>
      </c>
      <c r="D11" s="4" t="s">
        <v>349</v>
      </c>
      <c r="E11" s="4">
        <v>20</v>
      </c>
      <c r="F11" s="4" t="s">
        <v>3777</v>
      </c>
    </row>
    <row r="13" spans="1:6" ht="15" customHeight="1" x14ac:dyDescent="0.2">
      <c r="A13" s="852" t="s">
        <v>3778</v>
      </c>
    </row>
    <row r="14" spans="1:6" ht="15" customHeight="1" x14ac:dyDescent="0.2">
      <c r="A14" s="4" t="s">
        <v>3779</v>
      </c>
    </row>
    <row r="15" spans="1:6" ht="15" customHeight="1" x14ac:dyDescent="0.2">
      <c r="A15" s="4" t="s">
        <v>3780</v>
      </c>
    </row>
    <row r="16" spans="1:6" ht="15" customHeight="1" x14ac:dyDescent="0.2">
      <c r="A16" s="4" t="s">
        <v>3781</v>
      </c>
    </row>
    <row r="18" spans="1:4" ht="15" customHeight="1" x14ac:dyDescent="0.2">
      <c r="A18" s="852" t="s">
        <v>3782</v>
      </c>
    </row>
    <row r="19" spans="1:4" ht="15" customHeight="1" x14ac:dyDescent="0.2">
      <c r="A19" s="853" t="s">
        <v>319</v>
      </c>
      <c r="B19" s="853" t="s">
        <v>3783</v>
      </c>
      <c r="C19" s="853" t="s">
        <v>3784</v>
      </c>
    </row>
    <row r="20" spans="1:4" ht="15" customHeight="1" x14ac:dyDescent="0.2">
      <c r="A20" s="4" t="s">
        <v>266</v>
      </c>
      <c r="B20" s="4">
        <v>60</v>
      </c>
      <c r="C20" s="4">
        <v>0</v>
      </c>
    </row>
    <row r="21" spans="1:4" ht="15" customHeight="1" x14ac:dyDescent="0.2">
      <c r="A21" s="4" t="s">
        <v>267</v>
      </c>
      <c r="B21" s="4">
        <v>0</v>
      </c>
      <c r="C21" s="4">
        <v>60</v>
      </c>
    </row>
    <row r="22" spans="1:4" ht="15" customHeight="1" x14ac:dyDescent="0.2">
      <c r="A22" s="4" t="s">
        <v>268</v>
      </c>
      <c r="B22" s="4">
        <v>0</v>
      </c>
      <c r="C22" s="4">
        <v>60</v>
      </c>
    </row>
    <row r="23" spans="1:4" ht="15" customHeight="1" x14ac:dyDescent="0.2">
      <c r="A23" s="4" t="s">
        <v>269</v>
      </c>
      <c r="B23" s="4">
        <v>30</v>
      </c>
      <c r="C23" s="4">
        <v>30</v>
      </c>
    </row>
    <row r="24" spans="1:4" ht="15" customHeight="1" x14ac:dyDescent="0.2">
      <c r="A24" s="4" t="s">
        <v>270</v>
      </c>
      <c r="B24" s="4">
        <v>60</v>
      </c>
      <c r="C24" s="4">
        <v>0</v>
      </c>
    </row>
    <row r="25" spans="1:4" ht="15" customHeight="1" x14ac:dyDescent="0.2">
      <c r="A25" s="4" t="s">
        <v>271</v>
      </c>
      <c r="B25" s="4">
        <v>60</v>
      </c>
      <c r="C25" s="4">
        <v>0</v>
      </c>
    </row>
    <row r="26" spans="1:4" ht="15" customHeight="1" x14ac:dyDescent="0.2">
      <c r="A26" s="4" t="s">
        <v>272</v>
      </c>
      <c r="B26" s="4">
        <v>0</v>
      </c>
      <c r="C26" s="4">
        <v>60</v>
      </c>
    </row>
    <row r="28" spans="1:4" ht="15" customHeight="1" x14ac:dyDescent="0.2">
      <c r="A28" s="852" t="s">
        <v>3785</v>
      </c>
    </row>
    <row r="29" spans="1:4" ht="15" customHeight="1" x14ac:dyDescent="0.2">
      <c r="A29" s="853" t="s">
        <v>3786</v>
      </c>
      <c r="B29" s="853" t="s">
        <v>3787</v>
      </c>
      <c r="C29" s="853" t="s">
        <v>3788</v>
      </c>
      <c r="D29" s="853" t="s">
        <v>3789</v>
      </c>
    </row>
    <row r="30" spans="1:4" ht="15" customHeight="1" x14ac:dyDescent="0.2">
      <c r="A30" s="4">
        <v>0</v>
      </c>
      <c r="B30" s="4" t="s">
        <v>3790</v>
      </c>
      <c r="C30" s="4" t="s">
        <v>267</v>
      </c>
      <c r="D30" s="4">
        <v>45</v>
      </c>
    </row>
    <row r="31" spans="1:4" ht="15" customHeight="1" x14ac:dyDescent="0.2">
      <c r="A31" s="4">
        <v>1</v>
      </c>
      <c r="B31" s="4" t="s">
        <v>3791</v>
      </c>
      <c r="C31" s="4" t="s">
        <v>268</v>
      </c>
      <c r="D31" s="4">
        <v>45</v>
      </c>
    </row>
    <row r="32" spans="1:4" ht="15" customHeight="1" x14ac:dyDescent="0.2">
      <c r="A32" s="4">
        <v>2</v>
      </c>
      <c r="B32" s="4" t="s">
        <v>3792</v>
      </c>
      <c r="C32" s="4" t="s">
        <v>269</v>
      </c>
      <c r="D32" s="4">
        <v>45</v>
      </c>
    </row>
    <row r="33" spans="1:4" ht="15" customHeight="1" x14ac:dyDescent="0.2">
      <c r="A33" s="4">
        <v>3</v>
      </c>
      <c r="B33" s="4" t="s">
        <v>3793</v>
      </c>
      <c r="C33" s="4" t="s">
        <v>270</v>
      </c>
      <c r="D33" s="4">
        <v>45</v>
      </c>
    </row>
    <row r="34" spans="1:4" ht="15" customHeight="1" x14ac:dyDescent="0.2">
      <c r="A34" s="4">
        <v>4</v>
      </c>
      <c r="B34" s="4" t="s">
        <v>3794</v>
      </c>
      <c r="C34" s="4" t="s">
        <v>271</v>
      </c>
      <c r="D34" s="4">
        <v>45</v>
      </c>
    </row>
    <row r="35" spans="1:4" ht="15" customHeight="1" x14ac:dyDescent="0.2">
      <c r="A35" s="4">
        <v>5</v>
      </c>
      <c r="B35" s="4" t="s">
        <v>3795</v>
      </c>
      <c r="C35" s="4" t="s">
        <v>272</v>
      </c>
      <c r="D35" s="4">
        <v>45</v>
      </c>
    </row>
    <row r="36" spans="1:4" ht="15" customHeight="1" x14ac:dyDescent="0.2">
      <c r="A36" s="4">
        <v>6</v>
      </c>
      <c r="B36" s="4" t="s">
        <v>3796</v>
      </c>
      <c r="C36" s="4" t="s">
        <v>266</v>
      </c>
      <c r="D36" s="4">
        <v>45</v>
      </c>
    </row>
    <row r="38" spans="1:4" ht="15" customHeight="1" x14ac:dyDescent="0.2">
      <c r="A38" s="852" t="s">
        <v>3797</v>
      </c>
    </row>
    <row r="39" spans="1:4" ht="15" customHeight="1" x14ac:dyDescent="0.2">
      <c r="A39" s="853" t="s">
        <v>3798</v>
      </c>
      <c r="B39" s="853" t="s">
        <v>1121</v>
      </c>
      <c r="C39" s="853" t="s">
        <v>3799</v>
      </c>
      <c r="D39" s="853" t="s">
        <v>3788</v>
      </c>
    </row>
    <row r="40" spans="1:4" ht="15" customHeight="1" x14ac:dyDescent="0.2">
      <c r="A40" s="4">
        <v>1</v>
      </c>
      <c r="B40" s="4" t="s">
        <v>345</v>
      </c>
      <c r="C40" s="4" t="s">
        <v>3800</v>
      </c>
      <c r="D40" s="4" t="s">
        <v>268</v>
      </c>
    </row>
    <row r="41" spans="1:4" ht="15" customHeight="1" x14ac:dyDescent="0.2">
      <c r="A41" s="4">
        <v>2</v>
      </c>
      <c r="B41" s="4" t="s">
        <v>346</v>
      </c>
      <c r="C41" s="4" t="s">
        <v>3801</v>
      </c>
      <c r="D41" s="4" t="s">
        <v>271</v>
      </c>
    </row>
    <row r="42" spans="1:4" ht="15" customHeight="1" x14ac:dyDescent="0.2">
      <c r="A42" s="4">
        <v>3</v>
      </c>
      <c r="B42" s="4" t="s">
        <v>329</v>
      </c>
      <c r="C42" s="4" t="s">
        <v>1428</v>
      </c>
      <c r="D42" s="4" t="s">
        <v>269</v>
      </c>
    </row>
    <row r="43" spans="1:4" ht="15" customHeight="1" x14ac:dyDescent="0.2">
      <c r="A43" s="4">
        <v>4</v>
      </c>
      <c r="B43" s="4" t="s">
        <v>347</v>
      </c>
      <c r="C43" s="4" t="s">
        <v>3802</v>
      </c>
      <c r="D43" s="4" t="s">
        <v>267</v>
      </c>
    </row>
    <row r="44" spans="1:4" ht="15" customHeight="1" x14ac:dyDescent="0.2">
      <c r="A44" s="4">
        <v>5</v>
      </c>
      <c r="B44" s="4" t="s">
        <v>334</v>
      </c>
      <c r="C44" s="4" t="s">
        <v>1475</v>
      </c>
      <c r="D44" s="4" t="s">
        <v>266</v>
      </c>
    </row>
    <row r="45" spans="1:4" ht="15" customHeight="1" x14ac:dyDescent="0.2">
      <c r="A45" s="4">
        <v>6</v>
      </c>
      <c r="B45" s="4" t="s">
        <v>348</v>
      </c>
      <c r="C45" s="4" t="s">
        <v>3803</v>
      </c>
      <c r="D45" s="4" t="s">
        <v>269</v>
      </c>
    </row>
    <row r="46" spans="1:4" ht="15" customHeight="1" x14ac:dyDescent="0.2">
      <c r="A46" s="4">
        <v>7</v>
      </c>
      <c r="B46" s="4" t="s">
        <v>349</v>
      </c>
      <c r="C46" s="4" t="s">
        <v>3804</v>
      </c>
      <c r="D46" s="4" t="s">
        <v>272</v>
      </c>
    </row>
    <row r="47" spans="1:4" ht="15" customHeight="1" x14ac:dyDescent="0.2">
      <c r="A47" s="4">
        <v>8</v>
      </c>
      <c r="B47" s="4" t="s">
        <v>350</v>
      </c>
      <c r="C47" s="4" t="s">
        <v>3805</v>
      </c>
      <c r="D47" s="4" t="s">
        <v>270</v>
      </c>
    </row>
    <row r="48" spans="1:4" ht="15" customHeight="1" x14ac:dyDescent="0.2">
      <c r="A48" s="4">
        <v>9</v>
      </c>
      <c r="B48" s="4" t="s">
        <v>351</v>
      </c>
      <c r="C48" s="4" t="s">
        <v>3806</v>
      </c>
      <c r="D48" s="4" t="s">
        <v>269</v>
      </c>
    </row>
    <row r="49" spans="1:4" ht="15" customHeight="1" x14ac:dyDescent="0.2">
      <c r="A49" s="4">
        <v>10</v>
      </c>
      <c r="B49" s="4" t="s">
        <v>352</v>
      </c>
      <c r="C49" s="4" t="s">
        <v>3807</v>
      </c>
      <c r="D49" s="4" t="s">
        <v>272</v>
      </c>
    </row>
    <row r="50" spans="1:4" ht="15" customHeight="1" x14ac:dyDescent="0.2">
      <c r="A50" s="4">
        <v>11</v>
      </c>
      <c r="B50" s="4" t="s">
        <v>325</v>
      </c>
      <c r="C50" s="4" t="s">
        <v>3808</v>
      </c>
      <c r="D50" s="4" t="s">
        <v>272</v>
      </c>
    </row>
    <row r="51" spans="1:4" ht="15" customHeight="1" x14ac:dyDescent="0.2">
      <c r="A51" s="4">
        <v>12</v>
      </c>
      <c r="B51" s="4" t="s">
        <v>323</v>
      </c>
      <c r="C51" s="4" t="s">
        <v>3809</v>
      </c>
      <c r="D51" s="4" t="s">
        <v>270</v>
      </c>
    </row>
    <row r="53" spans="1:4" ht="15" customHeight="1" x14ac:dyDescent="0.2">
      <c r="A53" s="852" t="s">
        <v>3810</v>
      </c>
    </row>
    <row r="54" spans="1:4" ht="15" customHeight="1" x14ac:dyDescent="0.2">
      <c r="A54" s="4" t="s">
        <v>3811</v>
      </c>
    </row>
    <row r="55" spans="1:4" ht="15" customHeight="1" x14ac:dyDescent="0.2">
      <c r="A55" s="4" t="s">
        <v>3812</v>
      </c>
    </row>
    <row r="56" spans="1:4" ht="15" customHeight="1" x14ac:dyDescent="0.2">
      <c r="A56" s="4" t="s">
        <v>3813</v>
      </c>
    </row>
    <row r="57" spans="1:4" ht="15" customHeight="1" x14ac:dyDescent="0.2">
      <c r="A57" s="4" t="s">
        <v>3814</v>
      </c>
    </row>
    <row r="58" spans="1:4" ht="15" customHeight="1" x14ac:dyDescent="0.2">
      <c r="A58" s="853" t="s">
        <v>319</v>
      </c>
      <c r="B58" s="853" t="s">
        <v>3815</v>
      </c>
      <c r="C58" s="853" t="s">
        <v>3816</v>
      </c>
    </row>
    <row r="59" spans="1:4" ht="15" customHeight="1" x14ac:dyDescent="0.2">
      <c r="A59" s="4" t="s">
        <v>266</v>
      </c>
      <c r="B59" s="4" t="s">
        <v>3817</v>
      </c>
      <c r="C59" s="4" t="s">
        <v>3818</v>
      </c>
    </row>
    <row r="60" spans="1:4" ht="15" customHeight="1" x14ac:dyDescent="0.2">
      <c r="A60" s="4" t="s">
        <v>267</v>
      </c>
      <c r="B60" s="4" t="s">
        <v>3819</v>
      </c>
      <c r="C60" s="4" t="s">
        <v>3820</v>
      </c>
    </row>
    <row r="61" spans="1:4" ht="15" customHeight="1" x14ac:dyDescent="0.2">
      <c r="A61" s="4" t="s">
        <v>268</v>
      </c>
      <c r="B61" s="4" t="s">
        <v>3817</v>
      </c>
      <c r="C61" s="4" t="s">
        <v>3821</v>
      </c>
    </row>
    <row r="62" spans="1:4" ht="15" customHeight="1" x14ac:dyDescent="0.2">
      <c r="A62" s="4" t="s">
        <v>269</v>
      </c>
      <c r="B62" s="4" t="s">
        <v>3817</v>
      </c>
      <c r="C62" s="4" t="s">
        <v>3821</v>
      </c>
    </row>
    <row r="63" spans="1:4" ht="15" customHeight="1" x14ac:dyDescent="0.2">
      <c r="A63" s="4" t="s">
        <v>270</v>
      </c>
      <c r="B63" s="4" t="s">
        <v>3817</v>
      </c>
      <c r="C63" s="4" t="s">
        <v>3821</v>
      </c>
    </row>
    <row r="64" spans="1:4" ht="15" customHeight="1" x14ac:dyDescent="0.2">
      <c r="A64" s="4" t="s">
        <v>271</v>
      </c>
      <c r="B64" s="4" t="s">
        <v>3817</v>
      </c>
      <c r="C64" s="4" t="s">
        <v>3821</v>
      </c>
    </row>
    <row r="65" spans="1:3" ht="15" customHeight="1" x14ac:dyDescent="0.2">
      <c r="A65" s="4" t="s">
        <v>272</v>
      </c>
      <c r="B65" s="4" t="s">
        <v>3819</v>
      </c>
      <c r="C65" s="4" t="s">
        <v>3822</v>
      </c>
    </row>
    <row r="68" spans="1:3" ht="15" customHeight="1" x14ac:dyDescent="0.2">
      <c r="A68" s="852" t="s">
        <v>3823</v>
      </c>
    </row>
    <row r="69" spans="1:3" ht="15" customHeight="1" x14ac:dyDescent="0.2">
      <c r="A69" s="4" t="s">
        <v>3824</v>
      </c>
    </row>
    <row r="70" spans="1:3" ht="15" customHeight="1" x14ac:dyDescent="0.2">
      <c r="A70" s="4" t="s">
        <v>3825</v>
      </c>
    </row>
    <row r="71" spans="1:3" ht="15" customHeight="1" x14ac:dyDescent="0.2">
      <c r="A71" s="4" t="s">
        <v>3826</v>
      </c>
    </row>
    <row r="72" spans="1:3" ht="15" customHeight="1" x14ac:dyDescent="0.2">
      <c r="A72" s="4" t="s">
        <v>3827</v>
      </c>
    </row>
    <row r="73" spans="1:3" ht="15" customHeight="1" x14ac:dyDescent="0.2">
      <c r="A73" s="4" t="s">
        <v>3828</v>
      </c>
    </row>
    <row r="74" spans="1:3" ht="15" customHeight="1" x14ac:dyDescent="0.2">
      <c r="A74" s="4" t="s">
        <v>3829</v>
      </c>
    </row>
    <row r="76" spans="1:3" ht="15" customHeight="1" x14ac:dyDescent="0.2">
      <c r="A76" s="852" t="s">
        <v>3830</v>
      </c>
    </row>
    <row r="77" spans="1:3" ht="15" customHeight="1" x14ac:dyDescent="0.2">
      <c r="A77" s="853" t="s">
        <v>319</v>
      </c>
      <c r="B77" s="853" t="s">
        <v>3831</v>
      </c>
      <c r="C77" s="853" t="s">
        <v>2280</v>
      </c>
    </row>
    <row r="78" spans="1:3" ht="15" customHeight="1" x14ac:dyDescent="0.2">
      <c r="A78" s="4" t="s">
        <v>266</v>
      </c>
      <c r="B78" s="4">
        <v>390</v>
      </c>
      <c r="C78" s="4" t="s">
        <v>3293</v>
      </c>
    </row>
    <row r="79" spans="1:3" ht="15" customHeight="1" x14ac:dyDescent="0.2">
      <c r="A79" s="4" t="s">
        <v>267</v>
      </c>
      <c r="B79" s="4">
        <v>360</v>
      </c>
      <c r="C79" s="4" t="s">
        <v>3293</v>
      </c>
    </row>
    <row r="80" spans="1:3" ht="15" customHeight="1" x14ac:dyDescent="0.2">
      <c r="A80" s="4" t="s">
        <v>268</v>
      </c>
      <c r="B80" s="4">
        <v>300</v>
      </c>
      <c r="C80" s="4" t="s">
        <v>3293</v>
      </c>
    </row>
    <row r="81" spans="1:3" ht="15" customHeight="1" x14ac:dyDescent="0.2">
      <c r="A81" s="4" t="s">
        <v>269</v>
      </c>
      <c r="B81" s="4">
        <v>420</v>
      </c>
      <c r="C81" s="4" t="s">
        <v>3293</v>
      </c>
    </row>
    <row r="82" spans="1:3" ht="15" customHeight="1" x14ac:dyDescent="0.2">
      <c r="A82" s="4" t="s">
        <v>270</v>
      </c>
      <c r="B82" s="4">
        <v>390</v>
      </c>
      <c r="C82" s="4" t="s">
        <v>3293</v>
      </c>
    </row>
    <row r="83" spans="1:3" ht="15" customHeight="1" x14ac:dyDescent="0.2">
      <c r="A83" s="4" t="s">
        <v>271</v>
      </c>
      <c r="B83" s="4">
        <v>330</v>
      </c>
      <c r="C83" s="4" t="s">
        <v>3293</v>
      </c>
    </row>
    <row r="84" spans="1:3" ht="15" customHeight="1" x14ac:dyDescent="0.2">
      <c r="A84" s="4" t="s">
        <v>272</v>
      </c>
      <c r="B84" s="4">
        <v>300</v>
      </c>
      <c r="C84" s="4" t="s">
        <v>3293</v>
      </c>
    </row>
  </sheetData>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6A1B9A"/>
  </sheetPr>
  <dimension ref="A1:U26"/>
  <sheetViews>
    <sheetView zoomScaleNormal="100" workbookViewId="0"/>
  </sheetViews>
  <sheetFormatPr defaultColWidth="8.609375" defaultRowHeight="15" x14ac:dyDescent="0.2"/>
  <cols>
    <col min="1" max="1" width="11.97265625" customWidth="1"/>
    <col min="2" max="3" width="13.98828125" customWidth="1"/>
    <col min="4" max="7" width="11.97265625" customWidth="1"/>
    <col min="8" max="9" width="9.953125" customWidth="1"/>
    <col min="10" max="11" width="11.97265625" customWidth="1"/>
    <col min="12" max="13" width="13.98828125" customWidth="1"/>
    <col min="14" max="14" width="45.0625" customWidth="1"/>
  </cols>
  <sheetData>
    <row r="1" spans="1:21" ht="21.75" customHeight="1" x14ac:dyDescent="0.2">
      <c r="A1" s="1566" t="s">
        <v>3832</v>
      </c>
      <c r="B1" s="1566"/>
      <c r="C1" s="1566"/>
      <c r="D1" s="1566"/>
      <c r="E1" s="1566"/>
      <c r="F1" s="1566"/>
      <c r="G1" s="1566"/>
      <c r="H1" s="1566"/>
      <c r="I1" s="1566"/>
      <c r="J1" s="1566"/>
      <c r="K1" s="1566"/>
      <c r="L1" s="1566"/>
      <c r="M1" s="1566"/>
      <c r="N1" s="1566"/>
      <c r="O1" s="854"/>
      <c r="P1" s="544" t="s">
        <v>2214</v>
      </c>
    </row>
    <row r="2" spans="1:21" ht="27.75" customHeight="1" x14ac:dyDescent="0.2">
      <c r="A2" s="1567" t="s">
        <v>3833</v>
      </c>
      <c r="B2" s="1567"/>
      <c r="C2" s="1567"/>
      <c r="D2" s="1567"/>
      <c r="E2" s="1567"/>
      <c r="F2" s="1567"/>
      <c r="G2" s="1567"/>
      <c r="H2" s="1567"/>
      <c r="I2" s="1567"/>
      <c r="J2" s="1567"/>
      <c r="K2" s="1567"/>
      <c r="L2" s="1567"/>
      <c r="M2" s="1567"/>
      <c r="N2" s="1567"/>
      <c r="O2" s="854"/>
    </row>
    <row r="3" spans="1:21" ht="19.5" customHeight="1" x14ac:dyDescent="0.2">
      <c r="A3" s="87"/>
      <c r="B3" s="517"/>
      <c r="C3" s="517"/>
      <c r="D3" s="517"/>
      <c r="E3" s="517"/>
      <c r="F3" s="658"/>
      <c r="G3" s="658"/>
      <c r="H3" s="89"/>
      <c r="I3" s="89"/>
    </row>
    <row r="4" spans="1:21" ht="18" customHeight="1" x14ac:dyDescent="0.2">
      <c r="A4" s="1568" t="s">
        <v>3834</v>
      </c>
      <c r="B4" s="1568"/>
      <c r="C4" s="1568"/>
      <c r="D4" s="1568"/>
      <c r="E4" s="1568"/>
      <c r="F4" s="1568"/>
      <c r="G4" s="1568"/>
      <c r="H4" s="1568"/>
      <c r="I4" s="1568"/>
      <c r="J4" s="1568"/>
      <c r="K4" s="1568"/>
      <c r="L4" s="1568"/>
      <c r="M4" s="1568"/>
      <c r="N4" s="1568"/>
      <c r="O4" s="854"/>
    </row>
    <row r="5" spans="1:21" ht="15.75" customHeight="1" x14ac:dyDescent="0.2">
      <c r="A5" s="545" t="s">
        <v>319</v>
      </c>
      <c r="B5" s="829" t="s">
        <v>1078</v>
      </c>
      <c r="C5" s="829" t="s">
        <v>3835</v>
      </c>
      <c r="D5" s="829" t="s">
        <v>3836</v>
      </c>
      <c r="E5" s="829" t="s">
        <v>3295</v>
      </c>
      <c r="F5" s="545" t="s">
        <v>3837</v>
      </c>
      <c r="G5" s="855" t="s">
        <v>3838</v>
      </c>
      <c r="H5" s="545" t="s">
        <v>3839</v>
      </c>
      <c r="I5" s="545" t="s">
        <v>3840</v>
      </c>
      <c r="J5" s="545" t="s">
        <v>3841</v>
      </c>
      <c r="K5" s="856" t="s">
        <v>3842</v>
      </c>
      <c r="L5" s="545" t="s">
        <v>3843</v>
      </c>
      <c r="M5" s="545" t="s">
        <v>3742</v>
      </c>
      <c r="N5" s="853" t="s">
        <v>3844</v>
      </c>
      <c r="O5" s="545"/>
      <c r="Q5" s="853" t="s">
        <v>3843</v>
      </c>
      <c r="R5" s="853" t="s">
        <v>3845</v>
      </c>
      <c r="S5" s="853" t="s">
        <v>3846</v>
      </c>
      <c r="T5" s="853" t="s">
        <v>3847</v>
      </c>
      <c r="U5" s="853" t="s">
        <v>3848</v>
      </c>
    </row>
    <row r="6" spans="1:21" ht="15.75" customHeight="1" x14ac:dyDescent="0.2">
      <c r="A6" s="546" t="s">
        <v>266</v>
      </c>
      <c r="B6" s="857">
        <f>IFERROR(ROUND(60*(1-MIN(ABS(CALC_PlanetLongitudes!$D$8-REF_ShadbalaData!$B$5),360-ABS(CALC_PlanetLongitudes!$D$8-REF_ShadbalaData!$B$5))/180),2),0)</f>
        <v>24</v>
      </c>
      <c r="C6" s="857">
        <f>IFERROR(IF(MOD(MOD(MATCH(CALC_PlanetPositions!$B$7,{"Aries","Taurus","Gemini","Cancer","Leo","Virgo","Libra","Scorpio","Sagittarius","Capricorn","Aquarius","Pisces"},0)-MATCH(CALC_PlanetPositions!$B$6,{"Aries","Taurus","Gemini","Cancer","Leo","Virgo","Libra","Scorpio","Sagittarius","Capricorn","Aquarius","Pisces"},0),12)+1-1,3)=0,60,IF(MOD(MOD(MATCH(CALC_PlanetPositions!$B$7,{"Aries","Taurus","Gemini","Cancer","Leo","Virgo","Libra","Scorpio","Sagittarius","Capricorn","Aquarius","Pisces"},0)-MATCH(CALC_PlanetPositions!$B$6,{"Aries","Taurus","Gemini","Cancer","Leo","Virgo","Libra","Scorpio","Sagittarius","Capricorn","Aquarius","Pisces"},0),12)+1-2,3)=0,30,15)),15)</f>
        <v>15</v>
      </c>
      <c r="D6" s="858">
        <f>IFERROR(IF(MOD(MATCH(CALC_PlanetPositions!$B$7,{"Aries","Taurus","Gemini","Cancer","Leo","Virgo","Libra","Scorpio","Sagittarius","Capricorn","Aquarius","Pisces"},0),2)=1,15,7.5),11.25)</f>
        <v>7.5</v>
      </c>
      <c r="E6" s="858">
        <f>IFERROR(CALC_DigBala!$G$4*60,0)</f>
        <v>10.200000000000001</v>
      </c>
      <c r="F6" s="859">
        <v>60</v>
      </c>
      <c r="G6" s="857">
        <f>IFERROR(MIN(60,IF(MOD(CALC_PlanetLongitudes!$D$9-CALC_PlanetLongitudes!$D$8,360)&lt;=180,(180-MOD(CALC_PlanetLongitudes!$D$9-CALC_PlanetLongitudes!$D$8,360))/3,(MOD(CALC_PlanetLongitudes!$D$9-CALC_PlanetLongitudes!$D$8,360)-180)/3)),0)</f>
        <v>51.99816666666667</v>
      </c>
      <c r="H6" s="857">
        <f>IFERROR(IF(AND(HOUR(INPUT_BirthData!$B$6)&gt;=6,HOUR(INPUT_BirthData!$B$6)&lt;10),60,0),0)</f>
        <v>0</v>
      </c>
      <c r="I6" s="857">
        <f>IFERROR(IF(INDEX({"Sun","Moon","Mars","Mercury","Jupiter","Venus","Saturn"},1)=INDEX({"Sun","Venus","Mercury","Moon","Saturn","Jupiter","Mars"},MOD(IF(((HOUR(INPUT_BirthData!$B$6)+MINUTE(INPUT_BirthData!$B$6)/60)&lt;6),INDEX({3,6,2,5,1,4,0},MOD(MOD(INT(INPUT_BirthData!$B$19+0.5)+1,7)-1+7,7)+1),INDEX({3,6,2,5,1,4,0},MOD(INT(INPUT_BirthData!$B$19+0.5)+1,7)+1))+INT(IF(((HOUR(INPUT_BirthData!$B$6)+MINUTE(INPUT_BirthData!$B$6)/60)&lt;6),(HOUR(INPUT_BirthData!$B$6)+MINUTE(INPUT_BirthData!$B$6)/60)+24-6,(HOUR(INPUT_BirthData!$B$6)+MINUTE(INPUT_BirthData!$B$6)/60)-6)),7)+1),60,0),0)</f>
        <v>0</v>
      </c>
      <c r="J6" s="857">
        <v>60</v>
      </c>
      <c r="K6" s="857">
        <f>IFERROR(MAX(0,MIN(60,IF(REF_ShadbalaData!$B$59="Uttarayana",30+30*DEGREES(ASIN(SIN(RADIANS(23.45))*SIN(RADIANS((CALC_PlanetLongitudes!$D$8+INPUT_BirthData!$B$20)))))/23.45,30-30*DEGREES(ASIN(SIN(RADIANS(23.45))*SIN(RADIANS((CALC_PlanetLongitudes!$D$8+INPUT_BirthData!$B$20)))))/23.45))),0)</f>
        <v>48.507629463482161</v>
      </c>
      <c r="L6" s="860">
        <f>IFERROR(IF(INDEX({"Sun","Moon","Mars","Mercury","Jupiter","Venus","Saturn"},1)=VLOOKUP(MOD(INT(INPUT_BirthData!$B$19+0.5)+1,7),REF_ShadbalaData!$A$30:$D$36,3,FALSE()),45,0),0)</f>
        <v>0</v>
      </c>
      <c r="M6" s="860">
        <f>IFERROR(IF(INDEX({"Sun","Moon","Mars","Mercury","Jupiter","Venus","Saturn"},1)=VLOOKUP(MATCH(CALC_PlanetPositions!$B$7,{"Aries","Taurus","Gemini","Cancer","Leo","Virgo","Libra","Scorpio","Sagittarius","Capricorn","Aquarius","Pisces"},0),REF_ShadbalaData!$A$40:$D$51,4,FALSE()),30,0),0)</f>
        <v>0</v>
      </c>
      <c r="N6" s="4">
        <f>IFERROR(IF(INDEX({"Sun","Moon","Mars","Mercury","Jupiter","Venus","Saturn"},1)=VLOOKUP(MOD(INT((1721139.5+365.2422*(YEAR(INPUT_BirthData!$B$5)-1900)+80)+0.5)+1,7),REF_ShadbalaData!$A$30:$D$36,3,FALSE()),15,0),0)</f>
        <v>0</v>
      </c>
      <c r="O6" s="861">
        <f>0</f>
        <v>0</v>
      </c>
      <c r="P6" s="4">
        <f>IFERROR(ROUND((IF(MOD(MATCH(CALC_PlanetPositions!$B$7,{"Aries","Taurus","Gemini","Cancer","Leo","Virgo","Libra","Scorpio","Sagittarius","Capricorn","Aquarius","Pisces"},0)-MATCH(CALC_PlanetPositions!$B$8,{"Aries","Taurus","Gemini","Cancer","Leo","Virgo","Libra","Scorpio","Sagittarius","Capricorn","Aquarius","Pisces"},0),12)+1=7,45,0)+IF(MATCH(CALC_PlanetPositions!$B$7,{"Aries","Taurus","Gemini","Cancer","Leo","Virgo","Libra","Scorpio","Sagittarius","Capricorn","Aquarius","Pisces"},0)=MATCH(CALC_PlanetPositions!$B$8,{"Aries","Taurus","Gemini","Cancer","Leo","Virgo","Libra","Scorpio","Sagittarius","Capricorn","Aquarius","Pisces"},0),MAX(0,1-MIN(ABS(CALC_PlanetLongitudes!$D$8-CALC_PlanetLongitudes!$D$9),360-ABS(CALC_PlanetLongitudes!$D$8-CALC_PlanetLongitudes!$D$9))/30)*45,0))+(IF(OR(MOD(MATCH(CALC_PlanetPositions!$B$7,{"Aries","Taurus","Gemini","Cancer","Leo","Virgo","Libra","Scorpio","Sagittarius","Capricorn","Aquarius","Pisces"},0)-MATCH(CALC_PlanetPositions!$B$9,{"Aries","Taurus","Gemini","Cancer","Leo","Virgo","Libra","Scorpio","Sagittarius","Capricorn","Aquarius","Pisces"},0),12)+1=4,MOD(MATCH(CALC_PlanetPositions!$B$7,{"Aries","Taurus","Gemini","Cancer","Leo","Virgo","Libra","Scorpio","Sagittarius","Capricorn","Aquarius","Pisces"},0)-MATCH(CALC_PlanetPositions!$B$9,{"Aries","Taurus","Gemini","Cancer","Leo","Virgo","Libra","Scorpio","Sagittarius","Capricorn","Aquarius","Pisces"},0),12)+1=7,MOD(MATCH(CALC_PlanetPositions!$B$7,{"Aries","Taurus","Gemini","Cancer","Leo","Virgo","Libra","Scorpio","Sagittarius","Capricorn","Aquarius","Pisces"},0)-MATCH(CALC_PlanetPositions!$B$9,{"Aries","Taurus","Gemini","Cancer","Leo","Virgo","Libra","Scorpio","Sagittarius","Capricorn","Aquarius","Pisces"},0),12)+1=8),-45,0)+IF(MATCH(CALC_PlanetPositions!$B$7,{"Aries","Taurus","Gemini","Cancer","Leo","Virgo","Libra","Scorpio","Sagittarius","Capricorn","Aquarius","Pisces"},0)=MATCH(CALC_PlanetPositions!$B$9,{"Aries","Taurus","Gemini","Cancer","Leo","Virgo","Libra","Scorpio","Sagittarius","Capricorn","Aquarius","Pisces"},0),MAX(0,1-MIN(ABS(CALC_PlanetLongitudes!$D$8-CALC_PlanetLongitudes!$D$10),360-ABS(CALC_PlanetLongitudes!$D$8-CALC_PlanetLongitudes!$D$10))/30)*-45,0))+(IF(MOD(MATCH(CALC_PlanetPositions!$B$7,{"Aries","Taurus","Gemini","Cancer","Leo","Virgo","Libra","Scorpio","Sagittarius","Capricorn","Aquarius","Pisces"},0)-MATCH(CALC_PlanetPositions!$B$10,{"Aries","Taurus","Gemini","Cancer","Leo","Virgo","Libra","Scorpio","Sagittarius","Capricorn","Aquarius","Pisces"},0),12)+1=7,22.5,0)+IF(MATCH(CALC_PlanetPositions!$B$7,{"Aries","Taurus","Gemini","Cancer","Leo","Virgo","Libra","Scorpio","Sagittarius","Capricorn","Aquarius","Pisces"},0)=MATCH(CALC_PlanetPositions!$B$10,{"Aries","Taurus","Gemini","Cancer","Leo","Virgo","Libra","Scorpio","Sagittarius","Capricorn","Aquarius","Pisces"},0),MAX(0,1-MIN(ABS(CALC_PlanetLongitudes!$D$8-CALC_PlanetLongitudes!$D$11),360-ABS(CALC_PlanetLongitudes!$D$8-CALC_PlanetLongitudes!$D$11))/30)*22.5,0))+(IF(OR(MOD(MATCH(CALC_PlanetPositions!$B$7,{"Aries","Taurus","Gemini","Cancer","Leo","Virgo","Libra","Scorpio","Sagittarius","Capricorn","Aquarius","Pisces"},0)-MATCH(CALC_PlanetPositions!$B$11,{"Aries","Taurus","Gemini","Cancer","Leo","Virgo","Libra","Scorpio","Sagittarius","Capricorn","Aquarius","Pisces"},0),12)+1=5,MOD(MATCH(CALC_PlanetPositions!$B$7,{"Aries","Taurus","Gemini","Cancer","Leo","Virgo","Libra","Scorpio","Sagittarius","Capricorn","Aquarius","Pisces"},0)-MATCH(CALC_PlanetPositions!$B$11,{"Aries","Taurus","Gemini","Cancer","Leo","Virgo","Libra","Scorpio","Sagittarius","Capricorn","Aquarius","Pisces"},0),12)+1=7,MOD(MATCH(CALC_PlanetPositions!$B$7,{"Aries","Taurus","Gemini","Cancer","Leo","Virgo","Libra","Scorpio","Sagittarius","Capricorn","Aquarius","Pisces"},0)-MATCH(CALC_PlanetPositions!$B$11,{"Aries","Taurus","Gemini","Cancer","Leo","Virgo","Libra","Scorpio","Sagittarius","Capricorn","Aquarius","Pisces"},0),12)+1=9),45,0)+IF(MATCH(CALC_PlanetPositions!$B$7,{"Aries","Taurus","Gemini","Cancer","Leo","Virgo","Libra","Scorpio","Sagittarius","Capricorn","Aquarius","Pisces"},0)=MATCH(CALC_PlanetPositions!$B$11,{"Aries","Taurus","Gemini","Cancer","Leo","Virgo","Libra","Scorpio","Sagittarius","Capricorn","Aquarius","Pisces"},0),MAX(0,1-MIN(ABS(CALC_PlanetLongitudes!$D$8-CALC_PlanetLongitudes!$D$12),360-ABS(CALC_PlanetLongitudes!$D$8-CALC_PlanetLongitudes!$D$12))/30)*45,0))+(IF(MOD(MATCH(CALC_PlanetPositions!$B$7,{"Aries","Taurus","Gemini","Cancer","Leo","Virgo","Libra","Scorpio","Sagittarius","Capricorn","Aquarius","Pisces"},0)-MATCH(CALC_PlanetPositions!$B$12,{"Aries","Taurus","Gemini","Cancer","Leo","Virgo","Libra","Scorpio","Sagittarius","Capricorn","Aquarius","Pisces"},0),12)+1=7,45,0)+IF(MATCH(CALC_PlanetPositions!$B$7,{"Aries","Taurus","Gemini","Cancer","Leo","Virgo","Libra","Scorpio","Sagittarius","Capricorn","Aquarius","Pisces"},0)=MATCH(CALC_PlanetPositions!$B$12,{"Aries","Taurus","Gemini","Cancer","Leo","Virgo","Libra","Scorpio","Sagittarius","Capricorn","Aquarius","Pisces"},0),MAX(0,1-MIN(ABS(CALC_PlanetLongitudes!$D$8-CALC_PlanetLongitudes!$D$13),360-ABS(CALC_PlanetLongitudes!$D$8-CALC_PlanetLongitudes!$D$13))/30)*45,0))+(IF(OR(MOD(MATCH(CALC_PlanetPositions!$B$7,{"Aries","Taurus","Gemini","Cancer","Leo","Virgo","Libra","Scorpio","Sagittarius","Capricorn","Aquarius","Pisces"},0)-MATCH(CALC_PlanetPositions!$B$13,{"Aries","Taurus","Gemini","Cancer","Leo","Virgo","Libra","Scorpio","Sagittarius","Capricorn","Aquarius","Pisces"},0),12)+1=3,MOD(MATCH(CALC_PlanetPositions!$B$7,{"Aries","Taurus","Gemini","Cancer","Leo","Virgo","Libra","Scorpio","Sagittarius","Capricorn","Aquarius","Pisces"},0)-MATCH(CALC_PlanetPositions!$B$13,{"Aries","Taurus","Gemini","Cancer","Leo","Virgo","Libra","Scorpio","Sagittarius","Capricorn","Aquarius","Pisces"},0),12)+1=7,MOD(MATCH(CALC_PlanetPositions!$B$7,{"Aries","Taurus","Gemini","Cancer","Leo","Virgo","Libra","Scorpio","Sagittarius","Capricorn","Aquarius","Pisces"},0)-MATCH(CALC_PlanetPositions!$B$13,{"Aries","Taurus","Gemini","Cancer","Leo","Virgo","Libra","Scorpio","Sagittarius","Capricorn","Aquarius","Pisces"},0),12)+1=10),-45,0)+IF(MATCH(CALC_PlanetPositions!$B$7,{"Aries","Taurus","Gemini","Cancer","Leo","Virgo","Libra","Scorpio","Sagittarius","Capricorn","Aquarius","Pisces"},0)=MATCH(CALC_PlanetPositions!$B$13,{"Aries","Taurus","Gemini","Cancer","Leo","Virgo","Libra","Scorpio","Sagittarius","Capricorn","Aquarius","Pisces"},0),MAX(0,1-MIN(ABS(CALC_PlanetLongitudes!$D$8-CALC_PlanetLongitudes!$D$14),360-ABS(CALC_PlanetLongitudes!$D$8-CALC_PlanetLongitudes!$D$14))/30)*-45,0)),1),0)</f>
        <v>23.9</v>
      </c>
      <c r="Q6" s="4">
        <f>IFERROR(ROUND((IFERROR(IF(CALC_DivisionalMap!$B$5=INDEX(REF_Dignity!$C$4:$C$12,MATCH("Sun",REF_Dignity!$A$4:$A$12,0)),45,IF(ISNUMBER(SEARCH(CALC_DivisionalMap!$B$5,INDEX(REF_Dignity!$J$4:$J$12,MATCH("Sun",REF_Dignity!$A$4:$A$12,0)))),45,IF(INDEX(REF_NaisargikaFriendship!$C$5:$I$11,MATCH("Sun",REF_NaisargikaFriendship!$A$5:$A$11,0),MATCH(INDEX(REF_Zodiac!$D$7:$O$7,MATCH(CALC_DivisionalMap!$B$5,REF_Zodiac!$D$3:$O$3,0)),REF_NaisargikaFriendship!$C$4:$I$4,0))="Friend",30,IF(INDEX(REF_NaisargikaFriendship!$C$5:$I$11,MATCH("Sun",REF_NaisargikaFriendship!$A$5:$A$11,0),MATCH(INDEX(REF_Zodiac!$D$7:$O$7,MATCH(CALC_DivisionalMap!$B$5,REF_Zodiac!$D$3:$O$3,0)),REF_NaisargikaFriendship!$C$4:$I$4,0))="Enemy",15,IF(CALC_DivisionalMap!$B$5=INDEX(REF_Dignity!$F$4:$F$12,MATCH("Sun",REF_Dignity!$A$4:$A$12,0)),7.5,22.5))))),0)+IFERROR(IF(CALC_DivisionalMap!$J$5=INDEX(REF_Dignity!$C$4:$C$12,MATCH("Sun",REF_Dignity!$A$4:$A$12,0)),45,IF(ISNUMBER(SEARCH(CALC_DivisionalMap!$J$5,INDEX(REF_Dignity!$J$4:$J$12,MATCH("Sun",REF_Dignity!$A$4:$A$12,0)))),45,IF(INDEX(REF_NaisargikaFriendship!$C$5:$I$11,MATCH("Sun",REF_NaisargikaFriendship!$A$5:$A$11,0),MATCH(INDEX(REF_Zodiac!$D$7:$O$7,MATCH(CALC_DivisionalMap!$J$5,REF_Zodiac!$D$3:$O$3,0)),REF_NaisargikaFriendship!$C$4:$I$4,0))="Friend",30,IF(INDEX(REF_NaisargikaFriendship!$C$5:$I$11,MATCH("Sun",REF_NaisargikaFriendship!$A$5:$A$11,0),MATCH(INDEX(REF_Zodiac!$D$7:$O$7,MATCH(CALC_DivisionalMap!$J$5,REF_Zodiac!$D$3:$O$3,0)),REF_NaisargikaFriendship!$C$4:$I$4,0))="Enemy",15,IF(CALC_DivisionalMap!$J$5=INDEX(REF_Dignity!$F$4:$F$12,MATCH("Sun",REF_Dignity!$A$4:$A$12,0)),7.5,22.5))))),0)+IFERROR(IF(CALC_DivisionalMap!$F$5=INDEX(REF_Dignity!$C$4:$C$12,MATCH("Sun",REF_Dignity!$A$4:$A$12,0)),45,IF(ISNUMBER(SEARCH(CALC_DivisionalMap!$F$5,INDEX(REF_Dignity!$J$4:$J$12,MATCH("Sun",REF_Dignity!$A$4:$A$12,0)))),45,IF(INDEX(REF_NaisargikaFriendship!$C$5:$I$11,MATCH("Sun",REF_NaisargikaFriendship!$A$5:$A$11,0),MATCH(INDEX(REF_Zodiac!$D$7:$O$7,MATCH(CALC_DivisionalMap!$F$5,REF_Zodiac!$D$3:$O$3,0)),REF_NaisargikaFriendship!$C$4:$I$4,0))="Friend",30,IF(INDEX(REF_NaisargikaFriendship!$C$5:$I$11,MATCH("Sun",REF_NaisargikaFriendship!$A$5:$A$11,0),MATCH(INDEX(REF_Zodiac!$D$7:$O$7,MATCH(CALC_DivisionalMap!$F$5,REF_Zodiac!$D$3:$O$3,0)),REF_NaisargikaFriendship!$C$4:$I$4,0))="Enemy",15,IF(CALC_DivisionalMap!$F$5=INDEX(REF_Dignity!$F$4:$F$12,MATCH("Sun",REF_Dignity!$A$4:$A$12,0)),7.5,22.5))))),0)+IFERROR(IF(CALC_DivisionalMap!$G$5=INDEX(REF_Dignity!$C$4:$C$12,MATCH("Sun",REF_Dignity!$A$4:$A$12,0)),45,IF(ISNUMBER(SEARCH(CALC_DivisionalMap!$G$5,INDEX(REF_Dignity!$J$4:$J$12,MATCH("Sun",REF_Dignity!$A$4:$A$12,0)))),45,IF(INDEX(REF_NaisargikaFriendship!$C$5:$I$11,MATCH("Sun",REF_NaisargikaFriendship!$A$5:$A$11,0),MATCH(INDEX(REF_Zodiac!$D$7:$O$7,MATCH(CALC_DivisionalMap!$G$5,REF_Zodiac!$D$3:$O$3,0)),REF_NaisargikaFriendship!$C$4:$I$4,0))="Friend",30,IF(INDEX(REF_NaisargikaFriendship!$C$5:$I$11,MATCH("Sun",REF_NaisargikaFriendship!$A$5:$A$11,0),MATCH(INDEX(REF_Zodiac!$D$7:$O$7,MATCH(CALC_DivisionalMap!$G$5,REF_Zodiac!$D$3:$O$3,0)),REF_NaisargikaFriendship!$C$4:$I$4,0))="Enemy",15,IF(CALC_DivisionalMap!$G$5=INDEX(REF_Dignity!$F$4:$F$12,MATCH("Sun",REF_Dignity!$A$4:$A$12,0)),7.5,22.5))))),0)+IFERROR(IF(CALC_DivisionalMap!$D$5=INDEX(REF_Dignity!$C$4:$C$12,MATCH("Sun",REF_Dignity!$A$4:$A$12,0)),45,IF(ISNUMBER(SEARCH(CALC_DivisionalMap!$D$5,INDEX(REF_Dignity!$J$4:$J$12,MATCH("Sun",REF_Dignity!$A$4:$A$12,0)))),45,IF(INDEX(REF_NaisargikaFriendship!$C$5:$I$11,MATCH("Sun",REF_NaisargikaFriendship!$A$5:$A$11,0),MATCH(INDEX(REF_Zodiac!$D$7:$O$7,MATCH(CALC_DivisionalMap!$D$5,REF_Zodiac!$D$3:$O$3,0)),REF_NaisargikaFriendship!$C$4:$I$4,0))="Friend",30,IF(INDEX(REF_NaisargikaFriendship!$C$5:$I$11,MATCH("Sun",REF_NaisargikaFriendship!$A$5:$A$11,0),MATCH(INDEX(REF_Zodiac!$D$7:$O$7,MATCH(CALC_DivisionalMap!$D$5,REF_Zodiac!$D$3:$O$3,0)),REF_NaisargikaFriendship!$C$4:$I$4,0))="Enemy",15,IF(CALC_DivisionalMap!$D$5=INDEX(REF_Dignity!$F$4:$F$12,MATCH("Sun",REF_Dignity!$A$4:$A$12,0)),7.5,22.5))))),0)+IFERROR(IF(CALC_DivisionalMap!$H$5=INDEX(REF_Dignity!$C$4:$C$12,MATCH("Sun",REF_Dignity!$A$4:$A$12,0)),45,IF(ISNUMBER(SEARCH(CALC_DivisionalMap!$H$5,INDEX(REF_Dignity!$J$4:$J$12,MATCH("Sun",REF_Dignity!$A$4:$A$12,0)))),45,IF(INDEX(REF_NaisargikaFriendship!$C$5:$I$11,MATCH("Sun",REF_NaisargikaFriendship!$A$5:$A$11,0),MATCH(INDEX(REF_Zodiac!$D$7:$O$7,MATCH(CALC_DivisionalMap!$H$5,REF_Zodiac!$D$3:$O$3,0)),REF_NaisargikaFriendship!$C$4:$I$4,0))="Friend",30,IF(INDEX(REF_NaisargikaFriendship!$C$5:$I$11,MATCH("Sun",REF_NaisargikaFriendship!$A$5:$A$11,0),MATCH(INDEX(REF_Zodiac!$D$7:$O$7,MATCH(CALC_DivisionalMap!$H$5,REF_Zodiac!$D$3:$O$3,0)),REF_NaisargikaFriendship!$C$4:$I$4,0))="Enemy",15,IF(CALC_DivisionalMap!$H$5=INDEX(REF_Dignity!$F$4:$F$12,MATCH("Sun",REF_Dignity!$A$4:$A$12,0)),7.5,22.5))))),0)+IFERROR(IF(CALC_DivisionalMap!$K$5=INDEX(REF_Dignity!$C$4:$C$12,MATCH("Sun",REF_Dignity!$A$4:$A$12,0)),45,IF(ISNUMBER(SEARCH(CALC_DivisionalMap!$K$5,INDEX(REF_Dignity!$J$4:$J$12,MATCH("Sun",REF_Dignity!$A$4:$A$12,0)))),45,IF(INDEX(REF_NaisargikaFriendship!$C$5:$I$11,MATCH("Sun",REF_NaisargikaFriendship!$A$5:$A$11,0),MATCH(INDEX(REF_Zodiac!$D$7:$O$7,MATCH(CALC_DivisionalMap!$K$5,REF_Zodiac!$D$3:$O$3,0)),REF_NaisargikaFriendship!$C$4:$I$4,0))="Friend",30,IF(INDEX(REF_NaisargikaFriendship!$C$5:$I$11,MATCH("Sun",REF_NaisargikaFriendship!$A$5:$A$11,0),MATCH(INDEX(REF_Zodiac!$D$7:$O$7,MATCH(CALC_DivisionalMap!$K$5,REF_Zodiac!$D$3:$O$3,0)),REF_NaisargikaFriendship!$C$4:$I$4,0))="Enemy",15,IF(CALC_DivisionalMap!$K$5=INDEX(REF_Dignity!$F$4:$F$12,MATCH("Sun",REF_Dignity!$A$4:$A$12,0)),7.5,22.5))))),0))/7,1),0)</f>
        <v>30</v>
      </c>
      <c r="R6" s="862">
        <f t="shared" ref="R6:R12" si="0">IFERROR(SUM(B6:Q6),0)</f>
        <v>331.1057961301488</v>
      </c>
      <c r="S6" s="4">
        <f>REF_ShadbalaData!$B$78</f>
        <v>390</v>
      </c>
      <c r="T6" s="4">
        <f t="shared" ref="T6:T12" si="1">IFERROR(ROUND(R6/S6*100,1),0)</f>
        <v>84.9</v>
      </c>
      <c r="U6" s="4" t="str">
        <f t="shared" ref="U6:U12" si="2">IFERROR(IF(T6&gt;=150,"✓ Excellent",IF(T6&gt;=110,"✓ Strong",IF(T6&gt;=90,"~ Adequate","⚠ Weak"))),"")</f>
        <v>⚠ Weak</v>
      </c>
    </row>
    <row r="7" spans="1:21" ht="15.75" customHeight="1" x14ac:dyDescent="0.2">
      <c r="A7" s="551" t="s">
        <v>267</v>
      </c>
      <c r="B7" s="863">
        <f>IFERROR(ROUND(60*(1-MIN(ABS(CALC_PlanetLongitudes!$D$9-REF_ShadbalaData!$B$6),360-ABS(CALC_PlanetLongitudes!$D$9-REF_ShadbalaData!$B$6))/180),2),0)</f>
        <v>39.67</v>
      </c>
      <c r="C7" s="863">
        <f>IFERROR(IF(MOD(MOD(MATCH(CALC_PlanetPositions!$B$8,{"Aries","Taurus","Gemini","Cancer","Leo","Virgo","Libra","Scorpio","Sagittarius","Capricorn","Aquarius","Pisces"},0)-MATCH(CALC_PlanetPositions!$B$6,{"Aries","Taurus","Gemini","Cancer","Leo","Virgo","Libra","Scorpio","Sagittarius","Capricorn","Aquarius","Pisces"},0),12)+1-1,3)=0,60,IF(MOD(MOD(MATCH(CALC_PlanetPositions!$B$8,{"Aries","Taurus","Gemini","Cancer","Leo","Virgo","Libra","Scorpio","Sagittarius","Capricorn","Aquarius","Pisces"},0)-MATCH(CALC_PlanetPositions!$B$6,{"Aries","Taurus","Gemini","Cancer","Leo","Virgo","Libra","Scorpio","Sagittarius","Capricorn","Aquarius","Pisces"},0),12)+1-2,3)=0,30,15)),15)</f>
        <v>15</v>
      </c>
      <c r="D7" s="864">
        <f>IFERROR(IF(MOD(MATCH(CALC_PlanetPositions!$B$8,{"Aries","Taurus","Gemini","Cancer","Leo","Virgo","Libra","Scorpio","Sagittarius","Capricorn","Aquarius","Pisces"},0),2)=0,15,7.5),11.25)</f>
        <v>15</v>
      </c>
      <c r="E7" s="864">
        <f>IFERROR(CALC_DigBala!$G$5*60,0)</f>
        <v>49.8</v>
      </c>
      <c r="F7" s="865">
        <v>51.43</v>
      </c>
      <c r="G7" s="863">
        <f>IFERROR(MIN(60,MIN(MOD(CALC_PlanetLongitudes!$D$9-CALC_PlanetLongitudes!$D$8,360),360-MOD(CALC_PlanetLongitudes!$D$9-CALC_PlanetLongitudes!$D$8,360))*2/3),0)</f>
        <v>16.003666666666657</v>
      </c>
      <c r="H7" s="863">
        <f>IFERROR(IF(AND(HOUR(INPUT_BirthData!$B$6)&gt;=18,HOUR(INPUT_BirthData!$B$6)&lt;22),60,0),0)</f>
        <v>0</v>
      </c>
      <c r="I7" s="863">
        <f>IFERROR(IF(INDEX({"Sun","Moon","Mars","Mercury","Jupiter","Venus","Saturn"},2)=INDEX({"Sun","Venus","Mercury","Moon","Saturn","Jupiter","Mars"},MOD(IF(((HOUR(INPUT_BirthData!$B$6)+MINUTE(INPUT_BirthData!$B$6)/60)&lt;6),INDEX({3,6,2,5,1,4,0},MOD(MOD(INT(INPUT_BirthData!$B$19+0.5)+1,7)-1+7,7)+1),INDEX({3,6,2,5,1,4,0},MOD(INT(INPUT_BirthData!$B$19+0.5)+1,7)+1))+INT(IF(((HOUR(INPUT_BirthData!$B$6)+MINUTE(INPUT_BirthData!$B$6)/60)&lt;6),(HOUR(INPUT_BirthData!$B$6)+MINUTE(INPUT_BirthData!$B$6)/60)+24-6,(HOUR(INPUT_BirthData!$B$6)+MINUTE(INPUT_BirthData!$B$6)/60)-6)),7)+1),60,0),0)</f>
        <v>0</v>
      </c>
      <c r="J7" s="863">
        <v>52.4</v>
      </c>
      <c r="K7" s="863">
        <f>IFERROR(MAX(0,MIN(60,IF(REF_ShadbalaData!$B$60="Uttarayana",30+30*DEGREES(ASIN(SIN(RADIANS(23.45))*SIN(RADIANS((CALC_PlanetLongitudes!$D$8+INPUT_BirthData!$B$20)))))/23.45,30-30*DEGREES(ASIN(SIN(RADIANS(23.45))*SIN(RADIANS((CALC_PlanetLongitudes!$D$8+INPUT_BirthData!$B$20)))))/23.45))),0)</f>
        <v>11.492370536517843</v>
      </c>
      <c r="L7" s="866">
        <f>IFERROR(IF(INDEX({"Sun","Moon","Mars","Mercury","Jupiter","Venus","Saturn"},2)=VLOOKUP(MOD(INT(INPUT_BirthData!$B$19+0.5)+1,7),REF_ShadbalaData!$A$30:$D$36,3,FALSE()),45,0),0)</f>
        <v>0</v>
      </c>
      <c r="M7" s="866">
        <f>IFERROR(IF(INDEX({"Sun","Moon","Mars","Mercury","Jupiter","Venus","Saturn"},2)=VLOOKUP(MATCH(CALC_PlanetPositions!$B$7,{"Aries","Taurus","Gemini","Cancer","Leo","Virgo","Libra","Scorpio","Sagittarius","Capricorn","Aquarius","Pisces"},0),REF_ShadbalaData!$A$40:$D$51,4,FALSE()),30,0),0)</f>
        <v>30</v>
      </c>
      <c r="N7" s="4">
        <f>IFERROR(IF(INDEX({"Sun","Moon","Mars","Mercury","Jupiter","Venus","Saturn"},2)=VLOOKUP(MOD(INT((1721139.5+365.2422*(YEAR(INPUT_BirthData!$B$5)-1900)+80)+0.5)+1,7),REF_ShadbalaData!$A$30:$D$36,3,FALSE()),15,0),0)</f>
        <v>15</v>
      </c>
      <c r="O7" s="867">
        <f>0</f>
        <v>0</v>
      </c>
      <c r="P7" s="4">
        <f>IFERROR(ROUND((IF(MOD(MATCH(CALC_PlanetPositions!$B$8,{"Aries","Taurus","Gemini","Cancer","Leo","Virgo","Libra","Scorpio","Sagittarius","Capricorn","Aquarius","Pisces"},0)-MATCH(CALC_PlanetPositions!$B$7,{"Aries","Taurus","Gemini","Cancer","Leo","Virgo","Libra","Scorpio","Sagittarius","Capricorn","Aquarius","Pisces"},0),12)+1=7,-45,0)+IF(MATCH(CALC_PlanetPositions!$B$8,{"Aries","Taurus","Gemini","Cancer","Leo","Virgo","Libra","Scorpio","Sagittarius","Capricorn","Aquarius","Pisces"},0)=MATCH(CALC_PlanetPositions!$B$7,{"Aries","Taurus","Gemini","Cancer","Leo","Virgo","Libra","Scorpio","Sagittarius","Capricorn","Aquarius","Pisces"},0),MAX(0,1-MIN(ABS(CALC_PlanetLongitudes!$D$9-CALC_PlanetLongitudes!$D$8),360-ABS(CALC_PlanetLongitudes!$D$9-CALC_PlanetLongitudes!$D$8))/30)*-45,0))+(IF(OR(MOD(MATCH(CALC_PlanetPositions!$B$8,{"Aries","Taurus","Gemini","Cancer","Leo","Virgo","Libra","Scorpio","Sagittarius","Capricorn","Aquarius","Pisces"},0)-MATCH(CALC_PlanetPositions!$B$9,{"Aries","Taurus","Gemini","Cancer","Leo","Virgo","Libra","Scorpio","Sagittarius","Capricorn","Aquarius","Pisces"},0),12)+1=4,MOD(MATCH(CALC_PlanetPositions!$B$8,{"Aries","Taurus","Gemini","Cancer","Leo","Virgo","Libra","Scorpio","Sagittarius","Capricorn","Aquarius","Pisces"},0)-MATCH(CALC_PlanetPositions!$B$9,{"Aries","Taurus","Gemini","Cancer","Leo","Virgo","Libra","Scorpio","Sagittarius","Capricorn","Aquarius","Pisces"},0),12)+1=7,MOD(MATCH(CALC_PlanetPositions!$B$8,{"Aries","Taurus","Gemini","Cancer","Leo","Virgo","Libra","Scorpio","Sagittarius","Capricorn","Aquarius","Pisces"},0)-MATCH(CALC_PlanetPositions!$B$9,{"Aries","Taurus","Gemini","Cancer","Leo","Virgo","Libra","Scorpio","Sagittarius","Capricorn","Aquarius","Pisces"},0),12)+1=8),-45,0)+IF(MATCH(CALC_PlanetPositions!$B$8,{"Aries","Taurus","Gemini","Cancer","Leo","Virgo","Libra","Scorpio","Sagittarius","Capricorn","Aquarius","Pisces"},0)=MATCH(CALC_PlanetPositions!$B$9,{"Aries","Taurus","Gemini","Cancer","Leo","Virgo","Libra","Scorpio","Sagittarius","Capricorn","Aquarius","Pisces"},0),MAX(0,1-MIN(ABS(CALC_PlanetLongitudes!$D$9-CALC_PlanetLongitudes!$D$10),360-ABS(CALC_PlanetLongitudes!$D$9-CALC_PlanetLongitudes!$D$10))/30)*-45,0))+(IF(MOD(MATCH(CALC_PlanetPositions!$B$8,{"Aries","Taurus","Gemini","Cancer","Leo","Virgo","Libra","Scorpio","Sagittarius","Capricorn","Aquarius","Pisces"},0)-MATCH(CALC_PlanetPositions!$B$10,{"Aries","Taurus","Gemini","Cancer","Leo","Virgo","Libra","Scorpio","Sagittarius","Capricorn","Aquarius","Pisces"},0),12)+1=7,22.5,0)+IF(MATCH(CALC_PlanetPositions!$B$8,{"Aries","Taurus","Gemini","Cancer","Leo","Virgo","Libra","Scorpio","Sagittarius","Capricorn","Aquarius","Pisces"},0)=MATCH(CALC_PlanetPositions!$B$10,{"Aries","Taurus","Gemini","Cancer","Leo","Virgo","Libra","Scorpio","Sagittarius","Capricorn","Aquarius","Pisces"},0),MAX(0,1-MIN(ABS(CALC_PlanetLongitudes!$D$9-CALC_PlanetLongitudes!$D$11),360-ABS(CALC_PlanetLongitudes!$D$9-CALC_PlanetLongitudes!$D$11))/30)*22.5,0))+(IF(OR(MOD(MATCH(CALC_PlanetPositions!$B$8,{"Aries","Taurus","Gemini","Cancer","Leo","Virgo","Libra","Scorpio","Sagittarius","Capricorn","Aquarius","Pisces"},0)-MATCH(CALC_PlanetPositions!$B$11,{"Aries","Taurus","Gemini","Cancer","Leo","Virgo","Libra","Scorpio","Sagittarius","Capricorn","Aquarius","Pisces"},0),12)+1=5,MOD(MATCH(CALC_PlanetPositions!$B$8,{"Aries","Taurus","Gemini","Cancer","Leo","Virgo","Libra","Scorpio","Sagittarius","Capricorn","Aquarius","Pisces"},0)-MATCH(CALC_PlanetPositions!$B$11,{"Aries","Taurus","Gemini","Cancer","Leo","Virgo","Libra","Scorpio","Sagittarius","Capricorn","Aquarius","Pisces"},0),12)+1=7,MOD(MATCH(CALC_PlanetPositions!$B$8,{"Aries","Taurus","Gemini","Cancer","Leo","Virgo","Libra","Scorpio","Sagittarius","Capricorn","Aquarius","Pisces"},0)-MATCH(CALC_PlanetPositions!$B$11,{"Aries","Taurus","Gemini","Cancer","Leo","Virgo","Libra","Scorpio","Sagittarius","Capricorn","Aquarius","Pisces"},0),12)+1=9),45,0)+IF(MATCH(CALC_PlanetPositions!$B$8,{"Aries","Taurus","Gemini","Cancer","Leo","Virgo","Libra","Scorpio","Sagittarius","Capricorn","Aquarius","Pisces"},0)=MATCH(CALC_PlanetPositions!$B$11,{"Aries","Taurus","Gemini","Cancer","Leo","Virgo","Libra","Scorpio","Sagittarius","Capricorn","Aquarius","Pisces"},0),MAX(0,1-MIN(ABS(CALC_PlanetLongitudes!$D$9-CALC_PlanetLongitudes!$D$12),360-ABS(CALC_PlanetLongitudes!$D$9-CALC_PlanetLongitudes!$D$12))/30)*45,0))+(IF(MOD(MATCH(CALC_PlanetPositions!$B$8,{"Aries","Taurus","Gemini","Cancer","Leo","Virgo","Libra","Scorpio","Sagittarius","Capricorn","Aquarius","Pisces"},0)-MATCH(CALC_PlanetPositions!$B$12,{"Aries","Taurus","Gemini","Cancer","Leo","Virgo","Libra","Scorpio","Sagittarius","Capricorn","Aquarius","Pisces"},0),12)+1=7,45,0)+IF(MATCH(CALC_PlanetPositions!$B$8,{"Aries","Taurus","Gemini","Cancer","Leo","Virgo","Libra","Scorpio","Sagittarius","Capricorn","Aquarius","Pisces"},0)=MATCH(CALC_PlanetPositions!$B$12,{"Aries","Taurus","Gemini","Cancer","Leo","Virgo","Libra","Scorpio","Sagittarius","Capricorn","Aquarius","Pisces"},0),MAX(0,1-MIN(ABS(CALC_PlanetLongitudes!$D$9-CALC_PlanetLongitudes!$D$13),360-ABS(CALC_PlanetLongitudes!$D$9-CALC_PlanetLongitudes!$D$13))/30)*45,0))+(IF(OR(MOD(MATCH(CALC_PlanetPositions!$B$8,{"Aries","Taurus","Gemini","Cancer","Leo","Virgo","Libra","Scorpio","Sagittarius","Capricorn","Aquarius","Pisces"},0)-MATCH(CALC_PlanetPositions!$B$13,{"Aries","Taurus","Gemini","Cancer","Leo","Virgo","Libra","Scorpio","Sagittarius","Capricorn","Aquarius","Pisces"},0),12)+1=3,MOD(MATCH(CALC_PlanetPositions!$B$8,{"Aries","Taurus","Gemini","Cancer","Leo","Virgo","Libra","Scorpio","Sagittarius","Capricorn","Aquarius","Pisces"},0)-MATCH(CALC_PlanetPositions!$B$13,{"Aries","Taurus","Gemini","Cancer","Leo","Virgo","Libra","Scorpio","Sagittarius","Capricorn","Aquarius","Pisces"},0),12)+1=7,MOD(MATCH(CALC_PlanetPositions!$B$8,{"Aries","Taurus","Gemini","Cancer","Leo","Virgo","Libra","Scorpio","Sagittarius","Capricorn","Aquarius","Pisces"},0)-MATCH(CALC_PlanetPositions!$B$13,{"Aries","Taurus","Gemini","Cancer","Leo","Virgo","Libra","Scorpio","Sagittarius","Capricorn","Aquarius","Pisces"},0),12)+1=10),-45,0)+IF(MATCH(CALC_PlanetPositions!$B$8,{"Aries","Taurus","Gemini","Cancer","Leo","Virgo","Libra","Scorpio","Sagittarius","Capricorn","Aquarius","Pisces"},0)=MATCH(CALC_PlanetPositions!$B$13,{"Aries","Taurus","Gemini","Cancer","Leo","Virgo","Libra","Scorpio","Sagittarius","Capricorn","Aquarius","Pisces"},0),MAX(0,1-MIN(ABS(CALC_PlanetLongitudes!$D$9-CALC_PlanetLongitudes!$D$14),360-ABS(CALC_PlanetLongitudes!$D$9-CALC_PlanetLongitudes!$D$14))/30)*-45,0)),1),0)</f>
        <v>3.1</v>
      </c>
      <c r="Q7" s="4">
        <f>IFERROR(ROUND((IFERROR(IF(CALC_DivisionalMap!$B$6=INDEX(REF_Dignity!$C$4:$C$12,MATCH("Moon",REF_Dignity!$A$4:$A$12,0)),45,IF(ISNUMBER(SEARCH(CALC_DivisionalMap!$B$6,INDEX(REF_Dignity!$J$4:$J$12,MATCH("Moon",REF_Dignity!$A$4:$A$12,0)))),45,IF(INDEX(REF_NaisargikaFriendship!$C$5:$I$11,MATCH("Moon",REF_NaisargikaFriendship!$A$5:$A$11,0),MATCH(INDEX(REF_Zodiac!$D$7:$O$7,MATCH(CALC_DivisionalMap!$B$6,REF_Zodiac!$D$3:$O$3,0)),REF_NaisargikaFriendship!$C$4:$I$4,0))="Friend",30,IF(INDEX(REF_NaisargikaFriendship!$C$5:$I$11,MATCH("Moon",REF_NaisargikaFriendship!$A$5:$A$11,0),MATCH(INDEX(REF_Zodiac!$D$7:$O$7,MATCH(CALC_DivisionalMap!$B$6,REF_Zodiac!$D$3:$O$3,0)),REF_NaisargikaFriendship!$C$4:$I$4,0))="Enemy",15,IF(CALC_DivisionalMap!$B$6=INDEX(REF_Dignity!$F$4:$F$12,MATCH("Moon",REF_Dignity!$A$4:$A$12,0)),7.5,22.5))))),0)+IFERROR(IF(CALC_DivisionalMap!$J$6=INDEX(REF_Dignity!$C$4:$C$12,MATCH("Moon",REF_Dignity!$A$4:$A$12,0)),45,IF(ISNUMBER(SEARCH(CALC_DivisionalMap!$J$6,INDEX(REF_Dignity!$J$4:$J$12,MATCH("Moon",REF_Dignity!$A$4:$A$12,0)))),45,IF(INDEX(REF_NaisargikaFriendship!$C$5:$I$11,MATCH("Moon",REF_NaisargikaFriendship!$A$5:$A$11,0),MATCH(INDEX(REF_Zodiac!$D$7:$O$7,MATCH(CALC_DivisionalMap!$J$6,REF_Zodiac!$D$3:$O$3,0)),REF_NaisargikaFriendship!$C$4:$I$4,0))="Friend",30,IF(INDEX(REF_NaisargikaFriendship!$C$5:$I$11,MATCH("Moon",REF_NaisargikaFriendship!$A$5:$A$11,0),MATCH(INDEX(REF_Zodiac!$D$7:$O$7,MATCH(CALC_DivisionalMap!$J$6,REF_Zodiac!$D$3:$O$3,0)),REF_NaisargikaFriendship!$C$4:$I$4,0))="Enemy",15,IF(CALC_DivisionalMap!$J$6=INDEX(REF_Dignity!$F$4:$F$12,MATCH("Moon",REF_Dignity!$A$4:$A$12,0)),7.5,22.5))))),0)+IFERROR(IF(CALC_DivisionalMap!$F$6=INDEX(REF_Dignity!$C$4:$C$12,MATCH("Moon",REF_Dignity!$A$4:$A$12,0)),45,IF(ISNUMBER(SEARCH(CALC_DivisionalMap!$F$6,INDEX(REF_Dignity!$J$4:$J$12,MATCH("Moon",REF_Dignity!$A$4:$A$12,0)))),45,IF(INDEX(REF_NaisargikaFriendship!$C$5:$I$11,MATCH("Moon",REF_NaisargikaFriendship!$A$5:$A$11,0),MATCH(INDEX(REF_Zodiac!$D$7:$O$7,MATCH(CALC_DivisionalMap!$F$6,REF_Zodiac!$D$3:$O$3,0)),REF_NaisargikaFriendship!$C$4:$I$4,0))="Friend",30,IF(INDEX(REF_NaisargikaFriendship!$C$5:$I$11,MATCH("Moon",REF_NaisargikaFriendship!$A$5:$A$11,0),MATCH(INDEX(REF_Zodiac!$D$7:$O$7,MATCH(CALC_DivisionalMap!$F$6,REF_Zodiac!$D$3:$O$3,0)),REF_NaisargikaFriendship!$C$4:$I$4,0))="Enemy",15,IF(CALC_DivisionalMap!$F$6=INDEX(REF_Dignity!$F$4:$F$12,MATCH("Moon",REF_Dignity!$A$4:$A$12,0)),7.5,22.5))))),0)+IFERROR(IF(CALC_DivisionalMap!$G$6=INDEX(REF_Dignity!$C$4:$C$12,MATCH("Moon",REF_Dignity!$A$4:$A$12,0)),45,IF(ISNUMBER(SEARCH(CALC_DivisionalMap!$G$6,INDEX(REF_Dignity!$J$4:$J$12,MATCH("Moon",REF_Dignity!$A$4:$A$12,0)))),45,IF(INDEX(REF_NaisargikaFriendship!$C$5:$I$11,MATCH("Moon",REF_NaisargikaFriendship!$A$5:$A$11,0),MATCH(INDEX(REF_Zodiac!$D$7:$O$7,MATCH(CALC_DivisionalMap!$G$6,REF_Zodiac!$D$3:$O$3,0)),REF_NaisargikaFriendship!$C$4:$I$4,0))="Friend",30,IF(INDEX(REF_NaisargikaFriendship!$C$5:$I$11,MATCH("Moon",REF_NaisargikaFriendship!$A$5:$A$11,0),MATCH(INDEX(REF_Zodiac!$D$7:$O$7,MATCH(CALC_DivisionalMap!$G$6,REF_Zodiac!$D$3:$O$3,0)),REF_NaisargikaFriendship!$C$4:$I$4,0))="Enemy",15,IF(CALC_DivisionalMap!$G$6=INDEX(REF_Dignity!$F$4:$F$12,MATCH("Moon",REF_Dignity!$A$4:$A$12,0)),7.5,22.5))))),0)+IFERROR(IF(CALC_DivisionalMap!$D$6=INDEX(REF_Dignity!$C$4:$C$12,MATCH("Moon",REF_Dignity!$A$4:$A$12,0)),45,IF(ISNUMBER(SEARCH(CALC_DivisionalMap!$D$6,INDEX(REF_Dignity!$J$4:$J$12,MATCH("Moon",REF_Dignity!$A$4:$A$12,0)))),45,IF(INDEX(REF_NaisargikaFriendship!$C$5:$I$11,MATCH("Moon",REF_NaisargikaFriendship!$A$5:$A$11,0),MATCH(INDEX(REF_Zodiac!$D$7:$O$7,MATCH(CALC_DivisionalMap!$D$6,REF_Zodiac!$D$3:$O$3,0)),REF_NaisargikaFriendship!$C$4:$I$4,0))="Friend",30,IF(INDEX(REF_NaisargikaFriendship!$C$5:$I$11,MATCH("Moon",REF_NaisargikaFriendship!$A$5:$A$11,0),MATCH(INDEX(REF_Zodiac!$D$7:$O$7,MATCH(CALC_DivisionalMap!$D$6,REF_Zodiac!$D$3:$O$3,0)),REF_NaisargikaFriendship!$C$4:$I$4,0))="Enemy",15,IF(CALC_DivisionalMap!$D$6=INDEX(REF_Dignity!$F$4:$F$12,MATCH("Moon",REF_Dignity!$A$4:$A$12,0)),7.5,22.5))))),0)+IFERROR(IF(CALC_DivisionalMap!$H$6=INDEX(REF_Dignity!$C$4:$C$12,MATCH("Moon",REF_Dignity!$A$4:$A$12,0)),45,IF(ISNUMBER(SEARCH(CALC_DivisionalMap!$H$6,INDEX(REF_Dignity!$J$4:$J$12,MATCH("Moon",REF_Dignity!$A$4:$A$12,0)))),45,IF(INDEX(REF_NaisargikaFriendship!$C$5:$I$11,MATCH("Moon",REF_NaisargikaFriendship!$A$5:$A$11,0),MATCH(INDEX(REF_Zodiac!$D$7:$O$7,MATCH(CALC_DivisionalMap!$H$6,REF_Zodiac!$D$3:$O$3,0)),REF_NaisargikaFriendship!$C$4:$I$4,0))="Friend",30,IF(INDEX(REF_NaisargikaFriendship!$C$5:$I$11,MATCH("Moon",REF_NaisargikaFriendship!$A$5:$A$11,0),MATCH(INDEX(REF_Zodiac!$D$7:$O$7,MATCH(CALC_DivisionalMap!$H$6,REF_Zodiac!$D$3:$O$3,0)),REF_NaisargikaFriendship!$C$4:$I$4,0))="Enemy",15,IF(CALC_DivisionalMap!$H$6=INDEX(REF_Dignity!$F$4:$F$12,MATCH("Moon",REF_Dignity!$A$4:$A$12,0)),7.5,22.5))))),0)+IFERROR(IF(CALC_DivisionalMap!$K$6=INDEX(REF_Dignity!$C$4:$C$12,MATCH("Moon",REF_Dignity!$A$4:$A$12,0)),45,IF(ISNUMBER(SEARCH(CALC_DivisionalMap!$K$6,INDEX(REF_Dignity!$J$4:$J$12,MATCH("Moon",REF_Dignity!$A$4:$A$12,0)))),45,IF(INDEX(REF_NaisargikaFriendship!$C$5:$I$11,MATCH("Moon",REF_NaisargikaFriendship!$A$5:$A$11,0),MATCH(INDEX(REF_Zodiac!$D$7:$O$7,MATCH(CALC_DivisionalMap!$K$6,REF_Zodiac!$D$3:$O$3,0)),REF_NaisargikaFriendship!$C$4:$I$4,0))="Friend",30,IF(INDEX(REF_NaisargikaFriendship!$C$5:$I$11,MATCH("Moon",REF_NaisargikaFriendship!$A$5:$A$11,0),MATCH(INDEX(REF_Zodiac!$D$7:$O$7,MATCH(CALC_DivisionalMap!$K$6,REF_Zodiac!$D$3:$O$3,0)),REF_NaisargikaFriendship!$C$4:$I$4,0))="Enemy",15,IF(CALC_DivisionalMap!$K$6=INDEX(REF_Dignity!$F$4:$F$12,MATCH("Moon",REF_Dignity!$A$4:$A$12,0)),7.5,22.5))))),0))/7,1),0)</f>
        <v>34.299999999999997</v>
      </c>
      <c r="R7" s="862">
        <f t="shared" si="0"/>
        <v>333.19603720318452</v>
      </c>
      <c r="S7" s="4">
        <f>REF_ShadbalaData!$B$79</f>
        <v>360</v>
      </c>
      <c r="T7" s="4">
        <f t="shared" si="1"/>
        <v>92.6</v>
      </c>
      <c r="U7" s="4" t="str">
        <f t="shared" si="2"/>
        <v>~ Adequate</v>
      </c>
    </row>
    <row r="8" spans="1:21" ht="15.75" customHeight="1" x14ac:dyDescent="0.2">
      <c r="A8" s="546" t="s">
        <v>268</v>
      </c>
      <c r="B8" s="857">
        <f>IFERROR(ROUND(60*(1-MIN(ABS(CALC_PlanetLongitudes!$D$10-REF_ShadbalaData!$B$7),360-ABS(CALC_PlanetLongitudes!$D$10-REF_ShadbalaData!$B$7))/180),2),0)</f>
        <v>16.850000000000001</v>
      </c>
      <c r="C8" s="857">
        <f>IFERROR(IF(MOD(MOD(MATCH(CALC_PlanetPositions!$B$9,{"Aries","Taurus","Gemini","Cancer","Leo","Virgo","Libra","Scorpio","Sagittarius","Capricorn","Aquarius","Pisces"},0)-MATCH(CALC_PlanetPositions!$B$6,{"Aries","Taurus","Gemini","Cancer","Leo","Virgo","Libra","Scorpio","Sagittarius","Capricorn","Aquarius","Pisces"},0),12)+1-1,3)=0,60,IF(MOD(MOD(MATCH(CALC_PlanetPositions!$B$9,{"Aries","Taurus","Gemini","Cancer","Leo","Virgo","Libra","Scorpio","Sagittarius","Capricorn","Aquarius","Pisces"},0)-MATCH(CALC_PlanetPositions!$B$6,{"Aries","Taurus","Gemini","Cancer","Leo","Virgo","Libra","Scorpio","Sagittarius","Capricorn","Aquarius","Pisces"},0),12)+1-2,3)=0,30,15)),15)</f>
        <v>30</v>
      </c>
      <c r="D8" s="858">
        <f>IFERROR(IF(MOD(MATCH(CALC_PlanetPositions!$B$9,{"Aries","Taurus","Gemini","Cancer","Leo","Virgo","Libra","Scorpio","Sagittarius","Capricorn","Aquarius","Pisces"},0),2)=1,15,7.5),11.25)</f>
        <v>15</v>
      </c>
      <c r="E8" s="858">
        <f>IFERROR(CALC_DigBala!$G$6*60,0)</f>
        <v>19.8</v>
      </c>
      <c r="F8" s="859">
        <v>17.14</v>
      </c>
      <c r="G8" s="857">
        <f>IFERROR(MIN(60,IF(MOD(CALC_PlanetLongitudes!$D$9-CALC_PlanetLongitudes!$D$8,360)&lt;=180,(180-MOD(CALC_PlanetLongitudes!$D$9-CALC_PlanetLongitudes!$D$8,360))/3,(MOD(CALC_PlanetLongitudes!$D$9-CALC_PlanetLongitudes!$D$8,360)-180)/3)),0)</f>
        <v>51.99816666666667</v>
      </c>
      <c r="H8" s="857">
        <f>IFERROR(IF(AND(HOUR(INPUT_BirthData!$B$6)&gt;=14,HOUR(INPUT_BirthData!$B$6)&lt;18),60,0),0)</f>
        <v>0</v>
      </c>
      <c r="I8" s="857">
        <f>IFERROR(IF(INDEX({"Sun","Moon","Mars","Mercury","Jupiter","Venus","Saturn"},3)=INDEX({"Sun","Venus","Mercury","Moon","Saturn","Jupiter","Mars"},MOD(IF(((HOUR(INPUT_BirthData!$B$6)+MINUTE(INPUT_BirthData!$B$6)/60)&lt;6),INDEX({3,6,2,5,1,4,0},MOD(MOD(INT(INPUT_BirthData!$B$19+0.5)+1,7)-1+7,7)+1),INDEX({3,6,2,5,1,4,0},MOD(INT(INPUT_BirthData!$B$19+0.5)+1,7)+1))+INT(IF(((HOUR(INPUT_BirthData!$B$6)+MINUTE(INPUT_BirthData!$B$6)/60)&lt;6),(HOUR(INPUT_BirthData!$B$6)+MINUTE(INPUT_BirthData!$B$6)/60)+24-6,(HOUR(INPUT_BirthData!$B$6)+MINUTE(INPUT_BirthData!$B$6)/60)-6)),7)+1),60,0),0)</f>
        <v>0</v>
      </c>
      <c r="J8" s="857">
        <v>47.8</v>
      </c>
      <c r="K8" s="857">
        <f>IFERROR(MAX(0,MIN(60,IF(REF_ShadbalaData!$B$61="Uttarayana",30+30*DEGREES(ASIN(SIN(RADIANS(23.45))*SIN(RADIANS((CALC_PlanetLongitudes!$D$8+INPUT_BirthData!$B$20)))))/23.45,30-30*DEGREES(ASIN(SIN(RADIANS(23.45))*SIN(RADIANS((CALC_PlanetLongitudes!$D$8+INPUT_BirthData!$B$20)))))/23.45))),0)</f>
        <v>48.507629463482161</v>
      </c>
      <c r="L8" s="860">
        <f>IFERROR(IF(INDEX({"Sun","Moon","Mars","Mercury","Jupiter","Venus","Saturn"},3)=VLOOKUP(MOD(INT(INPUT_BirthData!$B$19+0.5)+1,7),REF_ShadbalaData!$A$30:$D$36,3,FALSE()),45,0),0)</f>
        <v>0</v>
      </c>
      <c r="M8" s="860">
        <f>IFERROR(IF(INDEX({"Sun","Moon","Mars","Mercury","Jupiter","Venus","Saturn"},3)=VLOOKUP(MATCH(CALC_PlanetPositions!$B$7,{"Aries","Taurus","Gemini","Cancer","Leo","Virgo","Libra","Scorpio","Sagittarius","Capricorn","Aquarius","Pisces"},0),REF_ShadbalaData!$A$40:$D$51,4,FALSE()),30,0),0)</f>
        <v>0</v>
      </c>
      <c r="N8" s="4">
        <f>IFERROR(IF(INDEX({"Sun","Moon","Mars","Mercury","Jupiter","Venus","Saturn"},3)=VLOOKUP(MOD(INT((1721139.5+365.2422*(YEAR(INPUT_BirthData!$B$5)-1900)+80)+0.5)+1,7),REF_ShadbalaData!$A$30:$D$36,3,FALSE()),15,0),0)</f>
        <v>0</v>
      </c>
      <c r="O8" s="861">
        <f>IFERROR(IF(ISNUMBER(SEARCH("Rx",CALC_PlanetPositions!$K$9)),60,30),30)</f>
        <v>30</v>
      </c>
      <c r="P8" s="4">
        <f>IFERROR(ROUND((IF(MOD(MATCH(CALC_PlanetPositions!$B$9,{"Aries","Taurus","Gemini","Cancer","Leo","Virgo","Libra","Scorpio","Sagittarius","Capricorn","Aquarius","Pisces"},0)-MATCH(CALC_PlanetPositions!$B$7,{"Aries","Taurus","Gemini","Cancer","Leo","Virgo","Libra","Scorpio","Sagittarius","Capricorn","Aquarius","Pisces"},0),12)+1=7,-45,0)+IF(MATCH(CALC_PlanetPositions!$B$9,{"Aries","Taurus","Gemini","Cancer","Leo","Virgo","Libra","Scorpio","Sagittarius","Capricorn","Aquarius","Pisces"},0)=MATCH(CALC_PlanetPositions!$B$7,{"Aries","Taurus","Gemini","Cancer","Leo","Virgo","Libra","Scorpio","Sagittarius","Capricorn","Aquarius","Pisces"},0),MAX(0,1-MIN(ABS(CALC_PlanetLongitudes!$D$10-CALC_PlanetLongitudes!$D$8),360-ABS(CALC_PlanetLongitudes!$D$10-CALC_PlanetLongitudes!$D$8))/30)*-45,0))+(IF(MOD(MATCH(CALC_PlanetPositions!$B$9,{"Aries","Taurus","Gemini","Cancer","Leo","Virgo","Libra","Scorpio","Sagittarius","Capricorn","Aquarius","Pisces"},0)-MATCH(CALC_PlanetPositions!$B$8,{"Aries","Taurus","Gemini","Cancer","Leo","Virgo","Libra","Scorpio","Sagittarius","Capricorn","Aquarius","Pisces"},0),12)+1=7,45,0)+IF(MATCH(CALC_PlanetPositions!$B$9,{"Aries","Taurus","Gemini","Cancer","Leo","Virgo","Libra","Scorpio","Sagittarius","Capricorn","Aquarius","Pisces"},0)=MATCH(CALC_PlanetPositions!$B$8,{"Aries","Taurus","Gemini","Cancer","Leo","Virgo","Libra","Scorpio","Sagittarius","Capricorn","Aquarius","Pisces"},0),MAX(0,1-MIN(ABS(CALC_PlanetLongitudes!$D$10-CALC_PlanetLongitudes!$D$9),360-ABS(CALC_PlanetLongitudes!$D$10-CALC_PlanetLongitudes!$D$9))/30)*45,0))+(IF(MOD(MATCH(CALC_PlanetPositions!$B$9,{"Aries","Taurus","Gemini","Cancer","Leo","Virgo","Libra","Scorpio","Sagittarius","Capricorn","Aquarius","Pisces"},0)-MATCH(CALC_PlanetPositions!$B$10,{"Aries","Taurus","Gemini","Cancer","Leo","Virgo","Libra","Scorpio","Sagittarius","Capricorn","Aquarius","Pisces"},0),12)+1=7,22.5,0)+IF(MATCH(CALC_PlanetPositions!$B$9,{"Aries","Taurus","Gemini","Cancer","Leo","Virgo","Libra","Scorpio","Sagittarius","Capricorn","Aquarius","Pisces"},0)=MATCH(CALC_PlanetPositions!$B$10,{"Aries","Taurus","Gemini","Cancer","Leo","Virgo","Libra","Scorpio","Sagittarius","Capricorn","Aquarius","Pisces"},0),MAX(0,1-MIN(ABS(CALC_PlanetLongitudes!$D$10-CALC_PlanetLongitudes!$D$11),360-ABS(CALC_PlanetLongitudes!$D$10-CALC_PlanetLongitudes!$D$11))/30)*22.5,0))+(IF(OR(MOD(MATCH(CALC_PlanetPositions!$B$9,{"Aries","Taurus","Gemini","Cancer","Leo","Virgo","Libra","Scorpio","Sagittarius","Capricorn","Aquarius","Pisces"},0)-MATCH(CALC_PlanetPositions!$B$11,{"Aries","Taurus","Gemini","Cancer","Leo","Virgo","Libra","Scorpio","Sagittarius","Capricorn","Aquarius","Pisces"},0),12)+1=5,MOD(MATCH(CALC_PlanetPositions!$B$9,{"Aries","Taurus","Gemini","Cancer","Leo","Virgo","Libra","Scorpio","Sagittarius","Capricorn","Aquarius","Pisces"},0)-MATCH(CALC_PlanetPositions!$B$11,{"Aries","Taurus","Gemini","Cancer","Leo","Virgo","Libra","Scorpio","Sagittarius","Capricorn","Aquarius","Pisces"},0),12)+1=7,MOD(MATCH(CALC_PlanetPositions!$B$9,{"Aries","Taurus","Gemini","Cancer","Leo","Virgo","Libra","Scorpio","Sagittarius","Capricorn","Aquarius","Pisces"},0)-MATCH(CALC_PlanetPositions!$B$11,{"Aries","Taurus","Gemini","Cancer","Leo","Virgo","Libra","Scorpio","Sagittarius","Capricorn","Aquarius","Pisces"},0),12)+1=9),45,0)+IF(MATCH(CALC_PlanetPositions!$B$9,{"Aries","Taurus","Gemini","Cancer","Leo","Virgo","Libra","Scorpio","Sagittarius","Capricorn","Aquarius","Pisces"},0)=MATCH(CALC_PlanetPositions!$B$11,{"Aries","Taurus","Gemini","Cancer","Leo","Virgo","Libra","Scorpio","Sagittarius","Capricorn","Aquarius","Pisces"},0),MAX(0,1-MIN(ABS(CALC_PlanetLongitudes!$D$10-CALC_PlanetLongitudes!$D$12),360-ABS(CALC_PlanetLongitudes!$D$10-CALC_PlanetLongitudes!$D$12))/30)*45,0))+(IF(MOD(MATCH(CALC_PlanetPositions!$B$9,{"Aries","Taurus","Gemini","Cancer","Leo","Virgo","Libra","Scorpio","Sagittarius","Capricorn","Aquarius","Pisces"},0)-MATCH(CALC_PlanetPositions!$B$12,{"Aries","Taurus","Gemini","Cancer","Leo","Virgo","Libra","Scorpio","Sagittarius","Capricorn","Aquarius","Pisces"},0),12)+1=7,45,0)+IF(MATCH(CALC_PlanetPositions!$B$9,{"Aries","Taurus","Gemini","Cancer","Leo","Virgo","Libra","Scorpio","Sagittarius","Capricorn","Aquarius","Pisces"},0)=MATCH(CALC_PlanetPositions!$B$12,{"Aries","Taurus","Gemini","Cancer","Leo","Virgo","Libra","Scorpio","Sagittarius","Capricorn","Aquarius","Pisces"},0),MAX(0,1-MIN(ABS(CALC_PlanetLongitudes!$D$10-CALC_PlanetLongitudes!$D$13),360-ABS(CALC_PlanetLongitudes!$D$10-CALC_PlanetLongitudes!$D$13))/30)*45,0))+(IF(OR(MOD(MATCH(CALC_PlanetPositions!$B$9,{"Aries","Taurus","Gemini","Cancer","Leo","Virgo","Libra","Scorpio","Sagittarius","Capricorn","Aquarius","Pisces"},0)-MATCH(CALC_PlanetPositions!$B$13,{"Aries","Taurus","Gemini","Cancer","Leo","Virgo","Libra","Scorpio","Sagittarius","Capricorn","Aquarius","Pisces"},0),12)+1=3,MOD(MATCH(CALC_PlanetPositions!$B$9,{"Aries","Taurus","Gemini","Cancer","Leo","Virgo","Libra","Scorpio","Sagittarius","Capricorn","Aquarius","Pisces"},0)-MATCH(CALC_PlanetPositions!$B$13,{"Aries","Taurus","Gemini","Cancer","Leo","Virgo","Libra","Scorpio","Sagittarius","Capricorn","Aquarius","Pisces"},0),12)+1=7,MOD(MATCH(CALC_PlanetPositions!$B$9,{"Aries","Taurus","Gemini","Cancer","Leo","Virgo","Libra","Scorpio","Sagittarius","Capricorn","Aquarius","Pisces"},0)-MATCH(CALC_PlanetPositions!$B$13,{"Aries","Taurus","Gemini","Cancer","Leo","Virgo","Libra","Scorpio","Sagittarius","Capricorn","Aquarius","Pisces"},0),12)+1=10),-45,0)+IF(MATCH(CALC_PlanetPositions!$B$9,{"Aries","Taurus","Gemini","Cancer","Leo","Virgo","Libra","Scorpio","Sagittarius","Capricorn","Aquarius","Pisces"},0)=MATCH(CALC_PlanetPositions!$B$13,{"Aries","Taurus","Gemini","Cancer","Leo","Virgo","Libra","Scorpio","Sagittarius","Capricorn","Aquarius","Pisces"},0),MAX(0,1-MIN(ABS(CALC_PlanetLongitudes!$D$10-CALC_PlanetLongitudes!$D$14),360-ABS(CALC_PlanetLongitudes!$D$10-CALC_PlanetLongitudes!$D$14))/30)*-45,0)),1),0)</f>
        <v>45</v>
      </c>
      <c r="Q8" s="4">
        <f>IFERROR(ROUND((IFERROR(IF(CALC_DivisionalMap!$B$7=INDEX(REF_Dignity!$C$4:$C$12,MATCH("Mars",REF_Dignity!$A$4:$A$12,0)),45,IF(ISNUMBER(SEARCH(CALC_DivisionalMap!$B$7,INDEX(REF_Dignity!$J$4:$J$12,MATCH("Mars",REF_Dignity!$A$4:$A$12,0)))),45,IF(INDEX(REF_NaisargikaFriendship!$C$5:$I$11,MATCH("Mars",REF_NaisargikaFriendship!$A$5:$A$11,0),MATCH(INDEX(REF_Zodiac!$D$7:$O$7,MATCH(CALC_DivisionalMap!$B$7,REF_Zodiac!$D$3:$O$3,0)),REF_NaisargikaFriendship!$C$4:$I$4,0))="Friend",30,IF(INDEX(REF_NaisargikaFriendship!$C$5:$I$11,MATCH("Mars",REF_NaisargikaFriendship!$A$5:$A$11,0),MATCH(INDEX(REF_Zodiac!$D$7:$O$7,MATCH(CALC_DivisionalMap!$B$7,REF_Zodiac!$D$3:$O$3,0)),REF_NaisargikaFriendship!$C$4:$I$4,0))="Enemy",15,IF(CALC_DivisionalMap!$B$7=INDEX(REF_Dignity!$F$4:$F$12,MATCH("Mars",REF_Dignity!$A$4:$A$12,0)),7.5,22.5))))),0)+IFERROR(IF(CALC_DivisionalMap!$J$7=INDEX(REF_Dignity!$C$4:$C$12,MATCH("Mars",REF_Dignity!$A$4:$A$12,0)),45,IF(ISNUMBER(SEARCH(CALC_DivisionalMap!$J$7,INDEX(REF_Dignity!$J$4:$J$12,MATCH("Mars",REF_Dignity!$A$4:$A$12,0)))),45,IF(INDEX(REF_NaisargikaFriendship!$C$5:$I$11,MATCH("Mars",REF_NaisargikaFriendship!$A$5:$A$11,0),MATCH(INDEX(REF_Zodiac!$D$7:$O$7,MATCH(CALC_DivisionalMap!$J$7,REF_Zodiac!$D$3:$O$3,0)),REF_NaisargikaFriendship!$C$4:$I$4,0))="Friend",30,IF(INDEX(REF_NaisargikaFriendship!$C$5:$I$11,MATCH("Mars",REF_NaisargikaFriendship!$A$5:$A$11,0),MATCH(INDEX(REF_Zodiac!$D$7:$O$7,MATCH(CALC_DivisionalMap!$J$7,REF_Zodiac!$D$3:$O$3,0)),REF_NaisargikaFriendship!$C$4:$I$4,0))="Enemy",15,IF(CALC_DivisionalMap!$J$7=INDEX(REF_Dignity!$F$4:$F$12,MATCH("Mars",REF_Dignity!$A$4:$A$12,0)),7.5,22.5))))),0)+IFERROR(IF(CALC_DivisionalMap!$F$7=INDEX(REF_Dignity!$C$4:$C$12,MATCH("Mars",REF_Dignity!$A$4:$A$12,0)),45,IF(ISNUMBER(SEARCH(CALC_DivisionalMap!$F$7,INDEX(REF_Dignity!$J$4:$J$12,MATCH("Mars",REF_Dignity!$A$4:$A$12,0)))),45,IF(INDEX(REF_NaisargikaFriendship!$C$5:$I$11,MATCH("Mars",REF_NaisargikaFriendship!$A$5:$A$11,0),MATCH(INDEX(REF_Zodiac!$D$7:$O$7,MATCH(CALC_DivisionalMap!$F$7,REF_Zodiac!$D$3:$O$3,0)),REF_NaisargikaFriendship!$C$4:$I$4,0))="Friend",30,IF(INDEX(REF_NaisargikaFriendship!$C$5:$I$11,MATCH("Mars",REF_NaisargikaFriendship!$A$5:$A$11,0),MATCH(INDEX(REF_Zodiac!$D$7:$O$7,MATCH(CALC_DivisionalMap!$F$7,REF_Zodiac!$D$3:$O$3,0)),REF_NaisargikaFriendship!$C$4:$I$4,0))="Enemy",15,IF(CALC_DivisionalMap!$F$7=INDEX(REF_Dignity!$F$4:$F$12,MATCH("Mars",REF_Dignity!$A$4:$A$12,0)),7.5,22.5))))),0)+IFERROR(IF(CALC_DivisionalMap!$G$7=INDEX(REF_Dignity!$C$4:$C$12,MATCH("Mars",REF_Dignity!$A$4:$A$12,0)),45,IF(ISNUMBER(SEARCH(CALC_DivisionalMap!$G$7,INDEX(REF_Dignity!$J$4:$J$12,MATCH("Mars",REF_Dignity!$A$4:$A$12,0)))),45,IF(INDEX(REF_NaisargikaFriendship!$C$5:$I$11,MATCH("Mars",REF_NaisargikaFriendship!$A$5:$A$11,0),MATCH(INDEX(REF_Zodiac!$D$7:$O$7,MATCH(CALC_DivisionalMap!$G$7,REF_Zodiac!$D$3:$O$3,0)),REF_NaisargikaFriendship!$C$4:$I$4,0))="Friend",30,IF(INDEX(REF_NaisargikaFriendship!$C$5:$I$11,MATCH("Mars",REF_NaisargikaFriendship!$A$5:$A$11,0),MATCH(INDEX(REF_Zodiac!$D$7:$O$7,MATCH(CALC_DivisionalMap!$G$7,REF_Zodiac!$D$3:$O$3,0)),REF_NaisargikaFriendship!$C$4:$I$4,0))="Enemy",15,IF(CALC_DivisionalMap!$G$7=INDEX(REF_Dignity!$F$4:$F$12,MATCH("Mars",REF_Dignity!$A$4:$A$12,0)),7.5,22.5))))),0)+IFERROR(IF(CALC_DivisionalMap!$D$7=INDEX(REF_Dignity!$C$4:$C$12,MATCH("Mars",REF_Dignity!$A$4:$A$12,0)),45,IF(ISNUMBER(SEARCH(CALC_DivisionalMap!$D$7,INDEX(REF_Dignity!$J$4:$J$12,MATCH("Mars",REF_Dignity!$A$4:$A$12,0)))),45,IF(INDEX(REF_NaisargikaFriendship!$C$5:$I$11,MATCH("Mars",REF_NaisargikaFriendship!$A$5:$A$11,0),MATCH(INDEX(REF_Zodiac!$D$7:$O$7,MATCH(CALC_DivisionalMap!$D$7,REF_Zodiac!$D$3:$O$3,0)),REF_NaisargikaFriendship!$C$4:$I$4,0))="Friend",30,IF(INDEX(REF_NaisargikaFriendship!$C$5:$I$11,MATCH("Mars",REF_NaisargikaFriendship!$A$5:$A$11,0),MATCH(INDEX(REF_Zodiac!$D$7:$O$7,MATCH(CALC_DivisionalMap!$D$7,REF_Zodiac!$D$3:$O$3,0)),REF_NaisargikaFriendship!$C$4:$I$4,0))="Enemy",15,IF(CALC_DivisionalMap!$D$7=INDEX(REF_Dignity!$F$4:$F$12,MATCH("Mars",REF_Dignity!$A$4:$A$12,0)),7.5,22.5))))),0)+IFERROR(IF(CALC_DivisionalMap!$H$7=INDEX(REF_Dignity!$C$4:$C$12,MATCH("Mars",REF_Dignity!$A$4:$A$12,0)),45,IF(ISNUMBER(SEARCH(CALC_DivisionalMap!$H$7,INDEX(REF_Dignity!$J$4:$J$12,MATCH("Mars",REF_Dignity!$A$4:$A$12,0)))),45,IF(INDEX(REF_NaisargikaFriendship!$C$5:$I$11,MATCH("Mars",REF_NaisargikaFriendship!$A$5:$A$11,0),MATCH(INDEX(REF_Zodiac!$D$7:$O$7,MATCH(CALC_DivisionalMap!$H$7,REF_Zodiac!$D$3:$O$3,0)),REF_NaisargikaFriendship!$C$4:$I$4,0))="Friend",30,IF(INDEX(REF_NaisargikaFriendship!$C$5:$I$11,MATCH("Mars",REF_NaisargikaFriendship!$A$5:$A$11,0),MATCH(INDEX(REF_Zodiac!$D$7:$O$7,MATCH(CALC_DivisionalMap!$H$7,REF_Zodiac!$D$3:$O$3,0)),REF_NaisargikaFriendship!$C$4:$I$4,0))="Enemy",15,IF(CALC_DivisionalMap!$H$7=INDEX(REF_Dignity!$F$4:$F$12,MATCH("Mars",REF_Dignity!$A$4:$A$12,0)),7.5,22.5))))),0)+IFERROR(IF(CALC_DivisionalMap!$K$7=INDEX(REF_Dignity!$C$4:$C$12,MATCH("Mars",REF_Dignity!$A$4:$A$12,0)),45,IF(ISNUMBER(SEARCH(CALC_DivisionalMap!$K$7,INDEX(REF_Dignity!$J$4:$J$12,MATCH("Mars",REF_Dignity!$A$4:$A$12,0)))),45,IF(INDEX(REF_NaisargikaFriendship!$C$5:$I$11,MATCH("Mars",REF_NaisargikaFriendship!$A$5:$A$11,0),MATCH(INDEX(REF_Zodiac!$D$7:$O$7,MATCH(CALC_DivisionalMap!$K$7,REF_Zodiac!$D$3:$O$3,0)),REF_NaisargikaFriendship!$C$4:$I$4,0))="Friend",30,IF(INDEX(REF_NaisargikaFriendship!$C$5:$I$11,MATCH("Mars",REF_NaisargikaFriendship!$A$5:$A$11,0),MATCH(INDEX(REF_Zodiac!$D$7:$O$7,MATCH(CALC_DivisionalMap!$K$7,REF_Zodiac!$D$3:$O$3,0)),REF_NaisargikaFriendship!$C$4:$I$4,0))="Enemy",15,IF(CALC_DivisionalMap!$K$7=INDEX(REF_Dignity!$F$4:$F$12,MATCH("Mars",REF_Dignity!$A$4:$A$12,0)),7.5,22.5))))),0))/7,1),0)</f>
        <v>22.5</v>
      </c>
      <c r="R8" s="862">
        <f t="shared" si="0"/>
        <v>344.59579613014881</v>
      </c>
      <c r="S8" s="4">
        <f>REF_ShadbalaData!$B$80</f>
        <v>300</v>
      </c>
      <c r="T8" s="4">
        <f t="shared" si="1"/>
        <v>114.9</v>
      </c>
      <c r="U8" s="4" t="str">
        <f t="shared" si="2"/>
        <v>✓ Strong</v>
      </c>
    </row>
    <row r="9" spans="1:21" ht="15.75" customHeight="1" x14ac:dyDescent="0.2">
      <c r="A9" s="551" t="s">
        <v>269</v>
      </c>
      <c r="B9" s="863">
        <f>IFERROR(ROUND(60*(1-MIN(ABS(CALC_PlanetLongitudes!$D$11-REF_ShadbalaData!$B$8),360-ABS(CALC_PlanetLongitudes!$D$11-REF_ShadbalaData!$B$8))/180),2),0)</f>
        <v>39.56</v>
      </c>
      <c r="C9" s="863">
        <f>IFERROR(IF(MOD(MOD(MATCH(CALC_PlanetPositions!$B$10,{"Aries","Taurus","Gemini","Cancer","Leo","Virgo","Libra","Scorpio","Sagittarius","Capricorn","Aquarius","Pisces"},0)-MATCH(CALC_PlanetPositions!$B$6,{"Aries","Taurus","Gemini","Cancer","Leo","Virgo","Libra","Scorpio","Sagittarius","Capricorn","Aquarius","Pisces"},0),12)+1-1,3)=0,60,IF(MOD(MOD(MATCH(CALC_PlanetPositions!$B$10,{"Aries","Taurus","Gemini","Cancer","Leo","Virgo","Libra","Scorpio","Sagittarius","Capricorn","Aquarius","Pisces"},0)-MATCH(CALC_PlanetPositions!$B$6,{"Aries","Taurus","Gemini","Cancer","Leo","Virgo","Libra","Scorpio","Sagittarius","Capricorn","Aquarius","Pisces"},0),12)+1-2,3)=0,30,15)),15)</f>
        <v>15</v>
      </c>
      <c r="D9" s="864" t="s">
        <v>3849</v>
      </c>
      <c r="E9" s="864">
        <f>IFERROR(CALC_DigBala!$G$7*60,0)</f>
        <v>40.200000000000003</v>
      </c>
      <c r="F9" s="865">
        <v>25.71</v>
      </c>
      <c r="G9" s="863">
        <f>IFERROR(MIN(60,IF(MOD(CALC_PlanetLongitudes!$D$9-CALC_PlanetLongitudes!$D$8,360)&lt;=180,(180-MOD(CALC_PlanetLongitudes!$D$9-CALC_PlanetLongitudes!$D$8,360))/3,(MOD(CALC_PlanetLongitudes!$D$9-CALC_PlanetLongitudes!$D$8,360)-180)/3)),0)</f>
        <v>51.99816666666667</v>
      </c>
      <c r="H9" s="863">
        <f>0</f>
        <v>0</v>
      </c>
      <c r="I9" s="863">
        <f>IFERROR(IF(INDEX({"Sun","Moon","Mars","Mercury","Jupiter","Venus","Saturn"},4)=INDEX({"Sun","Venus","Mercury","Moon","Saturn","Jupiter","Mars"},MOD(IF(((HOUR(INPUT_BirthData!$B$6)+MINUTE(INPUT_BirthData!$B$6)/60)&lt;6),INDEX({3,6,2,5,1,4,0},MOD(MOD(INT(INPUT_BirthData!$B$19+0.5)+1,7)-1+7,7)+1),INDEX({3,6,2,5,1,4,0},MOD(INT(INPUT_BirthData!$B$19+0.5)+1,7)+1))+INT(IF(((HOUR(INPUT_BirthData!$B$6)+MINUTE(INPUT_BirthData!$B$6)/60)&lt;6),(HOUR(INPUT_BirthData!$B$6)+MINUTE(INPUT_BirthData!$B$6)/60)+24-6,(HOUR(INPUT_BirthData!$B$6)+MINUTE(INPUT_BirthData!$B$6)/60)-6)),7)+1),60,0),0)</f>
        <v>60</v>
      </c>
      <c r="J9" s="863">
        <v>45.99</v>
      </c>
      <c r="K9" s="863">
        <f>IFERROR(MAX(0,MIN(60,IF(REF_ShadbalaData!$B$62="Uttarayana",30+30*DEGREES(ASIN(SIN(RADIANS(23.45))*SIN(RADIANS((CALC_PlanetLongitudes!$D$8+INPUT_BirthData!$B$20)))))/23.45,30-30*DEGREES(ASIN(SIN(RADIANS(23.45))*SIN(RADIANS((CALC_PlanetLongitudes!$D$8+INPUT_BirthData!$B$20)))))/23.45))),0)</f>
        <v>48.507629463482161</v>
      </c>
      <c r="L9" s="866">
        <f>IFERROR(IF(INDEX({"Sun","Moon","Mars","Mercury","Jupiter","Venus","Saturn"},4)=VLOOKUP(MOD(INT(INPUT_BirthData!$B$19+0.5)+1,7),REF_ShadbalaData!$A$30:$D$36,3,FALSE()),45,0),0)</f>
        <v>0</v>
      </c>
      <c r="M9" s="866">
        <f>IFERROR(IF(INDEX({"Sun","Moon","Mars","Mercury","Jupiter","Venus","Saturn"},4)=VLOOKUP(MATCH(CALC_PlanetPositions!$B$7,{"Aries","Taurus","Gemini","Cancer","Leo","Virgo","Libra","Scorpio","Sagittarius","Capricorn","Aquarius","Pisces"},0),REF_ShadbalaData!$A$40:$D$51,4,FALSE()),30,0),0)</f>
        <v>0</v>
      </c>
      <c r="N9" s="4">
        <f>IFERROR(IF(INDEX({"Sun","Moon","Mars","Mercury","Jupiter","Venus","Saturn"},4)=VLOOKUP(MOD(INT((1721139.5+365.2422*(YEAR(INPUT_BirthData!$B$5)-1900)+80)+0.5)+1,7),REF_ShadbalaData!$A$30:$D$36,3,FALSE()),15,0),0)</f>
        <v>0</v>
      </c>
      <c r="O9" s="867">
        <f>IFERROR(IF(ISNUMBER(SEARCH("Rx",CALC_PlanetPositions!$K$10)),60,30),30)</f>
        <v>30</v>
      </c>
      <c r="P9" s="4">
        <f>IFERROR(ROUND((IF(MOD(MATCH(CALC_PlanetPositions!$B$10,{"Aries","Taurus","Gemini","Cancer","Leo","Virgo","Libra","Scorpio","Sagittarius","Capricorn","Aquarius","Pisces"},0)-MATCH(CALC_PlanetPositions!$B$7,{"Aries","Taurus","Gemini","Cancer","Leo","Virgo","Libra","Scorpio","Sagittarius","Capricorn","Aquarius","Pisces"},0),12)+1=7,-45,0)+IF(MATCH(CALC_PlanetPositions!$B$10,{"Aries","Taurus","Gemini","Cancer","Leo","Virgo","Libra","Scorpio","Sagittarius","Capricorn","Aquarius","Pisces"},0)=MATCH(CALC_PlanetPositions!$B$7,{"Aries","Taurus","Gemini","Cancer","Leo","Virgo","Libra","Scorpio","Sagittarius","Capricorn","Aquarius","Pisces"},0),MAX(0,1-MIN(ABS(CALC_PlanetLongitudes!$D$11-CALC_PlanetLongitudes!$D$8),360-ABS(CALC_PlanetLongitudes!$D$11-CALC_PlanetLongitudes!$D$8))/30)*-45,0))+(IF(MOD(MATCH(CALC_PlanetPositions!$B$10,{"Aries","Taurus","Gemini","Cancer","Leo","Virgo","Libra","Scorpio","Sagittarius","Capricorn","Aquarius","Pisces"},0)-MATCH(CALC_PlanetPositions!$B$8,{"Aries","Taurus","Gemini","Cancer","Leo","Virgo","Libra","Scorpio","Sagittarius","Capricorn","Aquarius","Pisces"},0),12)+1=7,45,0)+IF(MATCH(CALC_PlanetPositions!$B$10,{"Aries","Taurus","Gemini","Cancer","Leo","Virgo","Libra","Scorpio","Sagittarius","Capricorn","Aquarius","Pisces"},0)=MATCH(CALC_PlanetPositions!$B$8,{"Aries","Taurus","Gemini","Cancer","Leo","Virgo","Libra","Scorpio","Sagittarius","Capricorn","Aquarius","Pisces"},0),MAX(0,1-MIN(ABS(CALC_PlanetLongitudes!$D$11-CALC_PlanetLongitudes!$D$9),360-ABS(CALC_PlanetLongitudes!$D$11-CALC_PlanetLongitudes!$D$9))/30)*45,0))+(IF(OR(MOD(MATCH(CALC_PlanetPositions!$B$10,{"Aries","Taurus","Gemini","Cancer","Leo","Virgo","Libra","Scorpio","Sagittarius","Capricorn","Aquarius","Pisces"},0)-MATCH(CALC_PlanetPositions!$B$9,{"Aries","Taurus","Gemini","Cancer","Leo","Virgo","Libra","Scorpio","Sagittarius","Capricorn","Aquarius","Pisces"},0),12)+1=4,MOD(MATCH(CALC_PlanetPositions!$B$10,{"Aries","Taurus","Gemini","Cancer","Leo","Virgo","Libra","Scorpio","Sagittarius","Capricorn","Aquarius","Pisces"},0)-MATCH(CALC_PlanetPositions!$B$9,{"Aries","Taurus","Gemini","Cancer","Leo","Virgo","Libra","Scorpio","Sagittarius","Capricorn","Aquarius","Pisces"},0),12)+1=7,MOD(MATCH(CALC_PlanetPositions!$B$10,{"Aries","Taurus","Gemini","Cancer","Leo","Virgo","Libra","Scorpio","Sagittarius","Capricorn","Aquarius","Pisces"},0)-MATCH(CALC_PlanetPositions!$B$9,{"Aries","Taurus","Gemini","Cancer","Leo","Virgo","Libra","Scorpio","Sagittarius","Capricorn","Aquarius","Pisces"},0),12)+1=8),-45,0)+IF(MATCH(CALC_PlanetPositions!$B$10,{"Aries","Taurus","Gemini","Cancer","Leo","Virgo","Libra","Scorpio","Sagittarius","Capricorn","Aquarius","Pisces"},0)=MATCH(CALC_PlanetPositions!$B$9,{"Aries","Taurus","Gemini","Cancer","Leo","Virgo","Libra","Scorpio","Sagittarius","Capricorn","Aquarius","Pisces"},0),MAX(0,1-MIN(ABS(CALC_PlanetLongitudes!$D$11-CALC_PlanetLongitudes!$D$10),360-ABS(CALC_PlanetLongitudes!$D$11-CALC_PlanetLongitudes!$D$10))/30)*-45,0))+(IF(OR(MOD(MATCH(CALC_PlanetPositions!$B$10,{"Aries","Taurus","Gemini","Cancer","Leo","Virgo","Libra","Scorpio","Sagittarius","Capricorn","Aquarius","Pisces"},0)-MATCH(CALC_PlanetPositions!$B$11,{"Aries","Taurus","Gemini","Cancer","Leo","Virgo","Libra","Scorpio","Sagittarius","Capricorn","Aquarius","Pisces"},0),12)+1=5,MOD(MATCH(CALC_PlanetPositions!$B$10,{"Aries","Taurus","Gemini","Cancer","Leo","Virgo","Libra","Scorpio","Sagittarius","Capricorn","Aquarius","Pisces"},0)-MATCH(CALC_PlanetPositions!$B$11,{"Aries","Taurus","Gemini","Cancer","Leo","Virgo","Libra","Scorpio","Sagittarius","Capricorn","Aquarius","Pisces"},0),12)+1=7,MOD(MATCH(CALC_PlanetPositions!$B$10,{"Aries","Taurus","Gemini","Cancer","Leo","Virgo","Libra","Scorpio","Sagittarius","Capricorn","Aquarius","Pisces"},0)-MATCH(CALC_PlanetPositions!$B$11,{"Aries","Taurus","Gemini","Cancer","Leo","Virgo","Libra","Scorpio","Sagittarius","Capricorn","Aquarius","Pisces"},0),12)+1=9),45,0)+IF(MATCH(CALC_PlanetPositions!$B$10,{"Aries","Taurus","Gemini","Cancer","Leo","Virgo","Libra","Scorpio","Sagittarius","Capricorn","Aquarius","Pisces"},0)=MATCH(CALC_PlanetPositions!$B$11,{"Aries","Taurus","Gemini","Cancer","Leo","Virgo","Libra","Scorpio","Sagittarius","Capricorn","Aquarius","Pisces"},0),MAX(0,1-MIN(ABS(CALC_PlanetLongitudes!$D$11-CALC_PlanetLongitudes!$D$12),360-ABS(CALC_PlanetLongitudes!$D$11-CALC_PlanetLongitudes!$D$12))/30)*45,0))+(IF(MOD(MATCH(CALC_PlanetPositions!$B$10,{"Aries","Taurus","Gemini","Cancer","Leo","Virgo","Libra","Scorpio","Sagittarius","Capricorn","Aquarius","Pisces"},0)-MATCH(CALC_PlanetPositions!$B$12,{"Aries","Taurus","Gemini","Cancer","Leo","Virgo","Libra","Scorpio","Sagittarius","Capricorn","Aquarius","Pisces"},0),12)+1=7,45,0)+IF(MATCH(CALC_PlanetPositions!$B$10,{"Aries","Taurus","Gemini","Cancer","Leo","Virgo","Libra","Scorpio","Sagittarius","Capricorn","Aquarius","Pisces"},0)=MATCH(CALC_PlanetPositions!$B$12,{"Aries","Taurus","Gemini","Cancer","Leo","Virgo","Libra","Scorpio","Sagittarius","Capricorn","Aquarius","Pisces"},0),MAX(0,1-MIN(ABS(CALC_PlanetLongitudes!$D$11-CALC_PlanetLongitudes!$D$13),360-ABS(CALC_PlanetLongitudes!$D$11-CALC_PlanetLongitudes!$D$13))/30)*45,0))+(IF(OR(MOD(MATCH(CALC_PlanetPositions!$B$10,{"Aries","Taurus","Gemini","Cancer","Leo","Virgo","Libra","Scorpio","Sagittarius","Capricorn","Aquarius","Pisces"},0)-MATCH(CALC_PlanetPositions!$B$13,{"Aries","Taurus","Gemini","Cancer","Leo","Virgo","Libra","Scorpio","Sagittarius","Capricorn","Aquarius","Pisces"},0),12)+1=3,MOD(MATCH(CALC_PlanetPositions!$B$10,{"Aries","Taurus","Gemini","Cancer","Leo","Virgo","Libra","Scorpio","Sagittarius","Capricorn","Aquarius","Pisces"},0)-MATCH(CALC_PlanetPositions!$B$13,{"Aries","Taurus","Gemini","Cancer","Leo","Virgo","Libra","Scorpio","Sagittarius","Capricorn","Aquarius","Pisces"},0),12)+1=7,MOD(MATCH(CALC_PlanetPositions!$B$10,{"Aries","Taurus","Gemini","Cancer","Leo","Virgo","Libra","Scorpio","Sagittarius","Capricorn","Aquarius","Pisces"},0)-MATCH(CALC_PlanetPositions!$B$13,{"Aries","Taurus","Gemini","Cancer","Leo","Virgo","Libra","Scorpio","Sagittarius","Capricorn","Aquarius","Pisces"},0),12)+1=10),-45,0)+IF(MATCH(CALC_PlanetPositions!$B$10,{"Aries","Taurus","Gemini","Cancer","Leo","Virgo","Libra","Scorpio","Sagittarius","Capricorn","Aquarius","Pisces"},0)=MATCH(CALC_PlanetPositions!$B$13,{"Aries","Taurus","Gemini","Cancer","Leo","Virgo","Libra","Scorpio","Sagittarius","Capricorn","Aquarius","Pisces"},0),MAX(0,1-MIN(ABS(CALC_PlanetLongitudes!$D$11-CALC_PlanetLongitudes!$D$14),360-ABS(CALC_PlanetLongitudes!$D$11-CALC_PlanetLongitudes!$D$14))/30)*-45,0)),1),0)</f>
        <v>3.8</v>
      </c>
      <c r="Q9" s="4">
        <f>IFERROR(ROUND((IFERROR(IF(CALC_DivisionalMap!$B$8=INDEX(REF_Dignity!$C$4:$C$12,MATCH("Mercury",REF_Dignity!$A$4:$A$12,0)),45,IF(ISNUMBER(SEARCH(CALC_DivisionalMap!$B$8,INDEX(REF_Dignity!$J$4:$J$12,MATCH("Mercury",REF_Dignity!$A$4:$A$12,0)))),45,IF(INDEX(REF_NaisargikaFriendship!$C$5:$I$11,MATCH("Mercury",REF_NaisargikaFriendship!$A$5:$A$11,0),MATCH(INDEX(REF_Zodiac!$D$7:$O$7,MATCH(CALC_DivisionalMap!$B$8,REF_Zodiac!$D$3:$O$3,0)),REF_NaisargikaFriendship!$C$4:$I$4,0))="Friend",30,IF(INDEX(REF_NaisargikaFriendship!$C$5:$I$11,MATCH("Mercury",REF_NaisargikaFriendship!$A$5:$A$11,0),MATCH(INDEX(REF_Zodiac!$D$7:$O$7,MATCH(CALC_DivisionalMap!$B$8,REF_Zodiac!$D$3:$O$3,0)),REF_NaisargikaFriendship!$C$4:$I$4,0))="Enemy",15,IF(CALC_DivisionalMap!$B$8=INDEX(REF_Dignity!$F$4:$F$12,MATCH("Mercury",REF_Dignity!$A$4:$A$12,0)),7.5,22.5))))),0)+IFERROR(IF(CALC_DivisionalMap!$J$8=INDEX(REF_Dignity!$C$4:$C$12,MATCH("Mercury",REF_Dignity!$A$4:$A$12,0)),45,IF(ISNUMBER(SEARCH(CALC_DivisionalMap!$J$8,INDEX(REF_Dignity!$J$4:$J$12,MATCH("Mercury",REF_Dignity!$A$4:$A$12,0)))),45,IF(INDEX(REF_NaisargikaFriendship!$C$5:$I$11,MATCH("Mercury",REF_NaisargikaFriendship!$A$5:$A$11,0),MATCH(INDEX(REF_Zodiac!$D$7:$O$7,MATCH(CALC_DivisionalMap!$J$8,REF_Zodiac!$D$3:$O$3,0)),REF_NaisargikaFriendship!$C$4:$I$4,0))="Friend",30,IF(INDEX(REF_NaisargikaFriendship!$C$5:$I$11,MATCH("Mercury",REF_NaisargikaFriendship!$A$5:$A$11,0),MATCH(INDEX(REF_Zodiac!$D$7:$O$7,MATCH(CALC_DivisionalMap!$J$8,REF_Zodiac!$D$3:$O$3,0)),REF_NaisargikaFriendship!$C$4:$I$4,0))="Enemy",15,IF(CALC_DivisionalMap!$J$8=INDEX(REF_Dignity!$F$4:$F$12,MATCH("Mercury",REF_Dignity!$A$4:$A$12,0)),7.5,22.5))))),0)+IFERROR(IF(CALC_DivisionalMap!$F$8=INDEX(REF_Dignity!$C$4:$C$12,MATCH("Mercury",REF_Dignity!$A$4:$A$12,0)),45,IF(ISNUMBER(SEARCH(CALC_DivisionalMap!$F$8,INDEX(REF_Dignity!$J$4:$J$12,MATCH("Mercury",REF_Dignity!$A$4:$A$12,0)))),45,IF(INDEX(REF_NaisargikaFriendship!$C$5:$I$11,MATCH("Mercury",REF_NaisargikaFriendship!$A$5:$A$11,0),MATCH(INDEX(REF_Zodiac!$D$7:$O$7,MATCH(CALC_DivisionalMap!$F$8,REF_Zodiac!$D$3:$O$3,0)),REF_NaisargikaFriendship!$C$4:$I$4,0))="Friend",30,IF(INDEX(REF_NaisargikaFriendship!$C$5:$I$11,MATCH("Mercury",REF_NaisargikaFriendship!$A$5:$A$11,0),MATCH(INDEX(REF_Zodiac!$D$7:$O$7,MATCH(CALC_DivisionalMap!$F$8,REF_Zodiac!$D$3:$O$3,0)),REF_NaisargikaFriendship!$C$4:$I$4,0))="Enemy",15,IF(CALC_DivisionalMap!$F$8=INDEX(REF_Dignity!$F$4:$F$12,MATCH("Mercury",REF_Dignity!$A$4:$A$12,0)),7.5,22.5))))),0)+IFERROR(IF(CALC_DivisionalMap!$G$8=INDEX(REF_Dignity!$C$4:$C$12,MATCH("Mercury",REF_Dignity!$A$4:$A$12,0)),45,IF(ISNUMBER(SEARCH(CALC_DivisionalMap!$G$8,INDEX(REF_Dignity!$J$4:$J$12,MATCH("Mercury",REF_Dignity!$A$4:$A$12,0)))),45,IF(INDEX(REF_NaisargikaFriendship!$C$5:$I$11,MATCH("Mercury",REF_NaisargikaFriendship!$A$5:$A$11,0),MATCH(INDEX(REF_Zodiac!$D$7:$O$7,MATCH(CALC_DivisionalMap!$G$8,REF_Zodiac!$D$3:$O$3,0)),REF_NaisargikaFriendship!$C$4:$I$4,0))="Friend",30,IF(INDEX(REF_NaisargikaFriendship!$C$5:$I$11,MATCH("Mercury",REF_NaisargikaFriendship!$A$5:$A$11,0),MATCH(INDEX(REF_Zodiac!$D$7:$O$7,MATCH(CALC_DivisionalMap!$G$8,REF_Zodiac!$D$3:$O$3,0)),REF_NaisargikaFriendship!$C$4:$I$4,0))="Enemy",15,IF(CALC_DivisionalMap!$G$8=INDEX(REF_Dignity!$F$4:$F$12,MATCH("Mercury",REF_Dignity!$A$4:$A$12,0)),7.5,22.5))))),0)+IFERROR(IF(CALC_DivisionalMap!$D$8=INDEX(REF_Dignity!$C$4:$C$12,MATCH("Mercury",REF_Dignity!$A$4:$A$12,0)),45,IF(ISNUMBER(SEARCH(CALC_DivisionalMap!$D$8,INDEX(REF_Dignity!$J$4:$J$12,MATCH("Mercury",REF_Dignity!$A$4:$A$12,0)))),45,IF(INDEX(REF_NaisargikaFriendship!$C$5:$I$11,MATCH("Mercury",REF_NaisargikaFriendship!$A$5:$A$11,0),MATCH(INDEX(REF_Zodiac!$D$7:$O$7,MATCH(CALC_DivisionalMap!$D$8,REF_Zodiac!$D$3:$O$3,0)),REF_NaisargikaFriendship!$C$4:$I$4,0))="Friend",30,IF(INDEX(REF_NaisargikaFriendship!$C$5:$I$11,MATCH("Mercury",REF_NaisargikaFriendship!$A$5:$A$11,0),MATCH(INDEX(REF_Zodiac!$D$7:$O$7,MATCH(CALC_DivisionalMap!$D$8,REF_Zodiac!$D$3:$O$3,0)),REF_NaisargikaFriendship!$C$4:$I$4,0))="Enemy",15,IF(CALC_DivisionalMap!$D$8=INDEX(REF_Dignity!$F$4:$F$12,MATCH("Mercury",REF_Dignity!$A$4:$A$12,0)),7.5,22.5))))),0)+IFERROR(IF(CALC_DivisionalMap!$H$8=INDEX(REF_Dignity!$C$4:$C$12,MATCH("Mercury",REF_Dignity!$A$4:$A$12,0)),45,IF(ISNUMBER(SEARCH(CALC_DivisionalMap!$H$8,INDEX(REF_Dignity!$J$4:$J$12,MATCH("Mercury",REF_Dignity!$A$4:$A$12,0)))),45,IF(INDEX(REF_NaisargikaFriendship!$C$5:$I$11,MATCH("Mercury",REF_NaisargikaFriendship!$A$5:$A$11,0),MATCH(INDEX(REF_Zodiac!$D$7:$O$7,MATCH(CALC_DivisionalMap!$H$8,REF_Zodiac!$D$3:$O$3,0)),REF_NaisargikaFriendship!$C$4:$I$4,0))="Friend",30,IF(INDEX(REF_NaisargikaFriendship!$C$5:$I$11,MATCH("Mercury",REF_NaisargikaFriendship!$A$5:$A$11,0),MATCH(INDEX(REF_Zodiac!$D$7:$O$7,MATCH(CALC_DivisionalMap!$H$8,REF_Zodiac!$D$3:$O$3,0)),REF_NaisargikaFriendship!$C$4:$I$4,0))="Enemy",15,IF(CALC_DivisionalMap!$H$8=INDEX(REF_Dignity!$F$4:$F$12,MATCH("Mercury",REF_Dignity!$A$4:$A$12,0)),7.5,22.5))))),0)+IFERROR(IF(CALC_DivisionalMap!$K$8=INDEX(REF_Dignity!$C$4:$C$12,MATCH("Mercury",REF_Dignity!$A$4:$A$12,0)),45,IF(ISNUMBER(SEARCH(CALC_DivisionalMap!$K$8,INDEX(REF_Dignity!$J$4:$J$12,MATCH("Mercury",REF_Dignity!$A$4:$A$12,0)))),45,IF(INDEX(REF_NaisargikaFriendship!$C$5:$I$11,MATCH("Mercury",REF_NaisargikaFriendship!$A$5:$A$11,0),MATCH(INDEX(REF_Zodiac!$D$7:$O$7,MATCH(CALC_DivisionalMap!$K$8,REF_Zodiac!$D$3:$O$3,0)),REF_NaisargikaFriendship!$C$4:$I$4,0))="Friend",30,IF(INDEX(REF_NaisargikaFriendship!$C$5:$I$11,MATCH("Mercury",REF_NaisargikaFriendship!$A$5:$A$11,0),MATCH(INDEX(REF_Zodiac!$D$7:$O$7,MATCH(CALC_DivisionalMap!$K$8,REF_Zodiac!$D$3:$O$3,0)),REF_NaisargikaFriendship!$C$4:$I$4,0))="Enemy",15,IF(CALC_DivisionalMap!$K$8=INDEX(REF_Dignity!$F$4:$F$12,MATCH("Mercury",REF_Dignity!$A$4:$A$12,0)),7.5,22.5))))),0))/7,1),0)</f>
        <v>23.6</v>
      </c>
      <c r="R9" s="862">
        <f t="shared" si="0"/>
        <v>384.36579613014885</v>
      </c>
      <c r="S9" s="4">
        <f>REF_ShadbalaData!$B$81</f>
        <v>420</v>
      </c>
      <c r="T9" s="4">
        <f t="shared" si="1"/>
        <v>91.5</v>
      </c>
      <c r="U9" s="4" t="str">
        <f t="shared" si="2"/>
        <v>~ Adequate</v>
      </c>
    </row>
    <row r="10" spans="1:21" ht="15.75" customHeight="1" x14ac:dyDescent="0.2">
      <c r="A10" s="546" t="s">
        <v>270</v>
      </c>
      <c r="B10" s="857">
        <f>IFERROR(ROUND(60*(1-MIN(ABS(CALC_PlanetLongitudes!$D$12-REF_ShadbalaData!$B$9),360-ABS(CALC_PlanetLongitudes!$D$12-REF_ShadbalaData!$B$9))/180),2),0)</f>
        <v>23.04</v>
      </c>
      <c r="C10" s="857">
        <f>IFERROR(IF(MOD(MOD(MATCH(CALC_PlanetPositions!$B$11,{"Aries","Taurus","Gemini","Cancer","Leo","Virgo","Libra","Scorpio","Sagittarius","Capricorn","Aquarius","Pisces"},0)-MATCH(CALC_PlanetPositions!$B$6,{"Aries","Taurus","Gemini","Cancer","Leo","Virgo","Libra","Scorpio","Sagittarius","Capricorn","Aquarius","Pisces"},0),12)+1-1,3)=0,60,IF(MOD(MOD(MATCH(CALC_PlanetPositions!$B$11,{"Aries","Taurus","Gemini","Cancer","Leo","Virgo","Libra","Scorpio","Sagittarius","Capricorn","Aquarius","Pisces"},0)-MATCH(CALC_PlanetPositions!$B$6,{"Aries","Taurus","Gemini","Cancer","Leo","Virgo","Libra","Scorpio","Sagittarius","Capricorn","Aquarius","Pisces"},0),12)+1-2,3)=0,30,15)),15)</f>
        <v>15</v>
      </c>
      <c r="D10" s="858">
        <f>IFERROR(IF(MOD(MATCH(CALC_PlanetPositions!$B$11,{"Aries","Taurus","Gemini","Cancer","Leo","Virgo","Libra","Scorpio","Sagittarius","Capricorn","Aquarius","Pisces"},0),2)=1,15,7.5),11.25)</f>
        <v>15</v>
      </c>
      <c r="E10" s="858">
        <f>IFERROR(CALC_DigBala!$G$8*60,0)</f>
        <v>10.200000000000001</v>
      </c>
      <c r="F10" s="859">
        <v>34.29</v>
      </c>
      <c r="G10" s="857">
        <f>IFERROR(MIN(60,IF(MOD(CALC_PlanetLongitudes!$D$9-CALC_PlanetLongitudes!$D$8,360)&lt;=180,MOD(CALC_PlanetLongitudes!$D$9-CALC_PlanetLongitudes!$D$8,360)/3,(360-MOD(CALC_PlanetLongitudes!$D$9-CALC_PlanetLongitudes!$D$8,360))/3)),0)</f>
        <v>8.0018333333333285</v>
      </c>
      <c r="H10" s="857">
        <f>IFERROR(IF(AND(HOUR(INPUT_BirthData!$B$6)&gt;=10,HOUR(INPUT_BirthData!$B$6)&lt;14),60,0),0)</f>
        <v>0</v>
      </c>
      <c r="I10" s="857">
        <f>IFERROR(IF(INDEX({"Sun","Moon","Mars","Mercury","Jupiter","Venus","Saturn"},5)=INDEX({"Sun","Venus","Mercury","Moon","Saturn","Jupiter","Mars"},MOD(IF(((HOUR(INPUT_BirthData!$B$6)+MINUTE(INPUT_BirthData!$B$6)/60)&lt;6),INDEX({3,6,2,5,1,4,0},MOD(MOD(INT(INPUT_BirthData!$B$19+0.5)+1,7)-1+7,7)+1),INDEX({3,6,2,5,1,4,0},MOD(INT(INPUT_BirthData!$B$19+0.5)+1,7)+1))+INT(IF(((HOUR(INPUT_BirthData!$B$6)+MINUTE(INPUT_BirthData!$B$6)/60)&lt;6),(HOUR(INPUT_BirthData!$B$6)+MINUTE(INPUT_BirthData!$B$6)/60)+24-6,(HOUR(INPUT_BirthData!$B$6)+MINUTE(INPUT_BirthData!$B$6)/60)-6)),7)+1),60,0),0)</f>
        <v>0</v>
      </c>
      <c r="J10" s="857">
        <v>58.42</v>
      </c>
      <c r="K10" s="857">
        <f>IFERROR(MAX(0,MIN(60,IF(REF_ShadbalaData!$B$63="Uttarayana",30+30*DEGREES(ASIN(SIN(RADIANS(23.45))*SIN(RADIANS((CALC_PlanetLongitudes!$D$8+INPUT_BirthData!$B$20)))))/23.45,30-30*DEGREES(ASIN(SIN(RADIANS(23.45))*SIN(RADIANS((CALC_PlanetLongitudes!$D$8+INPUT_BirthData!$B$20)))))/23.45))),0)</f>
        <v>48.507629463482161</v>
      </c>
      <c r="L10" s="860">
        <f>IFERROR(IF(INDEX({"Sun","Moon","Mars","Mercury","Jupiter","Venus","Saturn"},5)=VLOOKUP(MOD(INT(INPUT_BirthData!$B$19+0.5)+1,7),REF_ShadbalaData!$A$30:$D$36,3,FALSE()),45,0),0)</f>
        <v>0</v>
      </c>
      <c r="M10" s="860">
        <f>IFERROR(IF(INDEX({"Sun","Moon","Mars","Mercury","Jupiter","Venus","Saturn"},5)=VLOOKUP(MATCH(CALC_PlanetPositions!$B$7,{"Aries","Taurus","Gemini","Cancer","Leo","Virgo","Libra","Scorpio","Sagittarius","Capricorn","Aquarius","Pisces"},0),REF_ShadbalaData!$A$40:$D$51,4,FALSE()),30,0),0)</f>
        <v>0</v>
      </c>
      <c r="N10" s="4">
        <f>IFERROR(IF(INDEX({"Sun","Moon","Mars","Mercury","Jupiter","Venus","Saturn"},5)=VLOOKUP(MOD(INT((1721139.5+365.2422*(YEAR(INPUT_BirthData!$B$5)-1900)+80)+0.5)+1,7),REF_ShadbalaData!$A$30:$D$36,3,FALSE()),15,0),0)</f>
        <v>0</v>
      </c>
      <c r="O10" s="861">
        <f>IFERROR(IF(ISNUMBER(SEARCH("Rx",CALC_PlanetPositions!$K$11)),60,30),30)</f>
        <v>30</v>
      </c>
      <c r="P10" s="4">
        <f>IFERROR(ROUND((IF(MOD(MATCH(CALC_PlanetPositions!$B$11,{"Aries","Taurus","Gemini","Cancer","Leo","Virgo","Libra","Scorpio","Sagittarius","Capricorn","Aquarius","Pisces"},0)-MATCH(CALC_PlanetPositions!$B$7,{"Aries","Taurus","Gemini","Cancer","Leo","Virgo","Libra","Scorpio","Sagittarius","Capricorn","Aquarius","Pisces"},0),12)+1=7,-45,0)+IF(MATCH(CALC_PlanetPositions!$B$11,{"Aries","Taurus","Gemini","Cancer","Leo","Virgo","Libra","Scorpio","Sagittarius","Capricorn","Aquarius","Pisces"},0)=MATCH(CALC_PlanetPositions!$B$7,{"Aries","Taurus","Gemini","Cancer","Leo","Virgo","Libra","Scorpio","Sagittarius","Capricorn","Aquarius","Pisces"},0),MAX(0,1-MIN(ABS(CALC_PlanetLongitudes!$D$12-CALC_PlanetLongitudes!$D$8),360-ABS(CALC_PlanetLongitudes!$D$12-CALC_PlanetLongitudes!$D$8))/30)*-45,0))+(IF(MOD(MATCH(CALC_PlanetPositions!$B$11,{"Aries","Taurus","Gemini","Cancer","Leo","Virgo","Libra","Scorpio","Sagittarius","Capricorn","Aquarius","Pisces"},0)-MATCH(CALC_PlanetPositions!$B$8,{"Aries","Taurus","Gemini","Cancer","Leo","Virgo","Libra","Scorpio","Sagittarius","Capricorn","Aquarius","Pisces"},0),12)+1=7,45,0)+IF(MATCH(CALC_PlanetPositions!$B$11,{"Aries","Taurus","Gemini","Cancer","Leo","Virgo","Libra","Scorpio","Sagittarius","Capricorn","Aquarius","Pisces"},0)=MATCH(CALC_PlanetPositions!$B$8,{"Aries","Taurus","Gemini","Cancer","Leo","Virgo","Libra","Scorpio","Sagittarius","Capricorn","Aquarius","Pisces"},0),MAX(0,1-MIN(ABS(CALC_PlanetLongitudes!$D$12-CALC_PlanetLongitudes!$D$9),360-ABS(CALC_PlanetLongitudes!$D$12-CALC_PlanetLongitudes!$D$9))/30)*45,0))+(IF(OR(MOD(MATCH(CALC_PlanetPositions!$B$11,{"Aries","Taurus","Gemini","Cancer","Leo","Virgo","Libra","Scorpio","Sagittarius","Capricorn","Aquarius","Pisces"},0)-MATCH(CALC_PlanetPositions!$B$9,{"Aries","Taurus","Gemini","Cancer","Leo","Virgo","Libra","Scorpio","Sagittarius","Capricorn","Aquarius","Pisces"},0),12)+1=4,MOD(MATCH(CALC_PlanetPositions!$B$11,{"Aries","Taurus","Gemini","Cancer","Leo","Virgo","Libra","Scorpio","Sagittarius","Capricorn","Aquarius","Pisces"},0)-MATCH(CALC_PlanetPositions!$B$9,{"Aries","Taurus","Gemini","Cancer","Leo","Virgo","Libra","Scorpio","Sagittarius","Capricorn","Aquarius","Pisces"},0),12)+1=7,MOD(MATCH(CALC_PlanetPositions!$B$11,{"Aries","Taurus","Gemini","Cancer","Leo","Virgo","Libra","Scorpio","Sagittarius","Capricorn","Aquarius","Pisces"},0)-MATCH(CALC_PlanetPositions!$B$9,{"Aries","Taurus","Gemini","Cancer","Leo","Virgo","Libra","Scorpio","Sagittarius","Capricorn","Aquarius","Pisces"},0),12)+1=8),-45,0)+IF(MATCH(CALC_PlanetPositions!$B$11,{"Aries","Taurus","Gemini","Cancer","Leo","Virgo","Libra","Scorpio","Sagittarius","Capricorn","Aquarius","Pisces"},0)=MATCH(CALC_PlanetPositions!$B$9,{"Aries","Taurus","Gemini","Cancer","Leo","Virgo","Libra","Scorpio","Sagittarius","Capricorn","Aquarius","Pisces"},0),MAX(0,1-MIN(ABS(CALC_PlanetLongitudes!$D$12-CALC_PlanetLongitudes!$D$10),360-ABS(CALC_PlanetLongitudes!$D$12-CALC_PlanetLongitudes!$D$10))/30)*-45,0))+(IF(MOD(MATCH(CALC_PlanetPositions!$B$11,{"Aries","Taurus","Gemini","Cancer","Leo","Virgo","Libra","Scorpio","Sagittarius","Capricorn","Aquarius","Pisces"},0)-MATCH(CALC_PlanetPositions!$B$10,{"Aries","Taurus","Gemini","Cancer","Leo","Virgo","Libra","Scorpio","Sagittarius","Capricorn","Aquarius","Pisces"},0),12)+1=7,22.5,0)+IF(MATCH(CALC_PlanetPositions!$B$11,{"Aries","Taurus","Gemini","Cancer","Leo","Virgo","Libra","Scorpio","Sagittarius","Capricorn","Aquarius","Pisces"},0)=MATCH(CALC_PlanetPositions!$B$10,{"Aries","Taurus","Gemini","Cancer","Leo","Virgo","Libra","Scorpio","Sagittarius","Capricorn","Aquarius","Pisces"},0),MAX(0,1-MIN(ABS(CALC_PlanetLongitudes!$D$12-CALC_PlanetLongitudes!$D$11),360-ABS(CALC_PlanetLongitudes!$D$12-CALC_PlanetLongitudes!$D$11))/30)*22.5,0))+(IF(MOD(MATCH(CALC_PlanetPositions!$B$11,{"Aries","Taurus","Gemini","Cancer","Leo","Virgo","Libra","Scorpio","Sagittarius","Capricorn","Aquarius","Pisces"},0)-MATCH(CALC_PlanetPositions!$B$12,{"Aries","Taurus","Gemini","Cancer","Leo","Virgo","Libra","Scorpio","Sagittarius","Capricorn","Aquarius","Pisces"},0),12)+1=7,45,0)+IF(MATCH(CALC_PlanetPositions!$B$11,{"Aries","Taurus","Gemini","Cancer","Leo","Virgo","Libra","Scorpio","Sagittarius","Capricorn","Aquarius","Pisces"},0)=MATCH(CALC_PlanetPositions!$B$12,{"Aries","Taurus","Gemini","Cancer","Leo","Virgo","Libra","Scorpio","Sagittarius","Capricorn","Aquarius","Pisces"},0),MAX(0,1-MIN(ABS(CALC_PlanetLongitudes!$D$12-CALC_PlanetLongitudes!$D$13),360-ABS(CALC_PlanetLongitudes!$D$12-CALC_PlanetLongitudes!$D$13))/30)*45,0))+(IF(OR(MOD(MATCH(CALC_PlanetPositions!$B$11,{"Aries","Taurus","Gemini","Cancer","Leo","Virgo","Libra","Scorpio","Sagittarius","Capricorn","Aquarius","Pisces"},0)-MATCH(CALC_PlanetPositions!$B$13,{"Aries","Taurus","Gemini","Cancer","Leo","Virgo","Libra","Scorpio","Sagittarius","Capricorn","Aquarius","Pisces"},0),12)+1=3,MOD(MATCH(CALC_PlanetPositions!$B$11,{"Aries","Taurus","Gemini","Cancer","Leo","Virgo","Libra","Scorpio","Sagittarius","Capricorn","Aquarius","Pisces"},0)-MATCH(CALC_PlanetPositions!$B$13,{"Aries","Taurus","Gemini","Cancer","Leo","Virgo","Libra","Scorpio","Sagittarius","Capricorn","Aquarius","Pisces"},0),12)+1=7,MOD(MATCH(CALC_PlanetPositions!$B$11,{"Aries","Taurus","Gemini","Cancer","Leo","Virgo","Libra","Scorpio","Sagittarius","Capricorn","Aquarius","Pisces"},0)-MATCH(CALC_PlanetPositions!$B$13,{"Aries","Taurus","Gemini","Cancer","Leo","Virgo","Libra","Scorpio","Sagittarius","Capricorn","Aquarius","Pisces"},0),12)+1=10),-45,0)+IF(MATCH(CALC_PlanetPositions!$B$11,{"Aries","Taurus","Gemini","Cancer","Leo","Virgo","Libra","Scorpio","Sagittarius","Capricorn","Aquarius","Pisces"},0)=MATCH(CALC_PlanetPositions!$B$13,{"Aries","Taurus","Gemini","Cancer","Leo","Virgo","Libra","Scorpio","Sagittarius","Capricorn","Aquarius","Pisces"},0),MAX(0,1-MIN(ABS(CALC_PlanetLongitudes!$D$12-CALC_PlanetLongitudes!$D$14),360-ABS(CALC_PlanetLongitudes!$D$12-CALC_PlanetLongitudes!$D$14))/30)*-45,0)),1),0)</f>
        <v>0</v>
      </c>
      <c r="Q10" s="4">
        <f>IFERROR(ROUND((IFERROR(IF(CALC_DivisionalMap!$B$9=INDEX(REF_Dignity!$C$4:$C$12,MATCH("Jupiter",REF_Dignity!$A$4:$A$12,0)),45,IF(ISNUMBER(SEARCH(CALC_DivisionalMap!$B$9,INDEX(REF_Dignity!$J$4:$J$12,MATCH("Jupiter",REF_Dignity!$A$4:$A$12,0)))),45,IF(INDEX(REF_NaisargikaFriendship!$C$5:$I$11,MATCH("Jupiter",REF_NaisargikaFriendship!$A$5:$A$11,0),MATCH(INDEX(REF_Zodiac!$D$7:$O$7,MATCH(CALC_DivisionalMap!$B$9,REF_Zodiac!$D$3:$O$3,0)),REF_NaisargikaFriendship!$C$4:$I$4,0))="Friend",30,IF(INDEX(REF_NaisargikaFriendship!$C$5:$I$11,MATCH("Jupiter",REF_NaisargikaFriendship!$A$5:$A$11,0),MATCH(INDEX(REF_Zodiac!$D$7:$O$7,MATCH(CALC_DivisionalMap!$B$9,REF_Zodiac!$D$3:$O$3,0)),REF_NaisargikaFriendship!$C$4:$I$4,0))="Enemy",15,IF(CALC_DivisionalMap!$B$9=INDEX(REF_Dignity!$F$4:$F$12,MATCH("Jupiter",REF_Dignity!$A$4:$A$12,0)),7.5,22.5))))),0)+IFERROR(IF(CALC_DivisionalMap!$J$9=INDEX(REF_Dignity!$C$4:$C$12,MATCH("Jupiter",REF_Dignity!$A$4:$A$12,0)),45,IF(ISNUMBER(SEARCH(CALC_DivisionalMap!$J$9,INDEX(REF_Dignity!$J$4:$J$12,MATCH("Jupiter",REF_Dignity!$A$4:$A$12,0)))),45,IF(INDEX(REF_NaisargikaFriendship!$C$5:$I$11,MATCH("Jupiter",REF_NaisargikaFriendship!$A$5:$A$11,0),MATCH(INDEX(REF_Zodiac!$D$7:$O$7,MATCH(CALC_DivisionalMap!$J$9,REF_Zodiac!$D$3:$O$3,0)),REF_NaisargikaFriendship!$C$4:$I$4,0))="Friend",30,IF(INDEX(REF_NaisargikaFriendship!$C$5:$I$11,MATCH("Jupiter",REF_NaisargikaFriendship!$A$5:$A$11,0),MATCH(INDEX(REF_Zodiac!$D$7:$O$7,MATCH(CALC_DivisionalMap!$J$9,REF_Zodiac!$D$3:$O$3,0)),REF_NaisargikaFriendship!$C$4:$I$4,0))="Enemy",15,IF(CALC_DivisionalMap!$J$9=INDEX(REF_Dignity!$F$4:$F$12,MATCH("Jupiter",REF_Dignity!$A$4:$A$12,0)),7.5,22.5))))),0)+IFERROR(IF(CALC_DivisionalMap!$F$9=INDEX(REF_Dignity!$C$4:$C$12,MATCH("Jupiter",REF_Dignity!$A$4:$A$12,0)),45,IF(ISNUMBER(SEARCH(CALC_DivisionalMap!$F$9,INDEX(REF_Dignity!$J$4:$J$12,MATCH("Jupiter",REF_Dignity!$A$4:$A$12,0)))),45,IF(INDEX(REF_NaisargikaFriendship!$C$5:$I$11,MATCH("Jupiter",REF_NaisargikaFriendship!$A$5:$A$11,0),MATCH(INDEX(REF_Zodiac!$D$7:$O$7,MATCH(CALC_DivisionalMap!$F$9,REF_Zodiac!$D$3:$O$3,0)),REF_NaisargikaFriendship!$C$4:$I$4,0))="Friend",30,IF(INDEX(REF_NaisargikaFriendship!$C$5:$I$11,MATCH("Jupiter",REF_NaisargikaFriendship!$A$5:$A$11,0),MATCH(INDEX(REF_Zodiac!$D$7:$O$7,MATCH(CALC_DivisionalMap!$F$9,REF_Zodiac!$D$3:$O$3,0)),REF_NaisargikaFriendship!$C$4:$I$4,0))="Enemy",15,IF(CALC_DivisionalMap!$F$9=INDEX(REF_Dignity!$F$4:$F$12,MATCH("Jupiter",REF_Dignity!$A$4:$A$12,0)),7.5,22.5))))),0)+IFERROR(IF(CALC_DivisionalMap!$G$9=INDEX(REF_Dignity!$C$4:$C$12,MATCH("Jupiter",REF_Dignity!$A$4:$A$12,0)),45,IF(ISNUMBER(SEARCH(CALC_DivisionalMap!$G$9,INDEX(REF_Dignity!$J$4:$J$12,MATCH("Jupiter",REF_Dignity!$A$4:$A$12,0)))),45,IF(INDEX(REF_NaisargikaFriendship!$C$5:$I$11,MATCH("Jupiter",REF_NaisargikaFriendship!$A$5:$A$11,0),MATCH(INDEX(REF_Zodiac!$D$7:$O$7,MATCH(CALC_DivisionalMap!$G$9,REF_Zodiac!$D$3:$O$3,0)),REF_NaisargikaFriendship!$C$4:$I$4,0))="Friend",30,IF(INDEX(REF_NaisargikaFriendship!$C$5:$I$11,MATCH("Jupiter",REF_NaisargikaFriendship!$A$5:$A$11,0),MATCH(INDEX(REF_Zodiac!$D$7:$O$7,MATCH(CALC_DivisionalMap!$G$9,REF_Zodiac!$D$3:$O$3,0)),REF_NaisargikaFriendship!$C$4:$I$4,0))="Enemy",15,IF(CALC_DivisionalMap!$G$9=INDEX(REF_Dignity!$F$4:$F$12,MATCH("Jupiter",REF_Dignity!$A$4:$A$12,0)),7.5,22.5))))),0)+IFERROR(IF(CALC_DivisionalMap!$D$9=INDEX(REF_Dignity!$C$4:$C$12,MATCH("Jupiter",REF_Dignity!$A$4:$A$12,0)),45,IF(ISNUMBER(SEARCH(CALC_DivisionalMap!$D$9,INDEX(REF_Dignity!$J$4:$J$12,MATCH("Jupiter",REF_Dignity!$A$4:$A$12,0)))),45,IF(INDEX(REF_NaisargikaFriendship!$C$5:$I$11,MATCH("Jupiter",REF_NaisargikaFriendship!$A$5:$A$11,0),MATCH(INDEX(REF_Zodiac!$D$7:$O$7,MATCH(CALC_DivisionalMap!$D$9,REF_Zodiac!$D$3:$O$3,0)),REF_NaisargikaFriendship!$C$4:$I$4,0))="Friend",30,IF(INDEX(REF_NaisargikaFriendship!$C$5:$I$11,MATCH("Jupiter",REF_NaisargikaFriendship!$A$5:$A$11,0),MATCH(INDEX(REF_Zodiac!$D$7:$O$7,MATCH(CALC_DivisionalMap!$D$9,REF_Zodiac!$D$3:$O$3,0)),REF_NaisargikaFriendship!$C$4:$I$4,0))="Enemy",15,IF(CALC_DivisionalMap!$D$9=INDEX(REF_Dignity!$F$4:$F$12,MATCH("Jupiter",REF_Dignity!$A$4:$A$12,0)),7.5,22.5))))),0)+IFERROR(IF(CALC_DivisionalMap!$H$9=INDEX(REF_Dignity!$C$4:$C$12,MATCH("Jupiter",REF_Dignity!$A$4:$A$12,0)),45,IF(ISNUMBER(SEARCH(CALC_DivisionalMap!$H$9,INDEX(REF_Dignity!$J$4:$J$12,MATCH("Jupiter",REF_Dignity!$A$4:$A$12,0)))),45,IF(INDEX(REF_NaisargikaFriendship!$C$5:$I$11,MATCH("Jupiter",REF_NaisargikaFriendship!$A$5:$A$11,0),MATCH(INDEX(REF_Zodiac!$D$7:$O$7,MATCH(CALC_DivisionalMap!$H$9,REF_Zodiac!$D$3:$O$3,0)),REF_NaisargikaFriendship!$C$4:$I$4,0))="Friend",30,IF(INDEX(REF_NaisargikaFriendship!$C$5:$I$11,MATCH("Jupiter",REF_NaisargikaFriendship!$A$5:$A$11,0),MATCH(INDEX(REF_Zodiac!$D$7:$O$7,MATCH(CALC_DivisionalMap!$H$9,REF_Zodiac!$D$3:$O$3,0)),REF_NaisargikaFriendship!$C$4:$I$4,0))="Enemy",15,IF(CALC_DivisionalMap!$H$9=INDEX(REF_Dignity!$F$4:$F$12,MATCH("Jupiter",REF_Dignity!$A$4:$A$12,0)),7.5,22.5))))),0)+IFERROR(IF(CALC_DivisionalMap!$K$9=INDEX(REF_Dignity!$C$4:$C$12,MATCH("Jupiter",REF_Dignity!$A$4:$A$12,0)),45,IF(ISNUMBER(SEARCH(CALC_DivisionalMap!$K$9,INDEX(REF_Dignity!$J$4:$J$12,MATCH("Jupiter",REF_Dignity!$A$4:$A$12,0)))),45,IF(INDEX(REF_NaisargikaFriendship!$C$5:$I$11,MATCH("Jupiter",REF_NaisargikaFriendship!$A$5:$A$11,0),MATCH(INDEX(REF_Zodiac!$D$7:$O$7,MATCH(CALC_DivisionalMap!$K$9,REF_Zodiac!$D$3:$O$3,0)),REF_NaisargikaFriendship!$C$4:$I$4,0))="Friend",30,IF(INDEX(REF_NaisargikaFriendship!$C$5:$I$11,MATCH("Jupiter",REF_NaisargikaFriendship!$A$5:$A$11,0),MATCH(INDEX(REF_Zodiac!$D$7:$O$7,MATCH(CALC_DivisionalMap!$K$9,REF_Zodiac!$D$3:$O$3,0)),REF_NaisargikaFriendship!$C$4:$I$4,0))="Enemy",15,IF(CALC_DivisionalMap!$K$9=INDEX(REF_Dignity!$F$4:$F$12,MATCH("Jupiter",REF_Dignity!$A$4:$A$12,0)),7.5,22.5))))),0))/7,1),0)</f>
        <v>27.9</v>
      </c>
      <c r="R10" s="862">
        <f t="shared" si="0"/>
        <v>270.35946279681548</v>
      </c>
      <c r="S10" s="4">
        <f>REF_ShadbalaData!$B$82</f>
        <v>390</v>
      </c>
      <c r="T10" s="4">
        <f t="shared" si="1"/>
        <v>69.3</v>
      </c>
      <c r="U10" s="4" t="str">
        <f t="shared" si="2"/>
        <v>⚠ Weak</v>
      </c>
    </row>
    <row r="11" spans="1:21" ht="15.75" customHeight="1" x14ac:dyDescent="0.2">
      <c r="A11" s="551" t="s">
        <v>271</v>
      </c>
      <c r="B11" s="863">
        <f>IFERROR(ROUND(60*(1-MIN(ABS(CALC_PlanetLongitudes!$D$13-REF_ShadbalaData!$B$10),360-ABS(CALC_PlanetLongitudes!$D$13-REF_ShadbalaData!$B$10))/180),2),0)</f>
        <v>21.48</v>
      </c>
      <c r="C11" s="863">
        <f>IFERROR(IF(MOD(MOD(MATCH(CALC_PlanetPositions!$B$12,{"Aries","Taurus","Gemini","Cancer","Leo","Virgo","Libra","Scorpio","Sagittarius","Capricorn","Aquarius","Pisces"},0)-MATCH(CALC_PlanetPositions!$B$6,{"Aries","Taurus","Gemini","Cancer","Leo","Virgo","Libra","Scorpio","Sagittarius","Capricorn","Aquarius","Pisces"},0),12)+1-1,3)=0,60,IF(MOD(MOD(MATCH(CALC_PlanetPositions!$B$12,{"Aries","Taurus","Gemini","Cancer","Leo","Virgo","Libra","Scorpio","Sagittarius","Capricorn","Aquarius","Pisces"},0)-MATCH(CALC_PlanetPositions!$B$6,{"Aries","Taurus","Gemini","Cancer","Leo","Virgo","Libra","Scorpio","Sagittarius","Capricorn","Aquarius","Pisces"},0),12)+1-2,3)=0,30,15)),15)</f>
        <v>15</v>
      </c>
      <c r="D11" s="864">
        <f>IFERROR(IF(MOD(MATCH(CALC_PlanetPositions!$B$12,{"Aries","Taurus","Gemini","Cancer","Leo","Virgo","Libra","Scorpio","Sagittarius","Capricorn","Aquarius","Pisces"},0),2)=0,15,7.5),11.25)</f>
        <v>15</v>
      </c>
      <c r="E11" s="864">
        <f>IFERROR(CALC_DigBala!$G$9*60,0)</f>
        <v>49.8</v>
      </c>
      <c r="F11" s="865">
        <v>42.86</v>
      </c>
      <c r="G11" s="863">
        <f>IFERROR(MIN(60,IF(MOD(CALC_PlanetLongitudes!$D$9-CALC_PlanetLongitudes!$D$8,360)&lt;=180,MOD(CALC_PlanetLongitudes!$D$9-CALC_PlanetLongitudes!$D$8,360)/3,(360-MOD(CALC_PlanetLongitudes!$D$9-CALC_PlanetLongitudes!$D$8,360))/3)),0)</f>
        <v>8.0018333333333285</v>
      </c>
      <c r="H11" s="863">
        <f>IFERROR(IF(OR(HOUR(INPUT_BirthData!$B$6)&gt;=22,HOUR(INPUT_BirthData!$B$6)&lt;2),60,0),0)</f>
        <v>60</v>
      </c>
      <c r="I11" s="863">
        <f>IFERROR(IF(INDEX({"Sun","Moon","Mars","Mercury","Jupiter","Venus","Saturn"},6)=INDEX({"Sun","Venus","Mercury","Moon","Saturn","Jupiter","Mars"},MOD(IF(((HOUR(INPUT_BirthData!$B$6)+MINUTE(INPUT_BirthData!$B$6)/60)&lt;6),INDEX({3,6,2,5,1,4,0},MOD(MOD(INT(INPUT_BirthData!$B$19+0.5)+1,7)-1+7,7)+1),INDEX({3,6,2,5,1,4,0},MOD(INT(INPUT_BirthData!$B$19+0.5)+1,7)+1))+INT(IF(((HOUR(INPUT_BirthData!$B$6)+MINUTE(INPUT_BirthData!$B$6)/60)&lt;6),(HOUR(INPUT_BirthData!$B$6)+MINUTE(INPUT_BirthData!$B$6)/60)+24-6,(HOUR(INPUT_BirthData!$B$6)+MINUTE(INPUT_BirthData!$B$6)/60)-6)),7)+1),60,0),0)</f>
        <v>0</v>
      </c>
      <c r="J11" s="863">
        <v>58.3</v>
      </c>
      <c r="K11" s="863">
        <f>IFERROR(MAX(0,MIN(60,IF(REF_ShadbalaData!$B$64="Uttarayana",30+30*DEGREES(ASIN(SIN(RADIANS(23.45))*SIN(RADIANS((CALC_PlanetLongitudes!$D$8+INPUT_BirthData!$B$20)))))/23.45,30-30*DEGREES(ASIN(SIN(RADIANS(23.45))*SIN(RADIANS((CALC_PlanetLongitudes!$D$8+INPUT_BirthData!$B$20)))))/23.45))),0)</f>
        <v>48.507629463482161</v>
      </c>
      <c r="L11" s="866">
        <f>IFERROR(IF(INDEX({"Sun","Moon","Mars","Mercury","Jupiter","Venus","Saturn"},6)=VLOOKUP(MOD(INT(INPUT_BirthData!$B$19+0.5)+1,7),REF_ShadbalaData!$A$30:$D$36,3,FALSE()),45,0),0)</f>
        <v>45</v>
      </c>
      <c r="M11" s="866">
        <f>IFERROR(IF(INDEX({"Sun","Moon","Mars","Mercury","Jupiter","Venus","Saturn"},6)=VLOOKUP(MATCH(CALC_PlanetPositions!$B$7,{"Aries","Taurus","Gemini","Cancer","Leo","Virgo","Libra","Scorpio","Sagittarius","Capricorn","Aquarius","Pisces"},0),REF_ShadbalaData!$A$40:$D$51,4,FALSE()),30,0),0)</f>
        <v>0</v>
      </c>
      <c r="N11" s="4">
        <f>IFERROR(IF(INDEX({"Sun","Moon","Mars","Mercury","Jupiter","Venus","Saturn"},6)=VLOOKUP(MOD(INT((1721139.5+365.2422*(YEAR(INPUT_BirthData!$B$5)-1900)+80)+0.5)+1,7),REF_ShadbalaData!$A$30:$D$36,3,FALSE()),15,0),0)</f>
        <v>0</v>
      </c>
      <c r="O11" s="867">
        <f>IFERROR(IF(ISNUMBER(SEARCH("Rx",CALC_PlanetPositions!$K$12)),60,30),30)</f>
        <v>30</v>
      </c>
      <c r="P11" s="4">
        <f>IFERROR(ROUND((IF(MOD(MATCH(CALC_PlanetPositions!$B$12,{"Aries","Taurus","Gemini","Cancer","Leo","Virgo","Libra","Scorpio","Sagittarius","Capricorn","Aquarius","Pisces"},0)-MATCH(CALC_PlanetPositions!$B$7,{"Aries","Taurus","Gemini","Cancer","Leo","Virgo","Libra","Scorpio","Sagittarius","Capricorn","Aquarius","Pisces"},0),12)+1=7,-45,0)+IF(MATCH(CALC_PlanetPositions!$B$12,{"Aries","Taurus","Gemini","Cancer","Leo","Virgo","Libra","Scorpio","Sagittarius","Capricorn","Aquarius","Pisces"},0)=MATCH(CALC_PlanetPositions!$B$7,{"Aries","Taurus","Gemini","Cancer","Leo","Virgo","Libra","Scorpio","Sagittarius","Capricorn","Aquarius","Pisces"},0),MAX(0,1-MIN(ABS(CALC_PlanetLongitudes!$D$13-CALC_PlanetLongitudes!$D$8),360-ABS(CALC_PlanetLongitudes!$D$13-CALC_PlanetLongitudes!$D$8))/30)*-45,0))+(IF(MOD(MATCH(CALC_PlanetPositions!$B$12,{"Aries","Taurus","Gemini","Cancer","Leo","Virgo","Libra","Scorpio","Sagittarius","Capricorn","Aquarius","Pisces"},0)-MATCH(CALC_PlanetPositions!$B$8,{"Aries","Taurus","Gemini","Cancer","Leo","Virgo","Libra","Scorpio","Sagittarius","Capricorn","Aquarius","Pisces"},0),12)+1=7,45,0)+IF(MATCH(CALC_PlanetPositions!$B$12,{"Aries","Taurus","Gemini","Cancer","Leo","Virgo","Libra","Scorpio","Sagittarius","Capricorn","Aquarius","Pisces"},0)=MATCH(CALC_PlanetPositions!$B$8,{"Aries","Taurus","Gemini","Cancer","Leo","Virgo","Libra","Scorpio","Sagittarius","Capricorn","Aquarius","Pisces"},0),MAX(0,1-MIN(ABS(CALC_PlanetLongitudes!$D$13-CALC_PlanetLongitudes!$D$9),360-ABS(CALC_PlanetLongitudes!$D$13-CALC_PlanetLongitudes!$D$9))/30)*45,0))+(IF(OR(MOD(MATCH(CALC_PlanetPositions!$B$12,{"Aries","Taurus","Gemini","Cancer","Leo","Virgo","Libra","Scorpio","Sagittarius","Capricorn","Aquarius","Pisces"},0)-MATCH(CALC_PlanetPositions!$B$9,{"Aries","Taurus","Gemini","Cancer","Leo","Virgo","Libra","Scorpio","Sagittarius","Capricorn","Aquarius","Pisces"},0),12)+1=4,MOD(MATCH(CALC_PlanetPositions!$B$12,{"Aries","Taurus","Gemini","Cancer","Leo","Virgo","Libra","Scorpio","Sagittarius","Capricorn","Aquarius","Pisces"},0)-MATCH(CALC_PlanetPositions!$B$9,{"Aries","Taurus","Gemini","Cancer","Leo","Virgo","Libra","Scorpio","Sagittarius","Capricorn","Aquarius","Pisces"},0),12)+1=7,MOD(MATCH(CALC_PlanetPositions!$B$12,{"Aries","Taurus","Gemini","Cancer","Leo","Virgo","Libra","Scorpio","Sagittarius","Capricorn","Aquarius","Pisces"},0)-MATCH(CALC_PlanetPositions!$B$9,{"Aries","Taurus","Gemini","Cancer","Leo","Virgo","Libra","Scorpio","Sagittarius","Capricorn","Aquarius","Pisces"},0),12)+1=8),-45,0)+IF(MATCH(CALC_PlanetPositions!$B$12,{"Aries","Taurus","Gemini","Cancer","Leo","Virgo","Libra","Scorpio","Sagittarius","Capricorn","Aquarius","Pisces"},0)=MATCH(CALC_PlanetPositions!$B$9,{"Aries","Taurus","Gemini","Cancer","Leo","Virgo","Libra","Scorpio","Sagittarius","Capricorn","Aquarius","Pisces"},0),MAX(0,1-MIN(ABS(CALC_PlanetLongitudes!$D$13-CALC_PlanetLongitudes!$D$10),360-ABS(CALC_PlanetLongitudes!$D$13-CALC_PlanetLongitudes!$D$10))/30)*-45,0))+(IF(MOD(MATCH(CALC_PlanetPositions!$B$12,{"Aries","Taurus","Gemini","Cancer","Leo","Virgo","Libra","Scorpio","Sagittarius","Capricorn","Aquarius","Pisces"},0)-MATCH(CALC_PlanetPositions!$B$10,{"Aries","Taurus","Gemini","Cancer","Leo","Virgo","Libra","Scorpio","Sagittarius","Capricorn","Aquarius","Pisces"},0),12)+1=7,22.5,0)+IF(MATCH(CALC_PlanetPositions!$B$12,{"Aries","Taurus","Gemini","Cancer","Leo","Virgo","Libra","Scorpio","Sagittarius","Capricorn","Aquarius","Pisces"},0)=MATCH(CALC_PlanetPositions!$B$10,{"Aries","Taurus","Gemini","Cancer","Leo","Virgo","Libra","Scorpio","Sagittarius","Capricorn","Aquarius","Pisces"},0),MAX(0,1-MIN(ABS(CALC_PlanetLongitudes!$D$13-CALC_PlanetLongitudes!$D$11),360-ABS(CALC_PlanetLongitudes!$D$13-CALC_PlanetLongitudes!$D$11))/30)*22.5,0))+(IF(OR(MOD(MATCH(CALC_PlanetPositions!$B$12,{"Aries","Taurus","Gemini","Cancer","Leo","Virgo","Libra","Scorpio","Sagittarius","Capricorn","Aquarius","Pisces"},0)-MATCH(CALC_PlanetPositions!$B$11,{"Aries","Taurus","Gemini","Cancer","Leo","Virgo","Libra","Scorpio","Sagittarius","Capricorn","Aquarius","Pisces"},0),12)+1=5,MOD(MATCH(CALC_PlanetPositions!$B$12,{"Aries","Taurus","Gemini","Cancer","Leo","Virgo","Libra","Scorpio","Sagittarius","Capricorn","Aquarius","Pisces"},0)-MATCH(CALC_PlanetPositions!$B$11,{"Aries","Taurus","Gemini","Cancer","Leo","Virgo","Libra","Scorpio","Sagittarius","Capricorn","Aquarius","Pisces"},0),12)+1=7,MOD(MATCH(CALC_PlanetPositions!$B$12,{"Aries","Taurus","Gemini","Cancer","Leo","Virgo","Libra","Scorpio","Sagittarius","Capricorn","Aquarius","Pisces"},0)-MATCH(CALC_PlanetPositions!$B$11,{"Aries","Taurus","Gemini","Cancer","Leo","Virgo","Libra","Scorpio","Sagittarius","Capricorn","Aquarius","Pisces"},0),12)+1=9),45,0)+IF(MATCH(CALC_PlanetPositions!$B$12,{"Aries","Taurus","Gemini","Cancer","Leo","Virgo","Libra","Scorpio","Sagittarius","Capricorn","Aquarius","Pisces"},0)=MATCH(CALC_PlanetPositions!$B$11,{"Aries","Taurus","Gemini","Cancer","Leo","Virgo","Libra","Scorpio","Sagittarius","Capricorn","Aquarius","Pisces"},0),MAX(0,1-MIN(ABS(CALC_PlanetLongitudes!$D$13-CALC_PlanetLongitudes!$D$12),360-ABS(CALC_PlanetLongitudes!$D$13-CALC_PlanetLongitudes!$D$12))/30)*45,0))+(IF(OR(MOD(MATCH(CALC_PlanetPositions!$B$12,{"Aries","Taurus","Gemini","Cancer","Leo","Virgo","Libra","Scorpio","Sagittarius","Capricorn","Aquarius","Pisces"},0)-MATCH(CALC_PlanetPositions!$B$13,{"Aries","Taurus","Gemini","Cancer","Leo","Virgo","Libra","Scorpio","Sagittarius","Capricorn","Aquarius","Pisces"},0),12)+1=3,MOD(MATCH(CALC_PlanetPositions!$B$12,{"Aries","Taurus","Gemini","Cancer","Leo","Virgo","Libra","Scorpio","Sagittarius","Capricorn","Aquarius","Pisces"},0)-MATCH(CALC_PlanetPositions!$B$13,{"Aries","Taurus","Gemini","Cancer","Leo","Virgo","Libra","Scorpio","Sagittarius","Capricorn","Aquarius","Pisces"},0),12)+1=7,MOD(MATCH(CALC_PlanetPositions!$B$12,{"Aries","Taurus","Gemini","Cancer","Leo","Virgo","Libra","Scorpio","Sagittarius","Capricorn","Aquarius","Pisces"},0)-MATCH(CALC_PlanetPositions!$B$13,{"Aries","Taurus","Gemini","Cancer","Leo","Virgo","Libra","Scorpio","Sagittarius","Capricorn","Aquarius","Pisces"},0),12)+1=10),-45,0)+IF(MATCH(CALC_PlanetPositions!$B$12,{"Aries","Taurus","Gemini","Cancer","Leo","Virgo","Libra","Scorpio","Sagittarius","Capricorn","Aquarius","Pisces"},0)=MATCH(CALC_PlanetPositions!$B$13,{"Aries","Taurus","Gemini","Cancer","Leo","Virgo","Libra","Scorpio","Sagittarius","Capricorn","Aquarius","Pisces"},0),MAX(0,1-MIN(ABS(CALC_PlanetLongitudes!$D$13-CALC_PlanetLongitudes!$D$14),360-ABS(CALC_PlanetLongitudes!$D$13-CALC_PlanetLongitudes!$D$14))/30)*-45,0)),1),0)</f>
        <v>-45.8</v>
      </c>
      <c r="Q11" s="4">
        <f>IFERROR(ROUND((IFERROR(IF(CALC_DivisionalMap!$B$10=INDEX(REF_Dignity!$C$4:$C$12,MATCH("Venus",REF_Dignity!$A$4:$A$12,0)),45,IF(ISNUMBER(SEARCH(CALC_DivisionalMap!$B$10,INDEX(REF_Dignity!$J$4:$J$12,MATCH("Venus",REF_Dignity!$A$4:$A$12,0)))),45,IF(INDEX(REF_NaisargikaFriendship!$C$5:$I$11,MATCH("Venus",REF_NaisargikaFriendship!$A$5:$A$11,0),MATCH(INDEX(REF_Zodiac!$D$7:$O$7,MATCH(CALC_DivisionalMap!$B$10,REF_Zodiac!$D$3:$O$3,0)),REF_NaisargikaFriendship!$C$4:$I$4,0))="Friend",30,IF(INDEX(REF_NaisargikaFriendship!$C$5:$I$11,MATCH("Venus",REF_NaisargikaFriendship!$A$5:$A$11,0),MATCH(INDEX(REF_Zodiac!$D$7:$O$7,MATCH(CALC_DivisionalMap!$B$10,REF_Zodiac!$D$3:$O$3,0)),REF_NaisargikaFriendship!$C$4:$I$4,0))="Enemy",15,IF(CALC_DivisionalMap!$B$10=INDEX(REF_Dignity!$F$4:$F$12,MATCH("Venus",REF_Dignity!$A$4:$A$12,0)),7.5,22.5))))),0)+IFERROR(IF(CALC_DivisionalMap!$J$10=INDEX(REF_Dignity!$C$4:$C$12,MATCH("Venus",REF_Dignity!$A$4:$A$12,0)),45,IF(ISNUMBER(SEARCH(CALC_DivisionalMap!$J$10,INDEX(REF_Dignity!$J$4:$J$12,MATCH("Venus",REF_Dignity!$A$4:$A$12,0)))),45,IF(INDEX(REF_NaisargikaFriendship!$C$5:$I$11,MATCH("Venus",REF_NaisargikaFriendship!$A$5:$A$11,0),MATCH(INDEX(REF_Zodiac!$D$7:$O$7,MATCH(CALC_DivisionalMap!$J$10,REF_Zodiac!$D$3:$O$3,0)),REF_NaisargikaFriendship!$C$4:$I$4,0))="Friend",30,IF(INDEX(REF_NaisargikaFriendship!$C$5:$I$11,MATCH("Venus",REF_NaisargikaFriendship!$A$5:$A$11,0),MATCH(INDEX(REF_Zodiac!$D$7:$O$7,MATCH(CALC_DivisionalMap!$J$10,REF_Zodiac!$D$3:$O$3,0)),REF_NaisargikaFriendship!$C$4:$I$4,0))="Enemy",15,IF(CALC_DivisionalMap!$J$10=INDEX(REF_Dignity!$F$4:$F$12,MATCH("Venus",REF_Dignity!$A$4:$A$12,0)),7.5,22.5))))),0)+IFERROR(IF(CALC_DivisionalMap!$F$10=INDEX(REF_Dignity!$C$4:$C$12,MATCH("Venus",REF_Dignity!$A$4:$A$12,0)),45,IF(ISNUMBER(SEARCH(CALC_DivisionalMap!$F$10,INDEX(REF_Dignity!$J$4:$J$12,MATCH("Venus",REF_Dignity!$A$4:$A$12,0)))),45,IF(INDEX(REF_NaisargikaFriendship!$C$5:$I$11,MATCH("Venus",REF_NaisargikaFriendship!$A$5:$A$11,0),MATCH(INDEX(REF_Zodiac!$D$7:$O$7,MATCH(CALC_DivisionalMap!$F$10,REF_Zodiac!$D$3:$O$3,0)),REF_NaisargikaFriendship!$C$4:$I$4,0))="Friend",30,IF(INDEX(REF_NaisargikaFriendship!$C$5:$I$11,MATCH("Venus",REF_NaisargikaFriendship!$A$5:$A$11,0),MATCH(INDEX(REF_Zodiac!$D$7:$O$7,MATCH(CALC_DivisionalMap!$F$10,REF_Zodiac!$D$3:$O$3,0)),REF_NaisargikaFriendship!$C$4:$I$4,0))="Enemy",15,IF(CALC_DivisionalMap!$F$10=INDEX(REF_Dignity!$F$4:$F$12,MATCH("Venus",REF_Dignity!$A$4:$A$12,0)),7.5,22.5))))),0)+IFERROR(IF(CALC_DivisionalMap!$G$10=INDEX(REF_Dignity!$C$4:$C$12,MATCH("Venus",REF_Dignity!$A$4:$A$12,0)),45,IF(ISNUMBER(SEARCH(CALC_DivisionalMap!$G$10,INDEX(REF_Dignity!$J$4:$J$12,MATCH("Venus",REF_Dignity!$A$4:$A$12,0)))),45,IF(INDEX(REF_NaisargikaFriendship!$C$5:$I$11,MATCH("Venus",REF_NaisargikaFriendship!$A$5:$A$11,0),MATCH(INDEX(REF_Zodiac!$D$7:$O$7,MATCH(CALC_DivisionalMap!$G$10,REF_Zodiac!$D$3:$O$3,0)),REF_NaisargikaFriendship!$C$4:$I$4,0))="Friend",30,IF(INDEX(REF_NaisargikaFriendship!$C$5:$I$11,MATCH("Venus",REF_NaisargikaFriendship!$A$5:$A$11,0),MATCH(INDEX(REF_Zodiac!$D$7:$O$7,MATCH(CALC_DivisionalMap!$G$10,REF_Zodiac!$D$3:$O$3,0)),REF_NaisargikaFriendship!$C$4:$I$4,0))="Enemy",15,IF(CALC_DivisionalMap!$G$10=INDEX(REF_Dignity!$F$4:$F$12,MATCH("Venus",REF_Dignity!$A$4:$A$12,0)),7.5,22.5))))),0)+IFERROR(IF(CALC_DivisionalMap!$D$10=INDEX(REF_Dignity!$C$4:$C$12,MATCH("Venus",REF_Dignity!$A$4:$A$12,0)),45,IF(ISNUMBER(SEARCH(CALC_DivisionalMap!$D$10,INDEX(REF_Dignity!$J$4:$J$12,MATCH("Venus",REF_Dignity!$A$4:$A$12,0)))),45,IF(INDEX(REF_NaisargikaFriendship!$C$5:$I$11,MATCH("Venus",REF_NaisargikaFriendship!$A$5:$A$11,0),MATCH(INDEX(REF_Zodiac!$D$7:$O$7,MATCH(CALC_DivisionalMap!$D$10,REF_Zodiac!$D$3:$O$3,0)),REF_NaisargikaFriendship!$C$4:$I$4,0))="Friend",30,IF(INDEX(REF_NaisargikaFriendship!$C$5:$I$11,MATCH("Venus",REF_NaisargikaFriendship!$A$5:$A$11,0),MATCH(INDEX(REF_Zodiac!$D$7:$O$7,MATCH(CALC_DivisionalMap!$D$10,REF_Zodiac!$D$3:$O$3,0)),REF_NaisargikaFriendship!$C$4:$I$4,0))="Enemy",15,IF(CALC_DivisionalMap!$D$10=INDEX(REF_Dignity!$F$4:$F$12,MATCH("Venus",REF_Dignity!$A$4:$A$12,0)),7.5,22.5))))),0)+IFERROR(IF(CALC_DivisionalMap!$H$10=INDEX(REF_Dignity!$C$4:$C$12,MATCH("Venus",REF_Dignity!$A$4:$A$12,0)),45,IF(ISNUMBER(SEARCH(CALC_DivisionalMap!$H$10,INDEX(REF_Dignity!$J$4:$J$12,MATCH("Venus",REF_Dignity!$A$4:$A$12,0)))),45,IF(INDEX(REF_NaisargikaFriendship!$C$5:$I$11,MATCH("Venus",REF_NaisargikaFriendship!$A$5:$A$11,0),MATCH(INDEX(REF_Zodiac!$D$7:$O$7,MATCH(CALC_DivisionalMap!$H$10,REF_Zodiac!$D$3:$O$3,0)),REF_NaisargikaFriendship!$C$4:$I$4,0))="Friend",30,IF(INDEX(REF_NaisargikaFriendship!$C$5:$I$11,MATCH("Venus",REF_NaisargikaFriendship!$A$5:$A$11,0),MATCH(INDEX(REF_Zodiac!$D$7:$O$7,MATCH(CALC_DivisionalMap!$H$10,REF_Zodiac!$D$3:$O$3,0)),REF_NaisargikaFriendship!$C$4:$I$4,0))="Enemy",15,IF(CALC_DivisionalMap!$H$10=INDEX(REF_Dignity!$F$4:$F$12,MATCH("Venus",REF_Dignity!$A$4:$A$12,0)),7.5,22.5))))),0)+IFERROR(IF(CALC_DivisionalMap!$K$10=INDEX(REF_Dignity!$C$4:$C$12,MATCH("Venus",REF_Dignity!$A$4:$A$12,0)),45,IF(ISNUMBER(SEARCH(CALC_DivisionalMap!$K$10,INDEX(REF_Dignity!$J$4:$J$12,MATCH("Venus",REF_Dignity!$A$4:$A$12,0)))),45,IF(INDEX(REF_NaisargikaFriendship!$C$5:$I$11,MATCH("Venus",REF_NaisargikaFriendship!$A$5:$A$11,0),MATCH(INDEX(REF_Zodiac!$D$7:$O$7,MATCH(CALC_DivisionalMap!$K$10,REF_Zodiac!$D$3:$O$3,0)),REF_NaisargikaFriendship!$C$4:$I$4,0))="Friend",30,IF(INDEX(REF_NaisargikaFriendship!$C$5:$I$11,MATCH("Venus",REF_NaisargikaFriendship!$A$5:$A$11,0),MATCH(INDEX(REF_Zodiac!$D$7:$O$7,MATCH(CALC_DivisionalMap!$K$10,REF_Zodiac!$D$3:$O$3,0)),REF_NaisargikaFriendship!$C$4:$I$4,0))="Enemy",15,IF(CALC_DivisionalMap!$K$10=INDEX(REF_Dignity!$F$4:$F$12,MATCH("Venus",REF_Dignity!$A$4:$A$12,0)),7.5,22.5))))),0))/7,1),0)</f>
        <v>30</v>
      </c>
      <c r="R11" s="862">
        <f t="shared" si="0"/>
        <v>378.14946279681544</v>
      </c>
      <c r="S11" s="4">
        <f>REF_ShadbalaData!$B$83</f>
        <v>330</v>
      </c>
      <c r="T11" s="4">
        <f t="shared" si="1"/>
        <v>114.6</v>
      </c>
      <c r="U11" s="4" t="str">
        <f t="shared" si="2"/>
        <v>✓ Strong</v>
      </c>
    </row>
    <row r="12" spans="1:21" ht="15.75" customHeight="1" x14ac:dyDescent="0.2">
      <c r="A12" s="546" t="s">
        <v>272</v>
      </c>
      <c r="B12" s="857">
        <f>IFERROR(ROUND(60*(1-MIN(ABS(CALC_PlanetLongitudes!$D$14-REF_ShadbalaData!$B$11),360-ABS(CALC_PlanetLongitudes!$D$14-REF_ShadbalaData!$B$11))/180),2),0)</f>
        <v>30.16</v>
      </c>
      <c r="C12" s="857">
        <f>IFERROR(IF(MOD(MOD(MATCH(CALC_PlanetPositions!$B$13,{"Aries","Taurus","Gemini","Cancer","Leo","Virgo","Libra","Scorpio","Sagittarius","Capricorn","Aquarius","Pisces"},0)-MATCH(CALC_PlanetPositions!$B$6,{"Aries","Taurus","Gemini","Cancer","Leo","Virgo","Libra","Scorpio","Sagittarius","Capricorn","Aquarius","Pisces"},0),12)+1-1,3)=0,60,IF(MOD(MOD(MATCH(CALC_PlanetPositions!$B$13,{"Aries","Taurus","Gemini","Cancer","Leo","Virgo","Libra","Scorpio","Sagittarius","Capricorn","Aquarius","Pisces"},0)-MATCH(CALC_PlanetPositions!$B$6,{"Aries","Taurus","Gemini","Cancer","Leo","Virgo","Libra","Scorpio","Sagittarius","Capricorn","Aquarius","Pisces"},0),12)+1-2,3)=0,30,15)),15)</f>
        <v>15</v>
      </c>
      <c r="D12" s="858" t="s">
        <v>3849</v>
      </c>
      <c r="E12" s="858">
        <f>IFERROR(CALC_DigBala!$G$10*60,0)</f>
        <v>19.8</v>
      </c>
      <c r="F12" s="859">
        <v>8.57</v>
      </c>
      <c r="G12" s="857">
        <f>IFERROR(MIN(60,IF(MOD(CALC_PlanetLongitudes!$D$9-CALC_PlanetLongitudes!$D$8,360)&lt;=180,(180-MOD(CALC_PlanetLongitudes!$D$9-CALC_PlanetLongitudes!$D$8,360))/3,(MOD(CALC_PlanetLongitudes!$D$9-CALC_PlanetLongitudes!$D$8,360)-180)/3)),0)</f>
        <v>51.99816666666667</v>
      </c>
      <c r="H12" s="857">
        <f>IFERROR(IF(AND(HOUR(INPUT_BirthData!$B$6)&gt;=2,HOUR(INPUT_BirthData!$B$6)&lt;6),60,0),0)</f>
        <v>0</v>
      </c>
      <c r="I12" s="857">
        <f>IFERROR(IF(INDEX({"Sun","Moon","Mars","Mercury","Jupiter","Venus","Saturn"},7)=INDEX({"Sun","Venus","Mercury","Moon","Saturn","Jupiter","Mars"},MOD(IF(((HOUR(INPUT_BirthData!$B$6)+MINUTE(INPUT_BirthData!$B$6)/60)&lt;6),INDEX({3,6,2,5,1,4,0},MOD(MOD(INT(INPUT_BirthData!$B$19+0.5)+1,7)-1+7,7)+1),INDEX({3,6,2,5,1,4,0},MOD(INT(INPUT_BirthData!$B$19+0.5)+1,7)+1))+INT(IF(((HOUR(INPUT_BirthData!$B$6)+MINUTE(INPUT_BirthData!$B$6)/60)&lt;6),(HOUR(INPUT_BirthData!$B$6)+MINUTE(INPUT_BirthData!$B$6)/60)+24-6,(HOUR(INPUT_BirthData!$B$6)+MINUTE(INPUT_BirthData!$B$6)/60)-6)),7)+1),60,0),0)</f>
        <v>0</v>
      </c>
      <c r="J12" s="857">
        <v>15.91</v>
      </c>
      <c r="K12" s="857">
        <f>IFERROR(MAX(0,MIN(60,IF(REF_ShadbalaData!$B$65="Uttarayana",30+30*DEGREES(ASIN(SIN(RADIANS(23.45))*SIN(RADIANS((CALC_PlanetLongitudes!$D$8+INPUT_BirthData!$B$20)))))/23.45,30-30*DEGREES(ASIN(SIN(RADIANS(23.45))*SIN(RADIANS((CALC_PlanetLongitudes!$D$8+INPUT_BirthData!$B$20)))))/23.45))),0)</f>
        <v>11.492370536517843</v>
      </c>
      <c r="L12" s="860">
        <f>IFERROR(IF(INDEX({"Sun","Moon","Mars","Mercury","Jupiter","Venus","Saturn"},7)=VLOOKUP(MOD(INT(INPUT_BirthData!$B$19+0.5)+1,7),REF_ShadbalaData!$A$30:$D$36,3,FALSE()),45,0),0)</f>
        <v>0</v>
      </c>
      <c r="M12" s="860">
        <f>IFERROR(IF(INDEX({"Sun","Moon","Mars","Mercury","Jupiter","Venus","Saturn"},7)=VLOOKUP(MATCH(CALC_PlanetPositions!$B$7,{"Aries","Taurus","Gemini","Cancer","Leo","Virgo","Libra","Scorpio","Sagittarius","Capricorn","Aquarius","Pisces"},0),REF_ShadbalaData!$A$40:$D$51,4,FALSE()),30,0),0)</f>
        <v>0</v>
      </c>
      <c r="N12" s="4">
        <f>IFERROR(IF(INDEX({"Sun","Moon","Mars","Mercury","Jupiter","Venus","Saturn"},7)=VLOOKUP(MOD(INT((1721139.5+365.2422*(YEAR(INPUT_BirthData!$B$5)-1900)+80)+0.5)+1,7),REF_ShadbalaData!$A$30:$D$36,3,FALSE()),15,0),0)</f>
        <v>0</v>
      </c>
      <c r="O12" s="861">
        <f>IFERROR(IF(ISNUMBER(SEARCH("Rx",CALC_PlanetPositions!$K$13)),60,30),30)</f>
        <v>30</v>
      </c>
      <c r="P12" s="4">
        <f>IFERROR(ROUND((IF(MOD(MATCH(CALC_PlanetPositions!$B$13,{"Aries","Taurus","Gemini","Cancer","Leo","Virgo","Libra","Scorpio","Sagittarius","Capricorn","Aquarius","Pisces"},0)-MATCH(CALC_PlanetPositions!$B$7,{"Aries","Taurus","Gemini","Cancer","Leo","Virgo","Libra","Scorpio","Sagittarius","Capricorn","Aquarius","Pisces"},0),12)+1=7,-45,0)+IF(MATCH(CALC_PlanetPositions!$B$13,{"Aries","Taurus","Gemini","Cancer","Leo","Virgo","Libra","Scorpio","Sagittarius","Capricorn","Aquarius","Pisces"},0)=MATCH(CALC_PlanetPositions!$B$7,{"Aries","Taurus","Gemini","Cancer","Leo","Virgo","Libra","Scorpio","Sagittarius","Capricorn","Aquarius","Pisces"},0),MAX(0,1-MIN(ABS(CALC_PlanetLongitudes!$D$14-CALC_PlanetLongitudes!$D$8),360-ABS(CALC_PlanetLongitudes!$D$14-CALC_PlanetLongitudes!$D$8))/30)*-45,0))+(IF(MOD(MATCH(CALC_PlanetPositions!$B$13,{"Aries","Taurus","Gemini","Cancer","Leo","Virgo","Libra","Scorpio","Sagittarius","Capricorn","Aquarius","Pisces"},0)-MATCH(CALC_PlanetPositions!$B$8,{"Aries","Taurus","Gemini","Cancer","Leo","Virgo","Libra","Scorpio","Sagittarius","Capricorn","Aquarius","Pisces"},0),12)+1=7,45,0)+IF(MATCH(CALC_PlanetPositions!$B$13,{"Aries","Taurus","Gemini","Cancer","Leo","Virgo","Libra","Scorpio","Sagittarius","Capricorn","Aquarius","Pisces"},0)=MATCH(CALC_PlanetPositions!$B$8,{"Aries","Taurus","Gemini","Cancer","Leo","Virgo","Libra","Scorpio","Sagittarius","Capricorn","Aquarius","Pisces"},0),MAX(0,1-MIN(ABS(CALC_PlanetLongitudes!$D$14-CALC_PlanetLongitudes!$D$9),360-ABS(CALC_PlanetLongitudes!$D$14-CALC_PlanetLongitudes!$D$9))/30)*45,0))+(IF(OR(MOD(MATCH(CALC_PlanetPositions!$B$13,{"Aries","Taurus","Gemini","Cancer","Leo","Virgo","Libra","Scorpio","Sagittarius","Capricorn","Aquarius","Pisces"},0)-MATCH(CALC_PlanetPositions!$B$9,{"Aries","Taurus","Gemini","Cancer","Leo","Virgo","Libra","Scorpio","Sagittarius","Capricorn","Aquarius","Pisces"},0),12)+1=4,MOD(MATCH(CALC_PlanetPositions!$B$13,{"Aries","Taurus","Gemini","Cancer","Leo","Virgo","Libra","Scorpio","Sagittarius","Capricorn","Aquarius","Pisces"},0)-MATCH(CALC_PlanetPositions!$B$9,{"Aries","Taurus","Gemini","Cancer","Leo","Virgo","Libra","Scorpio","Sagittarius","Capricorn","Aquarius","Pisces"},0),12)+1=7,MOD(MATCH(CALC_PlanetPositions!$B$13,{"Aries","Taurus","Gemini","Cancer","Leo","Virgo","Libra","Scorpio","Sagittarius","Capricorn","Aquarius","Pisces"},0)-MATCH(CALC_PlanetPositions!$B$9,{"Aries","Taurus","Gemini","Cancer","Leo","Virgo","Libra","Scorpio","Sagittarius","Capricorn","Aquarius","Pisces"},0),12)+1=8),-45,0)+IF(MATCH(CALC_PlanetPositions!$B$13,{"Aries","Taurus","Gemini","Cancer","Leo","Virgo","Libra","Scorpio","Sagittarius","Capricorn","Aquarius","Pisces"},0)=MATCH(CALC_PlanetPositions!$B$9,{"Aries","Taurus","Gemini","Cancer","Leo","Virgo","Libra","Scorpio","Sagittarius","Capricorn","Aquarius","Pisces"},0),MAX(0,1-MIN(ABS(CALC_PlanetLongitudes!$D$14-CALC_PlanetLongitudes!$D$10),360-ABS(CALC_PlanetLongitudes!$D$14-CALC_PlanetLongitudes!$D$10))/30)*-45,0))+(IF(MOD(MATCH(CALC_PlanetPositions!$B$13,{"Aries","Taurus","Gemini","Cancer","Leo","Virgo","Libra","Scorpio","Sagittarius","Capricorn","Aquarius","Pisces"},0)-MATCH(CALC_PlanetPositions!$B$10,{"Aries","Taurus","Gemini","Cancer","Leo","Virgo","Libra","Scorpio","Sagittarius","Capricorn","Aquarius","Pisces"},0),12)+1=7,22.5,0)+IF(MATCH(CALC_PlanetPositions!$B$13,{"Aries","Taurus","Gemini","Cancer","Leo","Virgo","Libra","Scorpio","Sagittarius","Capricorn","Aquarius","Pisces"},0)=MATCH(CALC_PlanetPositions!$B$10,{"Aries","Taurus","Gemini","Cancer","Leo","Virgo","Libra","Scorpio","Sagittarius","Capricorn","Aquarius","Pisces"},0),MAX(0,1-MIN(ABS(CALC_PlanetLongitudes!$D$14-CALC_PlanetLongitudes!$D$11),360-ABS(CALC_PlanetLongitudes!$D$14-CALC_PlanetLongitudes!$D$11))/30)*22.5,0))+(IF(OR(MOD(MATCH(CALC_PlanetPositions!$B$13,{"Aries","Taurus","Gemini","Cancer","Leo","Virgo","Libra","Scorpio","Sagittarius","Capricorn","Aquarius","Pisces"},0)-MATCH(CALC_PlanetPositions!$B$11,{"Aries","Taurus","Gemini","Cancer","Leo","Virgo","Libra","Scorpio","Sagittarius","Capricorn","Aquarius","Pisces"},0),12)+1=5,MOD(MATCH(CALC_PlanetPositions!$B$13,{"Aries","Taurus","Gemini","Cancer","Leo","Virgo","Libra","Scorpio","Sagittarius","Capricorn","Aquarius","Pisces"},0)-MATCH(CALC_PlanetPositions!$B$11,{"Aries","Taurus","Gemini","Cancer","Leo","Virgo","Libra","Scorpio","Sagittarius","Capricorn","Aquarius","Pisces"},0),12)+1=7,MOD(MATCH(CALC_PlanetPositions!$B$13,{"Aries","Taurus","Gemini","Cancer","Leo","Virgo","Libra","Scorpio","Sagittarius","Capricorn","Aquarius","Pisces"},0)-MATCH(CALC_PlanetPositions!$B$11,{"Aries","Taurus","Gemini","Cancer","Leo","Virgo","Libra","Scorpio","Sagittarius","Capricorn","Aquarius","Pisces"},0),12)+1=9),45,0)+IF(MATCH(CALC_PlanetPositions!$B$13,{"Aries","Taurus","Gemini","Cancer","Leo","Virgo","Libra","Scorpio","Sagittarius","Capricorn","Aquarius","Pisces"},0)=MATCH(CALC_PlanetPositions!$B$11,{"Aries","Taurus","Gemini","Cancer","Leo","Virgo","Libra","Scorpio","Sagittarius","Capricorn","Aquarius","Pisces"},0),MAX(0,1-MIN(ABS(CALC_PlanetLongitudes!$D$14-CALC_PlanetLongitudes!$D$12),360-ABS(CALC_PlanetLongitudes!$D$14-CALC_PlanetLongitudes!$D$12))/30)*45,0))+(IF(MOD(MATCH(CALC_PlanetPositions!$B$13,{"Aries","Taurus","Gemini","Cancer","Leo","Virgo","Libra","Scorpio","Sagittarius","Capricorn","Aquarius","Pisces"},0)-MATCH(CALC_PlanetPositions!$B$12,{"Aries","Taurus","Gemini","Cancer","Leo","Virgo","Libra","Scorpio","Sagittarius","Capricorn","Aquarius","Pisces"},0),12)+1=7,45,0)+IF(MATCH(CALC_PlanetPositions!$B$13,{"Aries","Taurus","Gemini","Cancer","Leo","Virgo","Libra","Scorpio","Sagittarius","Capricorn","Aquarius","Pisces"},0)=MATCH(CALC_PlanetPositions!$B$12,{"Aries","Taurus","Gemini","Cancer","Leo","Virgo","Libra","Scorpio","Sagittarius","Capricorn","Aquarius","Pisces"},0),MAX(0,1-MIN(ABS(CALC_PlanetLongitudes!$D$14-CALC_PlanetLongitudes!$D$13),360-ABS(CALC_PlanetLongitudes!$D$14-CALC_PlanetLongitudes!$D$13))/30)*45,0)),1),0)</f>
        <v>45.8</v>
      </c>
      <c r="Q12" s="4">
        <f>IFERROR(ROUND((IFERROR(IF(CALC_DivisionalMap!$B$11=INDEX(REF_Dignity!$C$4:$C$12,MATCH("Saturn",REF_Dignity!$A$4:$A$12,0)),45,IF(ISNUMBER(SEARCH(CALC_DivisionalMap!$B$11,INDEX(REF_Dignity!$J$4:$J$12,MATCH("Saturn",REF_Dignity!$A$4:$A$12,0)))),45,IF(INDEX(REF_NaisargikaFriendship!$C$5:$I$11,MATCH("Saturn",REF_NaisargikaFriendship!$A$5:$A$11,0),MATCH(INDEX(REF_Zodiac!$D$7:$O$7,MATCH(CALC_DivisionalMap!$B$11,REF_Zodiac!$D$3:$O$3,0)),REF_NaisargikaFriendship!$C$4:$I$4,0))="Friend",30,IF(INDEX(REF_NaisargikaFriendship!$C$5:$I$11,MATCH("Saturn",REF_NaisargikaFriendship!$A$5:$A$11,0),MATCH(INDEX(REF_Zodiac!$D$7:$O$7,MATCH(CALC_DivisionalMap!$B$11,REF_Zodiac!$D$3:$O$3,0)),REF_NaisargikaFriendship!$C$4:$I$4,0))="Enemy",15,IF(CALC_DivisionalMap!$B$11=INDEX(REF_Dignity!$F$4:$F$12,MATCH("Saturn",REF_Dignity!$A$4:$A$12,0)),7.5,22.5))))),0)+IFERROR(IF(CALC_DivisionalMap!$J$11=INDEX(REF_Dignity!$C$4:$C$12,MATCH("Saturn",REF_Dignity!$A$4:$A$12,0)),45,IF(ISNUMBER(SEARCH(CALC_DivisionalMap!$J$11,INDEX(REF_Dignity!$J$4:$J$12,MATCH("Saturn",REF_Dignity!$A$4:$A$12,0)))),45,IF(INDEX(REF_NaisargikaFriendship!$C$5:$I$11,MATCH("Saturn",REF_NaisargikaFriendship!$A$5:$A$11,0),MATCH(INDEX(REF_Zodiac!$D$7:$O$7,MATCH(CALC_DivisionalMap!$J$11,REF_Zodiac!$D$3:$O$3,0)),REF_NaisargikaFriendship!$C$4:$I$4,0))="Friend",30,IF(INDEX(REF_NaisargikaFriendship!$C$5:$I$11,MATCH("Saturn",REF_NaisargikaFriendship!$A$5:$A$11,0),MATCH(INDEX(REF_Zodiac!$D$7:$O$7,MATCH(CALC_DivisionalMap!$J$11,REF_Zodiac!$D$3:$O$3,0)),REF_NaisargikaFriendship!$C$4:$I$4,0))="Enemy",15,IF(CALC_DivisionalMap!$J$11=INDEX(REF_Dignity!$F$4:$F$12,MATCH("Saturn",REF_Dignity!$A$4:$A$12,0)),7.5,22.5))))),0)+IFERROR(IF(CALC_DivisionalMap!$F$11=INDEX(REF_Dignity!$C$4:$C$12,MATCH("Saturn",REF_Dignity!$A$4:$A$12,0)),45,IF(ISNUMBER(SEARCH(CALC_DivisionalMap!$F$11,INDEX(REF_Dignity!$J$4:$J$12,MATCH("Saturn",REF_Dignity!$A$4:$A$12,0)))),45,IF(INDEX(REF_NaisargikaFriendship!$C$5:$I$11,MATCH("Saturn",REF_NaisargikaFriendship!$A$5:$A$11,0),MATCH(INDEX(REF_Zodiac!$D$7:$O$7,MATCH(CALC_DivisionalMap!$F$11,REF_Zodiac!$D$3:$O$3,0)),REF_NaisargikaFriendship!$C$4:$I$4,0))="Friend",30,IF(INDEX(REF_NaisargikaFriendship!$C$5:$I$11,MATCH("Saturn",REF_NaisargikaFriendship!$A$5:$A$11,0),MATCH(INDEX(REF_Zodiac!$D$7:$O$7,MATCH(CALC_DivisionalMap!$F$11,REF_Zodiac!$D$3:$O$3,0)),REF_NaisargikaFriendship!$C$4:$I$4,0))="Enemy",15,IF(CALC_DivisionalMap!$F$11=INDEX(REF_Dignity!$F$4:$F$12,MATCH("Saturn",REF_Dignity!$A$4:$A$12,0)),7.5,22.5))))),0)+IFERROR(IF(CALC_DivisionalMap!$G$11=INDEX(REF_Dignity!$C$4:$C$12,MATCH("Saturn",REF_Dignity!$A$4:$A$12,0)),45,IF(ISNUMBER(SEARCH(CALC_DivisionalMap!$G$11,INDEX(REF_Dignity!$J$4:$J$12,MATCH("Saturn",REF_Dignity!$A$4:$A$12,0)))),45,IF(INDEX(REF_NaisargikaFriendship!$C$5:$I$11,MATCH("Saturn",REF_NaisargikaFriendship!$A$5:$A$11,0),MATCH(INDEX(REF_Zodiac!$D$7:$O$7,MATCH(CALC_DivisionalMap!$G$11,REF_Zodiac!$D$3:$O$3,0)),REF_NaisargikaFriendship!$C$4:$I$4,0))="Friend",30,IF(INDEX(REF_NaisargikaFriendship!$C$5:$I$11,MATCH("Saturn",REF_NaisargikaFriendship!$A$5:$A$11,0),MATCH(INDEX(REF_Zodiac!$D$7:$O$7,MATCH(CALC_DivisionalMap!$G$11,REF_Zodiac!$D$3:$O$3,0)),REF_NaisargikaFriendship!$C$4:$I$4,0))="Enemy",15,IF(CALC_DivisionalMap!$G$11=INDEX(REF_Dignity!$F$4:$F$12,MATCH("Saturn",REF_Dignity!$A$4:$A$12,0)),7.5,22.5))))),0)+IFERROR(IF(CALC_DivisionalMap!$D$11=INDEX(REF_Dignity!$C$4:$C$12,MATCH("Saturn",REF_Dignity!$A$4:$A$12,0)),45,IF(ISNUMBER(SEARCH(CALC_DivisionalMap!$D$11,INDEX(REF_Dignity!$J$4:$J$12,MATCH("Saturn",REF_Dignity!$A$4:$A$12,0)))),45,IF(INDEX(REF_NaisargikaFriendship!$C$5:$I$11,MATCH("Saturn",REF_NaisargikaFriendship!$A$5:$A$11,0),MATCH(INDEX(REF_Zodiac!$D$7:$O$7,MATCH(CALC_DivisionalMap!$D$11,REF_Zodiac!$D$3:$O$3,0)),REF_NaisargikaFriendship!$C$4:$I$4,0))="Friend",30,IF(INDEX(REF_NaisargikaFriendship!$C$5:$I$11,MATCH("Saturn",REF_NaisargikaFriendship!$A$5:$A$11,0),MATCH(INDEX(REF_Zodiac!$D$7:$O$7,MATCH(CALC_DivisionalMap!$D$11,REF_Zodiac!$D$3:$O$3,0)),REF_NaisargikaFriendship!$C$4:$I$4,0))="Enemy",15,IF(CALC_DivisionalMap!$D$11=INDEX(REF_Dignity!$F$4:$F$12,MATCH("Saturn",REF_Dignity!$A$4:$A$12,0)),7.5,22.5))))),0)+IFERROR(IF(CALC_DivisionalMap!$H$11=INDEX(REF_Dignity!$C$4:$C$12,MATCH("Saturn",REF_Dignity!$A$4:$A$12,0)),45,IF(ISNUMBER(SEARCH(CALC_DivisionalMap!$H$11,INDEX(REF_Dignity!$J$4:$J$12,MATCH("Saturn",REF_Dignity!$A$4:$A$12,0)))),45,IF(INDEX(REF_NaisargikaFriendship!$C$5:$I$11,MATCH("Saturn",REF_NaisargikaFriendship!$A$5:$A$11,0),MATCH(INDEX(REF_Zodiac!$D$7:$O$7,MATCH(CALC_DivisionalMap!$H$11,REF_Zodiac!$D$3:$O$3,0)),REF_NaisargikaFriendship!$C$4:$I$4,0))="Friend",30,IF(INDEX(REF_NaisargikaFriendship!$C$5:$I$11,MATCH("Saturn",REF_NaisargikaFriendship!$A$5:$A$11,0),MATCH(INDEX(REF_Zodiac!$D$7:$O$7,MATCH(CALC_DivisionalMap!$H$11,REF_Zodiac!$D$3:$O$3,0)),REF_NaisargikaFriendship!$C$4:$I$4,0))="Enemy",15,IF(CALC_DivisionalMap!$H$11=INDEX(REF_Dignity!$F$4:$F$12,MATCH("Saturn",REF_Dignity!$A$4:$A$12,0)),7.5,22.5))))),0)+IFERROR(IF(CALC_DivisionalMap!$K$11=INDEX(REF_Dignity!$C$4:$C$12,MATCH("Saturn",REF_Dignity!$A$4:$A$12,0)),45,IF(ISNUMBER(SEARCH(CALC_DivisionalMap!$K$11,INDEX(REF_Dignity!$J$4:$J$12,MATCH("Saturn",REF_Dignity!$A$4:$A$12,0)))),45,IF(INDEX(REF_NaisargikaFriendship!$C$5:$I$11,MATCH("Saturn",REF_NaisargikaFriendship!$A$5:$A$11,0),MATCH(INDEX(REF_Zodiac!$D$7:$O$7,MATCH(CALC_DivisionalMap!$K$11,REF_Zodiac!$D$3:$O$3,0)),REF_NaisargikaFriendship!$C$4:$I$4,0))="Friend",30,IF(INDEX(REF_NaisargikaFriendship!$C$5:$I$11,MATCH("Saturn",REF_NaisargikaFriendship!$A$5:$A$11,0),MATCH(INDEX(REF_Zodiac!$D$7:$O$7,MATCH(CALC_DivisionalMap!$K$11,REF_Zodiac!$D$3:$O$3,0)),REF_NaisargikaFriendship!$C$4:$I$4,0))="Enemy",15,IF(CALC_DivisionalMap!$K$11=INDEX(REF_Dignity!$F$4:$F$12,MATCH("Saturn",REF_Dignity!$A$4:$A$12,0)),7.5,22.5))))),0))/7,1),0)</f>
        <v>30</v>
      </c>
      <c r="R12" s="862">
        <f t="shared" si="0"/>
        <v>258.7305372031845</v>
      </c>
      <c r="S12" s="4">
        <f>REF_ShadbalaData!$B$84</f>
        <v>300</v>
      </c>
      <c r="T12" s="4">
        <f t="shared" si="1"/>
        <v>86.2</v>
      </c>
      <c r="U12" s="4" t="str">
        <f t="shared" si="2"/>
        <v>⚠ Weak</v>
      </c>
    </row>
    <row r="14" spans="1:21" ht="15.75" customHeight="1" x14ac:dyDescent="0.2">
      <c r="A14" s="1569" t="s">
        <v>3850</v>
      </c>
      <c r="B14" s="1569"/>
      <c r="C14" s="1569"/>
      <c r="D14" s="1569"/>
      <c r="E14" s="1569"/>
      <c r="F14" s="1569"/>
      <c r="G14" s="1569"/>
      <c r="H14" s="1569"/>
      <c r="I14" s="1569"/>
      <c r="J14" s="1569"/>
      <c r="K14" s="1569"/>
      <c r="L14" s="1569"/>
      <c r="M14" s="1569"/>
      <c r="N14" s="1569"/>
    </row>
    <row r="16" spans="1:21" ht="18" customHeight="1" x14ac:dyDescent="0.2">
      <c r="A16" s="1524" t="s">
        <v>3851</v>
      </c>
      <c r="B16" s="1524"/>
      <c r="C16" s="1524"/>
      <c r="D16" s="1524"/>
      <c r="E16" s="1524"/>
      <c r="F16" s="1524"/>
      <c r="G16" s="1524"/>
      <c r="H16" s="1524"/>
      <c r="I16" s="1524"/>
      <c r="J16" s="1524"/>
      <c r="K16" s="1524"/>
      <c r="L16" s="1524"/>
      <c r="M16" s="1524"/>
      <c r="N16" s="1524"/>
    </row>
    <row r="17" spans="1:14" ht="21.75" customHeight="1" x14ac:dyDescent="0.2">
      <c r="A17" s="842" t="s">
        <v>3852</v>
      </c>
      <c r="B17" s="1562" t="s">
        <v>3853</v>
      </c>
      <c r="C17" s="1562"/>
      <c r="D17" s="1562"/>
      <c r="E17" s="1562"/>
      <c r="F17" s="1562"/>
      <c r="G17" s="1562"/>
      <c r="H17" s="1562"/>
      <c r="I17" s="1562"/>
      <c r="J17" s="1562"/>
      <c r="K17" s="1562"/>
      <c r="L17" s="1562"/>
      <c r="M17" s="1562"/>
      <c r="N17" s="1562"/>
    </row>
    <row r="18" spans="1:14" ht="21.75" customHeight="1" x14ac:dyDescent="0.2">
      <c r="A18" s="843" t="s">
        <v>3854</v>
      </c>
      <c r="B18" s="1525" t="s">
        <v>3855</v>
      </c>
      <c r="C18" s="1525"/>
      <c r="D18" s="1525"/>
      <c r="E18" s="1525"/>
      <c r="F18" s="1525"/>
      <c r="G18" s="1525"/>
      <c r="H18" s="1525"/>
      <c r="I18" s="1525"/>
      <c r="J18" s="1525"/>
      <c r="K18" s="1525"/>
      <c r="L18" s="1525"/>
      <c r="M18" s="1525"/>
      <c r="N18" s="1525"/>
    </row>
    <row r="19" spans="1:14" ht="21.75" customHeight="1" x14ac:dyDescent="0.2">
      <c r="A19" s="842" t="s">
        <v>3856</v>
      </c>
      <c r="B19" s="1562" t="s">
        <v>3857</v>
      </c>
      <c r="C19" s="1562"/>
      <c r="D19" s="1562"/>
      <c r="E19" s="1562"/>
      <c r="F19" s="1562"/>
      <c r="G19" s="1562"/>
      <c r="H19" s="1562"/>
      <c r="I19" s="1562"/>
      <c r="J19" s="1562"/>
      <c r="K19" s="1562"/>
      <c r="L19" s="1562"/>
      <c r="M19" s="1562"/>
      <c r="N19" s="1562"/>
    </row>
    <row r="20" spans="1:14" ht="21.75" customHeight="1" x14ac:dyDescent="0.2">
      <c r="A20" s="843" t="s">
        <v>3858</v>
      </c>
      <c r="B20" s="1525" t="s">
        <v>3859</v>
      </c>
      <c r="C20" s="1525"/>
      <c r="D20" s="1525"/>
      <c r="E20" s="1525"/>
      <c r="F20" s="1525"/>
      <c r="G20" s="1525"/>
      <c r="H20" s="1525"/>
      <c r="I20" s="1525"/>
      <c r="J20" s="1525"/>
      <c r="K20" s="1525"/>
      <c r="L20" s="1525"/>
      <c r="M20" s="1525"/>
      <c r="N20" s="1525"/>
    </row>
    <row r="21" spans="1:14" ht="21.75" customHeight="1" x14ac:dyDescent="0.2">
      <c r="A21" s="842" t="s">
        <v>3860</v>
      </c>
      <c r="B21" s="1562" t="s">
        <v>3861</v>
      </c>
      <c r="C21" s="1562"/>
      <c r="D21" s="1562"/>
      <c r="E21" s="1562"/>
      <c r="F21" s="1562"/>
      <c r="G21" s="1562"/>
      <c r="H21" s="1562"/>
      <c r="I21" s="1562"/>
      <c r="J21" s="1562"/>
      <c r="K21" s="1562"/>
      <c r="L21" s="1562"/>
      <c r="M21" s="1562"/>
      <c r="N21" s="1562"/>
    </row>
    <row r="22" spans="1:14" ht="21.75" customHeight="1" x14ac:dyDescent="0.2">
      <c r="A22" s="843" t="s">
        <v>3862</v>
      </c>
      <c r="B22" s="1525" t="s">
        <v>3863</v>
      </c>
      <c r="C22" s="1525"/>
      <c r="D22" s="1525"/>
      <c r="E22" s="1525"/>
      <c r="F22" s="1525"/>
      <c r="G22" s="1525"/>
      <c r="H22" s="1525"/>
      <c r="I22" s="1525"/>
      <c r="J22" s="1525"/>
      <c r="K22" s="1525"/>
      <c r="L22" s="1525"/>
      <c r="M22" s="1525"/>
      <c r="N22" s="1525"/>
    </row>
    <row r="23" spans="1:14" ht="21.75" customHeight="1" x14ac:dyDescent="0.2">
      <c r="A23" s="842" t="s">
        <v>3864</v>
      </c>
      <c r="B23" s="1562" t="s">
        <v>3865</v>
      </c>
      <c r="C23" s="1562"/>
      <c r="D23" s="1562"/>
      <c r="E23" s="1562"/>
      <c r="F23" s="1562"/>
      <c r="G23" s="1562"/>
      <c r="H23" s="1562"/>
      <c r="I23" s="1562"/>
      <c r="J23" s="1562"/>
      <c r="K23" s="1562"/>
      <c r="L23" s="1562"/>
      <c r="M23" s="1562"/>
      <c r="N23" s="1562"/>
    </row>
    <row r="24" spans="1:14" ht="54.75" customHeight="1" x14ac:dyDescent="0.2">
      <c r="A24" s="562" t="s">
        <v>3866</v>
      </c>
      <c r="B24" s="1570" t="s">
        <v>3867</v>
      </c>
      <c r="C24" s="1570"/>
      <c r="D24" s="1570"/>
      <c r="E24" s="1570"/>
      <c r="F24" s="1570"/>
      <c r="G24" s="1570"/>
      <c r="H24" s="1570"/>
      <c r="I24" s="1570"/>
      <c r="J24" s="1570"/>
      <c r="K24" s="1570"/>
      <c r="L24" s="1570"/>
      <c r="M24" s="1570"/>
      <c r="N24" s="1570"/>
    </row>
    <row r="25" spans="1:14" ht="21.75" customHeight="1" x14ac:dyDescent="0.2">
      <c r="A25" s="842" t="s">
        <v>3868</v>
      </c>
      <c r="B25" s="1562" t="s">
        <v>3869</v>
      </c>
      <c r="C25" s="1562"/>
      <c r="D25" s="1562"/>
      <c r="E25" s="1562"/>
      <c r="F25" s="1562"/>
      <c r="G25" s="1562"/>
      <c r="H25" s="1562"/>
      <c r="I25" s="1562"/>
      <c r="J25" s="1562"/>
      <c r="K25" s="1562"/>
      <c r="L25" s="1562"/>
      <c r="M25" s="1562"/>
      <c r="N25" s="1562"/>
    </row>
    <row r="26" spans="1:14" ht="21.75" customHeight="1" x14ac:dyDescent="0.2">
      <c r="A26" s="843" t="s">
        <v>3870</v>
      </c>
      <c r="B26" s="1525" t="s">
        <v>3871</v>
      </c>
      <c r="C26" s="1525"/>
      <c r="D26" s="1525"/>
      <c r="E26" s="1525"/>
      <c r="F26" s="1525"/>
      <c r="G26" s="1525"/>
      <c r="H26" s="1525"/>
      <c r="I26" s="1525"/>
      <c r="J26" s="1525"/>
      <c r="K26" s="1525"/>
      <c r="L26" s="1525"/>
      <c r="M26" s="1525"/>
      <c r="N26" s="1525"/>
    </row>
  </sheetData>
  <mergeCells count="15">
    <mergeCell ref="B22:N22"/>
    <mergeCell ref="B23:N23"/>
    <mergeCell ref="B24:N24"/>
    <mergeCell ref="B25:N25"/>
    <mergeCell ref="B26:N26"/>
    <mergeCell ref="B17:N17"/>
    <mergeCell ref="B18:N18"/>
    <mergeCell ref="B19:N19"/>
    <mergeCell ref="B20:N20"/>
    <mergeCell ref="B21:N21"/>
    <mergeCell ref="A1:N1"/>
    <mergeCell ref="A2:N2"/>
    <mergeCell ref="A4:N4"/>
    <mergeCell ref="A14:N14"/>
    <mergeCell ref="A16:N16"/>
  </mergeCell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6A1B9A"/>
  </sheetPr>
  <dimension ref="A1:L12"/>
  <sheetViews>
    <sheetView zoomScaleNormal="100" workbookViewId="0"/>
  </sheetViews>
  <sheetFormatPr defaultColWidth="8.609375" defaultRowHeight="15" x14ac:dyDescent="0.2"/>
  <cols>
    <col min="1" max="2" width="13.98828125" customWidth="1"/>
    <col min="3" max="6" width="9.953125" customWidth="1"/>
    <col min="7" max="8" width="13.98828125" customWidth="1"/>
    <col min="9" max="9" width="36.05078125" customWidth="1"/>
    <col min="10" max="10" width="23.9453125" customWidth="1"/>
    <col min="11" max="11" width="16.0078125" customWidth="1"/>
  </cols>
  <sheetData>
    <row r="1" spans="1:12" ht="27.75" customHeight="1" x14ac:dyDescent="0.2">
      <c r="A1" s="1533" t="s">
        <v>3872</v>
      </c>
      <c r="B1" s="1533"/>
      <c r="C1" s="1533"/>
      <c r="D1" s="1533"/>
      <c r="E1" s="1533"/>
      <c r="F1" s="1533"/>
      <c r="G1" s="1533"/>
      <c r="H1" s="1533"/>
      <c r="I1" s="1533"/>
      <c r="L1" s="29" t="str">
        <f>HYPERLINK("#'00_INDEX'!A1","&lt;- Index")</f>
        <v>&lt;- Index</v>
      </c>
    </row>
    <row r="2" spans="1:12" ht="24" customHeight="1" x14ac:dyDescent="0.2">
      <c r="A2" s="1508" t="s">
        <v>3873</v>
      </c>
      <c r="B2" s="1508"/>
      <c r="C2" s="1508"/>
      <c r="D2" s="1508"/>
      <c r="E2" s="1508"/>
      <c r="F2" s="1508"/>
      <c r="G2" s="1508"/>
      <c r="H2" s="1508"/>
      <c r="I2" s="1508"/>
    </row>
    <row r="3" spans="1:12" ht="19.5" customHeight="1" x14ac:dyDescent="0.2">
      <c r="A3" s="87" t="s">
        <v>319</v>
      </c>
      <c r="B3" s="88" t="s">
        <v>3874</v>
      </c>
      <c r="C3" s="88" t="s">
        <v>3875</v>
      </c>
      <c r="D3" s="516" t="s">
        <v>3876</v>
      </c>
      <c r="E3" s="516" t="s">
        <v>3877</v>
      </c>
      <c r="F3" s="88" t="s">
        <v>3878</v>
      </c>
      <c r="G3" s="658" t="s">
        <v>3879</v>
      </c>
      <c r="H3" s="89" t="s">
        <v>3880</v>
      </c>
      <c r="I3" s="89" t="s">
        <v>2267</v>
      </c>
      <c r="J3" s="868" t="s">
        <v>3881</v>
      </c>
      <c r="K3" s="868" t="s">
        <v>3882</v>
      </c>
    </row>
    <row r="4" spans="1:12" ht="31.5" customHeight="1" x14ac:dyDescent="0.2">
      <c r="A4" s="90" t="s">
        <v>266</v>
      </c>
      <c r="B4" s="869" t="str">
        <f>IFERROR(INPUT_Gochar!$B$5,"← enter")</f>
        <v>Aquarius</v>
      </c>
      <c r="C4" s="870">
        <f>IFERROR(INPUT_Gochar!$C$5,0)</f>
        <v>9.3650000000000002</v>
      </c>
      <c r="D4" s="101">
        <f>IFERROR(MOD(MATCH(INPUT_Gochar!$B$5,{"Aries","Taurus","Gemini","Cancer","Leo","Virgo","Libra","Scorpio","Sagittarius","Capricorn","Aquarius","Pisces"},0)-MATCH(INPUT_Chart!$C$5,{"Aries","Taurus","Gemini","Cancer","Leo","Virgo","Libra","Scorpio","Sagittarius","Capricorn","Aquarius","Pisces"},0),12)+1,"—")</f>
        <v>10</v>
      </c>
      <c r="E4" s="101">
        <f>IFERROR(MOD(MATCH(INPUT_Gochar!$B$5,{"Aries","Taurus","Gemini","Cancer","Leo","Virgo","Libra","Scorpio","Sagittarius","Capricorn","Aquarius","Pisces"},0)-MATCH(CALC_PlanetPositions!$B$8,{"Aries","Taurus","Gemini","Cancer","Leo","Virgo","Libra","Scorpio","Sagittarius","Capricorn","Aquarius","Pisces"},0),12)+1,"—")</f>
        <v>8</v>
      </c>
      <c r="F4" s="871">
        <f>IFERROR(MOD(MATCH(INPUT_Gochar!$B$5,{"Aries","Taurus","Gemini","Cancer","Leo","Virgo","Libra","Scorpio","Sagittarius","Capricorn","Aquarius","Pisces"},0)-MATCH(CALC_PlanetPositions!$B$7,{"Aries","Taurus","Gemini","Cancer","Leo","Virgo","Libra","Scorpio","Sagittarius","Capricorn","Aquarius","Pisces"},0),12)+1,"—")</f>
        <v>8</v>
      </c>
      <c r="G4" s="872" t="str">
        <f>"·"</f>
        <v>·</v>
      </c>
      <c r="H4" s="873" t="s">
        <v>3883</v>
      </c>
      <c r="I4" s="677" t="s">
        <v>3884</v>
      </c>
      <c r="J4">
        <f>IFERROR(INDEX(CALC_Ashtakavarga!$B$6:$M$6,1,D4),0)</f>
        <v>5</v>
      </c>
      <c r="K4" t="str">
        <f t="shared" ref="K4:K10" si="0">IFERROR(IF(J4&gt;=5,"★★ Strong",IF(J4&gt;=3,"★ Moderate","⚠ Weak")),"—")</f>
        <v>★★ Strong</v>
      </c>
    </row>
    <row r="5" spans="1:12" ht="31.5" customHeight="1" x14ac:dyDescent="0.2">
      <c r="A5" s="94" t="s">
        <v>267</v>
      </c>
      <c r="B5" s="869" t="str">
        <f>IFERROR(INPUT_Gochar!$B$6,"← enter")</f>
        <v>Aquarius</v>
      </c>
      <c r="C5" s="870">
        <f>IFERROR(INPUT_Gochar!$C$6,0)</f>
        <v>17.310700000000001</v>
      </c>
      <c r="D5" s="101">
        <f>IFERROR(MOD(MATCH(INPUT_Gochar!$B$6,{"Aries","Taurus","Gemini","Cancer","Leo","Virgo","Libra","Scorpio","Sagittarius","Capricorn","Aquarius","Pisces"},0)-MATCH(INPUT_Chart!$C$5,{"Aries","Taurus","Gemini","Cancer","Leo","Virgo","Libra","Scorpio","Sagittarius","Capricorn","Aquarius","Pisces"},0),12)+1,"—")</f>
        <v>10</v>
      </c>
      <c r="E5" s="101">
        <f>IFERROR(MOD(MATCH(INPUT_Gochar!$B$6,{"Aries","Taurus","Gemini","Cancer","Leo","Virgo","Libra","Scorpio","Sagittarius","Capricorn","Aquarius","Pisces"},0)-MATCH(CALC_PlanetPositions!$B$8,{"Aries","Taurus","Gemini","Cancer","Leo","Virgo","Libra","Scorpio","Sagittarius","Capricorn","Aquarius","Pisces"},0),12)+1,"—")</f>
        <v>8</v>
      </c>
      <c r="F5" s="871">
        <f>IFERROR(MOD(MATCH(INPUT_Gochar!$B$6,{"Aries","Taurus","Gemini","Cancer","Leo","Virgo","Libra","Scorpio","Sagittarius","Capricorn","Aquarius","Pisces"},0)-MATCH(CALC_PlanetPositions!$B$7,{"Aries","Taurus","Gemini","Cancer","Leo","Virgo","Libra","Scorpio","Sagittarius","Capricorn","Aquarius","Pisces"},0),12)+1,"—")</f>
        <v>8</v>
      </c>
      <c r="G5" s="874" t="str">
        <f>"·"</f>
        <v>·</v>
      </c>
      <c r="H5" s="875" t="s">
        <v>3885</v>
      </c>
      <c r="I5" s="673" t="s">
        <v>3886</v>
      </c>
      <c r="J5">
        <f>IFERROR(INDEX(CALC_Ashtakavarga!$B$7:$M$7,1,D5),0)</f>
        <v>4</v>
      </c>
      <c r="K5" t="str">
        <f t="shared" si="0"/>
        <v>★ Moderate</v>
      </c>
    </row>
    <row r="6" spans="1:12" ht="31.5" customHeight="1" x14ac:dyDescent="0.2">
      <c r="A6" s="90" t="s">
        <v>268</v>
      </c>
      <c r="B6" s="869" t="str">
        <f>IFERROR(INPUT_Gochar!$B$7,"← enter")</f>
        <v>Aquarius</v>
      </c>
      <c r="C6" s="870">
        <f>IFERROR(INPUT_Gochar!$C$7,0)</f>
        <v>14.921900000000001</v>
      </c>
      <c r="D6" s="101">
        <f>IFERROR(MOD(MATCH(INPUT_Gochar!$B$7,{"Aries","Taurus","Gemini","Cancer","Leo","Virgo","Libra","Scorpio","Sagittarius","Capricorn","Aquarius","Pisces"},0)-MATCH(INPUT_Chart!$C$5,{"Aries","Taurus","Gemini","Cancer","Leo","Virgo","Libra","Scorpio","Sagittarius","Capricorn","Aquarius","Pisces"},0),12)+1,"—")</f>
        <v>10</v>
      </c>
      <c r="E6" s="101">
        <f>IFERROR(MOD(MATCH(INPUT_Gochar!$B$7,{"Aries","Taurus","Gemini","Cancer","Leo","Virgo","Libra","Scorpio","Sagittarius","Capricorn","Aquarius","Pisces"},0)-MATCH(CALC_PlanetPositions!$B$8,{"Aries","Taurus","Gemini","Cancer","Leo","Virgo","Libra","Scorpio","Sagittarius","Capricorn","Aquarius","Pisces"},0),12)+1,"—")</f>
        <v>8</v>
      </c>
      <c r="F6" s="871">
        <f>IFERROR(MOD(MATCH(INPUT_Gochar!$B$7,{"Aries","Taurus","Gemini","Cancer","Leo","Virgo","Libra","Scorpio","Sagittarius","Capricorn","Aquarius","Pisces"},0)-MATCH(CALC_PlanetPositions!$B$7,{"Aries","Taurus","Gemini","Cancer","Leo","Virgo","Libra","Scorpio","Sagittarius","Capricorn","Aquarius","Pisces"},0),12)+1,"—")</f>
        <v>8</v>
      </c>
      <c r="G6" s="872" t="str">
        <f>"·"</f>
        <v>·</v>
      </c>
      <c r="H6" s="873" t="s">
        <v>3887</v>
      </c>
      <c r="I6" s="677" t="s">
        <v>3888</v>
      </c>
      <c r="J6">
        <f>IFERROR(INDEX(CALC_Ashtakavarga!$B$8:$M$8,1,D6),0)</f>
        <v>3</v>
      </c>
      <c r="K6" t="str">
        <f t="shared" si="0"/>
        <v>★ Moderate</v>
      </c>
    </row>
    <row r="7" spans="1:12" ht="31.5" customHeight="1" x14ac:dyDescent="0.2">
      <c r="A7" s="94" t="s">
        <v>269</v>
      </c>
      <c r="B7" s="869" t="str">
        <f>IFERROR(INPUT_Gochar!$B$8,"← enter")</f>
        <v>Gemini</v>
      </c>
      <c r="C7" s="870">
        <f>IFERROR(INPUT_Gochar!$C$8,0)</f>
        <v>20.924399999999999</v>
      </c>
      <c r="D7" s="101">
        <f>IFERROR(MOD(MATCH(INPUT_Gochar!$B$8,{"Aries","Taurus","Gemini","Cancer","Leo","Virgo","Libra","Scorpio","Sagittarius","Capricorn","Aquarius","Pisces"},0)-MATCH(INPUT_Chart!$C$5,{"Aries","Taurus","Gemini","Cancer","Leo","Virgo","Libra","Scorpio","Sagittarius","Capricorn","Aquarius","Pisces"},0),12)+1,"—")</f>
        <v>2</v>
      </c>
      <c r="E7" s="101">
        <f>IFERROR(MOD(MATCH(INPUT_Gochar!$B$8,{"Aries","Taurus","Gemini","Cancer","Leo","Virgo","Libra","Scorpio","Sagittarius","Capricorn","Aquarius","Pisces"},0)-MATCH(CALC_PlanetPositions!$B$8,{"Aries","Taurus","Gemini","Cancer","Leo","Virgo","Libra","Scorpio","Sagittarius","Capricorn","Aquarius","Pisces"},0),12)+1,"—")</f>
        <v>12</v>
      </c>
      <c r="F7" s="871">
        <f>IFERROR(MOD(MATCH(INPUT_Gochar!$B$8,{"Aries","Taurus","Gemini","Cancer","Leo","Virgo","Libra","Scorpio","Sagittarius","Capricorn","Aquarius","Pisces"},0)-MATCH(CALC_PlanetPositions!$B$7,{"Aries","Taurus","Gemini","Cancer","Leo","Virgo","Libra","Scorpio","Sagittarius","Capricorn","Aquarius","Pisces"},0),12)+1,"—")</f>
        <v>12</v>
      </c>
      <c r="G7" s="874" t="str">
        <f>"·"</f>
        <v>·</v>
      </c>
      <c r="H7" s="875" t="s">
        <v>3889</v>
      </c>
      <c r="I7" s="673" t="s">
        <v>3890</v>
      </c>
      <c r="J7">
        <f>IFERROR(INDEX(CALC_Ashtakavarga!$B$9:$M$9,1,D7),0)</f>
        <v>4</v>
      </c>
      <c r="K7" t="str">
        <f t="shared" si="0"/>
        <v>★ Moderate</v>
      </c>
    </row>
    <row r="8" spans="1:12" ht="31.5" customHeight="1" x14ac:dyDescent="0.2">
      <c r="A8" s="90" t="s">
        <v>270</v>
      </c>
      <c r="B8" s="869" t="str">
        <f>IFERROR(INPUT_Gochar!$B$9,"← enter")</f>
        <v>Pisces</v>
      </c>
      <c r="C8" s="870">
        <f>IFERROR(INPUT_Gochar!$C$9,0)</f>
        <v>19.178999999999998</v>
      </c>
      <c r="D8" s="101">
        <f>IFERROR(MOD(MATCH(INPUT_Gochar!$B$9,{"Aries","Taurus","Gemini","Cancer","Leo","Virgo","Libra","Scorpio","Sagittarius","Capricorn","Aquarius","Pisces"},0)-MATCH(INPUT_Chart!$C$5,{"Aries","Taurus","Gemini","Cancer","Leo","Virgo","Libra","Scorpio","Sagittarius","Capricorn","Aquarius","Pisces"},0),12)+1,"—")</f>
        <v>11</v>
      </c>
      <c r="E8" s="101">
        <f>IFERROR(MOD(MATCH(INPUT_Gochar!$B$9,{"Aries","Taurus","Gemini","Cancer","Leo","Virgo","Libra","Scorpio","Sagittarius","Capricorn","Aquarius","Pisces"},0)-MATCH(CALC_PlanetPositions!$B$8,{"Aries","Taurus","Gemini","Cancer","Leo","Virgo","Libra","Scorpio","Sagittarius","Capricorn","Aquarius","Pisces"},0),12)+1,"—")</f>
        <v>9</v>
      </c>
      <c r="F8" s="871">
        <f>IFERROR(MOD(MATCH(INPUT_Gochar!$B$9,{"Aries","Taurus","Gemini","Cancer","Leo","Virgo","Libra","Scorpio","Sagittarius","Capricorn","Aquarius","Pisces"},0)-MATCH(CALC_PlanetPositions!$B$7,{"Aries","Taurus","Gemini","Cancer","Leo","Virgo","Libra","Scorpio","Sagittarius","Capricorn","Aquarius","Pisces"},0),12)+1,"—")</f>
        <v>9</v>
      </c>
      <c r="G8" s="872" t="str">
        <f>IFERROR(IF(OR(D8=1,D8=5,D8=9),"Trikona ✓",IF(OR(D8=2,D8=11),"Labha ✓","·")),"·")</f>
        <v>Labha ✓</v>
      </c>
      <c r="H8" s="873" t="s">
        <v>3891</v>
      </c>
      <c r="I8" s="677" t="s">
        <v>3892</v>
      </c>
      <c r="J8">
        <f>IFERROR(INDEX(CALC_Ashtakavarga!$B$10:$M$10,1,D8),0)</f>
        <v>6</v>
      </c>
      <c r="K8" t="str">
        <f t="shared" si="0"/>
        <v>★★ Strong</v>
      </c>
    </row>
    <row r="9" spans="1:12" ht="31.5" customHeight="1" x14ac:dyDescent="0.2">
      <c r="A9" s="94" t="s">
        <v>271</v>
      </c>
      <c r="B9" s="869" t="str">
        <f>IFERROR(INPUT_Gochar!$B$10,"← enter")</f>
        <v>Pisces</v>
      </c>
      <c r="C9" s="870">
        <f>IFERROR(INPUT_Gochar!$C$10,0)</f>
        <v>9.484</v>
      </c>
      <c r="D9" s="101">
        <f>IFERROR(MOD(MATCH(INPUT_Gochar!$B$10,{"Aries","Taurus","Gemini","Cancer","Leo","Virgo","Libra","Scorpio","Sagittarius","Capricorn","Aquarius","Pisces"},0)-MATCH(INPUT_Chart!$C$5,{"Aries","Taurus","Gemini","Cancer","Leo","Virgo","Libra","Scorpio","Sagittarius","Capricorn","Aquarius","Pisces"},0),12)+1,"—")</f>
        <v>11</v>
      </c>
      <c r="E9" s="101">
        <f>IFERROR(MOD(MATCH(INPUT_Gochar!$B$10,{"Aries","Taurus","Gemini","Cancer","Leo","Virgo","Libra","Scorpio","Sagittarius","Capricorn","Aquarius","Pisces"},0)-MATCH(CALC_PlanetPositions!$B$8,{"Aries","Taurus","Gemini","Cancer","Leo","Virgo","Libra","Scorpio","Sagittarius","Capricorn","Aquarius","Pisces"},0),12)+1,"—")</f>
        <v>9</v>
      </c>
      <c r="F9" s="871">
        <f>IFERROR(MOD(MATCH(INPUT_Gochar!$B$10,{"Aries","Taurus","Gemini","Cancer","Leo","Virgo","Libra","Scorpio","Sagittarius","Capricorn","Aquarius","Pisces"},0)-MATCH(CALC_PlanetPositions!$B$7,{"Aries","Taurus","Gemini","Cancer","Leo","Virgo","Libra","Scorpio","Sagittarius","Capricorn","Aquarius","Pisces"},0),12)+1,"—")</f>
        <v>9</v>
      </c>
      <c r="G9" s="874" t="str">
        <f>"·"</f>
        <v>·</v>
      </c>
      <c r="H9" s="875" t="s">
        <v>3893</v>
      </c>
      <c r="I9" s="673" t="s">
        <v>3894</v>
      </c>
      <c r="J9">
        <f>IFERROR(INDEX(CALC_Ashtakavarga!$B$11:$M$11,1,D9),0)</f>
        <v>5</v>
      </c>
      <c r="K9" t="str">
        <f t="shared" si="0"/>
        <v>★★ Strong</v>
      </c>
    </row>
    <row r="10" spans="1:12" ht="31.5" customHeight="1" x14ac:dyDescent="0.2">
      <c r="A10" s="90" t="s">
        <v>272</v>
      </c>
      <c r="B10" s="869" t="str">
        <f>IFERROR(INPUT_Gochar!$B$11,"← enter")</f>
        <v>Aquarius</v>
      </c>
      <c r="C10" s="870">
        <f>IFERROR(INPUT_Gochar!$C$11,0)</f>
        <v>13.963699999999999</v>
      </c>
      <c r="D10" s="101">
        <f>IFERROR(MOD(MATCH(INPUT_Gochar!$B$11,{"Aries","Taurus","Gemini","Cancer","Leo","Virgo","Libra","Scorpio","Sagittarius","Capricorn","Aquarius","Pisces"},0)-MATCH(INPUT_Chart!$C$5,{"Aries","Taurus","Gemini","Cancer","Leo","Virgo","Libra","Scorpio","Sagittarius","Capricorn","Aquarius","Pisces"},0),12)+1,"—")</f>
        <v>10</v>
      </c>
      <c r="E10" s="101">
        <f>IFERROR(MOD(MATCH(INPUT_Gochar!$B$11,{"Aries","Taurus","Gemini","Cancer","Leo","Virgo","Libra","Scorpio","Sagittarius","Capricorn","Aquarius","Pisces"},0)-MATCH(CALC_PlanetPositions!$B$8,{"Aries","Taurus","Gemini","Cancer","Leo","Virgo","Libra","Scorpio","Sagittarius","Capricorn","Aquarius","Pisces"},0),12)+1,"—")</f>
        <v>8</v>
      </c>
      <c r="F10" s="871">
        <f>IFERROR(MOD(MATCH(INPUT_Gochar!$B$11,{"Aries","Taurus","Gemini","Cancer","Leo","Virgo","Libra","Scorpio","Sagittarius","Capricorn","Aquarius","Pisces"},0)-MATCH(CALC_PlanetPositions!$B$7,{"Aries","Taurus","Gemini","Cancer","Leo","Virgo","Libra","Scorpio","Sagittarius","Capricorn","Aquarius","Pisces"},0),12)+1,"—")</f>
        <v>8</v>
      </c>
      <c r="G10" s="872" t="str">
        <f>IFERROR(IF(E10=12,"Sade Sati — Prep ⚠",IF(E10=1,"Sade Sati — PEAK ⚠⚠",IF(E10=2,"Sade Sati — Resolution ⚠",IF(E10=8,"Ashtama ⚠",IF(OR(E10=4,E10=7,E10=10),"Kantaka ⚠","·"))))),"·")</f>
        <v>Ashtama ⚠</v>
      </c>
      <c r="H10" s="873" t="s">
        <v>3895</v>
      </c>
      <c r="I10" s="677" t="s">
        <v>3896</v>
      </c>
      <c r="J10">
        <f>IFERROR(INDEX(CALC_Ashtakavarga!$B$12:$M$12,1,D10),0)</f>
        <v>4</v>
      </c>
      <c r="K10" t="str">
        <f t="shared" si="0"/>
        <v>★ Moderate</v>
      </c>
    </row>
    <row r="11" spans="1:12" ht="31.5" customHeight="1" x14ac:dyDescent="0.2">
      <c r="A11" s="94" t="s">
        <v>273</v>
      </c>
      <c r="B11" s="869" t="str">
        <f>IFERROR(INPUT_Gochar!$B$12,"← enter")</f>
        <v>Leo</v>
      </c>
      <c r="C11" s="870">
        <f>IFERROR(INPUT_Gochar!$C$12,0)</f>
        <v>13.963699999999999</v>
      </c>
      <c r="D11" s="101">
        <f>IFERROR(MOD(MATCH(INPUT_Gochar!$B$12,{"Aries","Taurus","Gemini","Cancer","Leo","Virgo","Libra","Scorpio","Sagittarius","Capricorn","Aquarius","Pisces"},0)-MATCH(INPUT_Chart!$C$5,{"Aries","Taurus","Gemini","Cancer","Leo","Virgo","Libra","Scorpio","Sagittarius","Capricorn","Aquarius","Pisces"},0),12)+1,"—")</f>
        <v>4</v>
      </c>
      <c r="E11" s="101">
        <f>IFERROR(MOD(MATCH(INPUT_Gochar!$B$12,{"Aries","Taurus","Gemini","Cancer","Leo","Virgo","Libra","Scorpio","Sagittarius","Capricorn","Aquarius","Pisces"},0)-MATCH(CALC_PlanetPositions!$B$8,{"Aries","Taurus","Gemini","Cancer","Leo","Virgo","Libra","Scorpio","Sagittarius","Capricorn","Aquarius","Pisces"},0),12)+1,"—")</f>
        <v>2</v>
      </c>
      <c r="F11" s="871">
        <f>IFERROR(MOD(MATCH(INPUT_Gochar!$B$12,{"Aries","Taurus","Gemini","Cancer","Leo","Virgo","Libra","Scorpio","Sagittarius","Capricorn","Aquarius","Pisces"},0)-MATCH(CALC_PlanetPositions!$B$7,{"Aries","Taurus","Gemini","Cancer","Leo","Virgo","Libra","Scorpio","Sagittarius","Capricorn","Aquarius","Pisces"},0),12)+1,"—")</f>
        <v>2</v>
      </c>
      <c r="G11" s="874" t="str">
        <f>IFERROR(IF(OR(D11=1,D11=4,D11=7,D11=10),"Kendra ⚠","·"),"·")</f>
        <v>Kendra ⚠</v>
      </c>
      <c r="H11" s="875" t="s">
        <v>3897</v>
      </c>
      <c r="I11" s="673" t="s">
        <v>3898</v>
      </c>
      <c r="J11" t="s">
        <v>3899</v>
      </c>
      <c r="K11" t="s">
        <v>3900</v>
      </c>
    </row>
    <row r="12" spans="1:12" ht="31.5" customHeight="1" x14ac:dyDescent="0.2">
      <c r="A12" s="90" t="s">
        <v>274</v>
      </c>
      <c r="B12" s="869">
        <f>IFERROR(INPUT_Gochar!$B$13,"← enter")</f>
        <v>0</v>
      </c>
      <c r="C12" s="870">
        <f>IFERROR(INPUT_Gochar!$C$13,0)</f>
        <v>0</v>
      </c>
      <c r="D12" s="101" t="str">
        <f>IFERROR(MOD(MATCH(INPUT_Gochar!$B$13,{"Aries","Taurus","Gemini","Cancer","Leo","Virgo","Libra","Scorpio","Sagittarius","Capricorn","Aquarius","Pisces"},0)-MATCH(INPUT_Chart!$C$5,{"Aries","Taurus","Gemini","Cancer","Leo","Virgo","Libra","Scorpio","Sagittarius","Capricorn","Aquarius","Pisces"},0),12)+1,"—")</f>
        <v>—</v>
      </c>
      <c r="E12" s="101" t="str">
        <f>IFERROR(MOD(MATCH(INPUT_Gochar!$B$13,{"Aries","Taurus","Gemini","Cancer","Leo","Virgo","Libra","Scorpio","Sagittarius","Capricorn","Aquarius","Pisces"},0)-MATCH(CALC_PlanetPositions!$B$8,{"Aries","Taurus","Gemini","Cancer","Leo","Virgo","Libra","Scorpio","Sagittarius","Capricorn","Aquarius","Pisces"},0),12)+1,"—")</f>
        <v>—</v>
      </c>
      <c r="F12" s="871" t="str">
        <f>IFERROR(MOD(MATCH(INPUT_Gochar!$B$13,{"Aries","Taurus","Gemini","Cancer","Leo","Virgo","Libra","Scorpio","Sagittarius","Capricorn","Aquarius","Pisces"},0)-MATCH(CALC_PlanetPositions!$B$7,{"Aries","Taurus","Gemini","Cancer","Leo","Virgo","Libra","Scorpio","Sagittarius","Capricorn","Aquarius","Pisces"},0),12)+1,"—")</f>
        <v>—</v>
      </c>
      <c r="G12" s="872" t="str">
        <f>IFERROR(IF(OR(D12=1,D12=4,D12=7,D12=10),"Kendra ⚠","·"),"·")</f>
        <v>·</v>
      </c>
      <c r="H12" s="873" t="s">
        <v>3901</v>
      </c>
      <c r="I12" s="677" t="s">
        <v>3902</v>
      </c>
      <c r="J12" t="s">
        <v>3899</v>
      </c>
      <c r="K12" t="s">
        <v>3900</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6A1B9A"/>
  </sheetPr>
  <dimension ref="A1:L13"/>
  <sheetViews>
    <sheetView zoomScaleNormal="100" workbookViewId="0"/>
  </sheetViews>
  <sheetFormatPr defaultColWidth="8.609375" defaultRowHeight="15" x14ac:dyDescent="0.2"/>
  <cols>
    <col min="1" max="2" width="13.98828125" customWidth="1"/>
    <col min="3" max="3" width="9.953125" customWidth="1"/>
    <col min="4" max="5" width="13.98828125" customWidth="1"/>
    <col min="6" max="6" width="11.97265625" customWidth="1"/>
    <col min="7" max="7" width="32.015625" customWidth="1"/>
  </cols>
  <sheetData>
    <row r="1" spans="1:12" ht="27.75" customHeight="1" x14ac:dyDescent="0.2">
      <c r="A1" s="1518" t="s">
        <v>3903</v>
      </c>
      <c r="B1" s="1518"/>
      <c r="C1" s="1518"/>
      <c r="D1" s="1518"/>
      <c r="E1" s="1518"/>
      <c r="F1" s="1518"/>
      <c r="G1" s="1518"/>
      <c r="L1" s="29" t="str">
        <f>HYPERLINK("#'00_INDEX'!A1","&lt;- Index")</f>
        <v>&lt;- Index</v>
      </c>
    </row>
    <row r="2" spans="1:12" ht="24" customHeight="1" x14ac:dyDescent="0.2">
      <c r="A2" s="1508" t="s">
        <v>3904</v>
      </c>
      <c r="B2" s="1508"/>
      <c r="C2" s="1508"/>
      <c r="D2" s="1508"/>
      <c r="E2" s="1508"/>
      <c r="F2" s="1508"/>
      <c r="G2" s="1508"/>
    </row>
    <row r="3" spans="1:12" ht="19.5" customHeight="1" x14ac:dyDescent="0.2">
      <c r="A3" s="87" t="s">
        <v>3905</v>
      </c>
      <c r="B3" s="516" t="s">
        <v>3906</v>
      </c>
      <c r="C3" s="516" t="s">
        <v>3907</v>
      </c>
      <c r="D3" s="537" t="s">
        <v>3908</v>
      </c>
      <c r="E3" s="658" t="s">
        <v>3909</v>
      </c>
      <c r="F3" s="89" t="s">
        <v>3910</v>
      </c>
      <c r="G3" s="89" t="s">
        <v>282</v>
      </c>
    </row>
    <row r="4" spans="1:12" ht="24" customHeight="1" x14ac:dyDescent="0.2">
      <c r="A4" s="90" t="s">
        <v>266</v>
      </c>
      <c r="B4" s="876" t="str">
        <f>IFERROR(CALC_PlanetPositions!$B$7,"—")</f>
        <v>Cancer</v>
      </c>
      <c r="C4" s="877">
        <f>IFERROR(CALC_PlanetPositions!$C$7,"—")</f>
        <v>27.989000000000004</v>
      </c>
      <c r="D4" s="496" t="str">
        <f>IFERROR(CALC_PlanetPositions!$H$7,"—")</f>
        <v>Pisces</v>
      </c>
      <c r="E4" s="872" t="str">
        <f>IFERROR(IF(CALC_PlanetPositions!$B$7=D4,"Vargottama ✓","·"),"—")</f>
        <v>·</v>
      </c>
      <c r="F4" s="878" t="str">
        <f>IFERROR(MOD(MATCH(D4,{"Aries","Taurus","Gemini","Cancer","Leo","Virgo","Libra","Scorpio","Sagittarius","Capricorn","Aquarius","Pisces"},0)-MATCH(D13,{"Aries","Taurus","Gemini","Cancer","Leo","Virgo","Libra","Scorpio","Sagittarius","Capricorn","Aquarius","Pisces"},0),12)+1,"—")</f>
        <v>—</v>
      </c>
      <c r="G4" s="540" t="s">
        <v>3911</v>
      </c>
    </row>
    <row r="5" spans="1:12" ht="24" customHeight="1" x14ac:dyDescent="0.2">
      <c r="A5" s="94" t="s">
        <v>267</v>
      </c>
      <c r="B5" s="879" t="str">
        <f>IFERROR(CALC_PlanetPositions!$B$8,"—")</f>
        <v>Cancer</v>
      </c>
      <c r="C5" s="880">
        <f>IFERROR(CALC_PlanetPositions!$C$8,"—")</f>
        <v>3.9835000000000065</v>
      </c>
      <c r="D5" s="496" t="str">
        <f>IFERROR(CALC_PlanetPositions!$H$8,"—")</f>
        <v>Leo</v>
      </c>
      <c r="E5" s="874" t="str">
        <f>IFERROR(IF(CALC_PlanetPositions!$B$8=D5,"Vargottama ✓","·"),"—")</f>
        <v>·</v>
      </c>
      <c r="F5" s="881" t="str">
        <f>IFERROR(MOD(MATCH(D5,{"Aries","Taurus","Gemini","Cancer","Leo","Virgo","Libra","Scorpio","Sagittarius","Capricorn","Aquarius","Pisces"},0)-MATCH(D13,{"Aries","Taurus","Gemini","Cancer","Leo","Virgo","Libra","Scorpio","Sagittarius","Capricorn","Aquarius","Pisces"},0),12)+1,"—")</f>
        <v>—</v>
      </c>
      <c r="G5" s="543" t="s">
        <v>3912</v>
      </c>
    </row>
    <row r="6" spans="1:12" ht="24" customHeight="1" x14ac:dyDescent="0.2">
      <c r="A6" s="90" t="s">
        <v>268</v>
      </c>
      <c r="B6" s="876" t="str">
        <f>IFERROR(CALC_PlanetPositions!$B$9,"—")</f>
        <v>Gemini</v>
      </c>
      <c r="C6" s="877">
        <f>IFERROR(CALC_PlanetPositions!$C$9,"—")</f>
        <v>7.4561999999999955</v>
      </c>
      <c r="D6" s="496" t="str">
        <f>IFERROR(CALC_PlanetPositions!$H$9,"—")</f>
        <v>Sagittarius</v>
      </c>
      <c r="E6" s="872" t="str">
        <f>IFERROR(IF(CALC_PlanetPositions!$B$9=D6,"Vargottama ✓","·"),"—")</f>
        <v>·</v>
      </c>
      <c r="F6" s="878" t="str">
        <f>IFERROR(MOD(MATCH(D6,{"Aries","Taurus","Gemini","Cancer","Leo","Virgo","Libra","Scorpio","Sagittarius","Capricorn","Aquarius","Pisces"},0)-MATCH(D13,{"Aries","Taurus","Gemini","Cancer","Leo","Virgo","Libra","Scorpio","Sagittarius","Capricorn","Aquarius","Pisces"},0),12)+1,"—")</f>
        <v>—</v>
      </c>
      <c r="G6" s="540" t="s">
        <v>3913</v>
      </c>
    </row>
    <row r="7" spans="1:12" ht="24" customHeight="1" x14ac:dyDescent="0.2">
      <c r="A7" s="94" t="s">
        <v>269</v>
      </c>
      <c r="B7" s="879" t="str">
        <f>IFERROR(CALC_PlanetPositions!$B$10,"—")</f>
        <v>Cancer</v>
      </c>
      <c r="C7" s="880">
        <f>IFERROR(CALC_PlanetPositions!$C$10,"—")</f>
        <v>13.674300000000002</v>
      </c>
      <c r="D7" s="496" t="str">
        <f>IFERROR(CALC_PlanetPositions!$H$10,"—")</f>
        <v>Scorpio</v>
      </c>
      <c r="E7" s="874" t="str">
        <f>IFERROR(IF(CALC_PlanetPositions!$B$10=D7,"Vargottama ✓","·"),"—")</f>
        <v>·</v>
      </c>
      <c r="F7" s="881" t="str">
        <f>IFERROR(MOD(MATCH(D7,{"Aries","Taurus","Gemini","Cancer","Leo","Virgo","Libra","Scorpio","Sagittarius","Capricorn","Aquarius","Pisces"},0)-MATCH(D13,{"Aries","Taurus","Gemini","Cancer","Leo","Virgo","Libra","Scorpio","Sagittarius","Capricorn","Aquarius","Pisces"},0),12)+1,"—")</f>
        <v>—</v>
      </c>
      <c r="G7" s="543" t="s">
        <v>3914</v>
      </c>
    </row>
    <row r="8" spans="1:12" ht="24" customHeight="1" x14ac:dyDescent="0.2">
      <c r="A8" s="90" t="s">
        <v>270</v>
      </c>
      <c r="B8" s="876" t="str">
        <f>IFERROR(CALC_PlanetPositions!$B$11,"—")</f>
        <v>Libra</v>
      </c>
      <c r="C8" s="877">
        <f>IFERROR(CALC_PlanetPositions!$C$11,"—")</f>
        <v>25.877700000000004</v>
      </c>
      <c r="D8" s="496" t="str">
        <f>IFERROR(CALC_PlanetPositions!$H$11,"—")</f>
        <v>Taurus</v>
      </c>
      <c r="E8" s="872" t="str">
        <f>IFERROR(IF(CALC_PlanetPositions!$B$11=D8,"Vargottama ✓","·"),"—")</f>
        <v>·</v>
      </c>
      <c r="F8" s="878" t="str">
        <f>IFERROR(MOD(MATCH(D8,{"Aries","Taurus","Gemini","Cancer","Leo","Virgo","Libra","Scorpio","Sagittarius","Capricorn","Aquarius","Pisces"},0)-MATCH(D13,{"Aries","Taurus","Gemini","Cancer","Leo","Virgo","Libra","Scorpio","Sagittarius","Capricorn","Aquarius","Pisces"},0),12)+1,"—")</f>
        <v>—</v>
      </c>
      <c r="G8" s="540" t="s">
        <v>3915</v>
      </c>
    </row>
    <row r="9" spans="1:12" ht="24" customHeight="1" x14ac:dyDescent="0.2">
      <c r="A9" s="94" t="s">
        <v>271</v>
      </c>
      <c r="B9" s="879" t="str">
        <f>IFERROR(CALC_PlanetPositions!$B$12,"—")</f>
        <v>Cancer</v>
      </c>
      <c r="C9" s="880">
        <f>IFERROR(CALC_PlanetPositions!$C$12,"—")</f>
        <v>22.561199999999999</v>
      </c>
      <c r="D9" s="496" t="str">
        <f>IFERROR(CALC_PlanetPositions!$H$12,"—")</f>
        <v>Capricorn</v>
      </c>
      <c r="E9" s="874" t="str">
        <f>IFERROR(IF(CALC_PlanetPositions!$B$12=D9,"Vargottama ✓","·"),"—")</f>
        <v>·</v>
      </c>
      <c r="F9" s="881" t="str">
        <f>IFERROR(MOD(MATCH(D9,{"Aries","Taurus","Gemini","Cancer","Leo","Virgo","Libra","Scorpio","Sagittarius","Capricorn","Aquarius","Pisces"},0)-MATCH(D13,{"Aries","Taurus","Gemini","Cancer","Leo","Virgo","Libra","Scorpio","Sagittarius","Capricorn","Aquarius","Pisces"},0),12)+1,"—")</f>
        <v>—</v>
      </c>
      <c r="G9" s="543" t="s">
        <v>3916</v>
      </c>
    </row>
    <row r="10" spans="1:12" ht="24" customHeight="1" x14ac:dyDescent="0.2">
      <c r="A10" s="90" t="s">
        <v>272</v>
      </c>
      <c r="B10" s="876" t="str">
        <f>IFERROR(CALC_PlanetPositions!$B$13,"—")</f>
        <v>Cancer</v>
      </c>
      <c r="C10" s="877">
        <f>IFERROR(CALC_PlanetPositions!$C$13,"—")</f>
        <v>20.472999999999999</v>
      </c>
      <c r="D10" s="496" t="str">
        <f>IFERROR(CALC_PlanetPositions!$H$13,"—")</f>
        <v>Capricorn</v>
      </c>
      <c r="E10" s="872" t="str">
        <f>IFERROR(IF(CALC_PlanetPositions!$B$13=D10,"Vargottama ✓","·"),"—")</f>
        <v>·</v>
      </c>
      <c r="F10" s="878" t="str">
        <f>IFERROR(MOD(MATCH(D10,{"Aries","Taurus","Gemini","Cancer","Leo","Virgo","Libra","Scorpio","Sagittarius","Capricorn","Aquarius","Pisces"},0)-MATCH(D13,{"Aries","Taurus","Gemini","Cancer","Leo","Virgo","Libra","Scorpio","Sagittarius","Capricorn","Aquarius","Pisces"},0),12)+1,"—")</f>
        <v>—</v>
      </c>
      <c r="G10" s="540" t="s">
        <v>3917</v>
      </c>
    </row>
    <row r="11" spans="1:12" ht="24" customHeight="1" x14ac:dyDescent="0.2">
      <c r="A11" s="94" t="s">
        <v>273</v>
      </c>
      <c r="B11" s="879" t="str">
        <f>IFERROR(CALC_PlanetPositions!$B$14,"—")</f>
        <v>Taurus</v>
      </c>
      <c r="C11" s="880">
        <f>IFERROR(CALC_PlanetPositions!$C$14,"—")</f>
        <v>5.0696999999999974</v>
      </c>
      <c r="D11" s="496" t="str">
        <f>IFERROR(CALC_PlanetPositions!$H$14,"—")</f>
        <v>Aquarius</v>
      </c>
      <c r="E11" s="874" t="str">
        <f>IFERROR(IF(CALC_PlanetPositions!$B$14=D11,"Vargottama ✓","·"),"—")</f>
        <v>·</v>
      </c>
      <c r="F11" s="881" t="str">
        <f>IFERROR(MOD(MATCH(D11,{"Aries","Taurus","Gemini","Cancer","Leo","Virgo","Libra","Scorpio","Sagittarius","Capricorn","Aquarius","Pisces"},0)-MATCH(D13,{"Aries","Taurus","Gemini","Cancer","Leo","Virgo","Libra","Scorpio","Sagittarius","Capricorn","Aquarius","Pisces"},0),12)+1,"—")</f>
        <v>—</v>
      </c>
      <c r="G11" s="543" t="s">
        <v>3918</v>
      </c>
    </row>
    <row r="12" spans="1:12" ht="24" customHeight="1" x14ac:dyDescent="0.2">
      <c r="A12" s="90" t="s">
        <v>274</v>
      </c>
      <c r="B12" s="876" t="str">
        <f>IFERROR(CALC_PlanetPositions!$B$15,"—")</f>
        <v>Scorpio</v>
      </c>
      <c r="C12" s="877">
        <f>IFERROR(CALC_PlanetPositions!$C$15,"—")</f>
        <v>5.0697000000000116</v>
      </c>
      <c r="D12" s="496" t="str">
        <f>IFERROR(CALC_PlanetPositions!$H$15,"—")</f>
        <v>Leo</v>
      </c>
      <c r="E12" s="872" t="str">
        <f>IFERROR(IF(CALC_PlanetPositions!$B$15=D12,"Vargottama ✓","·"),"—")</f>
        <v>·</v>
      </c>
      <c r="F12" s="878" t="str">
        <f>IFERROR(MOD(MATCH(D12,{"Aries","Taurus","Gemini","Cancer","Leo","Virgo","Libra","Scorpio","Sagittarius","Capricorn","Aquarius","Pisces"},0)-MATCH(D13,{"Aries","Taurus","Gemini","Cancer","Leo","Virgo","Libra","Scorpio","Sagittarius","Capricorn","Aquarius","Pisces"},0),12)+1,"—")</f>
        <v>—</v>
      </c>
      <c r="G12" s="540" t="s">
        <v>3919</v>
      </c>
    </row>
    <row r="13" spans="1:12" ht="24" customHeight="1" x14ac:dyDescent="0.2">
      <c r="A13" s="94" t="s">
        <v>265</v>
      </c>
      <c r="B13" s="879" t="str">
        <f>IFERROR(INPUT_Chart!$C$5,"—")</f>
        <v>Taurus</v>
      </c>
      <c r="C13" s="880">
        <f>IFERROR(INPUT_Chart!$D$5,"—")</f>
        <v>7.7286000000000001</v>
      </c>
      <c r="D13" s="496" t="str">
        <f>IFERROR(CHOOSE(CALC_PlanetPositions!$G$6,INDEX(REF_Nakshatra!$P$6:$P$32,MATCH(CALC_PlanetPositions!$F$6,REF_Nakshatra!$A$6:$A$32,0)),INDEX(REF_Nakshatra!$S$6:$S$32,MATCH(CALC_PlanetPositions!$F$6,REF_Nakshatra!$A$6:$A$32,0)),INDEX(REF_Nakshatra!$V$6:$V$32,MATCH(CALC_PlanetPositions!$F$6,REF_Nakshatra!$A$6:$A$32,0)),INDEX(REF_Nakshatra!$Y$6:$Y$32,MATCH(CALC_PlanetPositions!$F$6,REF_Nakshatra!$A$6:$A$32,0))),"—")</f>
        <v>—</v>
      </c>
      <c r="E13" s="874" t="str">
        <f>IFERROR(IF(INPUT_Chart!$C$5=D13,"Vargottama ✓","·"),"—")</f>
        <v>·</v>
      </c>
      <c r="F13" s="881" t="str">
        <f>IFERROR(MOD(MATCH(D13,{"Aries","Taurus","Gemini","Cancer","Leo","Virgo","Libra","Scorpio","Sagittarius","Capricorn","Aquarius","Pisces"},0)-MATCH(D13,{"Aries","Taurus","Gemini","Cancer","Leo","Virgo","Libra","Scorpio","Sagittarius","Capricorn","Aquarius","Pisces"},0),12)+1,"—")</f>
        <v>—</v>
      </c>
      <c r="G13" s="543" t="s">
        <v>3920</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6A1B9A"/>
  </sheetPr>
  <dimension ref="A1:S13"/>
  <sheetViews>
    <sheetView zoomScaleNormal="100" workbookViewId="0"/>
  </sheetViews>
  <sheetFormatPr defaultColWidth="8.609375" defaultRowHeight="15" x14ac:dyDescent="0.2"/>
  <cols>
    <col min="1" max="1" width="13.98828125" customWidth="1"/>
    <col min="2" max="11" width="11.97265625" customWidth="1"/>
  </cols>
  <sheetData>
    <row r="1" spans="1:19" ht="27.75" customHeight="1" x14ac:dyDescent="0.2">
      <c r="A1" s="1571" t="s">
        <v>3921</v>
      </c>
      <c r="B1" s="1571"/>
      <c r="C1" s="1571"/>
      <c r="D1" s="1571"/>
      <c r="E1" s="1571"/>
      <c r="F1" s="1571"/>
      <c r="G1" s="1571"/>
      <c r="H1" s="1571"/>
      <c r="I1" s="1571"/>
      <c r="J1" s="1571"/>
      <c r="L1" s="29" t="str">
        <f>HYPERLINK("#'00_INDEX'!A1","&lt;- Index")</f>
        <v>&lt;- Index</v>
      </c>
    </row>
    <row r="2" spans="1:19" ht="21.75" customHeight="1" x14ac:dyDescent="0.2">
      <c r="A2" s="1572" t="s">
        <v>3922</v>
      </c>
      <c r="B2" s="1572"/>
      <c r="C2" s="1572"/>
      <c r="D2" s="1572"/>
      <c r="E2" s="1572"/>
      <c r="F2" s="1572"/>
      <c r="G2" s="1572"/>
      <c r="H2" s="1572"/>
      <c r="I2" s="1572"/>
      <c r="J2" s="1572"/>
    </row>
    <row r="3" spans="1:19" ht="19.5" customHeight="1" x14ac:dyDescent="0.2">
      <c r="A3" s="87" t="s">
        <v>319</v>
      </c>
      <c r="B3" s="516" t="s">
        <v>3906</v>
      </c>
      <c r="C3" s="516" t="s">
        <v>3923</v>
      </c>
      <c r="D3" s="517" t="s">
        <v>3908</v>
      </c>
      <c r="E3" s="658" t="s">
        <v>3924</v>
      </c>
      <c r="F3" s="658" t="s">
        <v>3925</v>
      </c>
      <c r="G3" s="516" t="s">
        <v>3926</v>
      </c>
      <c r="H3" s="89" t="s">
        <v>3927</v>
      </c>
      <c r="I3" s="517" t="s">
        <v>3928</v>
      </c>
      <c r="J3" s="642" t="s">
        <v>3929</v>
      </c>
      <c r="K3" s="882" t="s">
        <v>3930</v>
      </c>
      <c r="L3" s="883" t="s">
        <v>3931</v>
      </c>
      <c r="M3" s="883" t="s">
        <v>3932</v>
      </c>
      <c r="N3" s="883" t="s">
        <v>3933</v>
      </c>
      <c r="O3" s="883" t="s">
        <v>3934</v>
      </c>
      <c r="P3" s="883" t="s">
        <v>3935</v>
      </c>
      <c r="Q3" s="883" t="s">
        <v>3936</v>
      </c>
      <c r="R3" s="883" t="s">
        <v>3937</v>
      </c>
      <c r="S3" s="883" t="s">
        <v>3938</v>
      </c>
    </row>
    <row r="4" spans="1:19" ht="21.75" customHeight="1" x14ac:dyDescent="0.2">
      <c r="A4" s="90" t="s">
        <v>265</v>
      </c>
      <c r="B4" s="876" t="str">
        <f>IFERROR(INPUT_Chart!$C$5,"—")</f>
        <v>Taurus</v>
      </c>
      <c r="C4" s="877">
        <f>IFERROR(INPUT_Chart!$D$5,"—")</f>
        <v>7.7286000000000001</v>
      </c>
      <c r="D4" s="340" t="str">
        <f>IFERROR(INDEX({"Aries","Taurus","Gemini","Cancer","Leo","Virgo","Libra","Scorpio","Sagittarius","Capricorn","Aquarius","Pisces"},MOD(CHOOSE(MATCH(INPUT_Chart!$C$5,{"Aries","Taurus","Gemini","Cancer","Leo","Virgo","Libra","Scorpio","Sagittarius","Capricorn","Aquarius","Pisces"},0),0,9,6,3,0,9,6,3,0,9,6,3)+INT(INPUT_Chart!$D$5/3.3333),12)+1),"—")</f>
        <v>Pisces</v>
      </c>
      <c r="E4" s="884" t="str">
        <f>IFERROR(INDEX({"Aries","Taurus","Gemini","Cancer","Leo","Virgo","Libra","Scorpio","Sagittarius","Capricorn","Aquarius","Pisces"},MOD(IF(MOD(MATCH(INPUT_Chart!$C$5,{"Aries","Taurus","Gemini","Cancer","Leo","Virgo","Libra","Scorpio","Sagittarius","Capricorn","Aquarius","Pisces"},0),2)=1,0,9)+MATCH(INPUT_Chart!$C$5,{"Aries","Taurus","Gemini","Cancer","Leo","Virgo","Libra","Scorpio","Sagittarius","Capricorn","Aquarius","Pisces"},0)-1+INT(INPUT_Chart!$D$5/3),12)+1),"—")</f>
        <v>Aries</v>
      </c>
      <c r="F4" s="317" t="str">
        <f>IFERROR(INDEX({"Aries","Taurus","Gemini","Cancer","Leo","Virgo","Libra","Scorpio","Sagittarius","Capricorn","Aquarius","Pisces"},MOD((MATCH(INPUT_Chart!$C$5,{"Aries","Taurus","Gemini","Cancer","Leo","Virgo","Libra","Scorpio","Sagittarius","Capricorn","Aquarius","Pisces"},0)-1)*3+INT(INPUT_Chart!$D$5/10),12)+1),"—")</f>
        <v>Cancer</v>
      </c>
      <c r="G4" s="337" t="str">
        <f>IFERROR(INDEX({"Aries","Taurus","Gemini","Cancer","Leo","Virgo","Libra","Scorpio","Sagittarius","Capricorn","Aquarius","Pisces"},MOD((MATCH(INPUT_Chart!$C$5,{"Aries","Taurus","Gemini","Cancer","Leo","Virgo","Libra","Scorpio","Sagittarius","Capricorn","Aquarius","Pisces"},0)-1)*7+INT(INPUT_Chart!$D$5/4.286),12)+1),"—")</f>
        <v>Sagittarius</v>
      </c>
      <c r="H4" s="885" t="str">
        <f>IFERROR(INDEX({"Aries","Taurus","Gemini","Cancer","Leo","Virgo","Libra","Scorpio","Sagittarius","Capricorn","Aquarius","Pisces"},MOD((MATCH(INPUT_Chart!$C$5,{"Aries","Taurus","Gemini","Cancer","Leo","Virgo","Libra","Scorpio","Sagittarius","Capricorn","Aquarius","Pisces"},0)-1)*12+INT(INPUT_Chart!$D$5/2.5),12)+1),"—")</f>
        <v>Cancer</v>
      </c>
      <c r="I4" s="886" t="str">
        <f>IFERROR(IF(INPUT_Chart!$C$5=D4,"Vargottama ✓","·"),"—")</f>
        <v>·</v>
      </c>
      <c r="J4" s="887" t="str">
        <f>IFERROR(IF((MOD(MATCH(INPUT_Chart!$C$5,{"Aries","Taurus","Gemini","Cancer","Leo","Virgo","Libra","Scorpio","Sagittarius","Capricorn","Aquarius","Pisces"},0),2)=1),IF(INPUT_Chart!$D$5&lt;15,"Cancer","Leo"),IF(INPUT_Chart!$D$5&lt;15,"Leo","Cancer")),"—")</f>
        <v>Leo</v>
      </c>
      <c r="K4" s="887" t="str">
        <f>IFERROR(IF((MOD(MATCH(INPUT_Chart!$C$5,{"Aries","Taurus","Gemini","Cancer","Leo","Virgo","Libra","Scorpio","Sagittarius","Capricorn","Aquarius","Pisces"},0),2)=1),IF(INPUT_Chart!$D$5&lt;5,"Aries",IF(INPUT_Chart!$D$5&lt;10,"Capricorn",IF(INPUT_Chart!$D$5&lt;18,"Sagittarius",IF(INPUT_Chart!$D$5&lt;25,"Virgo","Taurus")))),IF(INPUT_Chart!$D$5&lt;5,"Taurus",IF(INPUT_Chart!$D$5&lt;12,"Gemini",IF(INPUT_Chart!$D$5&lt;20,"Pisces",IF(INPUT_Chart!$D$5&lt;25,"Aquarius","Scorpio"))))),"—")</f>
        <v>Gemini</v>
      </c>
      <c r="L4" t="str">
        <f>IFERROR(INDEX({"Aries","Taurus","Gemini","Cancer","Leo","Virgo","Libra","Scorpio","Sagittarius","Capricorn","Aquarius","Pisces"},MOD(MATCH(INPUT_Chart!$C$5,{"Aries","Taurus","Gemini","Cancer","Leo","Virgo","Libra","Scorpio","Sagittarius","Capricorn","Aquarius","Pisces"},0)-1+IF((MOD(MATCH(INPUT_Chart!$C$5,{"Aries","Taurus","Gemini","Cancer","Leo","Virgo","Libra","Scorpio","Sagittarius","Capricorn","Aquarius","Pisces"},0),2)=1),0,3)+INT(INPUT_Chart!$D$5/7.5)*3,12)+1),"—")</f>
        <v>Scorpio</v>
      </c>
      <c r="M4" t="str">
        <f>IFERROR(INDEX({"Aries","Taurus","Gemini","Cancer","Leo","Virgo","Libra","Scorpio","Sagittarius","Capricorn","Aquarius","Pisces"},MOD(IF((MOD(MATCH(INPUT_Chart!$C$5,{"Aries","Taurus","Gemini","Cancer","Leo","Virgo","Libra","Scorpio","Sagittarius","Capricorn","Aquarius","Pisces"},0),2)=1),0,8)+INT(INPUT_Chart!$D$5/1.875),12)+1),"—")</f>
        <v>Aries</v>
      </c>
      <c r="N4" t="str">
        <f>IFERROR(INDEX({"Aries","Taurus","Gemini","Cancer","Leo","Virgo","Libra","Scorpio","Sagittarius","Capricorn","Aquarius","Pisces"},MOD(IF((CHOOSE(MATCH(INPUT_Chart!$C$5,{"Aries","Taurus","Gemini","Cancer","Leo","Virgo","Libra","Scorpio","Sagittarius","Capricorn","Aquarius","Pisces"},0),1,2,3,1,2,3,1,2,3,1,2,3))=1,0,IF((CHOOSE(MATCH(INPUT_Chart!$C$5,{"Aries","Taurus","Gemini","Cancer","Leo","Virgo","Libra","Scorpio","Sagittarius","Capricorn","Aquarius","Pisces"},0),1,2,3,1,2,3,1,2,3,1,2,3))=2,8,4))+INT(INPUT_Chart!$D$5/1.5),12)+1),"—")</f>
        <v>Taurus</v>
      </c>
      <c r="O4" t="str">
        <f>IFERROR(INDEX({"Aries","Taurus","Gemini","Cancer","Leo","Virgo","Libra","Scorpio","Sagittarius","Capricorn","Aquarius","Pisces"},MOD(IF((MOD(MATCH(INPUT_Chart!$C$5,{"Aries","Taurus","Gemini","Cancer","Leo","Virgo","Libra","Scorpio","Sagittarius","Capricorn","Aquarius","Pisces"},0),2)=1),4,3)+INT(INPUT_Chart!$D$5/1.25),12)+1),"—")</f>
        <v>Capricorn</v>
      </c>
      <c r="P4" t="str">
        <f>IFERROR(INDEX({"Aries","Taurus","Gemini","Cancer","Leo","Virgo","Libra","Scorpio","Sagittarius","Capricorn","Aquarius","Pisces"},MOD(IF((CHOOSE(MATCH(INPUT_Chart!$C$5,{"Aries","Taurus","Gemini","Cancer","Leo","Virgo","Libra","Scorpio","Sagittarius","Capricorn","Aquarius","Pisces"},0),1,2,3,1,2,3,1,2,3,1,2,3))=1,0,IF((CHOOSE(MATCH(INPUT_Chart!$C$5,{"Aries","Taurus","Gemini","Cancer","Leo","Virgo","Libra","Scorpio","Sagittarius","Capricorn","Aquarius","Pisces"},0),1,2,3,1,2,3,1,2,3,1,2,3))=2,3,6))+INT(INPUT_Chart!$D$5/1.1111),12)+1),"—")</f>
        <v>Capricorn</v>
      </c>
      <c r="Q4" t="str">
        <f>IFERROR(INDEX({"Aries","Taurus","Gemini","Cancer","Leo","Virgo","Libra","Scorpio","Sagittarius","Capricorn","Aquarius","Pisces"},MOD(IF((MOD(MATCH(INPUT_Chart!$C$5,{"Aries","Taurus","Gemini","Cancer","Leo","Virgo","Libra","Scorpio","Sagittarius","Capricorn","Aquarius","Pisces"},0),2)=1),0,6)+INT(INPUT_Chart!$D$5/0.75),12)+1),"—")</f>
        <v>Leo</v>
      </c>
      <c r="R4" t="str">
        <f>IFERROR(INDEX({"Aries","Taurus","Gemini","Cancer","Leo","Virgo","Libra","Scorpio","Sagittarius","Capricorn","Aquarius","Pisces"},MOD(IF((CHOOSE(MATCH(INPUT_Chart!$C$5,{"Aries","Taurus","Gemini","Cancer","Leo","Virgo","Libra","Scorpio","Sagittarius","Capricorn","Aquarius","Pisces"},0),1,2,3,4,1,2,3,4,1,2,3,4))=1,0,IF((CHOOSE(MATCH(INPUT_Chart!$C$5,{"Aries","Taurus","Gemini","Cancer","Leo","Virgo","Libra","Scorpio","Sagittarius","Capricorn","Aquarius","Pisces"},0),1,2,3,4,1,2,3,4,1,2,3,4))=2,9,IF((CHOOSE(MATCH(INPUT_Chart!$C$5,{"Aries","Taurus","Gemini","Cancer","Leo","Virgo","Libra","Scorpio","Sagittarius","Capricorn","Aquarius","Pisces"},0),1,2,3,4,1,2,3,4,1,2,3,4))=3,6,3)))+INT(INPUT_Chart!$D$5/0.6667),12)+1),"—")</f>
        <v>Sagittarius</v>
      </c>
      <c r="S4" t="str">
        <f>IFERROR(CALC_D60_Shastiamsha!$E$12,"—")</f>
        <v>Libra</v>
      </c>
    </row>
    <row r="5" spans="1:19" ht="21.75" customHeight="1" x14ac:dyDescent="0.2">
      <c r="A5" s="94" t="s">
        <v>266</v>
      </c>
      <c r="B5" s="879" t="str">
        <f>IFERROR(CALC_PlanetPositions!$B$7,"—")</f>
        <v>Cancer</v>
      </c>
      <c r="C5" s="880">
        <f>IFERROR(CALC_PlanetPositions!$C$7,"—")</f>
        <v>27.989000000000004</v>
      </c>
      <c r="D5" s="340" t="str">
        <f>IFERROR(INDEX({"Aries","Taurus","Gemini","Cancer","Leo","Virgo","Libra","Scorpio","Sagittarius","Capricorn","Aquarius","Pisces"},MOD(CHOOSE(MATCH(CALC_PlanetPositions!$B$7,{"Aries","Taurus","Gemini","Cancer","Leo","Virgo","Libra","Scorpio","Sagittarius","Capricorn","Aquarius","Pisces"},0),0,9,6,3,0,9,6,3,0,9,6,3)+INT(CALC_PlanetPositions!$C$7/3.3333),12)+1),"—")</f>
        <v>Pisces</v>
      </c>
      <c r="E5" s="884" t="str">
        <f>IFERROR(INDEX({"Aries","Taurus","Gemini","Cancer","Leo","Virgo","Libra","Scorpio","Sagittarius","Capricorn","Aquarius","Pisces"},MOD(IF(MOD(MATCH(CALC_PlanetPositions!$B$7,{"Aries","Taurus","Gemini","Cancer","Leo","Virgo","Libra","Scorpio","Sagittarius","Capricorn","Aquarius","Pisces"},0),2)=1,0,9)+MATCH(CALC_PlanetPositions!$B$7,{"Aries","Taurus","Gemini","Cancer","Leo","Virgo","Libra","Scorpio","Sagittarius","Capricorn","Aquarius","Pisces"},0)-1+INT(CALC_PlanetPositions!$C$7/3),12)+1),"—")</f>
        <v>Capricorn</v>
      </c>
      <c r="F5" s="317" t="str">
        <f>IFERROR(INDEX({"Aries","Taurus","Gemini","Cancer","Leo","Virgo","Libra","Scorpio","Sagittarius","Capricorn","Aquarius","Pisces"},MOD((MATCH(CALC_PlanetPositions!$B$7,{"Aries","Taurus","Gemini","Cancer","Leo","Virgo","Libra","Scorpio","Sagittarius","Capricorn","Aquarius","Pisces"},0)-1)*3+INT(CALC_PlanetPositions!$C$7/10),12)+1),"—")</f>
        <v>Pisces</v>
      </c>
      <c r="G5" s="337" t="str">
        <f>IFERROR(INDEX({"Aries","Taurus","Gemini","Cancer","Leo","Virgo","Libra","Scorpio","Sagittarius","Capricorn","Aquarius","Pisces"},MOD((MATCH(CALC_PlanetPositions!$B$7,{"Aries","Taurus","Gemini","Cancer","Leo","Virgo","Libra","Scorpio","Sagittarius","Capricorn","Aquarius","Pisces"},0)-1)*7+INT(CALC_PlanetPositions!$C$7/4.286),12)+1),"—")</f>
        <v>Cancer</v>
      </c>
      <c r="H5" s="885" t="str">
        <f>IFERROR(INDEX({"Aries","Taurus","Gemini","Cancer","Leo","Virgo","Libra","Scorpio","Sagittarius","Capricorn","Aquarius","Pisces"},MOD((MATCH(CALC_PlanetPositions!$B$7,{"Aries","Taurus","Gemini","Cancer","Leo","Virgo","Libra","Scorpio","Sagittarius","Capricorn","Aquarius","Pisces"},0)-1)*12+INT(CALC_PlanetPositions!$C$7/2.5),12)+1),"—")</f>
        <v>Pisces</v>
      </c>
      <c r="I5" s="888" t="str">
        <f>IFERROR(IF(CALC_PlanetPositions!$B$7=D5,"Vargottama ✓","·"),"—")</f>
        <v>·</v>
      </c>
      <c r="J5" s="889" t="str">
        <f>IFERROR(IF((MOD(MATCH(CALC_PlanetPositions!$B$7,{"Aries","Taurus","Gemini","Cancer","Leo","Virgo","Libra","Scorpio","Sagittarius","Capricorn","Aquarius","Pisces"},0),2)=1),IF(CALC_PlanetPositions!$C$7&lt;15,"Cancer","Leo"),IF(CALC_PlanetPositions!$C$7&lt;15,"Leo","Cancer")),"—")</f>
        <v>Cancer</v>
      </c>
      <c r="K5" s="889" t="str">
        <f>IFERROR(IF((MOD(MATCH(CALC_PlanetPositions!$B$7,{"Aries","Taurus","Gemini","Cancer","Leo","Virgo","Libra","Scorpio","Sagittarius","Capricorn","Aquarius","Pisces"},0),2)=1),IF(CALC_PlanetPositions!$C$7&lt;5,"Aries",IF(CALC_PlanetPositions!$C$7&lt;10,"Capricorn",IF(CALC_PlanetPositions!$C$7&lt;18,"Sagittarius",IF(CALC_PlanetPositions!$C$7&lt;25,"Virgo","Taurus")))),IF(CALC_PlanetPositions!$C$7&lt;5,"Taurus",IF(CALC_PlanetPositions!$C$7&lt;12,"Gemini",IF(CALC_PlanetPositions!$C$7&lt;20,"Pisces",IF(CALC_PlanetPositions!$C$7&lt;25,"Aquarius","Scorpio"))))),"—")</f>
        <v>Scorpio</v>
      </c>
      <c r="L5" t="str">
        <f>IFERROR(INDEX({"Aries","Taurus","Gemini","Cancer","Leo","Virgo","Libra","Scorpio","Sagittarius","Capricorn","Aquarius","Pisces"},MOD(MATCH(CALC_PlanetPositions!$B$7,{"Aries","Taurus","Gemini","Cancer","Leo","Virgo","Libra","Scorpio","Sagittarius","Capricorn","Aquarius","Pisces"},0)-1+(IF((MOD(MATCH(CALC_PlanetPositions!$B$7,{"Aries","Taurus","Gemini","Cancer","Leo","Virgo","Libra","Scorpio","Sagittarius","Capricorn","Aquarius","Pisces"},0),2)=1),0,3))+(INT(CALC_PlanetPositions!$C$7/7.5))*3,12)+1),"—")</f>
        <v>Cancer</v>
      </c>
      <c r="M5" t="str">
        <f>IFERROR(INDEX({"Aries","Taurus","Gemini","Cancer","Leo","Virgo","Libra","Scorpio","Sagittarius","Capricorn","Aquarius","Pisces"},MOD((IF((MOD(MATCH(CALC_PlanetPositions!$B$7,{"Aries","Taurus","Gemini","Cancer","Leo","Virgo","Libra","Scorpio","Sagittarius","Capricorn","Aquarius","Pisces"},0),2)=1),0,8))+(INT(CALC_PlanetPositions!$C$7/1.875)),12)+1),"—")</f>
        <v>Aquarius</v>
      </c>
      <c r="N5" t="str">
        <f>IFERROR(INDEX({"Aries","Taurus","Gemini","Cancer","Leo","Virgo","Libra","Scorpio","Sagittarius","Capricorn","Aquarius","Pisces"},MOD((IF((CHOOSE(MATCH(CALC_PlanetPositions!$B$7,{"Aries","Taurus","Gemini","Cancer","Leo","Virgo","Libra","Scorpio","Sagittarius","Capricorn","Aquarius","Pisces"},0),1,2,3,1,2,3,1,2,3,1,2,3))=1,0,IF((CHOOSE(MATCH(CALC_PlanetPositions!$B$7,{"Aries","Taurus","Gemini","Cancer","Leo","Virgo","Libra","Scorpio","Sagittarius","Capricorn","Aquarius","Pisces"},0),1,2,3,1,2,3,1,2,3,1,2,3))=2,8,4)))+(INT(CALC_PlanetPositions!$C$7/1.5)),12)+1),"—")</f>
        <v>Libra</v>
      </c>
      <c r="O5" t="str">
        <f>IFERROR(INDEX({"Aries","Taurus","Gemini","Cancer","Leo","Virgo","Libra","Scorpio","Sagittarius","Capricorn","Aquarius","Pisces"},MOD((IF((MOD(MATCH(CALC_PlanetPositions!$B$7,{"Aries","Taurus","Gemini","Cancer","Leo","Virgo","Libra","Scorpio","Sagittarius","Capricorn","Aquarius","Pisces"},0),2)=1),4,3))+(INT(CALC_PlanetPositions!$C$7/1.25)),12)+1),"—")</f>
        <v>Taurus</v>
      </c>
      <c r="P5" t="str">
        <f>IFERROR(INDEX({"Aries","Taurus","Gemini","Cancer","Leo","Virgo","Libra","Scorpio","Sagittarius","Capricorn","Aquarius","Pisces"},MOD((IF((CHOOSE(MATCH(CALC_PlanetPositions!$B$7,{"Aries","Taurus","Gemini","Cancer","Leo","Virgo","Libra","Scorpio","Sagittarius","Capricorn","Aquarius","Pisces"},0),1,2,3,1,2,3,1,2,3,1,2,3))=1,0,IF((CHOOSE(MATCH(CALC_PlanetPositions!$B$7,{"Aries","Taurus","Gemini","Cancer","Leo","Virgo","Libra","Scorpio","Sagittarius","Capricorn","Aquarius","Pisces"},0),1,2,3,1,2,3,1,2,3,1,2,3))=2,3,6)))+(INT(CALC_PlanetPositions!$C$7/1.1111)),12)+1),"—")</f>
        <v>Taurus</v>
      </c>
      <c r="Q5" t="str">
        <f>IFERROR(INDEX({"Aries","Taurus","Gemini","Cancer","Leo","Virgo","Libra","Scorpio","Sagittarius","Capricorn","Aquarius","Pisces"},MOD((IF((MOD(MATCH(CALC_PlanetPositions!$B$7,{"Aries","Taurus","Gemini","Cancer","Leo","Virgo","Libra","Scorpio","Sagittarius","Capricorn","Aquarius","Pisces"},0),2)=1),0,6))+(INT(CALC_PlanetPositions!$C$7/0.75)),12)+1),"—")</f>
        <v>Scorpio</v>
      </c>
      <c r="R5" t="str">
        <f>IFERROR(INDEX({"Aries","Taurus","Gemini","Cancer","Leo","Virgo","Libra","Scorpio","Sagittarius","Capricorn","Aquarius","Pisces"},MOD((IF((CHOOSE(MATCH(CALC_PlanetPositions!$B$7,{"Aries","Taurus","Gemini","Cancer","Leo","Virgo","Libra","Scorpio","Sagittarius","Capricorn","Aquarius","Pisces"},0),1,2,3,4,1,2,3,4,1,2,3,4))=1,0,IF((CHOOSE(MATCH(CALC_PlanetPositions!$B$7,{"Aries","Taurus","Gemini","Cancer","Leo","Virgo","Libra","Scorpio","Sagittarius","Capricorn","Aquarius","Pisces"},0),1,2,3,4,1,2,3,4,1,2,3,4))=2,9,IF((CHOOSE(MATCH(CALC_PlanetPositions!$B$7,{"Aries","Taurus","Gemini","Cancer","Leo","Virgo","Libra","Scorpio","Sagittarius","Capricorn","Aquarius","Pisces"},0),1,2,3,4,1,2,3,4,1,2,3,4))=3,6,3))))+(INT(CALC_PlanetPositions!$C$7/0.6667)),12)+1),"—")</f>
        <v>Sagittarius</v>
      </c>
      <c r="S5" t="str">
        <f>IFERROR(CALC_D60_Shastiamsha!$E$5,"—")</f>
        <v>Gemini</v>
      </c>
    </row>
    <row r="6" spans="1:19" ht="21.75" customHeight="1" x14ac:dyDescent="0.2">
      <c r="A6" s="90" t="s">
        <v>267</v>
      </c>
      <c r="B6" s="876" t="str">
        <f>IFERROR(CALC_PlanetPositions!$B$8,"—")</f>
        <v>Cancer</v>
      </c>
      <c r="C6" s="877">
        <f>IFERROR(CALC_PlanetPositions!$C$8,"—")</f>
        <v>3.9835000000000065</v>
      </c>
      <c r="D6" s="340" t="str">
        <f>IFERROR(INDEX({"Aries","Taurus","Gemini","Cancer","Leo","Virgo","Libra","Scorpio","Sagittarius","Capricorn","Aquarius","Pisces"},MOD(CHOOSE(MATCH(CALC_PlanetPositions!$B$8,{"Aries","Taurus","Gemini","Cancer","Leo","Virgo","Libra","Scorpio","Sagittarius","Capricorn","Aquarius","Pisces"},0),0,9,6,3,0,9,6,3,0,9,6,3)+INT(CALC_PlanetPositions!$C$8/3.3333),12)+1),"—")</f>
        <v>Leo</v>
      </c>
      <c r="E6" s="884" t="str">
        <f>IFERROR(INDEX({"Aries","Taurus","Gemini","Cancer","Leo","Virgo","Libra","Scorpio","Sagittarius","Capricorn","Aquarius","Pisces"},MOD(IF(MOD(MATCH(CALC_PlanetPositions!$B$8,{"Aries","Taurus","Gemini","Cancer","Leo","Virgo","Libra","Scorpio","Sagittarius","Capricorn","Aquarius","Pisces"},0),2)=1,0,9)+MATCH(CALC_PlanetPositions!$B$8,{"Aries","Taurus","Gemini","Cancer","Leo","Virgo","Libra","Scorpio","Sagittarius","Capricorn","Aquarius","Pisces"},0)-1+INT(CALC_PlanetPositions!$C$8/3),12)+1),"—")</f>
        <v>Taurus</v>
      </c>
      <c r="F6" s="317" t="str">
        <f>IFERROR(INDEX({"Aries","Taurus","Gemini","Cancer","Leo","Virgo","Libra","Scorpio","Sagittarius","Capricorn","Aquarius","Pisces"},MOD((MATCH(CALC_PlanetPositions!$B$8,{"Aries","Taurus","Gemini","Cancer","Leo","Virgo","Libra","Scorpio","Sagittarius","Capricorn","Aquarius","Pisces"},0)-1)*3+INT(CALC_PlanetPositions!$C$8/10),12)+1),"—")</f>
        <v>Capricorn</v>
      </c>
      <c r="G6" s="337" t="str">
        <f>IFERROR(INDEX({"Aries","Taurus","Gemini","Cancer","Leo","Virgo","Libra","Scorpio","Sagittarius","Capricorn","Aquarius","Pisces"},MOD((MATCH(CALC_PlanetPositions!$B$8,{"Aries","Taurus","Gemini","Cancer","Leo","Virgo","Libra","Scorpio","Sagittarius","Capricorn","Aquarius","Pisces"},0)-1)*7+INT(CALC_PlanetPositions!$C$8/4.286),12)+1),"—")</f>
        <v>Capricorn</v>
      </c>
      <c r="H6" s="885" t="str">
        <f>IFERROR(INDEX({"Aries","Taurus","Gemini","Cancer","Leo","Virgo","Libra","Scorpio","Sagittarius","Capricorn","Aquarius","Pisces"},MOD((MATCH(CALC_PlanetPositions!$B$8,{"Aries","Taurus","Gemini","Cancer","Leo","Virgo","Libra","Scorpio","Sagittarius","Capricorn","Aquarius","Pisces"},0)-1)*12+INT(CALC_PlanetPositions!$C$8/2.5),12)+1),"—")</f>
        <v>Taurus</v>
      </c>
      <c r="I6" s="886" t="str">
        <f>IFERROR(IF(CALC_PlanetPositions!$B$8=D6,"Vargottama ✓","·"),"—")</f>
        <v>·</v>
      </c>
      <c r="J6" s="887" t="str">
        <f>IFERROR(IF((MOD(MATCH(CALC_PlanetPositions!$B$8,{"Aries","Taurus","Gemini","Cancer","Leo","Virgo","Libra","Scorpio","Sagittarius","Capricorn","Aquarius","Pisces"},0),2)=1),IF(CALC_PlanetPositions!$C$8&lt;15,"Cancer","Leo"),IF(CALC_PlanetPositions!$C$8&lt;15,"Leo","Cancer")),"—")</f>
        <v>Leo</v>
      </c>
      <c r="K6" s="887" t="str">
        <f>IFERROR(IF((MOD(MATCH(CALC_PlanetPositions!$B$8,{"Aries","Taurus","Gemini","Cancer","Leo","Virgo","Libra","Scorpio","Sagittarius","Capricorn","Aquarius","Pisces"},0),2)=1),IF(CALC_PlanetPositions!$C$8&lt;5,"Aries",IF(CALC_PlanetPositions!$C$8&lt;10,"Capricorn",IF(CALC_PlanetPositions!$C$8&lt;18,"Sagittarius",IF(CALC_PlanetPositions!$C$8&lt;25,"Virgo","Taurus")))),IF(CALC_PlanetPositions!$C$8&lt;5,"Taurus",IF(CALC_PlanetPositions!$C$8&lt;12,"Gemini",IF(CALC_PlanetPositions!$C$8&lt;20,"Pisces",IF(CALC_PlanetPositions!$C$8&lt;25,"Aquarius","Scorpio"))))),"—")</f>
        <v>Taurus</v>
      </c>
      <c r="L6" t="str">
        <f>IFERROR(INDEX({"Aries","Taurus","Gemini","Cancer","Leo","Virgo","Libra","Scorpio","Sagittarius","Capricorn","Aquarius","Pisces"},MOD(MATCH(CALC_PlanetPositions!$B$8,{"Aries","Taurus","Gemini","Cancer","Leo","Virgo","Libra","Scorpio","Sagittarius","Capricorn","Aquarius","Pisces"},0)-1+(IF((MOD(MATCH(CALC_PlanetPositions!$B$8,{"Aries","Taurus","Gemini","Cancer","Leo","Virgo","Libra","Scorpio","Sagittarius","Capricorn","Aquarius","Pisces"},0),2)=1),0,3))+(INT(CALC_PlanetPositions!$C$8/7.5))*3,12)+1),"—")</f>
        <v>Libra</v>
      </c>
      <c r="M6" t="str">
        <f>IFERROR(INDEX({"Aries","Taurus","Gemini","Cancer","Leo","Virgo","Libra","Scorpio","Sagittarius","Capricorn","Aquarius","Pisces"},MOD((IF((MOD(MATCH(CALC_PlanetPositions!$B$8,{"Aries","Taurus","Gemini","Cancer","Leo","Virgo","Libra","Scorpio","Sagittarius","Capricorn","Aquarius","Pisces"},0),2)=1),0,8))+(INT(CALC_PlanetPositions!$C$8/1.875)),12)+1),"—")</f>
        <v>Aquarius</v>
      </c>
      <c r="N6" t="str">
        <f>IFERROR(INDEX({"Aries","Taurus","Gemini","Cancer","Leo","Virgo","Libra","Scorpio","Sagittarius","Capricorn","Aquarius","Pisces"},MOD((IF((CHOOSE(MATCH(CALC_PlanetPositions!$B$8,{"Aries","Taurus","Gemini","Cancer","Leo","Virgo","Libra","Scorpio","Sagittarius","Capricorn","Aquarius","Pisces"},0),1,2,3,1,2,3,1,2,3,1,2,3))=1,0,IF((CHOOSE(MATCH(CALC_PlanetPositions!$B$8,{"Aries","Taurus","Gemini","Cancer","Leo","Virgo","Libra","Scorpio","Sagittarius","Capricorn","Aquarius","Pisces"},0),1,2,3,1,2,3,1,2,3,1,2,3))=2,8,4)))+(INT(CALC_PlanetPositions!$C$8/1.5)),12)+1),"—")</f>
        <v>Gemini</v>
      </c>
      <c r="O6" t="str">
        <f>IFERROR(INDEX({"Aries","Taurus","Gemini","Cancer","Leo","Virgo","Libra","Scorpio","Sagittarius","Capricorn","Aquarius","Pisces"},MOD((IF((MOD(MATCH(CALC_PlanetPositions!$B$8,{"Aries","Taurus","Gemini","Cancer","Leo","Virgo","Libra","Scorpio","Sagittarius","Capricorn","Aquarius","Pisces"},0),2)=1),4,3))+(INT(CALC_PlanetPositions!$C$8/1.25)),12)+1),"—")</f>
        <v>Libra</v>
      </c>
      <c r="P6" t="str">
        <f>IFERROR(INDEX({"Aries","Taurus","Gemini","Cancer","Leo","Virgo","Libra","Scorpio","Sagittarius","Capricorn","Aquarius","Pisces"},MOD((IF((CHOOSE(MATCH(CALC_PlanetPositions!$B$8,{"Aries","Taurus","Gemini","Cancer","Leo","Virgo","Libra","Scorpio","Sagittarius","Capricorn","Aquarius","Pisces"},0),1,2,3,1,2,3,1,2,3,1,2,3))=1,0,IF((CHOOSE(MATCH(CALC_PlanetPositions!$B$8,{"Aries","Taurus","Gemini","Cancer","Leo","Virgo","Libra","Scorpio","Sagittarius","Capricorn","Aquarius","Pisces"},0),1,2,3,1,2,3,1,2,3,1,2,3))=2,3,6)))+(INT(CALC_PlanetPositions!$C$8/1.1111)),12)+1),"—")</f>
        <v>Cancer</v>
      </c>
      <c r="Q6" t="str">
        <f>IFERROR(INDEX({"Aries","Taurus","Gemini","Cancer","Leo","Virgo","Libra","Scorpio","Sagittarius","Capricorn","Aquarius","Pisces"},MOD((IF((MOD(MATCH(CALC_PlanetPositions!$B$8,{"Aries","Taurus","Gemini","Cancer","Leo","Virgo","Libra","Scorpio","Sagittarius","Capricorn","Aquarius","Pisces"},0),2)=1),0,6))+(INT(CALC_PlanetPositions!$C$8/0.75)),12)+1),"—")</f>
        <v>Pisces</v>
      </c>
      <c r="R6" t="str">
        <f>IFERROR(INDEX({"Aries","Taurus","Gemini","Cancer","Leo","Virgo","Libra","Scorpio","Sagittarius","Capricorn","Aquarius","Pisces"},MOD((IF((CHOOSE(MATCH(CALC_PlanetPositions!$B$8,{"Aries","Taurus","Gemini","Cancer","Leo","Virgo","Libra","Scorpio","Sagittarius","Capricorn","Aquarius","Pisces"},0),1,2,3,4,1,2,3,4,1,2,3,4))=1,0,IF((CHOOSE(MATCH(CALC_PlanetPositions!$B$8,{"Aries","Taurus","Gemini","Cancer","Leo","Virgo","Libra","Scorpio","Sagittarius","Capricorn","Aquarius","Pisces"},0),1,2,3,4,1,2,3,4,1,2,3,4))=2,9,IF((CHOOSE(MATCH(CALC_PlanetPositions!$B$8,{"Aries","Taurus","Gemini","Cancer","Leo","Virgo","Libra","Scorpio","Sagittarius","Capricorn","Aquarius","Pisces"},0),1,2,3,4,1,2,3,4,1,2,3,4))=3,6,3))))+(INT(CALC_PlanetPositions!$C$8/0.6667)),12)+1),"—")</f>
        <v>Sagittarius</v>
      </c>
      <c r="S6" t="str">
        <f>IFERROR(CALC_D60_Shastiamsha!$E$6,"—")</f>
        <v>Gemini</v>
      </c>
    </row>
    <row r="7" spans="1:19" ht="21.75" customHeight="1" x14ac:dyDescent="0.2">
      <c r="A7" s="94" t="s">
        <v>268</v>
      </c>
      <c r="B7" s="879" t="str">
        <f>IFERROR(CALC_PlanetPositions!$B$9,"—")</f>
        <v>Gemini</v>
      </c>
      <c r="C7" s="880">
        <f>IFERROR(CALC_PlanetPositions!$C$9,"—")</f>
        <v>7.4561999999999955</v>
      </c>
      <c r="D7" s="340" t="str">
        <f>IFERROR(INDEX({"Aries","Taurus","Gemini","Cancer","Leo","Virgo","Libra","Scorpio","Sagittarius","Capricorn","Aquarius","Pisces"},MOD(CHOOSE(MATCH(CALC_PlanetPositions!$B$9,{"Aries","Taurus","Gemini","Cancer","Leo","Virgo","Libra","Scorpio","Sagittarius","Capricorn","Aquarius","Pisces"},0),0,9,6,3,0,9,6,3,0,9,6,3)+INT(CALC_PlanetPositions!$C$9/3.3333),12)+1),"—")</f>
        <v>Sagittarius</v>
      </c>
      <c r="E7" s="884" t="str">
        <f>IFERROR(INDEX({"Aries","Taurus","Gemini","Cancer","Leo","Virgo","Libra","Scorpio","Sagittarius","Capricorn","Aquarius","Pisces"},MOD(IF(MOD(MATCH(CALC_PlanetPositions!$B$9,{"Aries","Taurus","Gemini","Cancer","Leo","Virgo","Libra","Scorpio","Sagittarius","Capricorn","Aquarius","Pisces"},0),2)=1,0,9)+MATCH(CALC_PlanetPositions!$B$9,{"Aries","Taurus","Gemini","Cancer","Leo","Virgo","Libra","Scorpio","Sagittarius","Capricorn","Aquarius","Pisces"},0)-1+INT(CALC_PlanetPositions!$C$9/3),12)+1),"—")</f>
        <v>Leo</v>
      </c>
      <c r="F7" s="317" t="str">
        <f>IFERROR(INDEX({"Aries","Taurus","Gemini","Cancer","Leo","Virgo","Libra","Scorpio","Sagittarius","Capricorn","Aquarius","Pisces"},MOD((MATCH(CALC_PlanetPositions!$B$9,{"Aries","Taurus","Gemini","Cancer","Leo","Virgo","Libra","Scorpio","Sagittarius","Capricorn","Aquarius","Pisces"},0)-1)*3+INT(CALC_PlanetPositions!$C$9/10),12)+1),"—")</f>
        <v>Libra</v>
      </c>
      <c r="G7" s="337" t="str">
        <f>IFERROR(INDEX({"Aries","Taurus","Gemini","Cancer","Leo","Virgo","Libra","Scorpio","Sagittarius","Capricorn","Aquarius","Pisces"},MOD((MATCH(CALC_PlanetPositions!$B$9,{"Aries","Taurus","Gemini","Cancer","Leo","Virgo","Libra","Scorpio","Sagittarius","Capricorn","Aquarius","Pisces"},0)-1)*7+INT(CALC_PlanetPositions!$C$9/4.286),12)+1),"—")</f>
        <v>Cancer</v>
      </c>
      <c r="H7" s="885" t="str">
        <f>IFERROR(INDEX({"Aries","Taurus","Gemini","Cancer","Leo","Virgo","Libra","Scorpio","Sagittarius","Capricorn","Aquarius","Pisces"},MOD((MATCH(CALC_PlanetPositions!$B$9,{"Aries","Taurus","Gemini","Cancer","Leo","Virgo","Libra","Scorpio","Sagittarius","Capricorn","Aquarius","Pisces"},0)-1)*12+INT(CALC_PlanetPositions!$C$9/2.5),12)+1),"—")</f>
        <v>Gemini</v>
      </c>
      <c r="I7" s="888" t="str">
        <f>IFERROR(IF(CALC_PlanetPositions!$B$9=D7,"Vargottama ✓","·"),"—")</f>
        <v>·</v>
      </c>
      <c r="J7" s="889" t="str">
        <f>IFERROR(IF((MOD(MATCH(CALC_PlanetPositions!$B$9,{"Aries","Taurus","Gemini","Cancer","Leo","Virgo","Libra","Scorpio","Sagittarius","Capricorn","Aquarius","Pisces"},0),2)=1),IF(CALC_PlanetPositions!$C$9&lt;15,"Cancer","Leo"),IF(CALC_PlanetPositions!$C$9&lt;15,"Leo","Cancer")),"—")</f>
        <v>Cancer</v>
      </c>
      <c r="K7" s="889" t="str">
        <f>IFERROR(IF((MOD(MATCH(CALC_PlanetPositions!$B$9,{"Aries","Taurus","Gemini","Cancer","Leo","Virgo","Libra","Scorpio","Sagittarius","Capricorn","Aquarius","Pisces"},0),2)=1),IF(CALC_PlanetPositions!$C$9&lt;5,"Aries",IF(CALC_PlanetPositions!$C$9&lt;10,"Capricorn",IF(CALC_PlanetPositions!$C$9&lt;18,"Sagittarius",IF(CALC_PlanetPositions!$C$9&lt;25,"Virgo","Taurus")))),IF(CALC_PlanetPositions!$C$9&lt;5,"Taurus",IF(CALC_PlanetPositions!$C$9&lt;12,"Gemini",IF(CALC_PlanetPositions!$C$9&lt;20,"Pisces",IF(CALC_PlanetPositions!$C$9&lt;25,"Aquarius","Scorpio"))))),"—")</f>
        <v>Capricorn</v>
      </c>
      <c r="L7" t="str">
        <f>IFERROR(INDEX({"Aries","Taurus","Gemini","Cancer","Leo","Virgo","Libra","Scorpio","Sagittarius","Capricorn","Aquarius","Pisces"},MOD(MATCH(CALC_PlanetPositions!$B$9,{"Aries","Taurus","Gemini","Cancer","Leo","Virgo","Libra","Scorpio","Sagittarius","Capricorn","Aquarius","Pisces"},0)-1+(IF((MOD(MATCH(CALC_PlanetPositions!$B$9,{"Aries","Taurus","Gemini","Cancer","Leo","Virgo","Libra","Scorpio","Sagittarius","Capricorn","Aquarius","Pisces"},0),2)=1),0,3))+(INT(CALC_PlanetPositions!$C$9/7.5))*3,12)+1),"—")</f>
        <v>Gemini</v>
      </c>
      <c r="M7" t="str">
        <f>IFERROR(INDEX({"Aries","Taurus","Gemini","Cancer","Leo","Virgo","Libra","Scorpio","Sagittarius","Capricorn","Aquarius","Pisces"},MOD((IF((MOD(MATCH(CALC_PlanetPositions!$B$9,{"Aries","Taurus","Gemini","Cancer","Leo","Virgo","Libra","Scorpio","Sagittarius","Capricorn","Aquarius","Pisces"},0),2)=1),0,8))+(INT(CALC_PlanetPositions!$C$9/1.875)),12)+1),"—")</f>
        <v>Cancer</v>
      </c>
      <c r="N7" t="str">
        <f>IFERROR(INDEX({"Aries","Taurus","Gemini","Cancer","Leo","Virgo","Libra","Scorpio","Sagittarius","Capricorn","Aquarius","Pisces"},MOD((IF((CHOOSE(MATCH(CALC_PlanetPositions!$B$9,{"Aries","Taurus","Gemini","Cancer","Leo","Virgo","Libra","Scorpio","Sagittarius","Capricorn","Aquarius","Pisces"},0),1,2,3,1,2,3,1,2,3,1,2,3))=1,0,IF((CHOOSE(MATCH(CALC_PlanetPositions!$B$9,{"Aries","Taurus","Gemini","Cancer","Leo","Virgo","Libra","Scorpio","Sagittarius","Capricorn","Aquarius","Pisces"},0),1,2,3,1,2,3,1,2,3,1,2,3))=2,8,4)))+(INT(CALC_PlanetPositions!$C$9/1.5)),12)+1),"—")</f>
        <v>Sagittarius</v>
      </c>
      <c r="O7" t="str">
        <f>IFERROR(INDEX({"Aries","Taurus","Gemini","Cancer","Leo","Virgo","Libra","Scorpio","Sagittarius","Capricorn","Aquarius","Pisces"},MOD((IF((MOD(MATCH(CALC_PlanetPositions!$B$9,{"Aries","Taurus","Gemini","Cancer","Leo","Virgo","Libra","Scorpio","Sagittarius","Capricorn","Aquarius","Pisces"},0),2)=1),4,3))+(INT(CALC_PlanetPositions!$C$9/1.25)),12)+1),"—")</f>
        <v>Capricorn</v>
      </c>
      <c r="P7" t="str">
        <f>IFERROR(INDEX({"Aries","Taurus","Gemini","Cancer","Leo","Virgo","Libra","Scorpio","Sagittarius","Capricorn","Aquarius","Pisces"},MOD((IF((CHOOSE(MATCH(CALC_PlanetPositions!$B$9,{"Aries","Taurus","Gemini","Cancer","Leo","Virgo","Libra","Scorpio","Sagittarius","Capricorn","Aquarius","Pisces"},0),1,2,3,1,2,3,1,2,3,1,2,3))=1,0,IF((CHOOSE(MATCH(CALC_PlanetPositions!$B$9,{"Aries","Taurus","Gemini","Cancer","Leo","Virgo","Libra","Scorpio","Sagittarius","Capricorn","Aquarius","Pisces"},0),1,2,3,1,2,3,1,2,3,1,2,3))=2,3,6)))+(INT(CALC_PlanetPositions!$C$9/1.1111)),12)+1),"—")</f>
        <v>Aries</v>
      </c>
      <c r="Q7" t="str">
        <f>IFERROR(INDEX({"Aries","Taurus","Gemini","Cancer","Leo","Virgo","Libra","Scorpio","Sagittarius","Capricorn","Aquarius","Pisces"},MOD((IF((MOD(MATCH(CALC_PlanetPositions!$B$9,{"Aries","Taurus","Gemini","Cancer","Leo","Virgo","Libra","Scorpio","Sagittarius","Capricorn","Aquarius","Pisces"},0),2)=1),0,6))+(INT(CALC_PlanetPositions!$C$9/0.75)),12)+1),"—")</f>
        <v>Capricorn</v>
      </c>
      <c r="R7" t="str">
        <f>IFERROR(INDEX({"Aries","Taurus","Gemini","Cancer","Leo","Virgo","Libra","Scorpio","Sagittarius","Capricorn","Aquarius","Pisces"},MOD((IF((CHOOSE(MATCH(CALC_PlanetPositions!$B$9,{"Aries","Taurus","Gemini","Cancer","Leo","Virgo","Libra","Scorpio","Sagittarius","Capricorn","Aquarius","Pisces"},0),1,2,3,4,1,2,3,4,1,2,3,4))=1,0,IF((CHOOSE(MATCH(CALC_PlanetPositions!$B$9,{"Aries","Taurus","Gemini","Cancer","Leo","Virgo","Libra","Scorpio","Sagittarius","Capricorn","Aquarius","Pisces"},0),1,2,3,4,1,2,3,4,1,2,3,4))=2,9,IF((CHOOSE(MATCH(CALC_PlanetPositions!$B$9,{"Aries","Taurus","Gemini","Cancer","Leo","Virgo","Libra","Scorpio","Sagittarius","Capricorn","Aquarius","Pisces"},0),1,2,3,4,1,2,3,4,1,2,3,4))=3,6,3))))+(INT(CALC_PlanetPositions!$C$9/0.6667)),12)+1),"—")</f>
        <v>Virgo</v>
      </c>
      <c r="S7" t="str">
        <f>IFERROR(CALC_D60_Shastiamsha!$E$7,"—")</f>
        <v>Gemini</v>
      </c>
    </row>
    <row r="8" spans="1:19" ht="21.75" customHeight="1" x14ac:dyDescent="0.2">
      <c r="A8" s="90" t="s">
        <v>269</v>
      </c>
      <c r="B8" s="876" t="str">
        <f>IFERROR(CALC_PlanetPositions!$B$10,"—")</f>
        <v>Cancer</v>
      </c>
      <c r="C8" s="877">
        <f>IFERROR(CALC_PlanetPositions!$C$10,"—")</f>
        <v>13.674300000000002</v>
      </c>
      <c r="D8" s="340" t="str">
        <f>IFERROR(INDEX({"Aries","Taurus","Gemini","Cancer","Leo","Virgo","Libra","Scorpio","Sagittarius","Capricorn","Aquarius","Pisces"},MOD(CHOOSE(MATCH(CALC_PlanetPositions!$B$10,{"Aries","Taurus","Gemini","Cancer","Leo","Virgo","Libra","Scorpio","Sagittarius","Capricorn","Aquarius","Pisces"},0),0,9,6,3,0,9,6,3,0,9,6,3)+INT(CALC_PlanetPositions!$C$10/3.3333),12)+1),"—")</f>
        <v>Scorpio</v>
      </c>
      <c r="E8" s="884" t="str">
        <f>IFERROR(INDEX({"Aries","Taurus","Gemini","Cancer","Leo","Virgo","Libra","Scorpio","Sagittarius","Capricorn","Aquarius","Pisces"},MOD(IF(MOD(MATCH(CALC_PlanetPositions!$B$10,{"Aries","Taurus","Gemini","Cancer","Leo","Virgo","Libra","Scorpio","Sagittarius","Capricorn","Aquarius","Pisces"},0),2)=1,0,9)+MATCH(CALC_PlanetPositions!$B$10,{"Aries","Taurus","Gemini","Cancer","Leo","Virgo","Libra","Scorpio","Sagittarius","Capricorn","Aquarius","Pisces"},0)-1+INT(CALC_PlanetPositions!$C$10/3),12)+1),"—")</f>
        <v>Leo</v>
      </c>
      <c r="F8" s="317" t="str">
        <f>IFERROR(INDEX({"Aries","Taurus","Gemini","Cancer","Leo","Virgo","Libra","Scorpio","Sagittarius","Capricorn","Aquarius","Pisces"},MOD((MATCH(CALC_PlanetPositions!$B$10,{"Aries","Taurus","Gemini","Cancer","Leo","Virgo","Libra","Scorpio","Sagittarius","Capricorn","Aquarius","Pisces"},0)-1)*3+INT(CALC_PlanetPositions!$C$10/10),12)+1),"—")</f>
        <v>Aquarius</v>
      </c>
      <c r="G8" s="337" t="str">
        <f>IFERROR(INDEX({"Aries","Taurus","Gemini","Cancer","Leo","Virgo","Libra","Scorpio","Sagittarius","Capricorn","Aquarius","Pisces"},MOD((MATCH(CALC_PlanetPositions!$B$10,{"Aries","Taurus","Gemini","Cancer","Leo","Virgo","Libra","Scorpio","Sagittarius","Capricorn","Aquarius","Pisces"},0)-1)*7+INT(CALC_PlanetPositions!$C$10/4.286),12)+1),"—")</f>
        <v>Aries</v>
      </c>
      <c r="H8" s="885" t="str">
        <f>IFERROR(INDEX({"Aries","Taurus","Gemini","Cancer","Leo","Virgo","Libra","Scorpio","Sagittarius","Capricorn","Aquarius","Pisces"},MOD((MATCH(CALC_PlanetPositions!$B$10,{"Aries","Taurus","Gemini","Cancer","Leo","Virgo","Libra","Scorpio","Sagittarius","Capricorn","Aquarius","Pisces"},0)-1)*12+INT(CALC_PlanetPositions!$C$10/2.5),12)+1),"—")</f>
        <v>Virgo</v>
      </c>
      <c r="I8" s="886" t="str">
        <f>IFERROR(IF(CALC_PlanetPositions!$B$10=D8,"Vargottama ✓","·"),"—")</f>
        <v>·</v>
      </c>
      <c r="J8" s="887" t="str">
        <f>IFERROR(IF((MOD(MATCH(CALC_PlanetPositions!$B$10,{"Aries","Taurus","Gemini","Cancer","Leo","Virgo","Libra","Scorpio","Sagittarius","Capricorn","Aquarius","Pisces"},0),2)=1),IF(CALC_PlanetPositions!$C$10&lt;15,"Cancer","Leo"),IF(CALC_PlanetPositions!$C$10&lt;15,"Leo","Cancer")),"—")</f>
        <v>Leo</v>
      </c>
      <c r="K8" s="887" t="str">
        <f>IFERROR(IF((MOD(MATCH(CALC_PlanetPositions!$B$10,{"Aries","Taurus","Gemini","Cancer","Leo","Virgo","Libra","Scorpio","Sagittarius","Capricorn","Aquarius","Pisces"},0),2)=1),IF(CALC_PlanetPositions!$C$10&lt;5,"Aries",IF(CALC_PlanetPositions!$C$10&lt;10,"Capricorn",IF(CALC_PlanetPositions!$C$10&lt;18,"Sagittarius",IF(CALC_PlanetPositions!$C$10&lt;25,"Virgo","Taurus")))),IF(CALC_PlanetPositions!$C$10&lt;5,"Taurus",IF(CALC_PlanetPositions!$C$10&lt;12,"Gemini",IF(CALC_PlanetPositions!$C$10&lt;20,"Pisces",IF(CALC_PlanetPositions!$C$10&lt;25,"Aquarius","Scorpio"))))),"—")</f>
        <v>Pisces</v>
      </c>
      <c r="L8" t="str">
        <f>IFERROR(INDEX({"Aries","Taurus","Gemini","Cancer","Leo","Virgo","Libra","Scorpio","Sagittarius","Capricorn","Aquarius","Pisces"},MOD(MATCH(CALC_PlanetPositions!$B$10,{"Aries","Taurus","Gemini","Cancer","Leo","Virgo","Libra","Scorpio","Sagittarius","Capricorn","Aquarius","Pisces"},0)-1+(IF((MOD(MATCH(CALC_PlanetPositions!$B$10,{"Aries","Taurus","Gemini","Cancer","Leo","Virgo","Libra","Scorpio","Sagittarius","Capricorn","Aquarius","Pisces"},0),2)=1),0,3))+(INT(CALC_PlanetPositions!$C$10/7.5))*3,12)+1),"—")</f>
        <v>Capricorn</v>
      </c>
      <c r="M8" t="str">
        <f>IFERROR(INDEX({"Aries","Taurus","Gemini","Cancer","Leo","Virgo","Libra","Scorpio","Sagittarius","Capricorn","Aquarius","Pisces"},MOD((IF((MOD(MATCH(CALC_PlanetPositions!$B$10,{"Aries","Taurus","Gemini","Cancer","Leo","Virgo","Libra","Scorpio","Sagittarius","Capricorn","Aquarius","Pisces"},0),2)=1),0,8))+(INT(CALC_PlanetPositions!$C$10/1.875)),12)+1),"—")</f>
        <v>Cancer</v>
      </c>
      <c r="N8" t="str">
        <f>IFERROR(INDEX({"Aries","Taurus","Gemini","Cancer","Leo","Virgo","Libra","Scorpio","Sagittarius","Capricorn","Aquarius","Pisces"},MOD((IF((CHOOSE(MATCH(CALC_PlanetPositions!$B$10,{"Aries","Taurus","Gemini","Cancer","Leo","Virgo","Libra","Scorpio","Sagittarius","Capricorn","Aquarius","Pisces"},0),1,2,3,1,2,3,1,2,3,1,2,3))=1,0,IF((CHOOSE(MATCH(CALC_PlanetPositions!$B$10,{"Aries","Taurus","Gemini","Cancer","Leo","Virgo","Libra","Scorpio","Sagittarius","Capricorn","Aquarius","Pisces"},0),1,2,3,1,2,3,1,2,3,1,2,3))=2,8,4)))+(INT(CALC_PlanetPositions!$C$10/1.5)),12)+1),"—")</f>
        <v>Capricorn</v>
      </c>
      <c r="O8" t="str">
        <f>IFERROR(INDEX({"Aries","Taurus","Gemini","Cancer","Leo","Virgo","Libra","Scorpio","Sagittarius","Capricorn","Aquarius","Pisces"},MOD((IF((MOD(MATCH(CALC_PlanetPositions!$B$10,{"Aries","Taurus","Gemini","Cancer","Leo","Virgo","Libra","Scorpio","Sagittarius","Capricorn","Aquarius","Pisces"},0),2)=1),4,3))+(INT(CALC_PlanetPositions!$C$10/1.25)),12)+1),"—")</f>
        <v>Taurus</v>
      </c>
      <c r="P8" t="str">
        <f>IFERROR(INDEX({"Aries","Taurus","Gemini","Cancer","Leo","Virgo","Libra","Scorpio","Sagittarius","Capricorn","Aquarius","Pisces"},MOD((IF((CHOOSE(MATCH(CALC_PlanetPositions!$B$10,{"Aries","Taurus","Gemini","Cancer","Leo","Virgo","Libra","Scorpio","Sagittarius","Capricorn","Aquarius","Pisces"},0),1,2,3,1,2,3,1,2,3,1,2,3))=1,0,IF((CHOOSE(MATCH(CALC_PlanetPositions!$B$10,{"Aries","Taurus","Gemini","Cancer","Leo","Virgo","Libra","Scorpio","Sagittarius","Capricorn","Aquarius","Pisces"},0),1,2,3,1,2,3,1,2,3,1,2,3))=2,3,6)))+(INT(CALC_PlanetPositions!$C$10/1.1111)),12)+1),"—")</f>
        <v>Aries</v>
      </c>
      <c r="Q8" t="str">
        <f>IFERROR(INDEX({"Aries","Taurus","Gemini","Cancer","Leo","Virgo","Libra","Scorpio","Sagittarius","Capricorn","Aquarius","Pisces"},MOD((IF((MOD(MATCH(CALC_PlanetPositions!$B$10,{"Aries","Taurus","Gemini","Cancer","Leo","Virgo","Libra","Scorpio","Sagittarius","Capricorn","Aquarius","Pisces"},0),2)=1),0,6))+(INT(CALC_PlanetPositions!$C$10/0.75)),12)+1),"—")</f>
        <v>Aries</v>
      </c>
      <c r="R8" t="str">
        <f>IFERROR(INDEX({"Aries","Taurus","Gemini","Cancer","Leo","Virgo","Libra","Scorpio","Sagittarius","Capricorn","Aquarius","Pisces"},MOD((IF((CHOOSE(MATCH(CALC_PlanetPositions!$B$10,{"Aries","Taurus","Gemini","Cancer","Leo","Virgo","Libra","Scorpio","Sagittarius","Capricorn","Aquarius","Pisces"},0),1,2,3,4,1,2,3,4,1,2,3,4))=1,0,IF((CHOOSE(MATCH(CALC_PlanetPositions!$B$10,{"Aries","Taurus","Gemini","Cancer","Leo","Virgo","Libra","Scorpio","Sagittarius","Capricorn","Aquarius","Pisces"},0),1,2,3,4,1,2,3,4,1,2,3,4))=2,9,IF((CHOOSE(MATCH(CALC_PlanetPositions!$B$10,{"Aries","Taurus","Gemini","Cancer","Leo","Virgo","Libra","Scorpio","Sagittarius","Capricorn","Aquarius","Pisces"},0),1,2,3,4,1,2,3,4,1,2,3,4))=3,6,3))))+(INT(CALC_PlanetPositions!$C$10/0.6667)),12)+1),"—")</f>
        <v>Pisces</v>
      </c>
      <c r="S8" t="str">
        <f>IFERROR(CALC_D60_Shastiamsha!$E$8,"—")</f>
        <v>Libra</v>
      </c>
    </row>
    <row r="9" spans="1:19" ht="21.75" customHeight="1" x14ac:dyDescent="0.2">
      <c r="A9" s="94" t="s">
        <v>270</v>
      </c>
      <c r="B9" s="879" t="str">
        <f>IFERROR(CALC_PlanetPositions!$B$11,"—")</f>
        <v>Libra</v>
      </c>
      <c r="C9" s="880">
        <f>IFERROR(CALC_PlanetPositions!$C$11,"—")</f>
        <v>25.877700000000004</v>
      </c>
      <c r="D9" s="340" t="str">
        <f>IFERROR(INDEX({"Aries","Taurus","Gemini","Cancer","Leo","Virgo","Libra","Scorpio","Sagittarius","Capricorn","Aquarius","Pisces"},MOD(CHOOSE(MATCH(CALC_PlanetPositions!$B$11,{"Aries","Taurus","Gemini","Cancer","Leo","Virgo","Libra","Scorpio","Sagittarius","Capricorn","Aquarius","Pisces"},0),0,9,6,3,0,9,6,3,0,9,6,3)+INT(CALC_PlanetPositions!$C$11/3.3333),12)+1),"—")</f>
        <v>Taurus</v>
      </c>
      <c r="E9" s="884" t="str">
        <f>IFERROR(INDEX({"Aries","Taurus","Gemini","Cancer","Leo","Virgo","Libra","Scorpio","Sagittarius","Capricorn","Aquarius","Pisces"},MOD(IF(MOD(MATCH(CALC_PlanetPositions!$B$11,{"Aries","Taurus","Gemini","Cancer","Leo","Virgo","Libra","Scorpio","Sagittarius","Capricorn","Aquarius","Pisces"},0),2)=1,0,9)+MATCH(CALC_PlanetPositions!$B$11,{"Aries","Taurus","Gemini","Cancer","Leo","Virgo","Libra","Scorpio","Sagittarius","Capricorn","Aquarius","Pisces"},0)-1+INT(CALC_PlanetPositions!$C$11/3),12)+1),"—")</f>
        <v>Gemini</v>
      </c>
      <c r="F9" s="317" t="str">
        <f>IFERROR(INDEX({"Aries","Taurus","Gemini","Cancer","Leo","Virgo","Libra","Scorpio","Sagittarius","Capricorn","Aquarius","Pisces"},MOD((MATCH(CALC_PlanetPositions!$B$11,{"Aries","Taurus","Gemini","Cancer","Leo","Virgo","Libra","Scorpio","Sagittarius","Capricorn","Aquarius","Pisces"},0)-1)*3+INT(CALC_PlanetPositions!$C$11/10),12)+1),"—")</f>
        <v>Sagittarius</v>
      </c>
      <c r="G9" s="337" t="str">
        <f>IFERROR(INDEX({"Aries","Taurus","Gemini","Cancer","Leo","Virgo","Libra","Scorpio","Sagittarius","Capricorn","Aquarius","Pisces"},MOD((MATCH(CALC_PlanetPositions!$B$11,{"Aries","Taurus","Gemini","Cancer","Leo","Virgo","Libra","Scorpio","Sagittarius","Capricorn","Aquarius","Pisces"},0)-1)*7+INT(CALC_PlanetPositions!$C$11/4.286),12)+1),"—")</f>
        <v>Aries</v>
      </c>
      <c r="H9" s="885" t="str">
        <f>IFERROR(INDEX({"Aries","Taurus","Gemini","Cancer","Leo","Virgo","Libra","Scorpio","Sagittarius","Capricorn","Aquarius","Pisces"},MOD((MATCH(CALC_PlanetPositions!$B$11,{"Aries","Taurus","Gemini","Cancer","Leo","Virgo","Libra","Scorpio","Sagittarius","Capricorn","Aquarius","Pisces"},0)-1)*12+INT(CALC_PlanetPositions!$C$11/2.5),12)+1),"—")</f>
        <v>Aquarius</v>
      </c>
      <c r="I9" s="888" t="str">
        <f>IFERROR(IF(CALC_PlanetPositions!$B$11=D9,"Vargottama ✓","·"),"—")</f>
        <v>·</v>
      </c>
      <c r="J9" s="889" t="str">
        <f>IFERROR(IF((MOD(MATCH(CALC_PlanetPositions!$B$11,{"Aries","Taurus","Gemini","Cancer","Leo","Virgo","Libra","Scorpio","Sagittarius","Capricorn","Aquarius","Pisces"},0),2)=1),IF(CALC_PlanetPositions!$C$11&lt;15,"Cancer","Leo"),IF(CALC_PlanetPositions!$C$11&lt;15,"Leo","Cancer")),"—")</f>
        <v>Leo</v>
      </c>
      <c r="K9" s="889" t="str">
        <f>IFERROR(IF((MOD(MATCH(CALC_PlanetPositions!$B$11,{"Aries","Taurus","Gemini","Cancer","Leo","Virgo","Libra","Scorpio","Sagittarius","Capricorn","Aquarius","Pisces"},0),2)=1),IF(CALC_PlanetPositions!$C$11&lt;5,"Aries",IF(CALC_PlanetPositions!$C$11&lt;10,"Capricorn",IF(CALC_PlanetPositions!$C$11&lt;18,"Sagittarius",IF(CALC_PlanetPositions!$C$11&lt;25,"Virgo","Taurus")))),IF(CALC_PlanetPositions!$C$11&lt;5,"Taurus",IF(CALC_PlanetPositions!$C$11&lt;12,"Gemini",IF(CALC_PlanetPositions!$C$11&lt;20,"Pisces",IF(CALC_PlanetPositions!$C$11&lt;25,"Aquarius","Scorpio"))))),"—")</f>
        <v>Taurus</v>
      </c>
      <c r="L9" t="str">
        <f>IFERROR(INDEX({"Aries","Taurus","Gemini","Cancer","Leo","Virgo","Libra","Scorpio","Sagittarius","Capricorn","Aquarius","Pisces"},MOD(MATCH(CALC_PlanetPositions!$B$11,{"Aries","Taurus","Gemini","Cancer","Leo","Virgo","Libra","Scorpio","Sagittarius","Capricorn","Aquarius","Pisces"},0)-1+(IF((MOD(MATCH(CALC_PlanetPositions!$B$11,{"Aries","Taurus","Gemini","Cancer","Leo","Virgo","Libra","Scorpio","Sagittarius","Capricorn","Aquarius","Pisces"},0),2)=1),0,3))+(INT(CALC_PlanetPositions!$C$11/7.5))*3,12)+1),"—")</f>
        <v>Cancer</v>
      </c>
      <c r="M9" t="str">
        <f>IFERROR(INDEX({"Aries","Taurus","Gemini","Cancer","Leo","Virgo","Libra","Scorpio","Sagittarius","Capricorn","Aquarius","Pisces"},MOD((IF((MOD(MATCH(CALC_PlanetPositions!$B$11,{"Aries","Taurus","Gemini","Cancer","Leo","Virgo","Libra","Scorpio","Sagittarius","Capricorn","Aquarius","Pisces"},0),2)=1),0,8))+(INT(CALC_PlanetPositions!$C$11/1.875)),12)+1),"—")</f>
        <v>Taurus</v>
      </c>
      <c r="N9" t="str">
        <f>IFERROR(INDEX({"Aries","Taurus","Gemini","Cancer","Leo","Virgo","Libra","Scorpio","Sagittarius","Capricorn","Aquarius","Pisces"},MOD((IF((CHOOSE(MATCH(CALC_PlanetPositions!$B$11,{"Aries","Taurus","Gemini","Cancer","Leo","Virgo","Libra","Scorpio","Sagittarius","Capricorn","Aquarius","Pisces"},0),1,2,3,1,2,3,1,2,3,1,2,3))=1,0,IF((CHOOSE(MATCH(CALC_PlanetPositions!$B$11,{"Aries","Taurus","Gemini","Cancer","Leo","Virgo","Libra","Scorpio","Sagittarius","Capricorn","Aquarius","Pisces"},0),1,2,3,1,2,3,1,2,3,1,2,3))=2,8,4)))+(INT(CALC_PlanetPositions!$C$11/1.5)),12)+1),"—")</f>
        <v>Virgo</v>
      </c>
      <c r="O9" t="str">
        <f>IFERROR(INDEX({"Aries","Taurus","Gemini","Cancer","Leo","Virgo","Libra","Scorpio","Sagittarius","Capricorn","Aquarius","Pisces"},MOD((IF((MOD(MATCH(CALC_PlanetPositions!$B$11,{"Aries","Taurus","Gemini","Cancer","Leo","Virgo","Libra","Scorpio","Sagittarius","Capricorn","Aquarius","Pisces"},0),2)=1),4,3))+(INT(CALC_PlanetPositions!$C$11/1.25)),12)+1),"—")</f>
        <v>Aries</v>
      </c>
      <c r="P9" t="str">
        <f>IFERROR(INDEX({"Aries","Taurus","Gemini","Cancer","Leo","Virgo","Libra","Scorpio","Sagittarius","Capricorn","Aquarius","Pisces"},MOD((IF((CHOOSE(MATCH(CALC_PlanetPositions!$B$11,{"Aries","Taurus","Gemini","Cancer","Leo","Virgo","Libra","Scorpio","Sagittarius","Capricorn","Aquarius","Pisces"},0),1,2,3,1,2,3,1,2,3,1,2,3))=1,0,IF((CHOOSE(MATCH(CALC_PlanetPositions!$B$11,{"Aries","Taurus","Gemini","Cancer","Leo","Virgo","Libra","Scorpio","Sagittarius","Capricorn","Aquarius","Pisces"},0),1,2,3,1,2,3,1,2,3,1,2,3))=2,3,6)))+(INT(CALC_PlanetPositions!$C$11/1.1111)),12)+1),"—")</f>
        <v>Pisces</v>
      </c>
      <c r="Q9" t="str">
        <f>IFERROR(INDEX({"Aries","Taurus","Gemini","Cancer","Leo","Virgo","Libra","Scorpio","Sagittarius","Capricorn","Aquarius","Pisces"},MOD((IF((MOD(MATCH(CALC_PlanetPositions!$B$11,{"Aries","Taurus","Gemini","Cancer","Leo","Virgo","Libra","Scorpio","Sagittarius","Capricorn","Aquarius","Pisces"},0),2)=1),0,6))+(INT(CALC_PlanetPositions!$C$11/0.75)),12)+1),"—")</f>
        <v>Aquarius</v>
      </c>
      <c r="R9" t="str">
        <f>IFERROR(INDEX({"Aries","Taurus","Gemini","Cancer","Leo","Virgo","Libra","Scorpio","Sagittarius","Capricorn","Aquarius","Pisces"},MOD((IF((CHOOSE(MATCH(CALC_PlanetPositions!$B$11,{"Aries","Taurus","Gemini","Cancer","Leo","Virgo","Libra","Scorpio","Sagittarius","Capricorn","Aquarius","Pisces"},0),1,2,3,4,1,2,3,4,1,2,3,4))=1,0,IF((CHOOSE(MATCH(CALC_PlanetPositions!$B$11,{"Aries","Taurus","Gemini","Cancer","Leo","Virgo","Libra","Scorpio","Sagittarius","Capricorn","Aquarius","Pisces"},0),1,2,3,4,1,2,3,4,1,2,3,4))=2,9,IF((CHOOSE(MATCH(CALC_PlanetPositions!$B$11,{"Aries","Taurus","Gemini","Cancer","Leo","Virgo","Libra","Scorpio","Sagittarius","Capricorn","Aquarius","Pisces"},0),1,2,3,4,1,2,3,4,1,2,3,4))=3,6,3))))+(INT(CALC_PlanetPositions!$C$11/0.6667)),12)+1),"—")</f>
        <v>Sagittarius</v>
      </c>
      <c r="S9" t="str">
        <f>IFERROR(CALC_D60_Shastiamsha!$E$9,"—")</f>
        <v>Cancer</v>
      </c>
    </row>
    <row r="10" spans="1:19" ht="21.75" customHeight="1" x14ac:dyDescent="0.2">
      <c r="A10" s="90" t="s">
        <v>271</v>
      </c>
      <c r="B10" s="876" t="str">
        <f>IFERROR(CALC_PlanetPositions!$B$12,"—")</f>
        <v>Cancer</v>
      </c>
      <c r="C10" s="877">
        <f>IFERROR(CALC_PlanetPositions!$C$12,"—")</f>
        <v>22.561199999999999</v>
      </c>
      <c r="D10" s="340" t="str">
        <f>IFERROR(INDEX({"Aries","Taurus","Gemini","Cancer","Leo","Virgo","Libra","Scorpio","Sagittarius","Capricorn","Aquarius","Pisces"},MOD(CHOOSE(MATCH(CALC_PlanetPositions!$B$12,{"Aries","Taurus","Gemini","Cancer","Leo","Virgo","Libra","Scorpio","Sagittarius","Capricorn","Aquarius","Pisces"},0),0,9,6,3,0,9,6,3,0,9,6,3)+INT(CALC_PlanetPositions!$C$12/3.3333),12)+1),"—")</f>
        <v>Capricorn</v>
      </c>
      <c r="E10" s="884" t="str">
        <f>IFERROR(INDEX({"Aries","Taurus","Gemini","Cancer","Leo","Virgo","Libra","Scorpio","Sagittarius","Capricorn","Aquarius","Pisces"},MOD(IF(MOD(MATCH(CALC_PlanetPositions!$B$12,{"Aries","Taurus","Gemini","Cancer","Leo","Virgo","Libra","Scorpio","Sagittarius","Capricorn","Aquarius","Pisces"},0),2)=1,0,9)+MATCH(CALC_PlanetPositions!$B$12,{"Aries","Taurus","Gemini","Cancer","Leo","Virgo","Libra","Scorpio","Sagittarius","Capricorn","Aquarius","Pisces"},0)-1+INT(CALC_PlanetPositions!$C$12/3),12)+1),"—")</f>
        <v>Scorpio</v>
      </c>
      <c r="F10" s="317" t="str">
        <f>IFERROR(INDEX({"Aries","Taurus","Gemini","Cancer","Leo","Virgo","Libra","Scorpio","Sagittarius","Capricorn","Aquarius","Pisces"},MOD((MATCH(CALC_PlanetPositions!$B$12,{"Aries","Taurus","Gemini","Cancer","Leo","Virgo","Libra","Scorpio","Sagittarius","Capricorn","Aquarius","Pisces"},0)-1)*3+INT(CALC_PlanetPositions!$C$12/10),12)+1),"—")</f>
        <v>Pisces</v>
      </c>
      <c r="G10" s="337" t="str">
        <f>IFERROR(INDEX({"Aries","Taurus","Gemini","Cancer","Leo","Virgo","Libra","Scorpio","Sagittarius","Capricorn","Aquarius","Pisces"},MOD((MATCH(CALC_PlanetPositions!$B$12,{"Aries","Taurus","Gemini","Cancer","Leo","Virgo","Libra","Scorpio","Sagittarius","Capricorn","Aquarius","Pisces"},0)-1)*7+INT(CALC_PlanetPositions!$C$12/4.286),12)+1),"—")</f>
        <v>Gemini</v>
      </c>
      <c r="H10" s="885" t="str">
        <f>IFERROR(INDEX({"Aries","Taurus","Gemini","Cancer","Leo","Virgo","Libra","Scorpio","Sagittarius","Capricorn","Aquarius","Pisces"},MOD((MATCH(CALC_PlanetPositions!$B$12,{"Aries","Taurus","Gemini","Cancer","Leo","Virgo","Libra","Scorpio","Sagittarius","Capricorn","Aquarius","Pisces"},0)-1)*12+INT(CALC_PlanetPositions!$C$12/2.5),12)+1),"—")</f>
        <v>Capricorn</v>
      </c>
      <c r="I10" s="886" t="str">
        <f>IFERROR(IF(CALC_PlanetPositions!$B$12=D10,"Vargottama ✓","·"),"—")</f>
        <v>·</v>
      </c>
      <c r="J10" s="887" t="str">
        <f>IFERROR(IF((MOD(MATCH(CALC_PlanetPositions!$B$12,{"Aries","Taurus","Gemini","Cancer","Leo","Virgo","Libra","Scorpio","Sagittarius","Capricorn","Aquarius","Pisces"},0),2)=1),IF(CALC_PlanetPositions!$C$12&lt;15,"Cancer","Leo"),IF(CALC_PlanetPositions!$C$12&lt;15,"Leo","Cancer")),"—")</f>
        <v>Cancer</v>
      </c>
      <c r="K10" s="887" t="str">
        <f>IFERROR(IF((MOD(MATCH(CALC_PlanetPositions!$B$12,{"Aries","Taurus","Gemini","Cancer","Leo","Virgo","Libra","Scorpio","Sagittarius","Capricorn","Aquarius","Pisces"},0),2)=1),IF(CALC_PlanetPositions!$C$12&lt;5,"Aries",IF(CALC_PlanetPositions!$C$12&lt;10,"Capricorn",IF(CALC_PlanetPositions!$C$12&lt;18,"Sagittarius",IF(CALC_PlanetPositions!$C$12&lt;25,"Virgo","Taurus")))),IF(CALC_PlanetPositions!$C$12&lt;5,"Taurus",IF(CALC_PlanetPositions!$C$12&lt;12,"Gemini",IF(CALC_PlanetPositions!$C$12&lt;20,"Pisces",IF(CALC_PlanetPositions!$C$12&lt;25,"Aquarius","Scorpio"))))),"—")</f>
        <v>Aquarius</v>
      </c>
      <c r="L10" t="str">
        <f>IFERROR(INDEX({"Aries","Taurus","Gemini","Cancer","Leo","Virgo","Libra","Scorpio","Sagittarius","Capricorn","Aquarius","Pisces"},MOD(MATCH(CALC_PlanetPositions!$B$12,{"Aries","Taurus","Gemini","Cancer","Leo","Virgo","Libra","Scorpio","Sagittarius","Capricorn","Aquarius","Pisces"},0)-1+(IF((MOD(MATCH(CALC_PlanetPositions!$B$12,{"Aries","Taurus","Gemini","Cancer","Leo","Virgo","Libra","Scorpio","Sagittarius","Capricorn","Aquarius","Pisces"},0),2)=1),0,3))+(INT(CALC_PlanetPositions!$C$12/7.5))*3,12)+1),"—")</f>
        <v>Cancer</v>
      </c>
      <c r="M10" t="str">
        <f>IFERROR(INDEX({"Aries","Taurus","Gemini","Cancer","Leo","Virgo","Libra","Scorpio","Sagittarius","Capricorn","Aquarius","Pisces"},MOD((IF((MOD(MATCH(CALC_PlanetPositions!$B$12,{"Aries","Taurus","Gemini","Cancer","Leo","Virgo","Libra","Scorpio","Sagittarius","Capricorn","Aquarius","Pisces"},0),2)=1),0,8))+(INT(CALC_PlanetPositions!$C$12/1.875)),12)+1),"—")</f>
        <v>Sagittarius</v>
      </c>
      <c r="N10" t="str">
        <f>IFERROR(INDEX({"Aries","Taurus","Gemini","Cancer","Leo","Virgo","Libra","Scorpio","Sagittarius","Capricorn","Aquarius","Pisces"},MOD((IF((CHOOSE(MATCH(CALC_PlanetPositions!$B$12,{"Aries","Taurus","Gemini","Cancer","Leo","Virgo","Libra","Scorpio","Sagittarius","Capricorn","Aquarius","Pisces"},0),1,2,3,1,2,3,1,2,3,1,2,3))=1,0,IF((CHOOSE(MATCH(CALC_PlanetPositions!$B$12,{"Aries","Taurus","Gemini","Cancer","Leo","Virgo","Libra","Scorpio","Sagittarius","Capricorn","Aquarius","Pisces"},0),1,2,3,1,2,3,1,2,3,1,2,3))=2,8,4)))+(INT(CALC_PlanetPositions!$C$12/1.5)),12)+1),"—")</f>
        <v>Cancer</v>
      </c>
      <c r="O10" t="str">
        <f>IFERROR(INDEX({"Aries","Taurus","Gemini","Cancer","Leo","Virgo","Libra","Scorpio","Sagittarius","Capricorn","Aquarius","Pisces"},MOD((IF((MOD(MATCH(CALC_PlanetPositions!$B$12,{"Aries","Taurus","Gemini","Cancer","Leo","Virgo","Libra","Scorpio","Sagittarius","Capricorn","Aquarius","Pisces"},0),2)=1),4,3))+(INT(CALC_PlanetPositions!$C$12/1.25)),12)+1),"—")</f>
        <v>Capricorn</v>
      </c>
      <c r="P10" t="str">
        <f>IFERROR(INDEX({"Aries","Taurus","Gemini","Cancer","Leo","Virgo","Libra","Scorpio","Sagittarius","Capricorn","Aquarius","Pisces"},MOD((IF((CHOOSE(MATCH(CALC_PlanetPositions!$B$12,{"Aries","Taurus","Gemini","Cancer","Leo","Virgo","Libra","Scorpio","Sagittarius","Capricorn","Aquarius","Pisces"},0),1,2,3,1,2,3,1,2,3,1,2,3))=1,0,IF((CHOOSE(MATCH(CALC_PlanetPositions!$B$12,{"Aries","Taurus","Gemini","Cancer","Leo","Virgo","Libra","Scorpio","Sagittarius","Capricorn","Aquarius","Pisces"},0),1,2,3,1,2,3,1,2,3,1,2,3))=2,3,6)))+(INT(CALC_PlanetPositions!$C$12/1.1111)),12)+1),"—")</f>
        <v>Sagittarius</v>
      </c>
      <c r="Q10" t="str">
        <f>IFERROR(INDEX({"Aries","Taurus","Gemini","Cancer","Leo","Virgo","Libra","Scorpio","Sagittarius","Capricorn","Aquarius","Pisces"},MOD((IF((MOD(MATCH(CALC_PlanetPositions!$B$12,{"Aries","Taurus","Gemini","Cancer","Leo","Virgo","Libra","Scorpio","Sagittarius","Capricorn","Aquarius","Pisces"},0),2)=1),0,6))+(INT(CALC_PlanetPositions!$C$12/0.75)),12)+1),"—")</f>
        <v>Aries</v>
      </c>
      <c r="R10" t="str">
        <f>IFERROR(INDEX({"Aries","Taurus","Gemini","Cancer","Leo","Virgo","Libra","Scorpio","Sagittarius","Capricorn","Aquarius","Pisces"},MOD((IF((CHOOSE(MATCH(CALC_PlanetPositions!$B$12,{"Aries","Taurus","Gemini","Cancer","Leo","Virgo","Libra","Scorpio","Sagittarius","Capricorn","Aquarius","Pisces"},0),1,2,3,4,1,2,3,4,1,2,3,4))=1,0,IF((CHOOSE(MATCH(CALC_PlanetPositions!$B$12,{"Aries","Taurus","Gemini","Cancer","Leo","Virgo","Libra","Scorpio","Sagittarius","Capricorn","Aquarius","Pisces"},0),1,2,3,4,1,2,3,4,1,2,3,4))=2,9,IF((CHOOSE(MATCH(CALC_PlanetPositions!$B$12,{"Aries","Taurus","Gemini","Cancer","Leo","Virgo","Libra","Scorpio","Sagittarius","Capricorn","Aquarius","Pisces"},0),1,2,3,4,1,2,3,4,1,2,3,4))=3,6,3))))+(INT(CALC_PlanetPositions!$C$12/0.6667)),12)+1),"—")</f>
        <v>Aries</v>
      </c>
      <c r="S10" t="str">
        <f>IFERROR(CALC_D60_Shastiamsha!$E$10,"—")</f>
        <v>Aries</v>
      </c>
    </row>
    <row r="11" spans="1:19" ht="21.75" customHeight="1" x14ac:dyDescent="0.2">
      <c r="A11" s="94" t="s">
        <v>272</v>
      </c>
      <c r="B11" s="879" t="str">
        <f>IFERROR(CALC_PlanetPositions!$B$13,"—")</f>
        <v>Cancer</v>
      </c>
      <c r="C11" s="880">
        <f>IFERROR(CALC_PlanetPositions!$C$13,"—")</f>
        <v>20.472999999999999</v>
      </c>
      <c r="D11" s="340" t="str">
        <f>IFERROR(INDEX({"Aries","Taurus","Gemini","Cancer","Leo","Virgo","Libra","Scorpio","Sagittarius","Capricorn","Aquarius","Pisces"},MOD(CHOOSE(MATCH(CALC_PlanetPositions!$B$13,{"Aries","Taurus","Gemini","Cancer","Leo","Virgo","Libra","Scorpio","Sagittarius","Capricorn","Aquarius","Pisces"},0),0,9,6,3,0,9,6,3,0,9,6,3)+INT(CALC_PlanetPositions!$C$13/3.3333),12)+1),"—")</f>
        <v>Capricorn</v>
      </c>
      <c r="E11" s="884" t="str">
        <f>IFERROR(INDEX({"Aries","Taurus","Gemini","Cancer","Leo","Virgo","Libra","Scorpio","Sagittarius","Capricorn","Aquarius","Pisces"},MOD(IF(MOD(MATCH(CALC_PlanetPositions!$B$13,{"Aries","Taurus","Gemini","Cancer","Leo","Virgo","Libra","Scorpio","Sagittarius","Capricorn","Aquarius","Pisces"},0),2)=1,0,9)+MATCH(CALC_PlanetPositions!$B$13,{"Aries","Taurus","Gemini","Cancer","Leo","Virgo","Libra","Scorpio","Sagittarius","Capricorn","Aquarius","Pisces"},0)-1+INT(CALC_PlanetPositions!$C$13/3),12)+1),"—")</f>
        <v>Libra</v>
      </c>
      <c r="F11" s="317" t="str">
        <f>IFERROR(INDEX({"Aries","Taurus","Gemini","Cancer","Leo","Virgo","Libra","Scorpio","Sagittarius","Capricorn","Aquarius","Pisces"},MOD((MATCH(CALC_PlanetPositions!$B$13,{"Aries","Taurus","Gemini","Cancer","Leo","Virgo","Libra","Scorpio","Sagittarius","Capricorn","Aquarius","Pisces"},0)-1)*3+INT(CALC_PlanetPositions!$C$13/10),12)+1),"—")</f>
        <v>Pisces</v>
      </c>
      <c r="G11" s="337" t="str">
        <f>IFERROR(INDEX({"Aries","Taurus","Gemini","Cancer","Leo","Virgo","Libra","Scorpio","Sagittarius","Capricorn","Aquarius","Pisces"},MOD((MATCH(CALC_PlanetPositions!$B$13,{"Aries","Taurus","Gemini","Cancer","Leo","Virgo","Libra","Scorpio","Sagittarius","Capricorn","Aquarius","Pisces"},0)-1)*7+INT(CALC_PlanetPositions!$C$13/4.286),12)+1),"—")</f>
        <v>Taurus</v>
      </c>
      <c r="H11" s="885" t="str">
        <f>IFERROR(INDEX({"Aries","Taurus","Gemini","Cancer","Leo","Virgo","Libra","Scorpio","Sagittarius","Capricorn","Aquarius","Pisces"},MOD((MATCH(CALC_PlanetPositions!$B$13,{"Aries","Taurus","Gemini","Cancer","Leo","Virgo","Libra","Scorpio","Sagittarius","Capricorn","Aquarius","Pisces"},0)-1)*12+INT(CALC_PlanetPositions!$C$13/2.5),12)+1),"—")</f>
        <v>Sagittarius</v>
      </c>
      <c r="I11" s="888" t="str">
        <f>IFERROR(IF(CALC_PlanetPositions!$B$13=D11,"Vargottama ✓","·"),"—")</f>
        <v>·</v>
      </c>
      <c r="J11" s="889" t="str">
        <f>IFERROR(IF((MOD(MATCH(CALC_PlanetPositions!$B$13,{"Aries","Taurus","Gemini","Cancer","Leo","Virgo","Libra","Scorpio","Sagittarius","Capricorn","Aquarius","Pisces"},0),2)=1),IF(CALC_PlanetPositions!$C$13&lt;15,"Cancer","Leo"),IF(CALC_PlanetPositions!$C$13&lt;15,"Leo","Cancer")),"—")</f>
        <v>Cancer</v>
      </c>
      <c r="K11" s="889" t="str">
        <f>IFERROR(IF((MOD(MATCH(CALC_PlanetPositions!$B$13,{"Aries","Taurus","Gemini","Cancer","Leo","Virgo","Libra","Scorpio","Sagittarius","Capricorn","Aquarius","Pisces"},0),2)=1),IF(CALC_PlanetPositions!$C$13&lt;5,"Aries",IF(CALC_PlanetPositions!$C$13&lt;10,"Capricorn",IF(CALC_PlanetPositions!$C$13&lt;18,"Sagittarius",IF(CALC_PlanetPositions!$C$13&lt;25,"Virgo","Taurus")))),IF(CALC_PlanetPositions!$C$13&lt;5,"Taurus",IF(CALC_PlanetPositions!$C$13&lt;12,"Gemini",IF(CALC_PlanetPositions!$C$13&lt;20,"Pisces",IF(CALC_PlanetPositions!$C$13&lt;25,"Aquarius","Scorpio"))))),"—")</f>
        <v>Aquarius</v>
      </c>
      <c r="L11" t="str">
        <f>IFERROR(INDEX({"Aries","Taurus","Gemini","Cancer","Leo","Virgo","Libra","Scorpio","Sagittarius","Capricorn","Aquarius","Pisces"},MOD(MATCH(CALC_PlanetPositions!$B$13,{"Aries","Taurus","Gemini","Cancer","Leo","Virgo","Libra","Scorpio","Sagittarius","Capricorn","Aquarius","Pisces"},0)-1+(IF((MOD(MATCH(CALC_PlanetPositions!$B$13,{"Aries","Taurus","Gemini","Cancer","Leo","Virgo","Libra","Scorpio","Sagittarius","Capricorn","Aquarius","Pisces"},0),2)=1),0,3))+(INT(CALC_PlanetPositions!$C$13/7.5))*3,12)+1),"—")</f>
        <v>Aries</v>
      </c>
      <c r="M11" t="str">
        <f>IFERROR(INDEX({"Aries","Taurus","Gemini","Cancer","Leo","Virgo","Libra","Scorpio","Sagittarius","Capricorn","Aquarius","Pisces"},MOD((IF((MOD(MATCH(CALC_PlanetPositions!$B$13,{"Aries","Taurus","Gemini","Cancer","Leo","Virgo","Libra","Scorpio","Sagittarius","Capricorn","Aquarius","Pisces"},0),2)=1),0,8))+(INT(CALC_PlanetPositions!$C$13/1.875)),12)+1),"—")</f>
        <v>Libra</v>
      </c>
      <c r="N11" t="str">
        <f>IFERROR(INDEX({"Aries","Taurus","Gemini","Cancer","Leo","Virgo","Libra","Scorpio","Sagittarius","Capricorn","Aquarius","Pisces"},MOD((IF((CHOOSE(MATCH(CALC_PlanetPositions!$B$13,{"Aries","Taurus","Gemini","Cancer","Leo","Virgo","Libra","Scorpio","Sagittarius","Capricorn","Aquarius","Pisces"},0),1,2,3,1,2,3,1,2,3,1,2,3))=1,0,IF((CHOOSE(MATCH(CALC_PlanetPositions!$B$13,{"Aries","Taurus","Gemini","Cancer","Leo","Virgo","Libra","Scorpio","Sagittarius","Capricorn","Aquarius","Pisces"},0),1,2,3,1,2,3,1,2,3,1,2,3))=2,8,4)))+(INT(CALC_PlanetPositions!$C$13/1.5)),12)+1),"—")</f>
        <v>Taurus</v>
      </c>
      <c r="O11" t="str">
        <f>IFERROR(INDEX({"Aries","Taurus","Gemini","Cancer","Leo","Virgo","Libra","Scorpio","Sagittarius","Capricorn","Aquarius","Pisces"},MOD((IF((MOD(MATCH(CALC_PlanetPositions!$B$13,{"Aries","Taurus","Gemini","Cancer","Leo","Virgo","Libra","Scorpio","Sagittarius","Capricorn","Aquarius","Pisces"},0),2)=1),4,3))+(INT(CALC_PlanetPositions!$C$13/1.25)),12)+1),"—")</f>
        <v>Scorpio</v>
      </c>
      <c r="P11" t="str">
        <f>IFERROR(INDEX({"Aries","Taurus","Gemini","Cancer","Leo","Virgo","Libra","Scorpio","Sagittarius","Capricorn","Aquarius","Pisces"},MOD((IF((CHOOSE(MATCH(CALC_PlanetPositions!$B$13,{"Aries","Taurus","Gemini","Cancer","Leo","Virgo","Libra","Scorpio","Sagittarius","Capricorn","Aquarius","Pisces"},0),1,2,3,1,2,3,1,2,3,1,2,3))=1,0,IF((CHOOSE(MATCH(CALC_PlanetPositions!$B$13,{"Aries","Taurus","Gemini","Cancer","Leo","Virgo","Libra","Scorpio","Sagittarius","Capricorn","Aquarius","Pisces"},0),1,2,3,1,2,3,1,2,3,1,2,3))=2,3,6)))+(INT(CALC_PlanetPositions!$C$13/1.1111)),12)+1),"—")</f>
        <v>Libra</v>
      </c>
      <c r="Q11" t="str">
        <f>IFERROR(INDEX({"Aries","Taurus","Gemini","Cancer","Leo","Virgo","Libra","Scorpio","Sagittarius","Capricorn","Aquarius","Pisces"},MOD((IF((MOD(MATCH(CALC_PlanetPositions!$B$13,{"Aries","Taurus","Gemini","Cancer","Leo","Virgo","Libra","Scorpio","Sagittarius","Capricorn","Aquarius","Pisces"},0),2)=1),0,6))+(INT(CALC_PlanetPositions!$C$13/0.75)),12)+1),"—")</f>
        <v>Capricorn</v>
      </c>
      <c r="R11" t="str">
        <f>IFERROR(INDEX({"Aries","Taurus","Gemini","Cancer","Leo","Virgo","Libra","Scorpio","Sagittarius","Capricorn","Aquarius","Pisces"},MOD((IF((CHOOSE(MATCH(CALC_PlanetPositions!$B$13,{"Aries","Taurus","Gemini","Cancer","Leo","Virgo","Libra","Scorpio","Sagittarius","Capricorn","Aquarius","Pisces"},0),1,2,3,4,1,2,3,4,1,2,3,4))=1,0,IF((CHOOSE(MATCH(CALC_PlanetPositions!$B$13,{"Aries","Taurus","Gemini","Cancer","Leo","Virgo","Libra","Scorpio","Sagittarius","Capricorn","Aquarius","Pisces"},0),1,2,3,4,1,2,3,4,1,2,3,4))=2,9,IF((CHOOSE(MATCH(CALC_PlanetPositions!$B$13,{"Aries","Taurus","Gemini","Cancer","Leo","Virgo","Libra","Scorpio","Sagittarius","Capricorn","Aquarius","Pisces"},0),1,2,3,4,1,2,3,4,1,2,3,4))=3,6,3))))+(INT(CALC_PlanetPositions!$C$13/0.6667)),12)+1),"—")</f>
        <v>Capricorn</v>
      </c>
      <c r="S11" t="str">
        <f>IFERROR(CALC_D60_Shastiamsha!$E$11,"—")</f>
        <v>Virgo</v>
      </c>
    </row>
    <row r="12" spans="1:19" ht="21.75" customHeight="1" x14ac:dyDescent="0.2">
      <c r="A12" s="90" t="s">
        <v>273</v>
      </c>
      <c r="B12" s="876" t="str">
        <f>IFERROR(CALC_PlanetPositions!$B$14,"—")</f>
        <v>Taurus</v>
      </c>
      <c r="C12" s="877">
        <f>IFERROR(CALC_PlanetPositions!$C$14,"—")</f>
        <v>5.0696999999999974</v>
      </c>
      <c r="D12" s="340" t="str">
        <f>IFERROR(INDEX({"Aries","Taurus","Gemini","Cancer","Leo","Virgo","Libra","Scorpio","Sagittarius","Capricorn","Aquarius","Pisces"},MOD(CHOOSE(MATCH(CALC_PlanetPositions!$B$14,{"Aries","Taurus","Gemini","Cancer","Leo","Virgo","Libra","Scorpio","Sagittarius","Capricorn","Aquarius","Pisces"},0),0,9,6,3,0,9,6,3,0,9,6,3)+INT(CALC_PlanetPositions!$C$14/3.3333),12)+1),"—")</f>
        <v>Aquarius</v>
      </c>
      <c r="E12" s="884" t="str">
        <f>IFERROR(INDEX({"Aries","Taurus","Gemini","Cancer","Leo","Virgo","Libra","Scorpio","Sagittarius","Capricorn","Aquarius","Pisces"},MOD(IF(MOD(MATCH(CALC_PlanetPositions!$B$14,{"Aries","Taurus","Gemini","Cancer","Leo","Virgo","Libra","Scorpio","Sagittarius","Capricorn","Aquarius","Pisces"},0),2)=1,0,9)+MATCH(CALC_PlanetPositions!$B$14,{"Aries","Taurus","Gemini","Cancer","Leo","Virgo","Libra","Scorpio","Sagittarius","Capricorn","Aquarius","Pisces"},0)-1+INT(CALC_PlanetPositions!$C$14/3),12)+1),"—")</f>
        <v>Pisces</v>
      </c>
      <c r="F12" s="317" t="str">
        <f>IFERROR(INDEX({"Aries","Taurus","Gemini","Cancer","Leo","Virgo","Libra","Scorpio","Sagittarius","Capricorn","Aquarius","Pisces"},MOD((MATCH(CALC_PlanetPositions!$B$14,{"Aries","Taurus","Gemini","Cancer","Leo","Virgo","Libra","Scorpio","Sagittarius","Capricorn","Aquarius","Pisces"},0)-1)*3+INT(CALC_PlanetPositions!$C$14/10),12)+1),"—")</f>
        <v>Cancer</v>
      </c>
      <c r="G12" s="337" t="str">
        <f>IFERROR(INDEX({"Aries","Taurus","Gemini","Cancer","Leo","Virgo","Libra","Scorpio","Sagittarius","Capricorn","Aquarius","Pisces"},MOD((MATCH(CALC_PlanetPositions!$B$14,{"Aries","Taurus","Gemini","Cancer","Leo","Virgo","Libra","Scorpio","Sagittarius","Capricorn","Aquarius","Pisces"},0)-1)*7+INT(CALC_PlanetPositions!$C$14/4.286),12)+1),"—")</f>
        <v>Sagittarius</v>
      </c>
      <c r="H12" s="885" t="str">
        <f>IFERROR(INDEX({"Aries","Taurus","Gemini","Cancer","Leo","Virgo","Libra","Scorpio","Sagittarius","Capricorn","Aquarius","Pisces"},MOD((MATCH(CALC_PlanetPositions!$B$14,{"Aries","Taurus","Gemini","Cancer","Leo","Virgo","Libra","Scorpio","Sagittarius","Capricorn","Aquarius","Pisces"},0)-1)*12+INT(CALC_PlanetPositions!$C$14/2.5),12)+1),"—")</f>
        <v>Gemini</v>
      </c>
      <c r="I12" s="886" t="str">
        <f>IFERROR(IF(CALC_PlanetPositions!$B$14=D12,"Vargottama ✓","·"),"—")</f>
        <v>·</v>
      </c>
      <c r="J12" s="887" t="str">
        <f>IFERROR(IF((MOD(MATCH(CALC_PlanetPositions!$B$14,{"Aries","Taurus","Gemini","Cancer","Leo","Virgo","Libra","Scorpio","Sagittarius","Capricorn","Aquarius","Pisces"},0),2)=1),IF(CALC_PlanetPositions!$C$14&lt;15,"Cancer","Leo"),IF(CALC_PlanetPositions!$C$14&lt;15,"Leo","Cancer")),"—")</f>
        <v>Leo</v>
      </c>
      <c r="K12" s="887" t="str">
        <f>IFERROR(IF((MOD(MATCH(CALC_PlanetPositions!$B$14,{"Aries","Taurus","Gemini","Cancer","Leo","Virgo","Libra","Scorpio","Sagittarius","Capricorn","Aquarius","Pisces"},0),2)=1),IF(CALC_PlanetPositions!$C$14&lt;5,"Aries",IF(CALC_PlanetPositions!$C$14&lt;10,"Capricorn",IF(CALC_PlanetPositions!$C$14&lt;18,"Sagittarius",IF(CALC_PlanetPositions!$C$14&lt;25,"Virgo","Taurus")))),IF(CALC_PlanetPositions!$C$14&lt;5,"Taurus",IF(CALC_PlanetPositions!$C$14&lt;12,"Gemini",IF(CALC_PlanetPositions!$C$14&lt;20,"Pisces",IF(CALC_PlanetPositions!$C$14&lt;25,"Aquarius","Scorpio"))))),"—")</f>
        <v>Gemini</v>
      </c>
      <c r="L12" t="str">
        <f>IFERROR(INDEX({"Aries","Taurus","Gemini","Cancer","Leo","Virgo","Libra","Scorpio","Sagittarius","Capricorn","Aquarius","Pisces"},MOD(MATCH(CALC_PlanetPositions!$B$14,{"Aries","Taurus","Gemini","Cancer","Leo","Virgo","Libra","Scorpio","Sagittarius","Capricorn","Aquarius","Pisces"},0)-1+(IF((MOD(MATCH(CALC_PlanetPositions!$B$14,{"Aries","Taurus","Gemini","Cancer","Leo","Virgo","Libra","Scorpio","Sagittarius","Capricorn","Aquarius","Pisces"},0),2)=1),0,3))+(INT(CALC_PlanetPositions!$C$14/7.5))*3,12)+1),"—")</f>
        <v>Leo</v>
      </c>
      <c r="M12" t="str">
        <f>IFERROR(INDEX({"Aries","Taurus","Gemini","Cancer","Leo","Virgo","Libra","Scorpio","Sagittarius","Capricorn","Aquarius","Pisces"},MOD((IF((MOD(MATCH(CALC_PlanetPositions!$B$14,{"Aries","Taurus","Gemini","Cancer","Leo","Virgo","Libra","Scorpio","Sagittarius","Capricorn","Aquarius","Pisces"},0),2)=1),0,8))+(INT(CALC_PlanetPositions!$C$14/1.875)),12)+1),"—")</f>
        <v>Aquarius</v>
      </c>
      <c r="N12" t="str">
        <f>IFERROR(INDEX({"Aries","Taurus","Gemini","Cancer","Leo","Virgo","Libra","Scorpio","Sagittarius","Capricorn","Aquarius","Pisces"},MOD((IF((CHOOSE(MATCH(CALC_PlanetPositions!$B$14,{"Aries","Taurus","Gemini","Cancer","Leo","Virgo","Libra","Scorpio","Sagittarius","Capricorn","Aquarius","Pisces"},0),1,2,3,1,2,3,1,2,3,1,2,3))=1,0,IF((CHOOSE(MATCH(CALC_PlanetPositions!$B$14,{"Aries","Taurus","Gemini","Cancer","Leo","Virgo","Libra","Scorpio","Sagittarius","Capricorn","Aquarius","Pisces"},0),1,2,3,1,2,3,1,2,3,1,2,3))=2,8,4)))+(INT(CALC_PlanetPositions!$C$14/1.5)),12)+1),"—")</f>
        <v>Pisces</v>
      </c>
      <c r="O12" t="str">
        <f>IFERROR(INDEX({"Aries","Taurus","Gemini","Cancer","Leo","Virgo","Libra","Scorpio","Sagittarius","Capricorn","Aquarius","Pisces"},MOD((IF((MOD(MATCH(CALC_PlanetPositions!$B$14,{"Aries","Taurus","Gemini","Cancer","Leo","Virgo","Libra","Scorpio","Sagittarius","Capricorn","Aquarius","Pisces"},0),2)=1),4,3))+(INT(CALC_PlanetPositions!$C$14/1.25)),12)+1),"—")</f>
        <v>Scorpio</v>
      </c>
      <c r="P12" t="str">
        <f>IFERROR(INDEX({"Aries","Taurus","Gemini","Cancer","Leo","Virgo","Libra","Scorpio","Sagittarius","Capricorn","Aquarius","Pisces"},MOD((IF((CHOOSE(MATCH(CALC_PlanetPositions!$B$14,{"Aries","Taurus","Gemini","Cancer","Leo","Virgo","Libra","Scorpio","Sagittarius","Capricorn","Aquarius","Pisces"},0),1,2,3,1,2,3,1,2,3,1,2,3))=1,0,IF((CHOOSE(MATCH(CALC_PlanetPositions!$B$14,{"Aries","Taurus","Gemini","Cancer","Leo","Virgo","Libra","Scorpio","Sagittarius","Capricorn","Aquarius","Pisces"},0),1,2,3,1,2,3,1,2,3,1,2,3))=2,3,6)))+(INT(CALC_PlanetPositions!$C$14/1.1111)),12)+1),"—")</f>
        <v>Scorpio</v>
      </c>
      <c r="Q12" t="str">
        <f>IFERROR(INDEX({"Aries","Taurus","Gemini","Cancer","Leo","Virgo","Libra","Scorpio","Sagittarius","Capricorn","Aquarius","Pisces"},MOD((IF((MOD(MATCH(CALC_PlanetPositions!$B$14,{"Aries","Taurus","Gemini","Cancer","Leo","Virgo","Libra","Scorpio","Sagittarius","Capricorn","Aquarius","Pisces"},0),2)=1),0,6))+(INT(CALC_PlanetPositions!$C$14/0.75)),12)+1),"—")</f>
        <v>Aries</v>
      </c>
      <c r="R12" t="str">
        <f>IFERROR(INDEX({"Aries","Taurus","Gemini","Cancer","Leo","Virgo","Libra","Scorpio","Sagittarius","Capricorn","Aquarius","Pisces"},MOD((IF((CHOOSE(MATCH(CALC_PlanetPositions!$B$14,{"Aries","Taurus","Gemini","Cancer","Leo","Virgo","Libra","Scorpio","Sagittarius","Capricorn","Aquarius","Pisces"},0),1,2,3,4,1,2,3,4,1,2,3,4))=1,0,IF((CHOOSE(MATCH(CALC_PlanetPositions!$B$14,{"Aries","Taurus","Gemini","Cancer","Leo","Virgo","Libra","Scorpio","Sagittarius","Capricorn","Aquarius","Pisces"},0),1,2,3,4,1,2,3,4,1,2,3,4))=2,9,IF((CHOOSE(MATCH(CALC_PlanetPositions!$B$14,{"Aries","Taurus","Gemini","Cancer","Leo","Virgo","Libra","Scorpio","Sagittarius","Capricorn","Aquarius","Pisces"},0),1,2,3,4,1,2,3,4,1,2,3,4))=3,6,3))))+(INT(CALC_PlanetPositions!$C$14/0.6667)),12)+1),"—")</f>
        <v>Leo</v>
      </c>
      <c r="S12" t="str">
        <f>"—"</f>
        <v>—</v>
      </c>
    </row>
    <row r="13" spans="1:19" ht="21.75" customHeight="1" x14ac:dyDescent="0.2">
      <c r="A13" s="94" t="s">
        <v>274</v>
      </c>
      <c r="B13" s="879" t="str">
        <f>IFERROR(CALC_PlanetPositions!$B$15,"—")</f>
        <v>Scorpio</v>
      </c>
      <c r="C13" s="880">
        <f>IFERROR(CALC_PlanetPositions!$C$15,"—")</f>
        <v>5.0697000000000116</v>
      </c>
      <c r="D13" s="340" t="str">
        <f>IFERROR(INDEX({"Aries","Taurus","Gemini","Cancer","Leo","Virgo","Libra","Scorpio","Sagittarius","Capricorn","Aquarius","Pisces"},MOD(CHOOSE(MATCH(CALC_PlanetPositions!$B$15,{"Aries","Taurus","Gemini","Cancer","Leo","Virgo","Libra","Scorpio","Sagittarius","Capricorn","Aquarius","Pisces"},0),0,9,6,3,0,9,6,3,0,9,6,3)+INT(CALC_PlanetPositions!$C$15/3.3333),12)+1),"—")</f>
        <v>Leo</v>
      </c>
      <c r="E13" s="884" t="str">
        <f>IFERROR(INDEX({"Aries","Taurus","Gemini","Cancer","Leo","Virgo","Libra","Scorpio","Sagittarius","Capricorn","Aquarius","Pisces"},MOD(IF(MOD(MATCH(CALC_PlanetPositions!$B$15,{"Aries","Taurus","Gemini","Cancer","Leo","Virgo","Libra","Scorpio","Sagittarius","Capricorn","Aquarius","Pisces"},0),2)=1,0,9)+MATCH(CALC_PlanetPositions!$B$15,{"Aries","Taurus","Gemini","Cancer","Leo","Virgo","Libra","Scorpio","Sagittarius","Capricorn","Aquarius","Pisces"},0)-1+INT(CALC_PlanetPositions!$C$15/3),12)+1),"—")</f>
        <v>Virgo</v>
      </c>
      <c r="F13" s="317" t="str">
        <f>IFERROR(INDEX({"Aries","Taurus","Gemini","Cancer","Leo","Virgo","Libra","Scorpio","Sagittarius","Capricorn","Aquarius","Pisces"},MOD((MATCH(CALC_PlanetPositions!$B$15,{"Aries","Taurus","Gemini","Cancer","Leo","Virgo","Libra","Scorpio","Sagittarius","Capricorn","Aquarius","Pisces"},0)-1)*3+INT(CALC_PlanetPositions!$C$15/10),12)+1),"—")</f>
        <v>Capricorn</v>
      </c>
      <c r="G13" s="337" t="str">
        <f>IFERROR(INDEX({"Aries","Taurus","Gemini","Cancer","Leo","Virgo","Libra","Scorpio","Sagittarius","Capricorn","Aquarius","Pisces"},MOD((MATCH(CALC_PlanetPositions!$B$15,{"Aries","Taurus","Gemini","Cancer","Leo","Virgo","Libra","Scorpio","Sagittarius","Capricorn","Aquarius","Pisces"},0)-1)*7+INT(CALC_PlanetPositions!$C$15/4.286),12)+1),"—")</f>
        <v>Gemini</v>
      </c>
      <c r="H13" s="885" t="str">
        <f>IFERROR(INDEX({"Aries","Taurus","Gemini","Cancer","Leo","Virgo","Libra","Scorpio","Sagittarius","Capricorn","Aquarius","Pisces"},MOD((MATCH(CALC_PlanetPositions!$B$15,{"Aries","Taurus","Gemini","Cancer","Leo","Virgo","Libra","Scorpio","Sagittarius","Capricorn","Aquarius","Pisces"},0)-1)*12+INT(CALC_PlanetPositions!$C$15/2.5),12)+1),"—")</f>
        <v>Gemini</v>
      </c>
      <c r="I13" s="888" t="str">
        <f>IFERROR(IF(CALC_PlanetPositions!$B$15=D13,"Vargottama ✓","·"),"—")</f>
        <v>·</v>
      </c>
      <c r="J13" s="889" t="str">
        <f>IFERROR(IF((MOD(MATCH(CALC_PlanetPositions!$B$15,{"Aries","Taurus","Gemini","Cancer","Leo","Virgo","Libra","Scorpio","Sagittarius","Capricorn","Aquarius","Pisces"},0),2)=1),IF(CALC_PlanetPositions!$C$15&lt;15,"Cancer","Leo"),IF(CALC_PlanetPositions!$C$15&lt;15,"Leo","Cancer")),"—")</f>
        <v>Leo</v>
      </c>
      <c r="K13" s="889" t="str">
        <f>IFERROR(IF((MOD(MATCH(CALC_PlanetPositions!$B$15,{"Aries","Taurus","Gemini","Cancer","Leo","Virgo","Libra","Scorpio","Sagittarius","Capricorn","Aquarius","Pisces"},0),2)=1),IF(CALC_PlanetPositions!$C$15&lt;5,"Aries",IF(CALC_PlanetPositions!$C$15&lt;10,"Capricorn",IF(CALC_PlanetPositions!$C$15&lt;18,"Sagittarius",IF(CALC_PlanetPositions!$C$15&lt;25,"Virgo","Taurus")))),IF(CALC_PlanetPositions!$C$15&lt;5,"Taurus",IF(CALC_PlanetPositions!$C$15&lt;12,"Gemini",IF(CALC_PlanetPositions!$C$15&lt;20,"Pisces",IF(CALC_PlanetPositions!$C$15&lt;25,"Aquarius","Scorpio"))))),"—")</f>
        <v>Gemini</v>
      </c>
      <c r="L13" t="str">
        <f>IFERROR(INDEX({"Aries","Taurus","Gemini","Cancer","Leo","Virgo","Libra","Scorpio","Sagittarius","Capricorn","Aquarius","Pisces"},MOD(MATCH(CALC_PlanetPositions!$B$15,{"Aries","Taurus","Gemini","Cancer","Leo","Virgo","Libra","Scorpio","Sagittarius","Capricorn","Aquarius","Pisces"},0)-1+(IF((MOD(MATCH(CALC_PlanetPositions!$B$15,{"Aries","Taurus","Gemini","Cancer","Leo","Virgo","Libra","Scorpio","Sagittarius","Capricorn","Aquarius","Pisces"},0),2)=1),0,3))+(INT(CALC_PlanetPositions!$C$15/7.5))*3,12)+1),"—")</f>
        <v>Aquarius</v>
      </c>
      <c r="M13" t="str">
        <f>IFERROR(INDEX({"Aries","Taurus","Gemini","Cancer","Leo","Virgo","Libra","Scorpio","Sagittarius","Capricorn","Aquarius","Pisces"},MOD((IF((MOD(MATCH(CALC_PlanetPositions!$B$15,{"Aries","Taurus","Gemini","Cancer","Leo","Virgo","Libra","Scorpio","Sagittarius","Capricorn","Aquarius","Pisces"},0),2)=1),0,8))+(INT(CALC_PlanetPositions!$C$15/1.875)),12)+1),"—")</f>
        <v>Aquarius</v>
      </c>
      <c r="N13" t="str">
        <f>IFERROR(INDEX({"Aries","Taurus","Gemini","Cancer","Leo","Virgo","Libra","Scorpio","Sagittarius","Capricorn","Aquarius","Pisces"},MOD((IF((CHOOSE(MATCH(CALC_PlanetPositions!$B$15,{"Aries","Taurus","Gemini","Cancer","Leo","Virgo","Libra","Scorpio","Sagittarius","Capricorn","Aquarius","Pisces"},0),1,2,3,1,2,3,1,2,3,1,2,3))=1,0,IF((CHOOSE(MATCH(CALC_PlanetPositions!$B$15,{"Aries","Taurus","Gemini","Cancer","Leo","Virgo","Libra","Scorpio","Sagittarius","Capricorn","Aquarius","Pisces"},0),1,2,3,1,2,3,1,2,3,1,2,3))=2,8,4)))+(INT(CALC_PlanetPositions!$C$15/1.5)),12)+1),"—")</f>
        <v>Pisces</v>
      </c>
      <c r="O13" t="str">
        <f>IFERROR(INDEX({"Aries","Taurus","Gemini","Cancer","Leo","Virgo","Libra","Scorpio","Sagittarius","Capricorn","Aquarius","Pisces"},MOD((IF((MOD(MATCH(CALC_PlanetPositions!$B$15,{"Aries","Taurus","Gemini","Cancer","Leo","Virgo","Libra","Scorpio","Sagittarius","Capricorn","Aquarius","Pisces"},0),2)=1),4,3))+(INT(CALC_PlanetPositions!$C$15/1.25)),12)+1),"—")</f>
        <v>Scorpio</v>
      </c>
      <c r="P13" t="str">
        <f>IFERROR(INDEX({"Aries","Taurus","Gemini","Cancer","Leo","Virgo","Libra","Scorpio","Sagittarius","Capricorn","Aquarius","Pisces"},MOD((IF((CHOOSE(MATCH(CALC_PlanetPositions!$B$15,{"Aries","Taurus","Gemini","Cancer","Leo","Virgo","Libra","Scorpio","Sagittarius","Capricorn","Aquarius","Pisces"},0),1,2,3,1,2,3,1,2,3,1,2,3))=1,0,IF((CHOOSE(MATCH(CALC_PlanetPositions!$B$15,{"Aries","Taurus","Gemini","Cancer","Leo","Virgo","Libra","Scorpio","Sagittarius","Capricorn","Aquarius","Pisces"},0),1,2,3,1,2,3,1,2,3,1,2,3))=2,3,6)))+(INT(CALC_PlanetPositions!$C$15/1.1111)),12)+1),"—")</f>
        <v>Scorpio</v>
      </c>
      <c r="Q13" t="str">
        <f>IFERROR(INDEX({"Aries","Taurus","Gemini","Cancer","Leo","Virgo","Libra","Scorpio","Sagittarius","Capricorn","Aquarius","Pisces"},MOD((IF((MOD(MATCH(CALC_PlanetPositions!$B$15,{"Aries","Taurus","Gemini","Cancer","Leo","Virgo","Libra","Scorpio","Sagittarius","Capricorn","Aquarius","Pisces"},0),2)=1),0,6))+(INT(CALC_PlanetPositions!$C$15/0.75)),12)+1),"—")</f>
        <v>Aries</v>
      </c>
      <c r="R13" t="str">
        <f>IFERROR(INDEX({"Aries","Taurus","Gemini","Cancer","Leo","Virgo","Libra","Scorpio","Sagittarius","Capricorn","Aquarius","Pisces"},MOD((IF((CHOOSE(MATCH(CALC_PlanetPositions!$B$15,{"Aries","Taurus","Gemini","Cancer","Leo","Virgo","Libra","Scorpio","Sagittarius","Capricorn","Aquarius","Pisces"},0),1,2,3,4,1,2,3,4,1,2,3,4))=1,0,IF((CHOOSE(MATCH(CALC_PlanetPositions!$B$15,{"Aries","Taurus","Gemini","Cancer","Leo","Virgo","Libra","Scorpio","Sagittarius","Capricorn","Aquarius","Pisces"},0),1,2,3,4,1,2,3,4,1,2,3,4))=2,9,IF((CHOOSE(MATCH(CALC_PlanetPositions!$B$15,{"Aries","Taurus","Gemini","Cancer","Leo","Virgo","Libra","Scorpio","Sagittarius","Capricorn","Aquarius","Pisces"},0),1,2,3,4,1,2,3,4,1,2,3,4))=3,6,3))))+(INT(CALC_PlanetPositions!$C$15/0.6667)),12)+1),"—")</f>
        <v>Aquarius</v>
      </c>
      <c r="S13" t="str">
        <f>"—"</f>
        <v>—</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6A1B9A"/>
  </sheetPr>
  <dimension ref="A1:M15"/>
  <sheetViews>
    <sheetView zoomScaleNormal="100" workbookViewId="0"/>
  </sheetViews>
  <sheetFormatPr defaultColWidth="8.609375" defaultRowHeight="15" x14ac:dyDescent="0.2"/>
  <cols>
    <col min="1" max="1" width="6.05078125" customWidth="1"/>
    <col min="2" max="2" width="20.04296875" customWidth="1"/>
    <col min="3" max="5" width="13.98828125" customWidth="1"/>
    <col min="6" max="7" width="9.953125" customWidth="1"/>
    <col min="8" max="8" width="7.93359375" customWidth="1"/>
    <col min="9" max="9" width="29.99609375" customWidth="1"/>
  </cols>
  <sheetData>
    <row r="1" spans="1:13" ht="27.75" customHeight="1" x14ac:dyDescent="0.2">
      <c r="A1" s="1518" t="s">
        <v>3939</v>
      </c>
      <c r="B1" s="1518"/>
      <c r="C1" s="1518"/>
      <c r="D1" s="1518"/>
      <c r="E1" s="1518"/>
      <c r="F1" s="1518"/>
      <c r="G1" s="1518"/>
      <c r="H1" s="1518"/>
      <c r="I1" s="1518"/>
      <c r="J1" s="854"/>
      <c r="M1" s="29" t="str">
        <f>HYPERLINK("#'00_INDEX'!A1","&lt;- Index")</f>
        <v>&lt;- Index</v>
      </c>
    </row>
    <row r="2" spans="1:13" ht="24" customHeight="1" x14ac:dyDescent="0.2">
      <c r="A2" s="1508" t="s">
        <v>3940</v>
      </c>
      <c r="B2" s="1508"/>
      <c r="C2" s="1508"/>
      <c r="D2" s="1508"/>
      <c r="E2" s="1508"/>
      <c r="F2" s="1508"/>
      <c r="G2" s="1508"/>
      <c r="H2" s="1508"/>
      <c r="I2" s="1508"/>
      <c r="J2" s="854"/>
    </row>
    <row r="3" spans="1:13" ht="19.5" customHeight="1" x14ac:dyDescent="0.2">
      <c r="A3" s="87" t="s">
        <v>2276</v>
      </c>
      <c r="B3" s="516" t="s">
        <v>3941</v>
      </c>
      <c r="C3" s="516" t="s">
        <v>1121</v>
      </c>
      <c r="D3" s="517" t="s">
        <v>3242</v>
      </c>
      <c r="E3" s="517" t="s">
        <v>3942</v>
      </c>
      <c r="F3" s="658" t="s">
        <v>3539</v>
      </c>
      <c r="G3" s="658" t="s">
        <v>622</v>
      </c>
      <c r="H3" s="890" t="s">
        <v>625</v>
      </c>
      <c r="I3" s="658" t="s">
        <v>619</v>
      </c>
      <c r="J3" s="89" t="s">
        <v>3943</v>
      </c>
    </row>
    <row r="4" spans="1:13" ht="21.75" customHeight="1" x14ac:dyDescent="0.2">
      <c r="A4" s="769">
        <v>1</v>
      </c>
      <c r="B4" s="84" t="s">
        <v>3944</v>
      </c>
      <c r="C4" s="891" t="str">
        <f>IFERROR(INDEX({"Aries","Taurus","Gemini","Cancer","Leo","Virgo","Libra","Scorpio","Sagittarius","Capricorn","Aquarius","Pisces"},MOD(MATCH(CALC_PlanetPositions!$B$8,{"Aries","Taurus","Gemini","Cancer","Leo","Virgo","Libra","Scorpio","Sagittarius","Capricorn","Aquarius","Pisces"},0)-1+0,12)+1),"—")</f>
        <v>Cancer</v>
      </c>
      <c r="D4" s="888" t="str">
        <f>IFERROR(INDEX(REF_Zodiac!$D$7:$O$7,MATCH(C4,REF_Zodiac!$D$3:$O$3,0)),"—")</f>
        <v>Moon</v>
      </c>
      <c r="E4" s="892" t="str">
        <f>IFERROR(INDEX(CALC_PlanetPositions!$B$7:$B$15,MATCH(D4,CALC_PlanetPositions!$A$7:$A$15,0)),"—")</f>
        <v>Cancer</v>
      </c>
      <c r="F4" s="107">
        <f>IFERROR(MOD(MATCH(E4,{"Aries","Taurus","Gemini","Cancer","Leo","Virgo","Libra","Scorpio","Sagittarius","Capricorn","Aquarius","Pisces"},0)-MATCH(CALC_PlanetPositions!$B$8,{"Aries","Taurus","Gemini","Cancer","Leo","Virgo","Libra","Scorpio","Sagittarius","Capricorn","Aquarius","Pisces"},0),12)+1,"—")</f>
        <v>1</v>
      </c>
      <c r="G4" s="892" t="str">
        <f>IFERROR(IF(ISNUMBER(MATCH(F4,{1,4,7,10},0)),"Yes","·"),"—")</f>
        <v>Yes</v>
      </c>
      <c r="H4" s="893" t="str">
        <f>IFERROR(IF(ISNUMBER(MATCH(F4,{1,5,9},0)),"Yes","·"),"·")</f>
        <v>Yes</v>
      </c>
      <c r="I4" s="894" t="str">
        <f>IFERROR(IF(ISNUMBER(MATCH(F4,{6,8,12},0)),"Yes","·"),"—")</f>
        <v>·</v>
      </c>
      <c r="J4" s="673" t="s">
        <v>3945</v>
      </c>
    </row>
    <row r="5" spans="1:13" ht="21.75" customHeight="1" x14ac:dyDescent="0.2">
      <c r="A5" s="768">
        <v>2</v>
      </c>
      <c r="B5" s="895" t="s">
        <v>3946</v>
      </c>
      <c r="C5" s="896" t="str">
        <f>IFERROR(INDEX({"Aries","Taurus","Gemini","Cancer","Leo","Virgo","Libra","Scorpio","Sagittarius","Capricorn","Aquarius","Pisces"},MOD(MATCH(CALC_PlanetPositions!$B$8,{"Aries","Taurus","Gemini","Cancer","Leo","Virgo","Libra","Scorpio","Sagittarius","Capricorn","Aquarius","Pisces"},0)-1+1,12)+1),"—")</f>
        <v>Leo</v>
      </c>
      <c r="D5" s="886" t="str">
        <f>IFERROR(INDEX(REF_Zodiac!$D$7:$O$7,MATCH(C5,REF_Zodiac!$D$3:$O$3,0)),"—")</f>
        <v>Sun</v>
      </c>
      <c r="E5" s="897" t="str">
        <f>IFERROR(INDEX(CALC_PlanetPositions!$B$7:$B$15,MATCH(D5,CALC_PlanetPositions!$A$7:$A$15,0)),"—")</f>
        <v>Cancer</v>
      </c>
      <c r="F5" s="107">
        <f>IFERROR(MOD(MATCH(E5,{"Aries","Taurus","Gemini","Cancer","Leo","Virgo","Libra","Scorpio","Sagittarius","Capricorn","Aquarius","Pisces"},0)-MATCH(CALC_PlanetPositions!$B$8,{"Aries","Taurus","Gemini","Cancer","Leo","Virgo","Libra","Scorpio","Sagittarius","Capricorn","Aquarius","Pisces"},0),12)+1,"—")</f>
        <v>1</v>
      </c>
      <c r="G5" s="897" t="str">
        <f>IFERROR(IF(ISNUMBER(MATCH(F5,{1,4,7,10},0)),"Yes","·"),"—")</f>
        <v>Yes</v>
      </c>
      <c r="H5" s="898" t="str">
        <f>IFERROR(IF(ISNUMBER(MATCH(F5,{1,5,9},0)),"Yes","·"),"·")</f>
        <v>Yes</v>
      </c>
      <c r="I5" s="899" t="str">
        <f>IFERROR(IF(ISNUMBER(MATCH(F5,{6,8,12},0)),"Yes","·"),"—")</f>
        <v>·</v>
      </c>
      <c r="J5" s="677" t="s">
        <v>3947</v>
      </c>
    </row>
    <row r="6" spans="1:13" ht="21.75" customHeight="1" x14ac:dyDescent="0.2">
      <c r="A6" s="769">
        <v>3</v>
      </c>
      <c r="B6" s="84" t="s">
        <v>3948</v>
      </c>
      <c r="C6" s="891" t="str">
        <f>IFERROR(INDEX({"Aries","Taurus","Gemini","Cancer","Leo","Virgo","Libra","Scorpio","Sagittarius","Capricorn","Aquarius","Pisces"},MOD(MATCH(CALC_PlanetPositions!$B$8,{"Aries","Taurus","Gemini","Cancer","Leo","Virgo","Libra","Scorpio","Sagittarius","Capricorn","Aquarius","Pisces"},0)-1+2,12)+1),"—")</f>
        <v>Virgo</v>
      </c>
      <c r="D6" s="888" t="str">
        <f>IFERROR(INDEX(REF_Zodiac!$D$7:$O$7,MATCH(C6,REF_Zodiac!$D$3:$O$3,0)),"—")</f>
        <v>Mercury</v>
      </c>
      <c r="E6" s="892" t="str">
        <f>IFERROR(INDEX(CALC_PlanetPositions!$B$7:$B$15,MATCH(D6,CALC_PlanetPositions!$A$7:$A$15,0)),"—")</f>
        <v>Cancer</v>
      </c>
      <c r="F6" s="107">
        <f>IFERROR(MOD(MATCH(E6,{"Aries","Taurus","Gemini","Cancer","Leo","Virgo","Libra","Scorpio","Sagittarius","Capricorn","Aquarius","Pisces"},0)-MATCH(CALC_PlanetPositions!$B$8,{"Aries","Taurus","Gemini","Cancer","Leo","Virgo","Libra","Scorpio","Sagittarius","Capricorn","Aquarius","Pisces"},0),12)+1,"—")</f>
        <v>1</v>
      </c>
      <c r="G6" s="892" t="str">
        <f>IFERROR(IF(ISNUMBER(MATCH(F6,{1,4,7,10},0)),"Yes","·"),"—")</f>
        <v>Yes</v>
      </c>
      <c r="H6" s="893" t="str">
        <f>IFERROR(IF(ISNUMBER(MATCH(F6,{1,5,9},0)),"Yes","·"),"·")</f>
        <v>Yes</v>
      </c>
      <c r="I6" s="894" t="str">
        <f>IFERROR(IF(ISNUMBER(MATCH(F6,{6,8,12},0)),"Yes","·"),"—")</f>
        <v>·</v>
      </c>
      <c r="J6" s="673" t="s">
        <v>3949</v>
      </c>
    </row>
    <row r="7" spans="1:13" ht="21.75" customHeight="1" x14ac:dyDescent="0.2">
      <c r="A7" s="768">
        <v>4</v>
      </c>
      <c r="B7" s="895" t="s">
        <v>3950</v>
      </c>
      <c r="C7" s="896" t="str">
        <f>IFERROR(INDEX({"Aries","Taurus","Gemini","Cancer","Leo","Virgo","Libra","Scorpio","Sagittarius","Capricorn","Aquarius","Pisces"},MOD(MATCH(CALC_PlanetPositions!$B$8,{"Aries","Taurus","Gemini","Cancer","Leo","Virgo","Libra","Scorpio","Sagittarius","Capricorn","Aquarius","Pisces"},0)-1+3,12)+1),"—")</f>
        <v>Libra</v>
      </c>
      <c r="D7" s="886" t="str">
        <f>IFERROR(INDEX(REF_Zodiac!$D$7:$O$7,MATCH(C7,REF_Zodiac!$D$3:$O$3,0)),"—")</f>
        <v>Venus</v>
      </c>
      <c r="E7" s="897" t="str">
        <f>IFERROR(INDEX(CALC_PlanetPositions!$B$7:$B$15,MATCH(D7,CALC_PlanetPositions!$A$7:$A$15,0)),"—")</f>
        <v>Cancer</v>
      </c>
      <c r="F7" s="107">
        <f>IFERROR(MOD(MATCH(E7,{"Aries","Taurus","Gemini","Cancer","Leo","Virgo","Libra","Scorpio","Sagittarius","Capricorn","Aquarius","Pisces"},0)-MATCH(CALC_PlanetPositions!$B$8,{"Aries","Taurus","Gemini","Cancer","Leo","Virgo","Libra","Scorpio","Sagittarius","Capricorn","Aquarius","Pisces"},0),12)+1,"—")</f>
        <v>1</v>
      </c>
      <c r="G7" s="897" t="str">
        <f>IFERROR(IF(ISNUMBER(MATCH(F7,{1,4,7,10},0)),"Yes","·"),"—")</f>
        <v>Yes</v>
      </c>
      <c r="H7" s="898" t="str">
        <f>IFERROR(IF(ISNUMBER(MATCH(F7,{1,5,9},0)),"Yes","·"),"·")</f>
        <v>Yes</v>
      </c>
      <c r="I7" s="899" t="str">
        <f>IFERROR(IF(ISNUMBER(MATCH(F7,{6,8,12},0)),"Yes","·"),"—")</f>
        <v>·</v>
      </c>
      <c r="J7" s="677" t="s">
        <v>3951</v>
      </c>
    </row>
    <row r="8" spans="1:13" ht="21.75" customHeight="1" x14ac:dyDescent="0.2">
      <c r="A8" s="769">
        <v>5</v>
      </c>
      <c r="B8" s="84" t="s">
        <v>3952</v>
      </c>
      <c r="C8" s="891" t="str">
        <f>IFERROR(INDEX({"Aries","Taurus","Gemini","Cancer","Leo","Virgo","Libra","Scorpio","Sagittarius","Capricorn","Aquarius","Pisces"},MOD(MATCH(CALC_PlanetPositions!$B$8,{"Aries","Taurus","Gemini","Cancer","Leo","Virgo","Libra","Scorpio","Sagittarius","Capricorn","Aquarius","Pisces"},0)-1+4,12)+1),"—")</f>
        <v>Scorpio</v>
      </c>
      <c r="D8" s="888" t="str">
        <f>IFERROR(INDEX(REF_Zodiac!$D$7:$O$7,MATCH(C8,REF_Zodiac!$D$3:$O$3,0)),"—")</f>
        <v>Mars</v>
      </c>
      <c r="E8" s="892" t="str">
        <f>IFERROR(INDEX(CALC_PlanetPositions!$B$7:$B$15,MATCH(D8,CALC_PlanetPositions!$A$7:$A$15,0)),"—")</f>
        <v>Gemini</v>
      </c>
      <c r="F8" s="107">
        <f>IFERROR(MOD(MATCH(E8,{"Aries","Taurus","Gemini","Cancer","Leo","Virgo","Libra","Scorpio","Sagittarius","Capricorn","Aquarius","Pisces"},0)-MATCH(CALC_PlanetPositions!$B$8,{"Aries","Taurus","Gemini","Cancer","Leo","Virgo","Libra","Scorpio","Sagittarius","Capricorn","Aquarius","Pisces"},0),12)+1,"—")</f>
        <v>12</v>
      </c>
      <c r="G8" s="892" t="str">
        <f>IFERROR(IF(ISNUMBER(MATCH(F8,{1,4,7,10},0)),"Yes","·"),"—")</f>
        <v>·</v>
      </c>
      <c r="H8" s="893" t="str">
        <f>IFERROR(IF(ISNUMBER(MATCH(F8,{1,5,9},0)),"Yes","·"),"·")</f>
        <v>·</v>
      </c>
      <c r="I8" s="894" t="str">
        <f>IFERROR(IF(ISNUMBER(MATCH(F8,{6,8,12},0)),"Yes","·"),"—")</f>
        <v>Yes</v>
      </c>
      <c r="J8" s="673" t="s">
        <v>3953</v>
      </c>
    </row>
    <row r="9" spans="1:13" ht="21.75" customHeight="1" x14ac:dyDescent="0.2">
      <c r="A9" s="768">
        <v>6</v>
      </c>
      <c r="B9" s="895" t="s">
        <v>3954</v>
      </c>
      <c r="C9" s="896" t="str">
        <f>IFERROR(INDEX({"Aries","Taurus","Gemini","Cancer","Leo","Virgo","Libra","Scorpio","Sagittarius","Capricorn","Aquarius","Pisces"},MOD(MATCH(CALC_PlanetPositions!$B$8,{"Aries","Taurus","Gemini","Cancer","Leo","Virgo","Libra","Scorpio","Sagittarius","Capricorn","Aquarius","Pisces"},0)-1+5,12)+1),"—")</f>
        <v>Sagittarius</v>
      </c>
      <c r="D9" s="886" t="str">
        <f>IFERROR(INDEX(REF_Zodiac!$D$7:$O$7,MATCH(C9,REF_Zodiac!$D$3:$O$3,0)),"—")</f>
        <v>Jupiter</v>
      </c>
      <c r="E9" s="897" t="str">
        <f>IFERROR(INDEX(CALC_PlanetPositions!$B$7:$B$15,MATCH(D9,CALC_PlanetPositions!$A$7:$A$15,0)),"—")</f>
        <v>Libra</v>
      </c>
      <c r="F9" s="107">
        <f>IFERROR(MOD(MATCH(E9,{"Aries","Taurus","Gemini","Cancer","Leo","Virgo","Libra","Scorpio","Sagittarius","Capricorn","Aquarius","Pisces"},0)-MATCH(CALC_PlanetPositions!$B$8,{"Aries","Taurus","Gemini","Cancer","Leo","Virgo","Libra","Scorpio","Sagittarius","Capricorn","Aquarius","Pisces"},0),12)+1,"—")</f>
        <v>4</v>
      </c>
      <c r="G9" s="897" t="str">
        <f>IFERROR(IF(ISNUMBER(MATCH(F9,{1,4,7,10},0)),"Yes","·"),"—")</f>
        <v>Yes</v>
      </c>
      <c r="H9" s="898" t="str">
        <f>IFERROR(IF(ISNUMBER(MATCH(F9,{1,5,9},0)),"Yes","·"),"·")</f>
        <v>·</v>
      </c>
      <c r="I9" s="899" t="str">
        <f>IFERROR(IF(ISNUMBER(MATCH(F9,{6,8,12},0)),"Yes","·"),"—")</f>
        <v>·</v>
      </c>
      <c r="J9" s="677" t="s">
        <v>3955</v>
      </c>
    </row>
    <row r="10" spans="1:13" ht="21.75" customHeight="1" x14ac:dyDescent="0.2">
      <c r="A10" s="769">
        <v>7</v>
      </c>
      <c r="B10" s="84" t="s">
        <v>3956</v>
      </c>
      <c r="C10" s="891" t="str">
        <f>IFERROR(INDEX({"Aries","Taurus","Gemini","Cancer","Leo","Virgo","Libra","Scorpio","Sagittarius","Capricorn","Aquarius","Pisces"},MOD(MATCH(CALC_PlanetPositions!$B$8,{"Aries","Taurus","Gemini","Cancer","Leo","Virgo","Libra","Scorpio","Sagittarius","Capricorn","Aquarius","Pisces"},0)-1+6,12)+1),"—")</f>
        <v>Capricorn</v>
      </c>
      <c r="D10" s="888" t="str">
        <f>IFERROR(INDEX(REF_Zodiac!$D$7:$O$7,MATCH(C10,REF_Zodiac!$D$3:$O$3,0)),"—")</f>
        <v>Saturn</v>
      </c>
      <c r="E10" s="892" t="str">
        <f>IFERROR(INDEX(CALC_PlanetPositions!$B$7:$B$15,MATCH(D10,CALC_PlanetPositions!$A$7:$A$15,0)),"—")</f>
        <v>Cancer</v>
      </c>
      <c r="F10" s="107">
        <f>IFERROR(MOD(MATCH(E10,{"Aries","Taurus","Gemini","Cancer","Leo","Virgo","Libra","Scorpio","Sagittarius","Capricorn","Aquarius","Pisces"},0)-MATCH(CALC_PlanetPositions!$B$8,{"Aries","Taurus","Gemini","Cancer","Leo","Virgo","Libra","Scorpio","Sagittarius","Capricorn","Aquarius","Pisces"},0),12)+1,"—")</f>
        <v>1</v>
      </c>
      <c r="G10" s="892" t="str">
        <f>IFERROR(IF(ISNUMBER(MATCH(F10,{1,4,7,10},0)),"Yes","·"),"—")</f>
        <v>Yes</v>
      </c>
      <c r="H10" s="893" t="str">
        <f>IFERROR(IF(ISNUMBER(MATCH(F10,{1,5,9},0)),"Yes","·"),"·")</f>
        <v>Yes</v>
      </c>
      <c r="I10" s="894" t="str">
        <f>IFERROR(IF(ISNUMBER(MATCH(F10,{6,8,12},0)),"Yes","·"),"—")</f>
        <v>·</v>
      </c>
      <c r="J10" s="673" t="s">
        <v>3957</v>
      </c>
    </row>
    <row r="11" spans="1:13" ht="21.75" customHeight="1" x14ac:dyDescent="0.2">
      <c r="A11" s="768">
        <v>8</v>
      </c>
      <c r="B11" s="895" t="s">
        <v>3958</v>
      </c>
      <c r="C11" s="896" t="str">
        <f>IFERROR(INDEX({"Aries","Taurus","Gemini","Cancer","Leo","Virgo","Libra","Scorpio","Sagittarius","Capricorn","Aquarius","Pisces"},MOD(MATCH(CALC_PlanetPositions!$B$8,{"Aries","Taurus","Gemini","Cancer","Leo","Virgo","Libra","Scorpio","Sagittarius","Capricorn","Aquarius","Pisces"},0)-1+7,12)+1),"—")</f>
        <v>Aquarius</v>
      </c>
      <c r="D11" s="886" t="str">
        <f>IFERROR(INDEX(REF_Zodiac!$D$7:$O$7,MATCH(C11,REF_Zodiac!$D$3:$O$3,0)),"—")</f>
        <v>Saturn</v>
      </c>
      <c r="E11" s="897" t="str">
        <f>IFERROR(INDEX(CALC_PlanetPositions!$B$7:$B$15,MATCH(D11,CALC_PlanetPositions!$A$7:$A$15,0)),"—")</f>
        <v>Cancer</v>
      </c>
      <c r="F11" s="107">
        <f>IFERROR(MOD(MATCH(E11,{"Aries","Taurus","Gemini","Cancer","Leo","Virgo","Libra","Scorpio","Sagittarius","Capricorn","Aquarius","Pisces"},0)-MATCH(CALC_PlanetPositions!$B$8,{"Aries","Taurus","Gemini","Cancer","Leo","Virgo","Libra","Scorpio","Sagittarius","Capricorn","Aquarius","Pisces"},0),12)+1,"—")</f>
        <v>1</v>
      </c>
      <c r="G11" s="897" t="str">
        <f>IFERROR(IF(ISNUMBER(MATCH(F11,{1,4,7,10},0)),"Yes","·"),"—")</f>
        <v>Yes</v>
      </c>
      <c r="H11" s="898" t="str">
        <f>IFERROR(IF(ISNUMBER(MATCH(F11,{1,5,9},0)),"Yes","·"),"·")</f>
        <v>Yes</v>
      </c>
      <c r="I11" s="899" t="str">
        <f>IFERROR(IF(ISNUMBER(MATCH(F11,{6,8,12},0)),"Yes","·"),"—")</f>
        <v>·</v>
      </c>
      <c r="J11" s="677" t="s">
        <v>3959</v>
      </c>
    </row>
    <row r="12" spans="1:13" ht="21.75" customHeight="1" x14ac:dyDescent="0.2">
      <c r="A12" s="769">
        <v>9</v>
      </c>
      <c r="B12" s="84" t="s">
        <v>3960</v>
      </c>
      <c r="C12" s="891" t="str">
        <f>IFERROR(INDEX({"Aries","Taurus","Gemini","Cancer","Leo","Virgo","Libra","Scorpio","Sagittarius","Capricorn","Aquarius","Pisces"},MOD(MATCH(CALC_PlanetPositions!$B$8,{"Aries","Taurus","Gemini","Cancer","Leo","Virgo","Libra","Scorpio","Sagittarius","Capricorn","Aquarius","Pisces"},0)-1+8,12)+1),"—")</f>
        <v>Pisces</v>
      </c>
      <c r="D12" s="888" t="str">
        <f>IFERROR(INDEX(REF_Zodiac!$D$7:$O$7,MATCH(C12,REF_Zodiac!$D$3:$O$3,0)),"—")</f>
        <v>Jupiter</v>
      </c>
      <c r="E12" s="892" t="str">
        <f>IFERROR(INDEX(CALC_PlanetPositions!$B$7:$B$15,MATCH(D12,CALC_PlanetPositions!$A$7:$A$15,0)),"—")</f>
        <v>Libra</v>
      </c>
      <c r="F12" s="107">
        <f>IFERROR(MOD(MATCH(E12,{"Aries","Taurus","Gemini","Cancer","Leo","Virgo","Libra","Scorpio","Sagittarius","Capricorn","Aquarius","Pisces"},0)-MATCH(CALC_PlanetPositions!$B$8,{"Aries","Taurus","Gemini","Cancer","Leo","Virgo","Libra","Scorpio","Sagittarius","Capricorn","Aquarius","Pisces"},0),12)+1,"—")</f>
        <v>4</v>
      </c>
      <c r="G12" s="892" t="str">
        <f>IFERROR(IF(ISNUMBER(MATCH(F12,{1,4,7,10},0)),"Yes","·"),"—")</f>
        <v>Yes</v>
      </c>
      <c r="H12" s="893" t="str">
        <f>IFERROR(IF(ISNUMBER(MATCH(F12,{1,5,9},0)),"Yes","·"),"·")</f>
        <v>·</v>
      </c>
      <c r="I12" s="894" t="str">
        <f>IFERROR(IF(ISNUMBER(MATCH(F12,{6,8,12},0)),"Yes","·"),"—")</f>
        <v>·</v>
      </c>
      <c r="J12" s="673" t="s">
        <v>3961</v>
      </c>
    </row>
    <row r="13" spans="1:13" ht="21.75" customHeight="1" x14ac:dyDescent="0.2">
      <c r="A13" s="768">
        <v>10</v>
      </c>
      <c r="B13" s="895" t="s">
        <v>3962</v>
      </c>
      <c r="C13" s="896" t="str">
        <f>IFERROR(INDEX({"Aries","Taurus","Gemini","Cancer","Leo","Virgo","Libra","Scorpio","Sagittarius","Capricorn","Aquarius","Pisces"},MOD(MATCH(CALC_PlanetPositions!$B$8,{"Aries","Taurus","Gemini","Cancer","Leo","Virgo","Libra","Scorpio","Sagittarius","Capricorn","Aquarius","Pisces"},0)-1+9,12)+1),"—")</f>
        <v>Aries</v>
      </c>
      <c r="D13" s="886" t="str">
        <f>IFERROR(INDEX(REF_Zodiac!$D$7:$O$7,MATCH(C13,REF_Zodiac!$D$3:$O$3,0)),"—")</f>
        <v>Mars</v>
      </c>
      <c r="E13" s="897" t="str">
        <f>IFERROR(INDEX(CALC_PlanetPositions!$B$7:$B$15,MATCH(D13,CALC_PlanetPositions!$A$7:$A$15,0)),"—")</f>
        <v>Gemini</v>
      </c>
      <c r="F13" s="107">
        <f>IFERROR(MOD(MATCH(E13,{"Aries","Taurus","Gemini","Cancer","Leo","Virgo","Libra","Scorpio","Sagittarius","Capricorn","Aquarius","Pisces"},0)-MATCH(CALC_PlanetPositions!$B$8,{"Aries","Taurus","Gemini","Cancer","Leo","Virgo","Libra","Scorpio","Sagittarius","Capricorn","Aquarius","Pisces"},0),12)+1,"—")</f>
        <v>12</v>
      </c>
      <c r="G13" s="897" t="str">
        <f>IFERROR(IF(ISNUMBER(MATCH(F13,{1,4,7,10},0)),"Yes","·"),"—")</f>
        <v>·</v>
      </c>
      <c r="H13" s="898" t="str">
        <f>IFERROR(IF(ISNUMBER(MATCH(F13,{1,5,9},0)),"Yes","·"),"·")</f>
        <v>·</v>
      </c>
      <c r="I13" s="899" t="str">
        <f>IFERROR(IF(ISNUMBER(MATCH(F13,{6,8,12},0)),"Yes","·"),"—")</f>
        <v>Yes</v>
      </c>
      <c r="J13" s="677" t="s">
        <v>3963</v>
      </c>
    </row>
    <row r="14" spans="1:13" ht="21.75" customHeight="1" x14ac:dyDescent="0.2">
      <c r="A14" s="769">
        <v>11</v>
      </c>
      <c r="B14" s="84" t="s">
        <v>3964</v>
      </c>
      <c r="C14" s="891" t="str">
        <f>IFERROR(INDEX({"Aries","Taurus","Gemini","Cancer","Leo","Virgo","Libra","Scorpio","Sagittarius","Capricorn","Aquarius","Pisces"},MOD(MATCH(CALC_PlanetPositions!$B$8,{"Aries","Taurus","Gemini","Cancer","Leo","Virgo","Libra","Scorpio","Sagittarius","Capricorn","Aquarius","Pisces"},0)-1+10,12)+1),"—")</f>
        <v>Taurus</v>
      </c>
      <c r="D14" s="888" t="str">
        <f>IFERROR(INDEX(REF_Zodiac!$D$7:$O$7,MATCH(C14,REF_Zodiac!$D$3:$O$3,0)),"—")</f>
        <v>Venus</v>
      </c>
      <c r="E14" s="892" t="str">
        <f>IFERROR(INDEX(CALC_PlanetPositions!$B$7:$B$15,MATCH(D14,CALC_PlanetPositions!$A$7:$A$15,0)),"—")</f>
        <v>Cancer</v>
      </c>
      <c r="F14" s="107">
        <f>IFERROR(MOD(MATCH(E14,{"Aries","Taurus","Gemini","Cancer","Leo","Virgo","Libra","Scorpio","Sagittarius","Capricorn","Aquarius","Pisces"},0)-MATCH(CALC_PlanetPositions!$B$8,{"Aries","Taurus","Gemini","Cancer","Leo","Virgo","Libra","Scorpio","Sagittarius","Capricorn","Aquarius","Pisces"},0),12)+1,"—")</f>
        <v>1</v>
      </c>
      <c r="G14" s="892" t="str">
        <f>IFERROR(IF(ISNUMBER(MATCH(F14,{1,4,7,10},0)),"Yes","·"),"—")</f>
        <v>Yes</v>
      </c>
      <c r="H14" s="893" t="str">
        <f>IFERROR(IF(ISNUMBER(MATCH(F14,{1,5,9},0)),"Yes","·"),"·")</f>
        <v>Yes</v>
      </c>
      <c r="I14" s="894" t="str">
        <f>IFERROR(IF(ISNUMBER(MATCH(F14,{6,8,12},0)),"Yes","·"),"—")</f>
        <v>·</v>
      </c>
      <c r="J14" s="673" t="s">
        <v>3965</v>
      </c>
    </row>
    <row r="15" spans="1:13" ht="21.75" customHeight="1" x14ac:dyDescent="0.2">
      <c r="A15" s="768">
        <v>12</v>
      </c>
      <c r="B15" s="895" t="s">
        <v>3966</v>
      </c>
      <c r="C15" s="896" t="str">
        <f>IFERROR(INDEX({"Aries","Taurus","Gemini","Cancer","Leo","Virgo","Libra","Scorpio","Sagittarius","Capricorn","Aquarius","Pisces"},MOD(MATCH(CALC_PlanetPositions!$B$8,{"Aries","Taurus","Gemini","Cancer","Leo","Virgo","Libra","Scorpio","Sagittarius","Capricorn","Aquarius","Pisces"},0)-1+11,12)+1),"—")</f>
        <v>Gemini</v>
      </c>
      <c r="D15" s="886" t="str">
        <f>IFERROR(INDEX(REF_Zodiac!$D$7:$O$7,MATCH(C15,REF_Zodiac!$D$3:$O$3,0)),"—")</f>
        <v>Mercury</v>
      </c>
      <c r="E15" s="897" t="str">
        <f>IFERROR(INDEX(CALC_PlanetPositions!$B$7:$B$15,MATCH(D15,CALC_PlanetPositions!$A$7:$A$15,0)),"—")</f>
        <v>Cancer</v>
      </c>
      <c r="F15" s="107">
        <f>IFERROR(MOD(MATCH(E15,{"Aries","Taurus","Gemini","Cancer","Leo","Virgo","Libra","Scorpio","Sagittarius","Capricorn","Aquarius","Pisces"},0)-MATCH(CALC_PlanetPositions!$B$8,{"Aries","Taurus","Gemini","Cancer","Leo","Virgo","Libra","Scorpio","Sagittarius","Capricorn","Aquarius","Pisces"},0),12)+1,"—")</f>
        <v>1</v>
      </c>
      <c r="G15" s="897" t="str">
        <f>IFERROR(IF(ISNUMBER(MATCH(F15,{1,4,7,10},0)),"Yes","·"),"—")</f>
        <v>Yes</v>
      </c>
      <c r="H15" s="898" t="str">
        <f>IFERROR(IF(ISNUMBER(MATCH(F15,{1,5,9},0)),"Yes","·"),"·")</f>
        <v>Yes</v>
      </c>
      <c r="I15" s="899" t="str">
        <f>IFERROR(IF(ISNUMBER(MATCH(F15,{6,8,12},0)),"Yes","·"),"—")</f>
        <v>·</v>
      </c>
      <c r="J15" s="677" t="s">
        <v>3967</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6A1B9A"/>
  </sheetPr>
  <dimension ref="A1:M15"/>
  <sheetViews>
    <sheetView zoomScaleNormal="100" workbookViewId="0"/>
  </sheetViews>
  <sheetFormatPr defaultColWidth="8.609375" defaultRowHeight="15" x14ac:dyDescent="0.2"/>
  <cols>
    <col min="1" max="1" width="6.05078125" customWidth="1"/>
    <col min="2" max="2" width="20.04296875" customWidth="1"/>
    <col min="3" max="5" width="13.98828125" customWidth="1"/>
    <col min="6" max="7" width="9.953125" customWidth="1"/>
    <col min="8" max="8" width="7.93359375" customWidth="1"/>
    <col min="9" max="9" width="29.99609375" customWidth="1"/>
  </cols>
  <sheetData>
    <row r="1" spans="1:13" ht="27.75" customHeight="1" x14ac:dyDescent="0.2">
      <c r="A1" s="1518" t="s">
        <v>3968</v>
      </c>
      <c r="B1" s="1518"/>
      <c r="C1" s="1518"/>
      <c r="D1" s="1518"/>
      <c r="E1" s="1518"/>
      <c r="F1" s="1518"/>
      <c r="G1" s="1518"/>
      <c r="H1" s="1518"/>
      <c r="I1" s="1518"/>
      <c r="J1" s="854"/>
      <c r="M1" s="29" t="str">
        <f>HYPERLINK("#'00_INDEX'!A1","&lt;- Index")</f>
        <v>&lt;- Index</v>
      </c>
    </row>
    <row r="2" spans="1:13" ht="24" customHeight="1" x14ac:dyDescent="0.2">
      <c r="A2" s="1508" t="s">
        <v>3969</v>
      </c>
      <c r="B2" s="1508"/>
      <c r="C2" s="1508"/>
      <c r="D2" s="1508"/>
      <c r="E2" s="1508"/>
      <c r="F2" s="1508"/>
      <c r="G2" s="1508"/>
      <c r="H2" s="1508"/>
      <c r="I2" s="1508"/>
      <c r="J2" s="854"/>
    </row>
    <row r="3" spans="1:13" ht="19.5" customHeight="1" x14ac:dyDescent="0.2">
      <c r="A3" s="87" t="s">
        <v>2276</v>
      </c>
      <c r="B3" s="88" t="s">
        <v>3970</v>
      </c>
      <c r="C3" s="88" t="s">
        <v>1121</v>
      </c>
      <c r="D3" s="517" t="s">
        <v>3242</v>
      </c>
      <c r="E3" s="517" t="s">
        <v>3942</v>
      </c>
      <c r="F3" s="658" t="s">
        <v>3539</v>
      </c>
      <c r="G3" s="658" t="s">
        <v>622</v>
      </c>
      <c r="H3" s="890" t="s">
        <v>625</v>
      </c>
      <c r="I3" s="658" t="s">
        <v>619</v>
      </c>
      <c r="J3" s="89" t="s">
        <v>3943</v>
      </c>
    </row>
    <row r="4" spans="1:13" ht="21.75" customHeight="1" x14ac:dyDescent="0.2">
      <c r="A4" s="769">
        <v>1</v>
      </c>
      <c r="B4" s="84" t="s">
        <v>3944</v>
      </c>
      <c r="C4" s="900" t="str">
        <f>IFERROR(INDEX({"Aries","Taurus","Gemini","Cancer","Leo","Virgo","Libra","Scorpio","Sagittarius","Capricorn","Aquarius","Pisces"},MOD(MATCH(CALC_PlanetPositions!$B$7,{"Aries","Taurus","Gemini","Cancer","Leo","Virgo","Libra","Scorpio","Sagittarius","Capricorn","Aquarius","Pisces"},0)-1+0,12)+1),"—")</f>
        <v>Cancer</v>
      </c>
      <c r="D4" s="888" t="str">
        <f>IFERROR(INDEX(REF_Zodiac!$D$7:$O$7,MATCH(C4,REF_Zodiac!$D$3:$O$3,0)),"—")</f>
        <v>Moon</v>
      </c>
      <c r="E4" s="892" t="str">
        <f>IFERROR(INDEX(CALC_PlanetPositions!$B$7:$B$15,MATCH(D4,CALC_PlanetPositions!$A$7:$A$15,0)),"—")</f>
        <v>Cancer</v>
      </c>
      <c r="F4" s="107">
        <f>IFERROR(MOD(MATCH(E4,{"Aries","Taurus","Gemini","Cancer","Leo","Virgo","Libra","Scorpio","Sagittarius","Capricorn","Aquarius","Pisces"},0)-MATCH(CALC_PlanetPositions!$B$7,{"Aries","Taurus","Gemini","Cancer","Leo","Virgo","Libra","Scorpio","Sagittarius","Capricorn","Aquarius","Pisces"},0),12)+1,"—")</f>
        <v>1</v>
      </c>
      <c r="G4" s="892" t="str">
        <f>IFERROR(IF(ISNUMBER(MATCH(F4,{1,4,7,10},0)),"Yes","·"),"—")</f>
        <v>Yes</v>
      </c>
      <c r="H4" s="893" t="str">
        <f>IFERROR(IF(ISNUMBER(MATCH(F4,{1,5,9},0)),"Yes","·"),"·")</f>
        <v>Yes</v>
      </c>
      <c r="I4" s="894" t="str">
        <f>IFERROR(IF(ISNUMBER(MATCH(F4,{6,8,12},0)),"Yes","·"),"—")</f>
        <v>·</v>
      </c>
      <c r="J4" s="673" t="s">
        <v>3971</v>
      </c>
    </row>
    <row r="5" spans="1:13" ht="21.75" customHeight="1" x14ac:dyDescent="0.2">
      <c r="A5" s="768">
        <v>2</v>
      </c>
      <c r="B5" s="895" t="s">
        <v>3946</v>
      </c>
      <c r="C5" s="901" t="str">
        <f>IFERROR(INDEX({"Aries","Taurus","Gemini","Cancer","Leo","Virgo","Libra","Scorpio","Sagittarius","Capricorn","Aquarius","Pisces"},MOD(MATCH(CALC_PlanetPositions!$B$7,{"Aries","Taurus","Gemini","Cancer","Leo","Virgo","Libra","Scorpio","Sagittarius","Capricorn","Aquarius","Pisces"},0)-1+1,12)+1),"—")</f>
        <v>Leo</v>
      </c>
      <c r="D5" s="886" t="str">
        <f>IFERROR(INDEX(REF_Zodiac!$D$7:$O$7,MATCH(C5,REF_Zodiac!$D$3:$O$3,0)),"—")</f>
        <v>Sun</v>
      </c>
      <c r="E5" s="897" t="str">
        <f>IFERROR(INDEX(CALC_PlanetPositions!$B$7:$B$15,MATCH(D5,CALC_PlanetPositions!$A$7:$A$15,0)),"—")</f>
        <v>Cancer</v>
      </c>
      <c r="F5" s="107">
        <f>IFERROR(MOD(MATCH(E5,{"Aries","Taurus","Gemini","Cancer","Leo","Virgo","Libra","Scorpio","Sagittarius","Capricorn","Aquarius","Pisces"},0)-MATCH(CALC_PlanetPositions!$B$7,{"Aries","Taurus","Gemini","Cancer","Leo","Virgo","Libra","Scorpio","Sagittarius","Capricorn","Aquarius","Pisces"},0),12)+1,"—")</f>
        <v>1</v>
      </c>
      <c r="G5" s="897" t="str">
        <f>IFERROR(IF(ISNUMBER(MATCH(F5,{1,4,7,10},0)),"Yes","·"),"—")</f>
        <v>Yes</v>
      </c>
      <c r="H5" s="898" t="str">
        <f>IFERROR(IF(ISNUMBER(MATCH(F5,{1,5,9},0)),"Yes","·"),"·")</f>
        <v>Yes</v>
      </c>
      <c r="I5" s="899" t="str">
        <f>IFERROR(IF(ISNUMBER(MATCH(F5,{6,8,12},0)),"Yes","·"),"—")</f>
        <v>·</v>
      </c>
      <c r="J5" s="677" t="s">
        <v>3972</v>
      </c>
    </row>
    <row r="6" spans="1:13" ht="21.75" customHeight="1" x14ac:dyDescent="0.2">
      <c r="A6" s="769">
        <v>3</v>
      </c>
      <c r="B6" s="84" t="s">
        <v>3948</v>
      </c>
      <c r="C6" s="900" t="str">
        <f>IFERROR(INDEX({"Aries","Taurus","Gemini","Cancer","Leo","Virgo","Libra","Scorpio","Sagittarius","Capricorn","Aquarius","Pisces"},MOD(MATCH(CALC_PlanetPositions!$B$7,{"Aries","Taurus","Gemini","Cancer","Leo","Virgo","Libra","Scorpio","Sagittarius","Capricorn","Aquarius","Pisces"},0)-1+2,12)+1),"—")</f>
        <v>Virgo</v>
      </c>
      <c r="D6" s="888" t="str">
        <f>IFERROR(INDEX(REF_Zodiac!$D$7:$O$7,MATCH(C6,REF_Zodiac!$D$3:$O$3,0)),"—")</f>
        <v>Mercury</v>
      </c>
      <c r="E6" s="892" t="str">
        <f>IFERROR(INDEX(CALC_PlanetPositions!$B$7:$B$15,MATCH(D6,CALC_PlanetPositions!$A$7:$A$15,0)),"—")</f>
        <v>Cancer</v>
      </c>
      <c r="F6" s="107">
        <f>IFERROR(MOD(MATCH(E6,{"Aries","Taurus","Gemini","Cancer","Leo","Virgo","Libra","Scorpio","Sagittarius","Capricorn","Aquarius","Pisces"},0)-MATCH(CALC_PlanetPositions!$B$7,{"Aries","Taurus","Gemini","Cancer","Leo","Virgo","Libra","Scorpio","Sagittarius","Capricorn","Aquarius","Pisces"},0),12)+1,"—")</f>
        <v>1</v>
      </c>
      <c r="G6" s="892" t="str">
        <f>IFERROR(IF(ISNUMBER(MATCH(F6,{1,4,7,10},0)),"Yes","·"),"—")</f>
        <v>Yes</v>
      </c>
      <c r="H6" s="893" t="str">
        <f>IFERROR(IF(ISNUMBER(MATCH(F6,{1,5,9},0)),"Yes","·"),"·")</f>
        <v>Yes</v>
      </c>
      <c r="I6" s="894" t="str">
        <f>IFERROR(IF(ISNUMBER(MATCH(F6,{6,8,12},0)),"Yes","·"),"—")</f>
        <v>·</v>
      </c>
      <c r="J6" s="673" t="s">
        <v>3973</v>
      </c>
    </row>
    <row r="7" spans="1:13" ht="21.75" customHeight="1" x14ac:dyDescent="0.2">
      <c r="A7" s="768">
        <v>4</v>
      </c>
      <c r="B7" s="895" t="s">
        <v>3950</v>
      </c>
      <c r="C7" s="901" t="str">
        <f>IFERROR(INDEX({"Aries","Taurus","Gemini","Cancer","Leo","Virgo","Libra","Scorpio","Sagittarius","Capricorn","Aquarius","Pisces"},MOD(MATCH(CALC_PlanetPositions!$B$7,{"Aries","Taurus","Gemini","Cancer","Leo","Virgo","Libra","Scorpio","Sagittarius","Capricorn","Aquarius","Pisces"},0)-1+3,12)+1),"—")</f>
        <v>Libra</v>
      </c>
      <c r="D7" s="886" t="str">
        <f>IFERROR(INDEX(REF_Zodiac!$D$7:$O$7,MATCH(C7,REF_Zodiac!$D$3:$O$3,0)),"—")</f>
        <v>Venus</v>
      </c>
      <c r="E7" s="897" t="str">
        <f>IFERROR(INDEX(CALC_PlanetPositions!$B$7:$B$15,MATCH(D7,CALC_PlanetPositions!$A$7:$A$15,0)),"—")</f>
        <v>Cancer</v>
      </c>
      <c r="F7" s="107">
        <f>IFERROR(MOD(MATCH(E7,{"Aries","Taurus","Gemini","Cancer","Leo","Virgo","Libra","Scorpio","Sagittarius","Capricorn","Aquarius","Pisces"},0)-MATCH(CALC_PlanetPositions!$B$7,{"Aries","Taurus","Gemini","Cancer","Leo","Virgo","Libra","Scorpio","Sagittarius","Capricorn","Aquarius","Pisces"},0),12)+1,"—")</f>
        <v>1</v>
      </c>
      <c r="G7" s="897" t="str">
        <f>IFERROR(IF(ISNUMBER(MATCH(F7,{1,4,7,10},0)),"Yes","·"),"—")</f>
        <v>Yes</v>
      </c>
      <c r="H7" s="898" t="str">
        <f>IFERROR(IF(ISNUMBER(MATCH(F7,{1,5,9},0)),"Yes","·"),"·")</f>
        <v>Yes</v>
      </c>
      <c r="I7" s="899" t="str">
        <f>IFERROR(IF(ISNUMBER(MATCH(F7,{6,8,12},0)),"Yes","·"),"—")</f>
        <v>·</v>
      </c>
      <c r="J7" s="677" t="s">
        <v>3974</v>
      </c>
    </row>
    <row r="8" spans="1:13" ht="21.75" customHeight="1" x14ac:dyDescent="0.2">
      <c r="A8" s="769">
        <v>5</v>
      </c>
      <c r="B8" s="84" t="s">
        <v>3952</v>
      </c>
      <c r="C8" s="900" t="str">
        <f>IFERROR(INDEX({"Aries","Taurus","Gemini","Cancer","Leo","Virgo","Libra","Scorpio","Sagittarius","Capricorn","Aquarius","Pisces"},MOD(MATCH(CALC_PlanetPositions!$B$7,{"Aries","Taurus","Gemini","Cancer","Leo","Virgo","Libra","Scorpio","Sagittarius","Capricorn","Aquarius","Pisces"},0)-1+4,12)+1),"—")</f>
        <v>Scorpio</v>
      </c>
      <c r="D8" s="888" t="str">
        <f>IFERROR(INDEX(REF_Zodiac!$D$7:$O$7,MATCH(C8,REF_Zodiac!$D$3:$O$3,0)),"—")</f>
        <v>Mars</v>
      </c>
      <c r="E8" s="892" t="str">
        <f>IFERROR(INDEX(CALC_PlanetPositions!$B$7:$B$15,MATCH(D8,CALC_PlanetPositions!$A$7:$A$15,0)),"—")</f>
        <v>Gemini</v>
      </c>
      <c r="F8" s="107">
        <f>IFERROR(MOD(MATCH(E8,{"Aries","Taurus","Gemini","Cancer","Leo","Virgo","Libra","Scorpio","Sagittarius","Capricorn","Aquarius","Pisces"},0)-MATCH(CALC_PlanetPositions!$B$7,{"Aries","Taurus","Gemini","Cancer","Leo","Virgo","Libra","Scorpio","Sagittarius","Capricorn","Aquarius","Pisces"},0),12)+1,"—")</f>
        <v>12</v>
      </c>
      <c r="G8" s="892" t="str">
        <f>IFERROR(IF(ISNUMBER(MATCH(F8,{1,4,7,10},0)),"Yes","·"),"—")</f>
        <v>·</v>
      </c>
      <c r="H8" s="893" t="str">
        <f>IFERROR(IF(ISNUMBER(MATCH(F8,{1,5,9},0)),"Yes","·"),"·")</f>
        <v>·</v>
      </c>
      <c r="I8" s="894" t="str">
        <f>IFERROR(IF(ISNUMBER(MATCH(F8,{6,8,12},0)),"Yes","·"),"—")</f>
        <v>Yes</v>
      </c>
      <c r="J8" s="673" t="s">
        <v>3975</v>
      </c>
    </row>
    <row r="9" spans="1:13" ht="21.75" customHeight="1" x14ac:dyDescent="0.2">
      <c r="A9" s="768">
        <v>6</v>
      </c>
      <c r="B9" s="895" t="s">
        <v>3954</v>
      </c>
      <c r="C9" s="901" t="str">
        <f>IFERROR(INDEX({"Aries","Taurus","Gemini","Cancer","Leo","Virgo","Libra","Scorpio","Sagittarius","Capricorn","Aquarius","Pisces"},MOD(MATCH(CALC_PlanetPositions!$B$7,{"Aries","Taurus","Gemini","Cancer","Leo","Virgo","Libra","Scorpio","Sagittarius","Capricorn","Aquarius","Pisces"},0)-1+5,12)+1),"—")</f>
        <v>Sagittarius</v>
      </c>
      <c r="D9" s="886" t="str">
        <f>IFERROR(INDEX(REF_Zodiac!$D$7:$O$7,MATCH(C9,REF_Zodiac!$D$3:$O$3,0)),"—")</f>
        <v>Jupiter</v>
      </c>
      <c r="E9" s="897" t="str">
        <f>IFERROR(INDEX(CALC_PlanetPositions!$B$7:$B$15,MATCH(D9,CALC_PlanetPositions!$A$7:$A$15,0)),"—")</f>
        <v>Libra</v>
      </c>
      <c r="F9" s="107">
        <f>IFERROR(MOD(MATCH(E9,{"Aries","Taurus","Gemini","Cancer","Leo","Virgo","Libra","Scorpio","Sagittarius","Capricorn","Aquarius","Pisces"},0)-MATCH(CALC_PlanetPositions!$B$7,{"Aries","Taurus","Gemini","Cancer","Leo","Virgo","Libra","Scorpio","Sagittarius","Capricorn","Aquarius","Pisces"},0),12)+1,"—")</f>
        <v>4</v>
      </c>
      <c r="G9" s="897" t="str">
        <f>IFERROR(IF(ISNUMBER(MATCH(F9,{1,4,7,10},0)),"Yes","·"),"—")</f>
        <v>Yes</v>
      </c>
      <c r="H9" s="898" t="str">
        <f>IFERROR(IF(ISNUMBER(MATCH(F9,{1,5,9},0)),"Yes","·"),"·")</f>
        <v>·</v>
      </c>
      <c r="I9" s="899" t="str">
        <f>IFERROR(IF(ISNUMBER(MATCH(F9,{6,8,12},0)),"Yes","·"),"—")</f>
        <v>·</v>
      </c>
      <c r="J9" s="677" t="s">
        <v>3976</v>
      </c>
    </row>
    <row r="10" spans="1:13" ht="21.75" customHeight="1" x14ac:dyDescent="0.2">
      <c r="A10" s="769">
        <v>7</v>
      </c>
      <c r="B10" s="84" t="s">
        <v>3956</v>
      </c>
      <c r="C10" s="900" t="str">
        <f>IFERROR(INDEX({"Aries","Taurus","Gemini","Cancer","Leo","Virgo","Libra","Scorpio","Sagittarius","Capricorn","Aquarius","Pisces"},MOD(MATCH(CALC_PlanetPositions!$B$7,{"Aries","Taurus","Gemini","Cancer","Leo","Virgo","Libra","Scorpio","Sagittarius","Capricorn","Aquarius","Pisces"},0)-1+6,12)+1),"—")</f>
        <v>Capricorn</v>
      </c>
      <c r="D10" s="888" t="str">
        <f>IFERROR(INDEX(REF_Zodiac!$D$7:$O$7,MATCH(C10,REF_Zodiac!$D$3:$O$3,0)),"—")</f>
        <v>Saturn</v>
      </c>
      <c r="E10" s="892" t="str">
        <f>IFERROR(INDEX(CALC_PlanetPositions!$B$7:$B$15,MATCH(D10,CALC_PlanetPositions!$A$7:$A$15,0)),"—")</f>
        <v>Cancer</v>
      </c>
      <c r="F10" s="107">
        <f>IFERROR(MOD(MATCH(E10,{"Aries","Taurus","Gemini","Cancer","Leo","Virgo","Libra","Scorpio","Sagittarius","Capricorn","Aquarius","Pisces"},0)-MATCH(CALC_PlanetPositions!$B$7,{"Aries","Taurus","Gemini","Cancer","Leo","Virgo","Libra","Scorpio","Sagittarius","Capricorn","Aquarius","Pisces"},0),12)+1,"—")</f>
        <v>1</v>
      </c>
      <c r="G10" s="892" t="str">
        <f>IFERROR(IF(ISNUMBER(MATCH(F10,{1,4,7,10},0)),"Yes","·"),"—")</f>
        <v>Yes</v>
      </c>
      <c r="H10" s="893" t="str">
        <f>IFERROR(IF(ISNUMBER(MATCH(F10,{1,5,9},0)),"Yes","·"),"·")</f>
        <v>Yes</v>
      </c>
      <c r="I10" s="894" t="str">
        <f>IFERROR(IF(ISNUMBER(MATCH(F10,{6,8,12},0)),"Yes","·"),"—")</f>
        <v>·</v>
      </c>
      <c r="J10" s="673" t="s">
        <v>3977</v>
      </c>
    </row>
    <row r="11" spans="1:13" ht="21.75" customHeight="1" x14ac:dyDescent="0.2">
      <c r="A11" s="768">
        <v>8</v>
      </c>
      <c r="B11" s="895" t="s">
        <v>3958</v>
      </c>
      <c r="C11" s="901" t="str">
        <f>IFERROR(INDEX({"Aries","Taurus","Gemini","Cancer","Leo","Virgo","Libra","Scorpio","Sagittarius","Capricorn","Aquarius","Pisces"},MOD(MATCH(CALC_PlanetPositions!$B$7,{"Aries","Taurus","Gemini","Cancer","Leo","Virgo","Libra","Scorpio","Sagittarius","Capricorn","Aquarius","Pisces"},0)-1+7,12)+1),"—")</f>
        <v>Aquarius</v>
      </c>
      <c r="D11" s="886" t="str">
        <f>IFERROR(INDEX(REF_Zodiac!$D$7:$O$7,MATCH(C11,REF_Zodiac!$D$3:$O$3,0)),"—")</f>
        <v>Saturn</v>
      </c>
      <c r="E11" s="897" t="str">
        <f>IFERROR(INDEX(CALC_PlanetPositions!$B$7:$B$15,MATCH(D11,CALC_PlanetPositions!$A$7:$A$15,0)),"—")</f>
        <v>Cancer</v>
      </c>
      <c r="F11" s="107">
        <f>IFERROR(MOD(MATCH(E11,{"Aries","Taurus","Gemini","Cancer","Leo","Virgo","Libra","Scorpio","Sagittarius","Capricorn","Aquarius","Pisces"},0)-MATCH(CALC_PlanetPositions!$B$7,{"Aries","Taurus","Gemini","Cancer","Leo","Virgo","Libra","Scorpio","Sagittarius","Capricorn","Aquarius","Pisces"},0),12)+1,"—")</f>
        <v>1</v>
      </c>
      <c r="G11" s="897" t="str">
        <f>IFERROR(IF(ISNUMBER(MATCH(F11,{1,4,7,10},0)),"Yes","·"),"—")</f>
        <v>Yes</v>
      </c>
      <c r="H11" s="898" t="str">
        <f>IFERROR(IF(ISNUMBER(MATCH(F11,{1,5,9},0)),"Yes","·"),"·")</f>
        <v>Yes</v>
      </c>
      <c r="I11" s="899" t="str">
        <f>IFERROR(IF(ISNUMBER(MATCH(F11,{6,8,12},0)),"Yes","·"),"—")</f>
        <v>·</v>
      </c>
      <c r="J11" s="677" t="s">
        <v>3978</v>
      </c>
    </row>
    <row r="12" spans="1:13" ht="21.75" customHeight="1" x14ac:dyDescent="0.2">
      <c r="A12" s="769">
        <v>9</v>
      </c>
      <c r="B12" s="84" t="s">
        <v>3960</v>
      </c>
      <c r="C12" s="900" t="str">
        <f>IFERROR(INDEX({"Aries","Taurus","Gemini","Cancer","Leo","Virgo","Libra","Scorpio","Sagittarius","Capricorn","Aquarius","Pisces"},MOD(MATCH(CALC_PlanetPositions!$B$7,{"Aries","Taurus","Gemini","Cancer","Leo","Virgo","Libra","Scorpio","Sagittarius","Capricorn","Aquarius","Pisces"},0)-1+8,12)+1),"—")</f>
        <v>Pisces</v>
      </c>
      <c r="D12" s="888" t="str">
        <f>IFERROR(INDEX(REF_Zodiac!$D$7:$O$7,MATCH(C12,REF_Zodiac!$D$3:$O$3,0)),"—")</f>
        <v>Jupiter</v>
      </c>
      <c r="E12" s="892" t="str">
        <f>IFERROR(INDEX(CALC_PlanetPositions!$B$7:$B$15,MATCH(D12,CALC_PlanetPositions!$A$7:$A$15,0)),"—")</f>
        <v>Libra</v>
      </c>
      <c r="F12" s="107">
        <f>IFERROR(MOD(MATCH(E12,{"Aries","Taurus","Gemini","Cancer","Leo","Virgo","Libra","Scorpio","Sagittarius","Capricorn","Aquarius","Pisces"},0)-MATCH(CALC_PlanetPositions!$B$7,{"Aries","Taurus","Gemini","Cancer","Leo","Virgo","Libra","Scorpio","Sagittarius","Capricorn","Aquarius","Pisces"},0),12)+1,"—")</f>
        <v>4</v>
      </c>
      <c r="G12" s="892" t="str">
        <f>IFERROR(IF(ISNUMBER(MATCH(F12,{1,4,7,10},0)),"Yes","·"),"—")</f>
        <v>Yes</v>
      </c>
      <c r="H12" s="893" t="str">
        <f>IFERROR(IF(ISNUMBER(MATCH(F12,{1,5,9},0)),"Yes","·"),"·")</f>
        <v>·</v>
      </c>
      <c r="I12" s="894" t="str">
        <f>IFERROR(IF(ISNUMBER(MATCH(F12,{6,8,12},0)),"Yes","·"),"—")</f>
        <v>·</v>
      </c>
      <c r="J12" s="673" t="s">
        <v>3979</v>
      </c>
    </row>
    <row r="13" spans="1:13" ht="21.75" customHeight="1" x14ac:dyDescent="0.2">
      <c r="A13" s="768">
        <v>10</v>
      </c>
      <c r="B13" s="895" t="s">
        <v>3962</v>
      </c>
      <c r="C13" s="901" t="str">
        <f>IFERROR(INDEX({"Aries","Taurus","Gemini","Cancer","Leo","Virgo","Libra","Scorpio","Sagittarius","Capricorn","Aquarius","Pisces"},MOD(MATCH(CALC_PlanetPositions!$B$7,{"Aries","Taurus","Gemini","Cancer","Leo","Virgo","Libra","Scorpio","Sagittarius","Capricorn","Aquarius","Pisces"},0)-1+9,12)+1),"—")</f>
        <v>Aries</v>
      </c>
      <c r="D13" s="886" t="str">
        <f>IFERROR(INDEX(REF_Zodiac!$D$7:$O$7,MATCH(C13,REF_Zodiac!$D$3:$O$3,0)),"—")</f>
        <v>Mars</v>
      </c>
      <c r="E13" s="897" t="str">
        <f>IFERROR(INDEX(CALC_PlanetPositions!$B$7:$B$15,MATCH(D13,CALC_PlanetPositions!$A$7:$A$15,0)),"—")</f>
        <v>Gemini</v>
      </c>
      <c r="F13" s="107">
        <f>IFERROR(MOD(MATCH(E13,{"Aries","Taurus","Gemini","Cancer","Leo","Virgo","Libra","Scorpio","Sagittarius","Capricorn","Aquarius","Pisces"},0)-MATCH(CALC_PlanetPositions!$B$7,{"Aries","Taurus","Gemini","Cancer","Leo","Virgo","Libra","Scorpio","Sagittarius","Capricorn","Aquarius","Pisces"},0),12)+1,"—")</f>
        <v>12</v>
      </c>
      <c r="G13" s="897" t="str">
        <f>IFERROR(IF(ISNUMBER(MATCH(F13,{1,4,7,10},0)),"Yes","·"),"—")</f>
        <v>·</v>
      </c>
      <c r="H13" s="898" t="str">
        <f>IFERROR(IF(ISNUMBER(MATCH(F13,{1,5,9},0)),"Yes","·"),"·")</f>
        <v>·</v>
      </c>
      <c r="I13" s="899" t="str">
        <f>IFERROR(IF(ISNUMBER(MATCH(F13,{6,8,12},0)),"Yes","·"),"—")</f>
        <v>Yes</v>
      </c>
      <c r="J13" s="677" t="s">
        <v>3980</v>
      </c>
    </row>
    <row r="14" spans="1:13" ht="21.75" customHeight="1" x14ac:dyDescent="0.2">
      <c r="A14" s="769">
        <v>11</v>
      </c>
      <c r="B14" s="84" t="s">
        <v>3964</v>
      </c>
      <c r="C14" s="900" t="str">
        <f>IFERROR(INDEX({"Aries","Taurus","Gemini","Cancer","Leo","Virgo","Libra","Scorpio","Sagittarius","Capricorn","Aquarius","Pisces"},MOD(MATCH(CALC_PlanetPositions!$B$7,{"Aries","Taurus","Gemini","Cancer","Leo","Virgo","Libra","Scorpio","Sagittarius","Capricorn","Aquarius","Pisces"},0)-1+10,12)+1),"—")</f>
        <v>Taurus</v>
      </c>
      <c r="D14" s="888" t="str">
        <f>IFERROR(INDEX(REF_Zodiac!$D$7:$O$7,MATCH(C14,REF_Zodiac!$D$3:$O$3,0)),"—")</f>
        <v>Venus</v>
      </c>
      <c r="E14" s="892" t="str">
        <f>IFERROR(INDEX(CALC_PlanetPositions!$B$7:$B$15,MATCH(D14,CALC_PlanetPositions!$A$7:$A$15,0)),"—")</f>
        <v>Cancer</v>
      </c>
      <c r="F14" s="107">
        <f>IFERROR(MOD(MATCH(E14,{"Aries","Taurus","Gemini","Cancer","Leo","Virgo","Libra","Scorpio","Sagittarius","Capricorn","Aquarius","Pisces"},0)-MATCH(CALC_PlanetPositions!$B$7,{"Aries","Taurus","Gemini","Cancer","Leo","Virgo","Libra","Scorpio","Sagittarius","Capricorn","Aquarius","Pisces"},0),12)+1,"—")</f>
        <v>1</v>
      </c>
      <c r="G14" s="892" t="str">
        <f>IFERROR(IF(ISNUMBER(MATCH(F14,{1,4,7,10},0)),"Yes","·"),"—")</f>
        <v>Yes</v>
      </c>
      <c r="H14" s="893" t="str">
        <f>IFERROR(IF(ISNUMBER(MATCH(F14,{1,5,9},0)),"Yes","·"),"·")</f>
        <v>Yes</v>
      </c>
      <c r="I14" s="894" t="str">
        <f>IFERROR(IF(ISNUMBER(MATCH(F14,{6,8,12},0)),"Yes","·"),"—")</f>
        <v>·</v>
      </c>
      <c r="J14" s="673" t="s">
        <v>3981</v>
      </c>
    </row>
    <row r="15" spans="1:13" ht="21.75" customHeight="1" x14ac:dyDescent="0.2">
      <c r="A15" s="768">
        <v>12</v>
      </c>
      <c r="B15" s="895" t="s">
        <v>3966</v>
      </c>
      <c r="C15" s="901" t="str">
        <f>IFERROR(INDEX({"Aries","Taurus","Gemini","Cancer","Leo","Virgo","Libra","Scorpio","Sagittarius","Capricorn","Aquarius","Pisces"},MOD(MATCH(CALC_PlanetPositions!$B$7,{"Aries","Taurus","Gemini","Cancer","Leo","Virgo","Libra","Scorpio","Sagittarius","Capricorn","Aquarius","Pisces"},0)-1+11,12)+1),"—")</f>
        <v>Gemini</v>
      </c>
      <c r="D15" s="886" t="str">
        <f>IFERROR(INDEX(REF_Zodiac!$D$7:$O$7,MATCH(C15,REF_Zodiac!$D$3:$O$3,0)),"—")</f>
        <v>Mercury</v>
      </c>
      <c r="E15" s="897" t="str">
        <f>IFERROR(INDEX(CALC_PlanetPositions!$B$7:$B$15,MATCH(D15,CALC_PlanetPositions!$A$7:$A$15,0)),"—")</f>
        <v>Cancer</v>
      </c>
      <c r="F15" s="107">
        <f>IFERROR(MOD(MATCH(E15,{"Aries","Taurus","Gemini","Cancer","Leo","Virgo","Libra","Scorpio","Sagittarius","Capricorn","Aquarius","Pisces"},0)-MATCH(CALC_PlanetPositions!$B$7,{"Aries","Taurus","Gemini","Cancer","Leo","Virgo","Libra","Scorpio","Sagittarius","Capricorn","Aquarius","Pisces"},0),12)+1,"—")</f>
        <v>1</v>
      </c>
      <c r="G15" s="897" t="str">
        <f>IFERROR(IF(ISNUMBER(MATCH(F15,{1,4,7,10},0)),"Yes","·"),"—")</f>
        <v>Yes</v>
      </c>
      <c r="H15" s="898" t="str">
        <f>IFERROR(IF(ISNUMBER(MATCH(F15,{1,5,9},0)),"Yes","·"),"·")</f>
        <v>Yes</v>
      </c>
      <c r="I15" s="899" t="str">
        <f>IFERROR(IF(ISNUMBER(MATCH(F15,{6,8,12},0)),"Yes","·"),"—")</f>
        <v>·</v>
      </c>
      <c r="J15" s="677" t="s">
        <v>3982</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6A1B9A"/>
  </sheetPr>
  <dimension ref="A1:I21"/>
  <sheetViews>
    <sheetView zoomScaleNormal="100" workbookViewId="0"/>
  </sheetViews>
  <sheetFormatPr defaultColWidth="8.609375" defaultRowHeight="15" x14ac:dyDescent="0.2"/>
  <cols>
    <col min="1" max="1" width="11.97265625" customWidth="1"/>
    <col min="2" max="3" width="16.0078125" customWidth="1"/>
    <col min="4" max="5" width="20.04296875" customWidth="1"/>
    <col min="6" max="6" width="13.98828125" customWidth="1"/>
    <col min="7" max="7" width="39.953125" customWidth="1"/>
  </cols>
  <sheetData>
    <row r="1" spans="1:9" ht="21.75" customHeight="1" x14ac:dyDescent="0.2">
      <c r="A1" s="1522" t="s">
        <v>3983</v>
      </c>
      <c r="B1" s="1522"/>
      <c r="C1" s="1522"/>
      <c r="D1" s="1522"/>
      <c r="E1" s="1522"/>
      <c r="F1" s="1522"/>
      <c r="G1" s="1522"/>
      <c r="I1" s="544" t="s">
        <v>2214</v>
      </c>
    </row>
    <row r="2" spans="1:9" ht="24" customHeight="1" x14ac:dyDescent="0.2">
      <c r="A2" s="1523" t="s">
        <v>3984</v>
      </c>
      <c r="B2" s="1523"/>
      <c r="C2" s="1523"/>
      <c r="D2" s="1523"/>
      <c r="E2" s="1523"/>
      <c r="F2" s="1523"/>
      <c r="G2" s="1523"/>
    </row>
    <row r="3" spans="1:9" ht="18" customHeight="1" x14ac:dyDescent="0.2">
      <c r="A3" s="1524" t="s">
        <v>3985</v>
      </c>
      <c r="B3" s="1524"/>
      <c r="C3" s="1524"/>
      <c r="D3" s="1524"/>
      <c r="E3" s="1524"/>
      <c r="F3" s="1524"/>
      <c r="G3" s="1524"/>
    </row>
    <row r="4" spans="1:9" ht="15.75" customHeight="1" x14ac:dyDescent="0.2">
      <c r="A4" s="545" t="s">
        <v>265</v>
      </c>
      <c r="B4" s="545" t="s">
        <v>3986</v>
      </c>
      <c r="C4" s="545" t="s">
        <v>3987</v>
      </c>
      <c r="D4" s="545" t="s">
        <v>3988</v>
      </c>
      <c r="E4" s="545" t="s">
        <v>3989</v>
      </c>
      <c r="F4" s="545" t="s">
        <v>2280</v>
      </c>
      <c r="G4" s="545" t="s">
        <v>282</v>
      </c>
    </row>
    <row r="5" spans="1:9" ht="19.5" customHeight="1" x14ac:dyDescent="0.2">
      <c r="A5" s="902" t="s">
        <v>345</v>
      </c>
      <c r="B5" s="903" t="s">
        <v>36</v>
      </c>
      <c r="C5" s="904" t="s">
        <v>3990</v>
      </c>
      <c r="D5" s="903" t="s">
        <v>3991</v>
      </c>
      <c r="E5" s="904" t="s">
        <v>3269</v>
      </c>
      <c r="F5" s="550" t="s">
        <v>3992</v>
      </c>
    </row>
    <row r="6" spans="1:9" ht="19.5" customHeight="1" x14ac:dyDescent="0.2">
      <c r="A6" s="905" t="s">
        <v>346</v>
      </c>
      <c r="B6" s="906" t="s">
        <v>272</v>
      </c>
      <c r="C6" s="907" t="s">
        <v>3993</v>
      </c>
      <c r="D6" s="908" t="s">
        <v>3994</v>
      </c>
      <c r="E6" s="907" t="s">
        <v>3269</v>
      </c>
      <c r="F6" s="554" t="s">
        <v>3995</v>
      </c>
    </row>
    <row r="7" spans="1:9" ht="19.5" customHeight="1" x14ac:dyDescent="0.2">
      <c r="A7" s="902" t="s">
        <v>329</v>
      </c>
      <c r="B7" s="903" t="s">
        <v>36</v>
      </c>
      <c r="C7" s="904" t="s">
        <v>3996</v>
      </c>
      <c r="D7" s="903" t="s">
        <v>3991</v>
      </c>
      <c r="E7" s="904" t="s">
        <v>3269</v>
      </c>
      <c r="F7" s="550" t="s">
        <v>3997</v>
      </c>
    </row>
    <row r="8" spans="1:9" ht="19.5" customHeight="1" x14ac:dyDescent="0.2">
      <c r="A8" s="905" t="s">
        <v>347</v>
      </c>
      <c r="B8" s="906" t="s">
        <v>268</v>
      </c>
      <c r="C8" s="907" t="s">
        <v>3998</v>
      </c>
      <c r="D8" s="908" t="s">
        <v>3999</v>
      </c>
      <c r="E8" s="907" t="s">
        <v>3269</v>
      </c>
      <c r="F8" s="554" t="s">
        <v>4000</v>
      </c>
    </row>
    <row r="9" spans="1:9" ht="19.5" customHeight="1" x14ac:dyDescent="0.2">
      <c r="A9" s="902" t="s">
        <v>334</v>
      </c>
      <c r="B9" s="909" t="s">
        <v>268</v>
      </c>
      <c r="C9" s="904" t="s">
        <v>4001</v>
      </c>
      <c r="D9" s="910" t="s">
        <v>3999</v>
      </c>
      <c r="E9" s="904" t="s">
        <v>3269</v>
      </c>
      <c r="F9" s="550" t="s">
        <v>4002</v>
      </c>
    </row>
    <row r="10" spans="1:9" ht="19.5" customHeight="1" x14ac:dyDescent="0.2">
      <c r="A10" s="905" t="s">
        <v>348</v>
      </c>
      <c r="B10" s="911" t="s">
        <v>36</v>
      </c>
      <c r="C10" s="907" t="s">
        <v>3996</v>
      </c>
      <c r="D10" s="911" t="s">
        <v>3991</v>
      </c>
      <c r="E10" s="907" t="s">
        <v>3269</v>
      </c>
      <c r="F10" s="554" t="s">
        <v>4003</v>
      </c>
    </row>
    <row r="11" spans="1:9" ht="19.5" customHeight="1" x14ac:dyDescent="0.2">
      <c r="A11" s="902" t="s">
        <v>349</v>
      </c>
      <c r="B11" s="909" t="s">
        <v>272</v>
      </c>
      <c r="C11" s="904" t="s">
        <v>4004</v>
      </c>
      <c r="D11" s="910" t="s">
        <v>3994</v>
      </c>
      <c r="E11" s="904" t="s">
        <v>3269</v>
      </c>
      <c r="F11" s="550" t="s">
        <v>4005</v>
      </c>
    </row>
    <row r="12" spans="1:9" ht="19.5" customHeight="1" x14ac:dyDescent="0.2">
      <c r="A12" s="905" t="s">
        <v>350</v>
      </c>
      <c r="B12" s="911" t="s">
        <v>36</v>
      </c>
      <c r="C12" s="907" t="s">
        <v>3996</v>
      </c>
      <c r="D12" s="911" t="s">
        <v>3991</v>
      </c>
      <c r="E12" s="907" t="s">
        <v>3269</v>
      </c>
      <c r="F12" s="554" t="s">
        <v>4006</v>
      </c>
    </row>
    <row r="13" spans="1:9" ht="19.5" customHeight="1" x14ac:dyDescent="0.2">
      <c r="A13" s="902" t="s">
        <v>351</v>
      </c>
      <c r="B13" s="903" t="s">
        <v>36</v>
      </c>
      <c r="C13" s="904" t="s">
        <v>4007</v>
      </c>
      <c r="D13" s="903" t="s">
        <v>3991</v>
      </c>
      <c r="E13" s="904" t="s">
        <v>3269</v>
      </c>
      <c r="F13" s="550" t="s">
        <v>4008</v>
      </c>
    </row>
    <row r="14" spans="1:9" ht="19.5" customHeight="1" x14ac:dyDescent="0.2">
      <c r="A14" s="905" t="s">
        <v>352</v>
      </c>
      <c r="B14" s="906" t="s">
        <v>271</v>
      </c>
      <c r="C14" s="907" t="s">
        <v>3998</v>
      </c>
      <c r="D14" s="908" t="s">
        <v>4009</v>
      </c>
      <c r="E14" s="907" t="s">
        <v>3269</v>
      </c>
      <c r="F14" s="554" t="s">
        <v>4010</v>
      </c>
    </row>
    <row r="15" spans="1:9" ht="19.5" customHeight="1" x14ac:dyDescent="0.2">
      <c r="A15" s="902" t="s">
        <v>325</v>
      </c>
      <c r="B15" s="909" t="s">
        <v>271</v>
      </c>
      <c r="C15" s="904" t="s">
        <v>4001</v>
      </c>
      <c r="D15" s="910" t="s">
        <v>4009</v>
      </c>
      <c r="E15" s="904" t="s">
        <v>3269</v>
      </c>
      <c r="F15" s="550" t="s">
        <v>4011</v>
      </c>
    </row>
    <row r="16" spans="1:9" ht="19.5" customHeight="1" x14ac:dyDescent="0.2">
      <c r="A16" s="905" t="s">
        <v>323</v>
      </c>
      <c r="B16" s="911" t="s">
        <v>36</v>
      </c>
      <c r="C16" s="907" t="s">
        <v>3996</v>
      </c>
      <c r="D16" s="911" t="s">
        <v>3991</v>
      </c>
      <c r="E16" s="907" t="s">
        <v>3269</v>
      </c>
      <c r="F16" s="554" t="s">
        <v>4012</v>
      </c>
    </row>
    <row r="18" spans="1:9" ht="18" customHeight="1" x14ac:dyDescent="0.2">
      <c r="A18" s="1524" t="s">
        <v>4013</v>
      </c>
      <c r="B18" s="1524"/>
      <c r="C18" s="1524"/>
      <c r="D18" s="1524"/>
      <c r="E18" s="1524"/>
      <c r="F18" s="1524"/>
      <c r="G18" s="1524"/>
    </row>
    <row r="19" spans="1:9" ht="18" customHeight="1" x14ac:dyDescent="0.2">
      <c r="A19" s="909" t="s">
        <v>4014</v>
      </c>
      <c r="B19" s="912" t="str">
        <f ca="1">IFERROR(_xludf.switch(INPUT_Chart!$C$5,"Taurus","Saturn","Cancer","Mars","Leo","Mars","Libra","Saturn","Capricorn","Venus","Aquarius","Venus","—"),"—")</f>
        <v>—</v>
      </c>
      <c r="C19" s="904" t="s">
        <v>4015</v>
      </c>
      <c r="D19" s="913"/>
      <c r="E19" s="913"/>
      <c r="F19" s="913"/>
    </row>
    <row r="21" spans="1:9" ht="36" customHeight="1" x14ac:dyDescent="0.2">
      <c r="A21" s="1573" t="s">
        <v>4016</v>
      </c>
      <c r="B21" s="1573"/>
      <c r="C21" s="1573"/>
      <c r="D21" s="1573"/>
      <c r="E21" s="1573"/>
      <c r="F21" s="1573"/>
      <c r="G21" s="1573"/>
      <c r="H21" s="1573"/>
      <c r="I21" s="1573"/>
    </row>
  </sheetData>
  <mergeCells count="5">
    <mergeCell ref="A1:G1"/>
    <mergeCell ref="A2:G2"/>
    <mergeCell ref="A3:G3"/>
    <mergeCell ref="A18:G18"/>
    <mergeCell ref="A21:I21"/>
  </mergeCell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6A1B9A"/>
  </sheetPr>
  <dimension ref="A1:K25"/>
  <sheetViews>
    <sheetView zoomScaleNormal="100" workbookViewId="0"/>
  </sheetViews>
  <sheetFormatPr defaultColWidth="8.609375" defaultRowHeight="15" x14ac:dyDescent="0.2"/>
  <cols>
    <col min="1" max="2" width="11.97265625" customWidth="1"/>
    <col min="3" max="4" width="13.98828125" customWidth="1"/>
    <col min="5" max="7" width="11.97265625" customWidth="1"/>
    <col min="8" max="8" width="39.953125" customWidth="1"/>
  </cols>
  <sheetData>
    <row r="1" spans="1:11" ht="21.75" customHeight="1" x14ac:dyDescent="0.2">
      <c r="A1" s="1522" t="s">
        <v>4017</v>
      </c>
      <c r="B1" s="1522"/>
      <c r="C1" s="1522"/>
      <c r="D1" s="1522"/>
      <c r="E1" s="1522"/>
      <c r="F1" s="1522"/>
      <c r="G1" s="1522"/>
      <c r="H1" s="1522"/>
      <c r="J1" s="544" t="s">
        <v>2214</v>
      </c>
    </row>
    <row r="2" spans="1:11" ht="24" customHeight="1" x14ac:dyDescent="0.2">
      <c r="A2" s="1523" t="s">
        <v>4018</v>
      </c>
      <c r="B2" s="1523"/>
      <c r="C2" s="1523"/>
      <c r="D2" s="1523"/>
      <c r="E2" s="1523"/>
      <c r="F2" s="1523"/>
      <c r="G2" s="1523"/>
      <c r="H2" s="1523"/>
    </row>
    <row r="3" spans="1:11" ht="23.25" customHeight="1" x14ac:dyDescent="0.2">
      <c r="I3" s="776" t="s">
        <v>4019</v>
      </c>
      <c r="J3" s="776" t="s">
        <v>4020</v>
      </c>
      <c r="K3" s="776" t="s">
        <v>4021</v>
      </c>
    </row>
    <row r="4" spans="1:11" ht="15.75" customHeight="1" x14ac:dyDescent="0.2">
      <c r="A4" s="545" t="s">
        <v>4022</v>
      </c>
      <c r="B4" s="545" t="s">
        <v>4023</v>
      </c>
      <c r="C4" s="545" t="s">
        <v>4024</v>
      </c>
      <c r="D4" s="545" t="s">
        <v>4025</v>
      </c>
      <c r="E4" s="545" t="s">
        <v>4026</v>
      </c>
      <c r="F4" s="545" t="s">
        <v>4027</v>
      </c>
      <c r="G4" s="545" t="s">
        <v>4028</v>
      </c>
      <c r="H4" s="545" t="s">
        <v>282</v>
      </c>
    </row>
    <row r="5" spans="1:11" ht="15.75" customHeight="1" x14ac:dyDescent="0.2">
      <c r="A5" s="626" t="s">
        <v>268</v>
      </c>
      <c r="B5" s="626" t="s">
        <v>269</v>
      </c>
      <c r="C5" s="914">
        <f>IFERROR(MIN(ABS(CALC_PlanetLongitudes!$D$10-CALC_PlanetLongitudes!$D$11),360-ABS(CALC_PlanetLongitudes!$D$10-CALC_PlanetLongitudes!$D$11)),999)</f>
        <v>36.218100000000007</v>
      </c>
      <c r="D5" s="915" t="str">
        <f t="shared" ref="D5:D14" si="0">IFERROR(IF(C5&lt;1,"⚔ WAR","·"),"·")</f>
        <v>·</v>
      </c>
      <c r="E5" s="916" t="str">
        <f>IFERROR(IF(C5&lt;1,"Mercury","—"),"—")</f>
        <v>—</v>
      </c>
      <c r="F5" s="916" t="str">
        <f t="shared" ref="F5:F14" si="1">IFERROR(IF(C5&lt;1,"+0.25","0"),"0")</f>
        <v>0</v>
      </c>
      <c r="G5" s="917" t="str">
        <f t="shared" ref="G5:G14" si="2">IFERROR(IF(C5&lt;1,"-0.5","0"),"0")</f>
        <v>0</v>
      </c>
      <c r="H5" s="550" t="str">
        <f>IFERROR(IF(C5&lt;1,"Mercury wins · Mars loses · apply modifiers","No war — Mars/Mercury separation "&amp;TEXT(C5,"0.0")&amp;"°"),"—")</f>
        <v>No war — Mars/Mercury separation 36.2°</v>
      </c>
      <c r="I5">
        <v>0.24815999999999999</v>
      </c>
      <c r="J5">
        <v>0.77337</v>
      </c>
      <c r="K5" t="str">
        <f>IFERROR(IF(C5&lt;1,"Mercury (latitude (BPHS Ch.3 v.55))","—"),"—")</f>
        <v>—</v>
      </c>
    </row>
    <row r="6" spans="1:11" ht="15.75" customHeight="1" x14ac:dyDescent="0.2">
      <c r="A6" s="631" t="s">
        <v>268</v>
      </c>
      <c r="B6" s="631" t="s">
        <v>270</v>
      </c>
      <c r="C6" s="918">
        <f>IFERROR(MIN(ABS(CALC_PlanetLongitudes!$D$10-CALC_PlanetLongitudes!$D$12),360-ABS(CALC_PlanetLongitudes!$D$10-CALC_PlanetLongitudes!$D$12)),999)</f>
        <v>138.42150000000001</v>
      </c>
      <c r="D6" s="919" t="str">
        <f t="shared" si="0"/>
        <v>·</v>
      </c>
      <c r="E6" s="920" t="str">
        <f>IFERROR(IF(C6&lt;1,"Jupiter","—"),"—")</f>
        <v>—</v>
      </c>
      <c r="F6" s="920" t="str">
        <f t="shared" si="1"/>
        <v>0</v>
      </c>
      <c r="G6" s="921" t="str">
        <f t="shared" si="2"/>
        <v>0</v>
      </c>
      <c r="H6" s="554" t="str">
        <f>IFERROR(IF(C6&lt;1,"Jupiter wins · Mars loses · apply modifiers","No war — Mars/Jupiter separation "&amp;TEXT(C6,"0.0")&amp;"°"),"—")</f>
        <v>No war — Mars/Jupiter separation 138.4°</v>
      </c>
      <c r="I6">
        <v>0.24815999999999999</v>
      </c>
      <c r="J6">
        <v>0.85094000000000003</v>
      </c>
      <c r="K6" t="str">
        <f>IFERROR(IF(C6&lt;1,"Jupiter (latitude (BPHS Ch.3 v.55))","—"),"—")</f>
        <v>—</v>
      </c>
    </row>
    <row r="7" spans="1:11" ht="15.75" customHeight="1" x14ac:dyDescent="0.2">
      <c r="A7" s="626" t="s">
        <v>268</v>
      </c>
      <c r="B7" s="626" t="s">
        <v>271</v>
      </c>
      <c r="C7" s="914">
        <f>IFERROR(MIN(ABS(CALC_PlanetLongitudes!$D$10-CALC_PlanetLongitudes!$D$13),360-ABS(CALC_PlanetLongitudes!$D$10-CALC_PlanetLongitudes!$D$13)),999)</f>
        <v>45.105000000000004</v>
      </c>
      <c r="D7" s="915" t="str">
        <f t="shared" si="0"/>
        <v>·</v>
      </c>
      <c r="E7" s="916" t="str">
        <f>IFERROR(IF(C7&lt;1,"Venus","—"),"—")</f>
        <v>—</v>
      </c>
      <c r="F7" s="916" t="str">
        <f t="shared" si="1"/>
        <v>0</v>
      </c>
      <c r="G7" s="917" t="str">
        <f t="shared" si="2"/>
        <v>0</v>
      </c>
      <c r="H7" s="550" t="str">
        <f>IFERROR(IF(C7&lt;1,"Venus wins · Mars loses · apply modifiers","No war — Mars/Venus separation "&amp;TEXT(C7,"0.0")&amp;"°"),"—")</f>
        <v>No war — Mars/Venus separation 45.1°</v>
      </c>
      <c r="I7">
        <v>0.24815999999999999</v>
      </c>
      <c r="J7">
        <v>1.11456</v>
      </c>
      <c r="K7" t="str">
        <f>IFERROR(IF(C7&lt;1,"Venus (latitude (BPHS Ch.3 v.55))","—"),"—")</f>
        <v>—</v>
      </c>
    </row>
    <row r="8" spans="1:11" ht="15.75" customHeight="1" x14ac:dyDescent="0.2">
      <c r="A8" s="631" t="s">
        <v>268</v>
      </c>
      <c r="B8" s="631" t="s">
        <v>272</v>
      </c>
      <c r="C8" s="918">
        <f>IFERROR(MIN(ABS(CALC_PlanetLongitudes!$D$10-CALC_PlanetLongitudes!$D$14),360-ABS(CALC_PlanetLongitudes!$D$10-CALC_PlanetLongitudes!$D$14)),999)</f>
        <v>43.016800000000003</v>
      </c>
      <c r="D8" s="919" t="str">
        <f t="shared" si="0"/>
        <v>·</v>
      </c>
      <c r="E8" s="920" t="str">
        <f>IFERROR(IF(C8&lt;1,"Mars","—"),"—")</f>
        <v>—</v>
      </c>
      <c r="F8" s="920" t="str">
        <f t="shared" si="1"/>
        <v>0</v>
      </c>
      <c r="G8" s="921" t="str">
        <f t="shared" si="2"/>
        <v>0</v>
      </c>
      <c r="H8" s="554" t="str">
        <f>IFERROR(IF(C8&lt;1,"Mars wins · Saturn loses · apply modifiers","No war — Mars/Saturn separation "&amp;TEXT(C8,"0.0")&amp;"°"),"—")</f>
        <v>No war — Mars/Saturn separation 43.0°</v>
      </c>
      <c r="I8">
        <v>0.24815999999999999</v>
      </c>
      <c r="J8">
        <v>0.75136999999999998</v>
      </c>
      <c r="K8" t="str">
        <f>IFERROR(IF(C8&lt;1,"Saturn (latitude (BPHS Ch.3 v.55))","—"),"—")</f>
        <v>—</v>
      </c>
    </row>
    <row r="9" spans="1:11" ht="15.75" customHeight="1" x14ac:dyDescent="0.2">
      <c r="A9" s="626" t="s">
        <v>269</v>
      </c>
      <c r="B9" s="626" t="s">
        <v>270</v>
      </c>
      <c r="C9" s="914">
        <f>IFERROR(MIN(ABS(CALC_PlanetLongitudes!$D$11-CALC_PlanetLongitudes!$D$12),360-ABS(CALC_PlanetLongitudes!$D$11-CALC_PlanetLongitudes!$D$12)),999)</f>
        <v>102.2034</v>
      </c>
      <c r="D9" s="915" t="str">
        <f t="shared" si="0"/>
        <v>·</v>
      </c>
      <c r="E9" s="916" t="str">
        <f>IFERROR(IF(C9&lt;1,"Jupiter","—"),"—")</f>
        <v>—</v>
      </c>
      <c r="F9" s="916" t="str">
        <f t="shared" si="1"/>
        <v>0</v>
      </c>
      <c r="G9" s="917" t="str">
        <f t="shared" si="2"/>
        <v>0</v>
      </c>
      <c r="H9" s="550" t="str">
        <f>IFERROR(IF(C9&lt;1,"Jupiter wins · Mercury loses · apply modifiers","No war — Mercury/Jupiter separation "&amp;TEXT(C9,"0.0")&amp;"°"),"—")</f>
        <v>No war — Mercury/Jupiter separation 102.2°</v>
      </c>
      <c r="I9">
        <v>0.77337</v>
      </c>
      <c r="J9">
        <v>0.85094000000000003</v>
      </c>
      <c r="K9" t="str">
        <f>IFERROR(IF(C9&lt;1,"Jupiter (latitude (BPHS Ch.3 v.55))","—"),"—")</f>
        <v>—</v>
      </c>
    </row>
    <row r="10" spans="1:11" ht="15.75" customHeight="1" x14ac:dyDescent="0.2">
      <c r="A10" s="631" t="s">
        <v>269</v>
      </c>
      <c r="B10" s="631" t="s">
        <v>271</v>
      </c>
      <c r="C10" s="918">
        <f>IFERROR(MIN(ABS(CALC_PlanetLongitudes!$D$11-CALC_PlanetLongitudes!$D$13),360-ABS(CALC_PlanetLongitudes!$D$11-CALC_PlanetLongitudes!$D$13)),999)</f>
        <v>8.8868999999999971</v>
      </c>
      <c r="D10" s="919" t="str">
        <f t="shared" si="0"/>
        <v>·</v>
      </c>
      <c r="E10" s="920" t="str">
        <f>IFERROR(IF(C10&lt;1,"Venus","—"),"—")</f>
        <v>—</v>
      </c>
      <c r="F10" s="920" t="str">
        <f t="shared" si="1"/>
        <v>0</v>
      </c>
      <c r="G10" s="921" t="str">
        <f t="shared" si="2"/>
        <v>0</v>
      </c>
      <c r="H10" s="554" t="str">
        <f>IFERROR(IF(C10&lt;1,"Venus wins · Mercury loses · apply modifiers","No war — Mercury/Venus separation "&amp;TEXT(C10,"0.0")&amp;"°"),"—")</f>
        <v>No war — Mercury/Venus separation 8.9°</v>
      </c>
      <c r="I10">
        <v>0.77337</v>
      </c>
      <c r="J10">
        <v>1.11456</v>
      </c>
      <c r="K10" t="str">
        <f>IFERROR(IF(C10&lt;1,"Venus (latitude (BPHS Ch.3 v.55))","—"),"—")</f>
        <v>—</v>
      </c>
    </row>
    <row r="11" spans="1:11" ht="15.75" customHeight="1" x14ac:dyDescent="0.2">
      <c r="A11" s="626" t="s">
        <v>269</v>
      </c>
      <c r="B11" s="626" t="s">
        <v>272</v>
      </c>
      <c r="C11" s="914">
        <f>IFERROR(MIN(ABS(CALC_PlanetLongitudes!$D$11-CALC_PlanetLongitudes!$D$14),360-ABS(CALC_PlanetLongitudes!$D$11-CALC_PlanetLongitudes!$D$14)),999)</f>
        <v>6.7986999999999966</v>
      </c>
      <c r="D11" s="915" t="str">
        <f t="shared" si="0"/>
        <v>·</v>
      </c>
      <c r="E11" s="916" t="str">
        <f>IFERROR(IF(C11&lt;1,"Mercury","—"),"—")</f>
        <v>—</v>
      </c>
      <c r="F11" s="916" t="str">
        <f t="shared" si="1"/>
        <v>0</v>
      </c>
      <c r="G11" s="917" t="str">
        <f t="shared" si="2"/>
        <v>0</v>
      </c>
      <c r="H11" s="550" t="str">
        <f>IFERROR(IF(C11&lt;1,"Mercury wins · Saturn loses · apply modifiers","No war — Mercury/Saturn separation "&amp;TEXT(C11,"0.0")&amp;"°"),"—")</f>
        <v>No war — Mercury/Saturn separation 6.8°</v>
      </c>
      <c r="I11">
        <v>0.77337</v>
      </c>
      <c r="J11">
        <v>0.75136999999999998</v>
      </c>
      <c r="K11" t="str">
        <f>IFERROR(IF(C11&lt;1,"Mercury (latitude (BPHS Ch.3 v.55))","—"),"—")</f>
        <v>—</v>
      </c>
    </row>
    <row r="12" spans="1:11" ht="15.75" customHeight="1" x14ac:dyDescent="0.2">
      <c r="A12" s="631" t="s">
        <v>270</v>
      </c>
      <c r="B12" s="631" t="s">
        <v>271</v>
      </c>
      <c r="C12" s="918">
        <f>IFERROR(MIN(ABS(CALC_PlanetLongitudes!$D$12-CALC_PlanetLongitudes!$D$13),360-ABS(CALC_PlanetLongitudes!$D$12-CALC_PlanetLongitudes!$D$13)),999)</f>
        <v>93.316500000000005</v>
      </c>
      <c r="D12" s="919" t="str">
        <f t="shared" si="0"/>
        <v>·</v>
      </c>
      <c r="E12" s="920" t="str">
        <f>IFERROR(IF(C12&lt;1,"Venus","—"),"—")</f>
        <v>—</v>
      </c>
      <c r="F12" s="920" t="str">
        <f t="shared" si="1"/>
        <v>0</v>
      </c>
      <c r="G12" s="921" t="str">
        <f t="shared" si="2"/>
        <v>0</v>
      </c>
      <c r="H12" s="554" t="str">
        <f>IFERROR(IF(C12&lt;1,"Venus wins · Jupiter loses · apply modifiers","No war — Jupiter/Venus separation "&amp;TEXT(C12,"0.0")&amp;"°"),"—")</f>
        <v>No war — Jupiter/Venus separation 93.3°</v>
      </c>
      <c r="I12">
        <v>0.85094000000000003</v>
      </c>
      <c r="J12">
        <v>1.11456</v>
      </c>
      <c r="K12" t="str">
        <f>IFERROR(IF(C12&lt;1,"Venus (latitude (BPHS Ch.3 v.55))","—"),"—")</f>
        <v>—</v>
      </c>
    </row>
    <row r="13" spans="1:11" ht="15.75" customHeight="1" x14ac:dyDescent="0.2">
      <c r="A13" s="626" t="s">
        <v>270</v>
      </c>
      <c r="B13" s="626" t="s">
        <v>272</v>
      </c>
      <c r="C13" s="914">
        <f>IFERROR(MIN(ABS(CALC_PlanetLongitudes!$D$12-CALC_PlanetLongitudes!$D$14),360-ABS(CALC_PlanetLongitudes!$D$12-CALC_PlanetLongitudes!$D$14)),999)</f>
        <v>95.404700000000005</v>
      </c>
      <c r="D13" s="915" t="str">
        <f t="shared" si="0"/>
        <v>·</v>
      </c>
      <c r="E13" s="916" t="str">
        <f>IFERROR(IF(C13&lt;1,"Jupiter","—"),"—")</f>
        <v>—</v>
      </c>
      <c r="F13" s="916" t="str">
        <f t="shared" si="1"/>
        <v>0</v>
      </c>
      <c r="G13" s="917" t="str">
        <f t="shared" si="2"/>
        <v>0</v>
      </c>
      <c r="H13" s="550" t="str">
        <f>IFERROR(IF(C13&lt;1,"Jupiter wins · Saturn loses · apply modifiers","No war — Jupiter/Saturn separation "&amp;TEXT(C13,"0.0")&amp;"°"),"—")</f>
        <v>No war — Jupiter/Saturn separation 95.4°</v>
      </c>
      <c r="I13">
        <v>0.85094000000000003</v>
      </c>
      <c r="J13">
        <v>0.75136999999999998</v>
      </c>
      <c r="K13" t="str">
        <f>IFERROR(IF(C13&lt;1,"Jupiter (latitude (BPHS Ch.3 v.55))","—"),"—")</f>
        <v>—</v>
      </c>
    </row>
    <row r="14" spans="1:11" ht="15.75" customHeight="1" x14ac:dyDescent="0.2">
      <c r="A14" s="631" t="s">
        <v>271</v>
      </c>
      <c r="B14" s="631" t="s">
        <v>272</v>
      </c>
      <c r="C14" s="918">
        <f>IFERROR(MIN(ABS(CALC_PlanetLongitudes!$D$13-CALC_PlanetLongitudes!$D$14),360-ABS(CALC_PlanetLongitudes!$D$13-CALC_PlanetLongitudes!$D$14)),999)</f>
        <v>2.0882000000000005</v>
      </c>
      <c r="D14" s="919" t="str">
        <f t="shared" si="0"/>
        <v>·</v>
      </c>
      <c r="E14" s="920" t="str">
        <f>IFERROR(IF(C14&lt;1,"Venus","—"),"—")</f>
        <v>—</v>
      </c>
      <c r="F14" s="920" t="str">
        <f t="shared" si="1"/>
        <v>0</v>
      </c>
      <c r="G14" s="921" t="str">
        <f t="shared" si="2"/>
        <v>0</v>
      </c>
      <c r="H14" s="554" t="str">
        <f>IFERROR(IF(C14&lt;1,"Venus wins · Saturn loses · apply modifiers","No war — Venus/Saturn separation "&amp;TEXT(C14,"0.0")&amp;"°"),"—")</f>
        <v>No war — Venus/Saturn separation 2.1°</v>
      </c>
      <c r="I14">
        <v>1.11456</v>
      </c>
      <c r="J14">
        <v>0.75136999999999998</v>
      </c>
      <c r="K14" t="str">
        <f>IFERROR(IF(C14&lt;1,"Venus (latitude (BPHS Ch.3 v.55))","—"),"—")</f>
        <v>—</v>
      </c>
    </row>
    <row r="16" spans="1:11" ht="54.75" customHeight="1" x14ac:dyDescent="0.2">
      <c r="A16" s="562" t="s">
        <v>4029</v>
      </c>
    </row>
    <row r="17" spans="1:8" ht="18" customHeight="1" x14ac:dyDescent="0.2">
      <c r="A17" s="1524" t="s">
        <v>4030</v>
      </c>
      <c r="B17" s="1524"/>
      <c r="C17" s="1524"/>
      <c r="D17" s="1524"/>
      <c r="E17" s="1524"/>
      <c r="F17" s="1524"/>
      <c r="G17" s="1524"/>
      <c r="H17" s="1524"/>
    </row>
    <row r="18" spans="1:8" ht="15.75" customHeight="1" x14ac:dyDescent="0.2">
      <c r="A18" s="545" t="s">
        <v>319</v>
      </c>
      <c r="B18" s="545" t="s">
        <v>4031</v>
      </c>
      <c r="C18" s="545" t="s">
        <v>4032</v>
      </c>
      <c r="D18" s="545" t="s">
        <v>4033</v>
      </c>
      <c r="E18" s="545" t="s">
        <v>282</v>
      </c>
      <c r="F18" s="545"/>
      <c r="G18" s="545"/>
      <c r="H18" s="545"/>
    </row>
    <row r="19" spans="1:8" ht="15.75" customHeight="1" x14ac:dyDescent="0.2">
      <c r="A19" s="922" t="s">
        <v>266</v>
      </c>
      <c r="B19" s="914" t="s">
        <v>36</v>
      </c>
      <c r="C19" s="914" t="s">
        <v>4034</v>
      </c>
      <c r="D19" s="914">
        <v>0</v>
      </c>
      <c r="E19" s="923" t="s">
        <v>4035</v>
      </c>
      <c r="F19" s="923"/>
      <c r="G19" s="923"/>
      <c r="H19" s="923"/>
    </row>
    <row r="20" spans="1:8" ht="15.75" customHeight="1" x14ac:dyDescent="0.2">
      <c r="A20" s="924" t="s">
        <v>267</v>
      </c>
      <c r="B20" s="918" t="s">
        <v>36</v>
      </c>
      <c r="C20" s="918" t="s">
        <v>4034</v>
      </c>
      <c r="D20" s="918">
        <v>0</v>
      </c>
      <c r="E20" s="925" t="s">
        <v>4035</v>
      </c>
      <c r="F20" s="925"/>
      <c r="G20" s="925"/>
      <c r="H20" s="925"/>
    </row>
    <row r="21" spans="1:8" ht="15.75" customHeight="1" x14ac:dyDescent="0.2">
      <c r="A21" s="626" t="s">
        <v>268</v>
      </c>
      <c r="B21" s="914" t="str">
        <f>IFERROR(IF(OR(C5&lt;1,C6&lt;1,C7&lt;1,C8&lt;1),"⚔ In War","·"),"·")</f>
        <v>·</v>
      </c>
      <c r="C21" s="914" t="s">
        <v>4036</v>
      </c>
      <c r="D21" s="915">
        <f>IFERROR(IF(C8&lt;1,0.25,0)+IF(C5&lt;1,-0.5,0)+IF(C6&lt;1,-0.5,0)+IF(C7&lt;1,-0.5,0),0)</f>
        <v>0</v>
      </c>
      <c r="E21" s="923" t="s">
        <v>4037</v>
      </c>
      <c r="F21" s="923"/>
      <c r="G21" s="923"/>
      <c r="H21" s="923"/>
    </row>
    <row r="22" spans="1:8" ht="15.75" customHeight="1" x14ac:dyDescent="0.2">
      <c r="A22" s="631" t="s">
        <v>269</v>
      </c>
      <c r="B22" s="918" t="str">
        <f>IFERROR(IF(OR(C5&lt;1,C9&lt;1,C10&lt;1,C11&lt;1),"⚔ In War","·"),"·")</f>
        <v>·</v>
      </c>
      <c r="C22" s="918" t="s">
        <v>4036</v>
      </c>
      <c r="D22" s="919">
        <f>IFERROR(IF(C5&lt;1,0.25,0)+IF(C11&lt;1,0.25,0)+IF(C9&lt;1,-0.5,0)+IF(C10&lt;1,-0.5,0),0)</f>
        <v>0</v>
      </c>
      <c r="E22" s="925" t="s">
        <v>4038</v>
      </c>
      <c r="F22" s="925"/>
      <c r="G22" s="925"/>
      <c r="H22" s="925"/>
    </row>
    <row r="23" spans="1:8" ht="15.75" customHeight="1" x14ac:dyDescent="0.2">
      <c r="A23" s="626" t="s">
        <v>270</v>
      </c>
      <c r="B23" s="914" t="str">
        <f>IFERROR(IF(OR(C6&lt;1,C9&lt;1,C12&lt;1,C13&lt;1),"⚔ In War","·"),"·")</f>
        <v>·</v>
      </c>
      <c r="C23" s="914" t="s">
        <v>4036</v>
      </c>
      <c r="D23" s="915">
        <f>IFERROR(IF(C6&lt;1,0.25,0)+IF(C9&lt;1,0.25,0)+IF(C13&lt;1,0.25,0)+IF(C12&lt;1,-0.5,0),0)</f>
        <v>0</v>
      </c>
      <c r="E23" s="923" t="s">
        <v>4039</v>
      </c>
      <c r="F23" s="923"/>
      <c r="G23" s="923"/>
      <c r="H23" s="923"/>
    </row>
    <row r="24" spans="1:8" ht="15.75" customHeight="1" x14ac:dyDescent="0.2">
      <c r="A24" s="631" t="s">
        <v>271</v>
      </c>
      <c r="B24" s="918" t="str">
        <f>IFERROR(IF(OR(C7&lt;1,C10&lt;1,C12&lt;1,C14&lt;1),"⚔ In War","·"),"·")</f>
        <v>·</v>
      </c>
      <c r="C24" s="918" t="s">
        <v>4036</v>
      </c>
      <c r="D24" s="919">
        <f>IFERROR(IF(C7&lt;1,0.25,0)+IF(C10&lt;1,0.25,0)+IF(C12&lt;1,0.25,0)+IF(C14&lt;1,0.25,0),0)</f>
        <v>0</v>
      </c>
      <c r="E24" s="925" t="s">
        <v>4040</v>
      </c>
      <c r="F24" s="925"/>
      <c r="G24" s="925"/>
      <c r="H24" s="925"/>
    </row>
    <row r="25" spans="1:8" ht="15.75" customHeight="1" x14ac:dyDescent="0.2">
      <c r="A25" s="626" t="s">
        <v>272</v>
      </c>
      <c r="B25" s="914" t="str">
        <f>IFERROR(IF(OR(C8&lt;1,C11&lt;1,C13&lt;1,C14&lt;1),"⚔ In War","·"),"·")</f>
        <v>·</v>
      </c>
      <c r="C25" s="914" t="s">
        <v>4036</v>
      </c>
      <c r="D25" s="915">
        <f>IFERROR(IF(C8&lt;1,-0.5,0)+IF(C11&lt;1,-0.5,0)+IF(C13&lt;1,-0.5,0)+IF(C14&lt;1,-0.5,0),0)</f>
        <v>0</v>
      </c>
      <c r="E25" s="923" t="s">
        <v>4041</v>
      </c>
      <c r="F25" s="923"/>
      <c r="G25" s="923"/>
      <c r="H25" s="923"/>
    </row>
  </sheetData>
  <mergeCells count="3">
    <mergeCell ref="A1:H1"/>
    <mergeCell ref="A2:H2"/>
    <mergeCell ref="A17:H17"/>
  </mergeCell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6A1B9A"/>
  </sheetPr>
  <dimension ref="A1:J16"/>
  <sheetViews>
    <sheetView zoomScaleNormal="100" workbookViewId="0"/>
  </sheetViews>
  <sheetFormatPr defaultColWidth="8.609375" defaultRowHeight="15" x14ac:dyDescent="0.2"/>
  <cols>
    <col min="1" max="1" width="6.05078125" customWidth="1"/>
    <col min="2" max="3" width="16.0078125" customWidth="1"/>
    <col min="4" max="6" width="13.98828125" customWidth="1"/>
    <col min="7" max="7" width="11.97265625" customWidth="1"/>
    <col min="8" max="8" width="39.953125" customWidth="1"/>
  </cols>
  <sheetData>
    <row r="1" spans="1:10" ht="21.75" customHeight="1" x14ac:dyDescent="0.2">
      <c r="A1" s="1522" t="s">
        <v>4042</v>
      </c>
      <c r="B1" s="1522"/>
      <c r="C1" s="1522"/>
      <c r="D1" s="1522"/>
      <c r="E1" s="1522"/>
      <c r="F1" s="1522"/>
      <c r="G1" s="1522"/>
      <c r="H1" s="1522"/>
      <c r="J1" s="544" t="s">
        <v>2214</v>
      </c>
    </row>
    <row r="2" spans="1:10" ht="24" customHeight="1" x14ac:dyDescent="0.2">
      <c r="A2" s="1523" t="s">
        <v>4043</v>
      </c>
      <c r="B2" s="1523"/>
      <c r="C2" s="1523"/>
      <c r="D2" s="1523"/>
      <c r="E2" s="1523"/>
      <c r="F2" s="1523"/>
      <c r="G2" s="1523"/>
      <c r="H2" s="1523"/>
    </row>
    <row r="4" spans="1:10" ht="15.75" customHeight="1" x14ac:dyDescent="0.2">
      <c r="A4" s="545" t="s">
        <v>2276</v>
      </c>
      <c r="B4" s="545" t="s">
        <v>4044</v>
      </c>
      <c r="C4" s="545" t="s">
        <v>4045</v>
      </c>
      <c r="D4" s="545" t="s">
        <v>4046</v>
      </c>
      <c r="E4" s="545" t="s">
        <v>4047</v>
      </c>
      <c r="F4" s="545" t="s">
        <v>4048</v>
      </c>
      <c r="G4" s="545" t="s">
        <v>4049</v>
      </c>
      <c r="H4" s="545" t="s">
        <v>4050</v>
      </c>
    </row>
    <row r="5" spans="1:10" ht="18" customHeight="1" x14ac:dyDescent="0.2">
      <c r="A5" s="632">
        <v>1</v>
      </c>
      <c r="B5" s="926" t="str">
        <f ca="1">IFERROR(_xludf.textjoin(" ",TRUE(),IF(MOD(MATCH(CALC_PlanetPositions!$B$7,{"Aries","Taurus","Gemini","Cancer","Leo","Virgo","Libra","Scorpio","Sagittarius","Capricorn","Aquarius","Pisces"},0)-MATCH(INPUT_Chart!$C$5,{"Aries","Taurus","Gemini","Cancer","Leo","Virgo","Libra","Scorpio","Sagittarius","Capricorn","Aquarius","Pisces"},0),12)+1=1,sun,"·"),IF(MOD(MATCH(CALC_PlanetPositions!$B$8,{"Aries","Taurus","Gemini","Cancer","Leo","Virgo","Libra","Scorpio","Sagittarius","Capricorn","Aquarius","Pisces"},0)-MATCH(INPUT_Chart!$C$5,{"Aries","Taurus","Gemini","Cancer","Leo","Virgo","Libra","Scorpio","Sagittarius","Capricorn","Aquarius","Pisces"},0),12)+1=1,moo,"·"),IF(MOD(MATCH(CALC_PlanetPositions!$B$9,{"Aries","Taurus","Gemini","Cancer","Leo","Virgo","Libra","Scorpio","Sagittarius","Capricorn","Aquarius","Pisces"},0)-MATCH(INPUT_Chart!$C$5,{"Aries","Taurus","Gemini","Cancer","Leo","Virgo","Libra","Scorpio","Sagittarius","Capricorn","Aquarius","Pisces"},0),12)+1=1,mar,"·"),IF(MOD(MATCH(CALC_PlanetPositions!$B$10,{"Aries","Taurus","Gemini","Cancer","Leo","Virgo","Libra","Scorpio","Sagittarius","Capricorn","Aquarius","Pisces"},0)-MATCH(INPUT_Chart!$C$5,{"Aries","Taurus","Gemini","Cancer","Leo","Virgo","Libra","Scorpio","Sagittarius","Capricorn","Aquarius","Pisces"},0),12)+1=1,mer,"·"),IF(MOD(MATCH(CALC_PlanetPositions!$B$11,{"Aries","Taurus","Gemini","Cancer","Leo","Virgo","Libra","Scorpio","Sagittarius","Capricorn","Aquarius","Pisces"},0)-MATCH(INPUT_Chart!$C$5,{"Aries","Taurus","Gemini","Cancer","Leo","Virgo","Libra","Scorpio","Sagittarius","Capricorn","Aquarius","Pisces"},0),12)+1=1,jup,"·"),IF(MOD(MATCH(CALC_PlanetPositions!$B$12,{"Aries","Taurus","Gemini","Cancer","Leo","Virgo","Libra","Scorpio","Sagittarius","Capricorn","Aquarius","Pisces"},0)-MATCH(INPUT_Chart!$C$5,{"Aries","Taurus","Gemini","Cancer","Leo","Virgo","Libra","Scorpio","Sagittarius","Capricorn","Aquarius","Pisces"},0),12)+1=1,ven,"·"),IF(MOD(MATCH(CALC_PlanetPositions!$B$13,{"Aries","Taurus","Gemini","Cancer","Leo","Virgo","Libra","Scorpio","Sagittarius","Capricorn","Aquarius","Pisces"},0)-MATCH(INPUT_Chart!$C$5,{"Aries","Taurus","Gemini","Cancer","Leo","Virgo","Libra","Scorpio","Sagittarius","Capricorn","Aquarius","Pisces"},0),12)+1=1,sat,"·"),IF(MOD(MATCH(CALC_PlanetPositions!$B$14,{"Aries","Taurus","Gemini","Cancer","Leo","Virgo","Libra","Scorpio","Sagittarius","Capricorn","Aquarius","Pisces"},0)-MATCH(INPUT_Chart!$C$5,{"Aries","Taurus","Gemini","Cancer","Leo","Virgo","Libra","Scorpio","Sagittarius","Capricorn","Aquarius","Pisces"},0),12)+1=1,rah,"·"),IF(MOD(MATCH(CALC_PlanetPositions!$B$15,{"Aries","Taurus","Gemini","Cancer","Leo","Virgo","Libra","Scorpio","Sagittarius","Capricorn","Aquarius","Pisces"},0)-MATCH(INPUT_Chart!$C$5,{"Aries","Taurus","Gemini","Cancer","Leo","Virgo","Libra","Scorpio","Sagittarius","Capricorn","Aquarius","Pisces"},0),12)+1=1,ket,"·")),"—")</f>
        <v>—</v>
      </c>
      <c r="C5" s="926" t="str">
        <f ca="1">IFERROR(_xludf.textjoin(" ",TRUE(),IF(MOD(MATCH(CALC_PlanetPositions!$B$7,{"Aries","Taurus","Gemini","Cancer","Leo","Virgo","Libra","Scorpio","Sagittarius","Capricorn","Aquarius","Pisces"},0)-MATCH(INPUT_Chart!$C$5,{"Aries","Taurus","Gemini","Cancer","Leo","Virgo","Libra","Scorpio","Sagittarius","Capricorn","Aquarius","Pisces"},0),12)+1=3,sun,"·"),IF(MOD(MATCH(CALC_PlanetPositions!$B$8,{"Aries","Taurus","Gemini","Cancer","Leo","Virgo","Libra","Scorpio","Sagittarius","Capricorn","Aquarius","Pisces"},0)-MATCH(INPUT_Chart!$C$5,{"Aries","Taurus","Gemini","Cancer","Leo","Virgo","Libra","Scorpio","Sagittarius","Capricorn","Aquarius","Pisces"},0),12)+1=3,moo,"·"),IF(MOD(MATCH(CALC_PlanetPositions!$B$9,{"Aries","Taurus","Gemini","Cancer","Leo","Virgo","Libra","Scorpio","Sagittarius","Capricorn","Aquarius","Pisces"},0)-MATCH(INPUT_Chart!$C$5,{"Aries","Taurus","Gemini","Cancer","Leo","Virgo","Libra","Scorpio","Sagittarius","Capricorn","Aquarius","Pisces"},0),12)+1=3,mar,"·"),IF(MOD(MATCH(CALC_PlanetPositions!$B$10,{"Aries","Taurus","Gemini","Cancer","Leo","Virgo","Libra","Scorpio","Sagittarius","Capricorn","Aquarius","Pisces"},0)-MATCH(INPUT_Chart!$C$5,{"Aries","Taurus","Gemini","Cancer","Leo","Virgo","Libra","Scorpio","Sagittarius","Capricorn","Aquarius","Pisces"},0),12)+1=3,mer,"·"),IF(MOD(MATCH(CALC_PlanetPositions!$B$11,{"Aries","Taurus","Gemini","Cancer","Leo","Virgo","Libra","Scorpio","Sagittarius","Capricorn","Aquarius","Pisces"},0)-MATCH(INPUT_Chart!$C$5,{"Aries","Taurus","Gemini","Cancer","Leo","Virgo","Libra","Scorpio","Sagittarius","Capricorn","Aquarius","Pisces"},0),12)+1=3,jup,"·"),IF(MOD(MATCH(CALC_PlanetPositions!$B$12,{"Aries","Taurus","Gemini","Cancer","Leo","Virgo","Libra","Scorpio","Sagittarius","Capricorn","Aquarius","Pisces"},0)-MATCH(INPUT_Chart!$C$5,{"Aries","Taurus","Gemini","Cancer","Leo","Virgo","Libra","Scorpio","Sagittarius","Capricorn","Aquarius","Pisces"},0),12)+1=3,ven,"·"),IF(MOD(MATCH(CALC_PlanetPositions!$B$13,{"Aries","Taurus","Gemini","Cancer","Leo","Virgo","Libra","Scorpio","Sagittarius","Capricorn","Aquarius","Pisces"},0)-MATCH(INPUT_Chart!$C$5,{"Aries","Taurus","Gemini","Cancer","Leo","Virgo","Libra","Scorpio","Sagittarius","Capricorn","Aquarius","Pisces"},0),12)+1=3,sat,"·"),IF(MOD(MATCH(CALC_PlanetPositions!$B$14,{"Aries","Taurus","Gemini","Cancer","Leo","Virgo","Libra","Scorpio","Sagittarius","Capricorn","Aquarius","Pisces"},0)-MATCH(INPUT_Chart!$C$5,{"Aries","Taurus","Gemini","Cancer","Leo","Virgo","Libra","Scorpio","Sagittarius","Capricorn","Aquarius","Pisces"},0),12)+1=3,rah,"·"),IF(MOD(MATCH(CALC_PlanetPositions!$B$15,{"Aries","Taurus","Gemini","Cancer","Leo","Virgo","Libra","Scorpio","Sagittarius","Capricorn","Aquarius","Pisces"},0)-MATCH(INPUT_Chart!$C$5,{"Aries","Taurus","Gemini","Cancer","Leo","Virgo","Libra","Scorpio","Sagittarius","Capricorn","Aquarius","Pisces"},0),12)+1=3,ket,"·")),"—")</f>
        <v>—</v>
      </c>
      <c r="D5" s="926" t="str">
        <f ca="1">IFERROR(_xludf.textjoin(" ",TRUE(),IF(MOD(MATCH(CALC_PlanetPositions!$B$7,{"Aries","Taurus","Gemini","Cancer","Leo","Virgo","Libra","Scorpio","Sagittarius","Capricorn","Aquarius","Pisces"},0)-MATCH(INPUT_Chart!$C$5,{"Aries","Taurus","Gemini","Cancer","Leo","Virgo","Libra","Scorpio","Sagittarius","Capricorn","Aquarius","Pisces"},0),12)+1=10,sun,"·"),IF(MOD(MATCH(CALC_PlanetPositions!$B$8,{"Aries","Taurus","Gemini","Cancer","Leo","Virgo","Libra","Scorpio","Sagittarius","Capricorn","Aquarius","Pisces"},0)-MATCH(INPUT_Chart!$C$5,{"Aries","Taurus","Gemini","Cancer","Leo","Virgo","Libra","Scorpio","Sagittarius","Capricorn","Aquarius","Pisces"},0),12)+1=10,moo,"·"),IF(MOD(MATCH(CALC_PlanetPositions!$B$9,{"Aries","Taurus","Gemini","Cancer","Leo","Virgo","Libra","Scorpio","Sagittarius","Capricorn","Aquarius","Pisces"},0)-MATCH(INPUT_Chart!$C$5,{"Aries","Taurus","Gemini","Cancer","Leo","Virgo","Libra","Scorpio","Sagittarius","Capricorn","Aquarius","Pisces"},0),12)+1=10,mar,"·"),IF(MOD(MATCH(CALC_PlanetPositions!$B$10,{"Aries","Taurus","Gemini","Cancer","Leo","Virgo","Libra","Scorpio","Sagittarius","Capricorn","Aquarius","Pisces"},0)-MATCH(INPUT_Chart!$C$5,{"Aries","Taurus","Gemini","Cancer","Leo","Virgo","Libra","Scorpio","Sagittarius","Capricorn","Aquarius","Pisces"},0),12)+1=10,mer,"·"),IF(MOD(MATCH(CALC_PlanetPositions!$B$11,{"Aries","Taurus","Gemini","Cancer","Leo","Virgo","Libra","Scorpio","Sagittarius","Capricorn","Aquarius","Pisces"},0)-MATCH(INPUT_Chart!$C$5,{"Aries","Taurus","Gemini","Cancer","Leo","Virgo","Libra","Scorpio","Sagittarius","Capricorn","Aquarius","Pisces"},0),12)+1=10,jup,"·"),IF(MOD(MATCH(CALC_PlanetPositions!$B$12,{"Aries","Taurus","Gemini","Cancer","Leo","Virgo","Libra","Scorpio","Sagittarius","Capricorn","Aquarius","Pisces"},0)-MATCH(INPUT_Chart!$C$5,{"Aries","Taurus","Gemini","Cancer","Leo","Virgo","Libra","Scorpio","Sagittarius","Capricorn","Aquarius","Pisces"},0),12)+1=10,ven,"·"),IF(MOD(MATCH(CALC_PlanetPositions!$B$13,{"Aries","Taurus","Gemini","Cancer","Leo","Virgo","Libra","Scorpio","Sagittarius","Capricorn","Aquarius","Pisces"},0)-MATCH(INPUT_Chart!$C$5,{"Aries","Taurus","Gemini","Cancer","Leo","Virgo","Libra","Scorpio","Sagittarius","Capricorn","Aquarius","Pisces"},0),12)+1=10,sat,"·"),IF(MOD(MATCH(CALC_PlanetPositions!$B$14,{"Aries","Taurus","Gemini","Cancer","Leo","Virgo","Libra","Scorpio","Sagittarius","Capricorn","Aquarius","Pisces"},0)-MATCH(INPUT_Chart!$C$5,{"Aries","Taurus","Gemini","Cancer","Leo","Virgo","Libra","Scorpio","Sagittarius","Capricorn","Aquarius","Pisces"},0),12)+1=10,rah,"·"),IF(MOD(MATCH(CALC_PlanetPositions!$B$15,{"Aries","Taurus","Gemini","Cancer","Leo","Virgo","Libra","Scorpio","Sagittarius","Capricorn","Aquarius","Pisces"},0)-MATCH(INPUT_Chart!$C$5,{"Aries","Taurus","Gemini","Cancer","Leo","Virgo","Libra","Scorpio","Sagittarius","Capricorn","Aquarius","Pisces"},0),12)+1=10,ket,"·")),"—")</f>
        <v>—</v>
      </c>
      <c r="E5" s="927" t="str">
        <f ca="1">IFERROR(_xludf.textjoin(" ",TRUE(),IF(MOD(MATCH(CALC_PlanetPositions!$B$7,{"Aries","Taurus","Gemini","Cancer","Leo","Virgo","Libra","Scorpio","Sagittarius","Capricorn","Aquarius","Pisces"},0)-MATCH(INPUT_Chart!$C$5,{"Aries","Taurus","Gemini","Cancer","Leo","Virgo","Libra","Scorpio","Sagittarius","Capricorn","Aquarius","Pisces"},0),12)+1=11,sun,"·"),IF(MOD(MATCH(CALC_PlanetPositions!$B$8,{"Aries","Taurus","Gemini","Cancer","Leo","Virgo","Libra","Scorpio","Sagittarius","Capricorn","Aquarius","Pisces"},0)-MATCH(INPUT_Chart!$C$5,{"Aries","Taurus","Gemini","Cancer","Leo","Virgo","Libra","Scorpio","Sagittarius","Capricorn","Aquarius","Pisces"},0),12)+1=11,moo,"·"),IF(MOD(MATCH(CALC_PlanetPositions!$B$9,{"Aries","Taurus","Gemini","Cancer","Leo","Virgo","Libra","Scorpio","Sagittarius","Capricorn","Aquarius","Pisces"},0)-MATCH(INPUT_Chart!$C$5,{"Aries","Taurus","Gemini","Cancer","Leo","Virgo","Libra","Scorpio","Sagittarius","Capricorn","Aquarius","Pisces"},0),12)+1=11,mar,"·"),IF(MOD(MATCH(CALC_PlanetPositions!$B$10,{"Aries","Taurus","Gemini","Cancer","Leo","Virgo","Libra","Scorpio","Sagittarius","Capricorn","Aquarius","Pisces"},0)-MATCH(INPUT_Chart!$C$5,{"Aries","Taurus","Gemini","Cancer","Leo","Virgo","Libra","Scorpio","Sagittarius","Capricorn","Aquarius","Pisces"},0),12)+1=11,mer,"·"),IF(MOD(MATCH(CALC_PlanetPositions!$B$11,{"Aries","Taurus","Gemini","Cancer","Leo","Virgo","Libra","Scorpio","Sagittarius","Capricorn","Aquarius","Pisces"},0)-MATCH(INPUT_Chart!$C$5,{"Aries","Taurus","Gemini","Cancer","Leo","Virgo","Libra","Scorpio","Sagittarius","Capricorn","Aquarius","Pisces"},0),12)+1=11,jup,"·"),IF(MOD(MATCH(CALC_PlanetPositions!$B$12,{"Aries","Taurus","Gemini","Cancer","Leo","Virgo","Libra","Scorpio","Sagittarius","Capricorn","Aquarius","Pisces"},0)-MATCH(INPUT_Chart!$C$5,{"Aries","Taurus","Gemini","Cancer","Leo","Virgo","Libra","Scorpio","Sagittarius","Capricorn","Aquarius","Pisces"},0),12)+1=11,ven,"·"),IF(MOD(MATCH(CALC_PlanetPositions!$B$13,{"Aries","Taurus","Gemini","Cancer","Leo","Virgo","Libra","Scorpio","Sagittarius","Capricorn","Aquarius","Pisces"},0)-MATCH(INPUT_Chart!$C$5,{"Aries","Taurus","Gemini","Cancer","Leo","Virgo","Libra","Scorpio","Sagittarius","Capricorn","Aquarius","Pisces"},0),12)+1=11,sat,"·"),IF(MOD(MATCH(CALC_PlanetPositions!$B$14,{"Aries","Taurus","Gemini","Cancer","Leo","Virgo","Libra","Scorpio","Sagittarius","Capricorn","Aquarius","Pisces"},0)-MATCH(INPUT_Chart!$C$5,{"Aries","Taurus","Gemini","Cancer","Leo","Virgo","Libra","Scorpio","Sagittarius","Capricorn","Aquarius","Pisces"},0),12)+1=11,rah,"·"),IF(MOD(MATCH(CALC_PlanetPositions!$B$15,{"Aries","Taurus","Gemini","Cancer","Leo","Virgo","Libra","Scorpio","Sagittarius","Capricorn","Aquarius","Pisces"},0)-MATCH(INPUT_Chart!$C$5,{"Aries","Taurus","Gemini","Cancer","Leo","Virgo","Libra","Scorpio","Sagittarius","Capricorn","Aquarius","Pisces"},0),12)+1=11,ket,"·")),"—")</f>
        <v>—</v>
      </c>
      <c r="F5" s="927" t="str">
        <f ca="1">IFERROR(_xludf.textjoin(" ",TRUE(),IF(MOD(MATCH(CALC_PlanetPositions!$B$7,{"Aries","Taurus","Gemini","Cancer","Leo","Virgo","Libra","Scorpio","Sagittarius","Capricorn","Aquarius","Pisces"},0)-MATCH(INPUT_Chart!$C$5,{"Aries","Taurus","Gemini","Cancer","Leo","Virgo","Libra","Scorpio","Sagittarius","Capricorn","Aquarius","Pisces"},0),12)+1=9,sun,"·"),IF(MOD(MATCH(CALC_PlanetPositions!$B$8,{"Aries","Taurus","Gemini","Cancer","Leo","Virgo","Libra","Scorpio","Sagittarius","Capricorn","Aquarius","Pisces"},0)-MATCH(INPUT_Chart!$C$5,{"Aries","Taurus","Gemini","Cancer","Leo","Virgo","Libra","Scorpio","Sagittarius","Capricorn","Aquarius","Pisces"},0),12)+1=9,moo,"·"),IF(MOD(MATCH(CALC_PlanetPositions!$B$9,{"Aries","Taurus","Gemini","Cancer","Leo","Virgo","Libra","Scorpio","Sagittarius","Capricorn","Aquarius","Pisces"},0)-MATCH(INPUT_Chart!$C$5,{"Aries","Taurus","Gemini","Cancer","Leo","Virgo","Libra","Scorpio","Sagittarius","Capricorn","Aquarius","Pisces"},0),12)+1=9,mar,"·"),IF(MOD(MATCH(CALC_PlanetPositions!$B$10,{"Aries","Taurus","Gemini","Cancer","Leo","Virgo","Libra","Scorpio","Sagittarius","Capricorn","Aquarius","Pisces"},0)-MATCH(INPUT_Chart!$C$5,{"Aries","Taurus","Gemini","Cancer","Leo","Virgo","Libra","Scorpio","Sagittarius","Capricorn","Aquarius","Pisces"},0),12)+1=9,mer,"·"),IF(MOD(MATCH(CALC_PlanetPositions!$B$11,{"Aries","Taurus","Gemini","Cancer","Leo","Virgo","Libra","Scorpio","Sagittarius","Capricorn","Aquarius","Pisces"},0)-MATCH(INPUT_Chart!$C$5,{"Aries","Taurus","Gemini","Cancer","Leo","Virgo","Libra","Scorpio","Sagittarius","Capricorn","Aquarius","Pisces"},0),12)+1=9,jup,"·"),IF(MOD(MATCH(CALC_PlanetPositions!$B$12,{"Aries","Taurus","Gemini","Cancer","Leo","Virgo","Libra","Scorpio","Sagittarius","Capricorn","Aquarius","Pisces"},0)-MATCH(INPUT_Chart!$C$5,{"Aries","Taurus","Gemini","Cancer","Leo","Virgo","Libra","Scorpio","Sagittarius","Capricorn","Aquarius","Pisces"},0),12)+1=9,ven,"·"),IF(MOD(MATCH(CALC_PlanetPositions!$B$13,{"Aries","Taurus","Gemini","Cancer","Leo","Virgo","Libra","Scorpio","Sagittarius","Capricorn","Aquarius","Pisces"},0)-MATCH(INPUT_Chart!$C$5,{"Aries","Taurus","Gemini","Cancer","Leo","Virgo","Libra","Scorpio","Sagittarius","Capricorn","Aquarius","Pisces"},0),12)+1=9,sat,"·"),IF(MOD(MATCH(CALC_PlanetPositions!$B$14,{"Aries","Taurus","Gemini","Cancer","Leo","Virgo","Libra","Scorpio","Sagittarius","Capricorn","Aquarius","Pisces"},0)-MATCH(INPUT_Chart!$C$5,{"Aries","Taurus","Gemini","Cancer","Leo","Virgo","Libra","Scorpio","Sagittarius","Capricorn","Aquarius","Pisces"},0),12)+1=9,rah,"·"),IF(MOD(MATCH(CALC_PlanetPositions!$B$15,{"Aries","Taurus","Gemini","Cancer","Leo","Virgo","Libra","Scorpio","Sagittarius","Capricorn","Aquarius","Pisces"},0)-MATCH(INPUT_Chart!$C$5,{"Aries","Taurus","Gemini","Cancer","Leo","Virgo","Libra","Scorpio","Sagittarius","Capricorn","Aquarius","Pisces"},0),12)+1=9,ket,"·")),"—")</f>
        <v>—</v>
      </c>
      <c r="G5" s="927" t="str">
        <f ca="1">IFERROR(_xludf.textjoin(" ",TRUE(),IF(MOD(MATCH(CALC_PlanetPositions!$B$7,{"Aries","Taurus","Gemini","Cancer","Leo","Virgo","Libra","Scorpio","Sagittarius","Capricorn","Aquarius","Pisces"},0)-MATCH(INPUT_Chart!$C$5,{"Aries","Taurus","Gemini","Cancer","Leo","Virgo","Libra","Scorpio","Sagittarius","Capricorn","Aquarius","Pisces"},0),12)+1=2,sun,"·"),IF(MOD(MATCH(CALC_PlanetPositions!$B$8,{"Aries","Taurus","Gemini","Cancer","Leo","Virgo","Libra","Scorpio","Sagittarius","Capricorn","Aquarius","Pisces"},0)-MATCH(INPUT_Chart!$C$5,{"Aries","Taurus","Gemini","Cancer","Leo","Virgo","Libra","Scorpio","Sagittarius","Capricorn","Aquarius","Pisces"},0),12)+1=2,moo,"·"),IF(MOD(MATCH(CALC_PlanetPositions!$B$9,{"Aries","Taurus","Gemini","Cancer","Leo","Virgo","Libra","Scorpio","Sagittarius","Capricorn","Aquarius","Pisces"},0)-MATCH(INPUT_Chart!$C$5,{"Aries","Taurus","Gemini","Cancer","Leo","Virgo","Libra","Scorpio","Sagittarius","Capricorn","Aquarius","Pisces"},0),12)+1=2,mar,"·"),IF(MOD(MATCH(CALC_PlanetPositions!$B$10,{"Aries","Taurus","Gemini","Cancer","Leo","Virgo","Libra","Scorpio","Sagittarius","Capricorn","Aquarius","Pisces"},0)-MATCH(INPUT_Chart!$C$5,{"Aries","Taurus","Gemini","Cancer","Leo","Virgo","Libra","Scorpio","Sagittarius","Capricorn","Aquarius","Pisces"},0),12)+1=2,mer,"·"),IF(MOD(MATCH(CALC_PlanetPositions!$B$11,{"Aries","Taurus","Gemini","Cancer","Leo","Virgo","Libra","Scorpio","Sagittarius","Capricorn","Aquarius","Pisces"},0)-MATCH(INPUT_Chart!$C$5,{"Aries","Taurus","Gemini","Cancer","Leo","Virgo","Libra","Scorpio","Sagittarius","Capricorn","Aquarius","Pisces"},0),12)+1=2,jup,"·"),IF(MOD(MATCH(CALC_PlanetPositions!$B$12,{"Aries","Taurus","Gemini","Cancer","Leo","Virgo","Libra","Scorpio","Sagittarius","Capricorn","Aquarius","Pisces"},0)-MATCH(INPUT_Chart!$C$5,{"Aries","Taurus","Gemini","Cancer","Leo","Virgo","Libra","Scorpio","Sagittarius","Capricorn","Aquarius","Pisces"},0),12)+1=2,ven,"·"),IF(MOD(MATCH(CALC_PlanetPositions!$B$13,{"Aries","Taurus","Gemini","Cancer","Leo","Virgo","Libra","Scorpio","Sagittarius","Capricorn","Aquarius","Pisces"},0)-MATCH(INPUT_Chart!$C$5,{"Aries","Taurus","Gemini","Cancer","Leo","Virgo","Libra","Scorpio","Sagittarius","Capricorn","Aquarius","Pisces"},0),12)+1=2,sat,"·"),IF(MOD(MATCH(CALC_PlanetPositions!$B$14,{"Aries","Taurus","Gemini","Cancer","Leo","Virgo","Libra","Scorpio","Sagittarius","Capricorn","Aquarius","Pisces"},0)-MATCH(INPUT_Chart!$C$5,{"Aries","Taurus","Gemini","Cancer","Leo","Virgo","Libra","Scorpio","Sagittarius","Capricorn","Aquarius","Pisces"},0),12)+1=2,rah,"·"),IF(MOD(MATCH(CALC_PlanetPositions!$B$15,{"Aries","Taurus","Gemini","Cancer","Leo","Virgo","Libra","Scorpio","Sagittarius","Capricorn","Aquarius","Pisces"},0)-MATCH(INPUT_Chart!$C$5,{"Aries","Taurus","Gemini","Cancer","Leo","Virgo","Libra","Scorpio","Sagittarius","Capricorn","Aquarius","Pisces"},0),12)+1=2,ket,"·")),"—")</f>
        <v>—</v>
      </c>
      <c r="H5" s="822">
        <v>2.5</v>
      </c>
    </row>
    <row r="6" spans="1:10" ht="18" customHeight="1" x14ac:dyDescent="0.2">
      <c r="A6" s="627">
        <v>2</v>
      </c>
      <c r="B6" s="928" t="str">
        <f ca="1">IFERROR(_xludf.textjoin(" ",TRUE(),IF(MOD(MATCH(CALC_PlanetPositions!$B$7,{"Aries","Taurus","Gemini","Cancer","Leo","Virgo","Libra","Scorpio","Sagittarius","Capricorn","Aquarius","Pisces"},0)-MATCH(INPUT_Chart!$C$5,{"Aries","Taurus","Gemini","Cancer","Leo","Virgo","Libra","Scorpio","Sagittarius","Capricorn","Aquarius","Pisces"},0),12)+1=2,sun,"·"),IF(MOD(MATCH(CALC_PlanetPositions!$B$8,{"Aries","Taurus","Gemini","Cancer","Leo","Virgo","Libra","Scorpio","Sagittarius","Capricorn","Aquarius","Pisces"},0)-MATCH(INPUT_Chart!$C$5,{"Aries","Taurus","Gemini","Cancer","Leo","Virgo","Libra","Scorpio","Sagittarius","Capricorn","Aquarius","Pisces"},0),12)+1=2,moo,"·"),IF(MOD(MATCH(CALC_PlanetPositions!$B$9,{"Aries","Taurus","Gemini","Cancer","Leo","Virgo","Libra","Scorpio","Sagittarius","Capricorn","Aquarius","Pisces"},0)-MATCH(INPUT_Chart!$C$5,{"Aries","Taurus","Gemini","Cancer","Leo","Virgo","Libra","Scorpio","Sagittarius","Capricorn","Aquarius","Pisces"},0),12)+1=2,mar,"·"),IF(MOD(MATCH(CALC_PlanetPositions!$B$10,{"Aries","Taurus","Gemini","Cancer","Leo","Virgo","Libra","Scorpio","Sagittarius","Capricorn","Aquarius","Pisces"},0)-MATCH(INPUT_Chart!$C$5,{"Aries","Taurus","Gemini","Cancer","Leo","Virgo","Libra","Scorpio","Sagittarius","Capricorn","Aquarius","Pisces"},0),12)+1=2,mer,"·"),IF(MOD(MATCH(CALC_PlanetPositions!$B$11,{"Aries","Taurus","Gemini","Cancer","Leo","Virgo","Libra","Scorpio","Sagittarius","Capricorn","Aquarius","Pisces"},0)-MATCH(INPUT_Chart!$C$5,{"Aries","Taurus","Gemini","Cancer","Leo","Virgo","Libra","Scorpio","Sagittarius","Capricorn","Aquarius","Pisces"},0),12)+1=2,jup,"·"),IF(MOD(MATCH(CALC_PlanetPositions!$B$12,{"Aries","Taurus","Gemini","Cancer","Leo","Virgo","Libra","Scorpio","Sagittarius","Capricorn","Aquarius","Pisces"},0)-MATCH(INPUT_Chart!$C$5,{"Aries","Taurus","Gemini","Cancer","Leo","Virgo","Libra","Scorpio","Sagittarius","Capricorn","Aquarius","Pisces"},0),12)+1=2,ven,"·"),IF(MOD(MATCH(CALC_PlanetPositions!$B$13,{"Aries","Taurus","Gemini","Cancer","Leo","Virgo","Libra","Scorpio","Sagittarius","Capricorn","Aquarius","Pisces"},0)-MATCH(INPUT_Chart!$C$5,{"Aries","Taurus","Gemini","Cancer","Leo","Virgo","Libra","Scorpio","Sagittarius","Capricorn","Aquarius","Pisces"},0),12)+1=2,sat,"·"),IF(MOD(MATCH(CALC_PlanetPositions!$B$14,{"Aries","Taurus","Gemini","Cancer","Leo","Virgo","Libra","Scorpio","Sagittarius","Capricorn","Aquarius","Pisces"},0)-MATCH(INPUT_Chart!$C$5,{"Aries","Taurus","Gemini","Cancer","Leo","Virgo","Libra","Scorpio","Sagittarius","Capricorn","Aquarius","Pisces"},0),12)+1=2,rah,"·"),IF(MOD(MATCH(CALC_PlanetPositions!$B$15,{"Aries","Taurus","Gemini","Cancer","Leo","Virgo","Libra","Scorpio","Sagittarius","Capricorn","Aquarius","Pisces"},0)-MATCH(INPUT_Chart!$C$5,{"Aries","Taurus","Gemini","Cancer","Leo","Virgo","Libra","Scorpio","Sagittarius","Capricorn","Aquarius","Pisces"},0),12)+1=2,ket,"·")),"—")</f>
        <v>—</v>
      </c>
      <c r="C6" s="928" t="str">
        <f ca="1">IFERROR(_xludf.textjoin(" ",TRUE(),IF(MOD(MATCH(CALC_PlanetPositions!$B$7,{"Aries","Taurus","Gemini","Cancer","Leo","Virgo","Libra","Scorpio","Sagittarius","Capricorn","Aquarius","Pisces"},0)-MATCH(INPUT_Chart!$C$5,{"Aries","Taurus","Gemini","Cancer","Leo","Virgo","Libra","Scorpio","Sagittarius","Capricorn","Aquarius","Pisces"},0),12)+1=4,sun,"·"),IF(MOD(MATCH(CALC_PlanetPositions!$B$8,{"Aries","Taurus","Gemini","Cancer","Leo","Virgo","Libra","Scorpio","Sagittarius","Capricorn","Aquarius","Pisces"},0)-MATCH(INPUT_Chart!$C$5,{"Aries","Taurus","Gemini","Cancer","Leo","Virgo","Libra","Scorpio","Sagittarius","Capricorn","Aquarius","Pisces"},0),12)+1=4,moo,"·"),IF(MOD(MATCH(CALC_PlanetPositions!$B$9,{"Aries","Taurus","Gemini","Cancer","Leo","Virgo","Libra","Scorpio","Sagittarius","Capricorn","Aquarius","Pisces"},0)-MATCH(INPUT_Chart!$C$5,{"Aries","Taurus","Gemini","Cancer","Leo","Virgo","Libra","Scorpio","Sagittarius","Capricorn","Aquarius","Pisces"},0),12)+1=4,mar,"·"),IF(MOD(MATCH(CALC_PlanetPositions!$B$10,{"Aries","Taurus","Gemini","Cancer","Leo","Virgo","Libra","Scorpio","Sagittarius","Capricorn","Aquarius","Pisces"},0)-MATCH(INPUT_Chart!$C$5,{"Aries","Taurus","Gemini","Cancer","Leo","Virgo","Libra","Scorpio","Sagittarius","Capricorn","Aquarius","Pisces"},0),12)+1=4,mer,"·"),IF(MOD(MATCH(CALC_PlanetPositions!$B$11,{"Aries","Taurus","Gemini","Cancer","Leo","Virgo","Libra","Scorpio","Sagittarius","Capricorn","Aquarius","Pisces"},0)-MATCH(INPUT_Chart!$C$5,{"Aries","Taurus","Gemini","Cancer","Leo","Virgo","Libra","Scorpio","Sagittarius","Capricorn","Aquarius","Pisces"},0),12)+1=4,jup,"·"),IF(MOD(MATCH(CALC_PlanetPositions!$B$12,{"Aries","Taurus","Gemini","Cancer","Leo","Virgo","Libra","Scorpio","Sagittarius","Capricorn","Aquarius","Pisces"},0)-MATCH(INPUT_Chart!$C$5,{"Aries","Taurus","Gemini","Cancer","Leo","Virgo","Libra","Scorpio","Sagittarius","Capricorn","Aquarius","Pisces"},0),12)+1=4,ven,"·"),IF(MOD(MATCH(CALC_PlanetPositions!$B$13,{"Aries","Taurus","Gemini","Cancer","Leo","Virgo","Libra","Scorpio","Sagittarius","Capricorn","Aquarius","Pisces"},0)-MATCH(INPUT_Chart!$C$5,{"Aries","Taurus","Gemini","Cancer","Leo","Virgo","Libra","Scorpio","Sagittarius","Capricorn","Aquarius","Pisces"},0),12)+1=4,sat,"·"),IF(MOD(MATCH(CALC_PlanetPositions!$B$14,{"Aries","Taurus","Gemini","Cancer","Leo","Virgo","Libra","Scorpio","Sagittarius","Capricorn","Aquarius","Pisces"},0)-MATCH(INPUT_Chart!$C$5,{"Aries","Taurus","Gemini","Cancer","Leo","Virgo","Libra","Scorpio","Sagittarius","Capricorn","Aquarius","Pisces"},0),12)+1=4,rah,"·"),IF(MOD(MATCH(CALC_PlanetPositions!$B$15,{"Aries","Taurus","Gemini","Cancer","Leo","Virgo","Libra","Scorpio","Sagittarius","Capricorn","Aquarius","Pisces"},0)-MATCH(INPUT_Chart!$C$5,{"Aries","Taurus","Gemini","Cancer","Leo","Virgo","Libra","Scorpio","Sagittarius","Capricorn","Aquarius","Pisces"},0),12)+1=4,ket,"·")),"—")</f>
        <v>—</v>
      </c>
      <c r="D6" s="928" t="str">
        <f ca="1">IFERROR(_xludf.textjoin(" ",TRUE(),IF(MOD(MATCH(CALC_PlanetPositions!$B$7,{"Aries","Taurus","Gemini","Cancer","Leo","Virgo","Libra","Scorpio","Sagittarius","Capricorn","Aquarius","Pisces"},0)-MATCH(INPUT_Chart!$C$5,{"Aries","Taurus","Gemini","Cancer","Leo","Virgo","Libra","Scorpio","Sagittarius","Capricorn","Aquarius","Pisces"},0),12)+1=11,sun,"·"),IF(MOD(MATCH(CALC_PlanetPositions!$B$8,{"Aries","Taurus","Gemini","Cancer","Leo","Virgo","Libra","Scorpio","Sagittarius","Capricorn","Aquarius","Pisces"},0)-MATCH(INPUT_Chart!$C$5,{"Aries","Taurus","Gemini","Cancer","Leo","Virgo","Libra","Scorpio","Sagittarius","Capricorn","Aquarius","Pisces"},0),12)+1=11,moo,"·"),IF(MOD(MATCH(CALC_PlanetPositions!$B$9,{"Aries","Taurus","Gemini","Cancer","Leo","Virgo","Libra","Scorpio","Sagittarius","Capricorn","Aquarius","Pisces"},0)-MATCH(INPUT_Chart!$C$5,{"Aries","Taurus","Gemini","Cancer","Leo","Virgo","Libra","Scorpio","Sagittarius","Capricorn","Aquarius","Pisces"},0),12)+1=11,mar,"·"),IF(MOD(MATCH(CALC_PlanetPositions!$B$10,{"Aries","Taurus","Gemini","Cancer","Leo","Virgo","Libra","Scorpio","Sagittarius","Capricorn","Aquarius","Pisces"},0)-MATCH(INPUT_Chart!$C$5,{"Aries","Taurus","Gemini","Cancer","Leo","Virgo","Libra","Scorpio","Sagittarius","Capricorn","Aquarius","Pisces"},0),12)+1=11,mer,"·"),IF(MOD(MATCH(CALC_PlanetPositions!$B$11,{"Aries","Taurus","Gemini","Cancer","Leo","Virgo","Libra","Scorpio","Sagittarius","Capricorn","Aquarius","Pisces"},0)-MATCH(INPUT_Chart!$C$5,{"Aries","Taurus","Gemini","Cancer","Leo","Virgo","Libra","Scorpio","Sagittarius","Capricorn","Aquarius","Pisces"},0),12)+1=11,jup,"·"),IF(MOD(MATCH(CALC_PlanetPositions!$B$12,{"Aries","Taurus","Gemini","Cancer","Leo","Virgo","Libra","Scorpio","Sagittarius","Capricorn","Aquarius","Pisces"},0)-MATCH(INPUT_Chart!$C$5,{"Aries","Taurus","Gemini","Cancer","Leo","Virgo","Libra","Scorpio","Sagittarius","Capricorn","Aquarius","Pisces"},0),12)+1=11,ven,"·"),IF(MOD(MATCH(CALC_PlanetPositions!$B$13,{"Aries","Taurus","Gemini","Cancer","Leo","Virgo","Libra","Scorpio","Sagittarius","Capricorn","Aquarius","Pisces"},0)-MATCH(INPUT_Chart!$C$5,{"Aries","Taurus","Gemini","Cancer","Leo","Virgo","Libra","Scorpio","Sagittarius","Capricorn","Aquarius","Pisces"},0),12)+1=11,sat,"·"),IF(MOD(MATCH(CALC_PlanetPositions!$B$14,{"Aries","Taurus","Gemini","Cancer","Leo","Virgo","Libra","Scorpio","Sagittarius","Capricorn","Aquarius","Pisces"},0)-MATCH(INPUT_Chart!$C$5,{"Aries","Taurus","Gemini","Cancer","Leo","Virgo","Libra","Scorpio","Sagittarius","Capricorn","Aquarius","Pisces"},0),12)+1=11,rah,"·"),IF(MOD(MATCH(CALC_PlanetPositions!$B$15,{"Aries","Taurus","Gemini","Cancer","Leo","Virgo","Libra","Scorpio","Sagittarius","Capricorn","Aquarius","Pisces"},0)-MATCH(INPUT_Chart!$C$5,{"Aries","Taurus","Gemini","Cancer","Leo","Virgo","Libra","Scorpio","Sagittarius","Capricorn","Aquarius","Pisces"},0),12)+1=11,ket,"·")),"—")</f>
        <v>—</v>
      </c>
      <c r="E6" s="929" t="str">
        <f ca="1">IFERROR(_xludf.textjoin(" ",TRUE(),IF(MOD(MATCH(CALC_PlanetPositions!$B$7,{"Aries","Taurus","Gemini","Cancer","Leo","Virgo","Libra","Scorpio","Sagittarius","Capricorn","Aquarius","Pisces"},0)-MATCH(INPUT_Chart!$C$5,{"Aries","Taurus","Gemini","Cancer","Leo","Virgo","Libra","Scorpio","Sagittarius","Capricorn","Aquarius","Pisces"},0),12)+1=12,sun,"·"),IF(MOD(MATCH(CALC_PlanetPositions!$B$8,{"Aries","Taurus","Gemini","Cancer","Leo","Virgo","Libra","Scorpio","Sagittarius","Capricorn","Aquarius","Pisces"},0)-MATCH(INPUT_Chart!$C$5,{"Aries","Taurus","Gemini","Cancer","Leo","Virgo","Libra","Scorpio","Sagittarius","Capricorn","Aquarius","Pisces"},0),12)+1=12,moo,"·"),IF(MOD(MATCH(CALC_PlanetPositions!$B$9,{"Aries","Taurus","Gemini","Cancer","Leo","Virgo","Libra","Scorpio","Sagittarius","Capricorn","Aquarius","Pisces"},0)-MATCH(INPUT_Chart!$C$5,{"Aries","Taurus","Gemini","Cancer","Leo","Virgo","Libra","Scorpio","Sagittarius","Capricorn","Aquarius","Pisces"},0),12)+1=12,mar,"·"),IF(MOD(MATCH(CALC_PlanetPositions!$B$10,{"Aries","Taurus","Gemini","Cancer","Leo","Virgo","Libra","Scorpio","Sagittarius","Capricorn","Aquarius","Pisces"},0)-MATCH(INPUT_Chart!$C$5,{"Aries","Taurus","Gemini","Cancer","Leo","Virgo","Libra","Scorpio","Sagittarius","Capricorn","Aquarius","Pisces"},0),12)+1=12,mer,"·"),IF(MOD(MATCH(CALC_PlanetPositions!$B$11,{"Aries","Taurus","Gemini","Cancer","Leo","Virgo","Libra","Scorpio","Sagittarius","Capricorn","Aquarius","Pisces"},0)-MATCH(INPUT_Chart!$C$5,{"Aries","Taurus","Gemini","Cancer","Leo","Virgo","Libra","Scorpio","Sagittarius","Capricorn","Aquarius","Pisces"},0),12)+1=12,jup,"·"),IF(MOD(MATCH(CALC_PlanetPositions!$B$12,{"Aries","Taurus","Gemini","Cancer","Leo","Virgo","Libra","Scorpio","Sagittarius","Capricorn","Aquarius","Pisces"},0)-MATCH(INPUT_Chart!$C$5,{"Aries","Taurus","Gemini","Cancer","Leo","Virgo","Libra","Scorpio","Sagittarius","Capricorn","Aquarius","Pisces"},0),12)+1=12,ven,"·"),IF(MOD(MATCH(CALC_PlanetPositions!$B$13,{"Aries","Taurus","Gemini","Cancer","Leo","Virgo","Libra","Scorpio","Sagittarius","Capricorn","Aquarius","Pisces"},0)-MATCH(INPUT_Chart!$C$5,{"Aries","Taurus","Gemini","Cancer","Leo","Virgo","Libra","Scorpio","Sagittarius","Capricorn","Aquarius","Pisces"},0),12)+1=12,sat,"·"),IF(MOD(MATCH(CALC_PlanetPositions!$B$14,{"Aries","Taurus","Gemini","Cancer","Leo","Virgo","Libra","Scorpio","Sagittarius","Capricorn","Aquarius","Pisces"},0)-MATCH(INPUT_Chart!$C$5,{"Aries","Taurus","Gemini","Cancer","Leo","Virgo","Libra","Scorpio","Sagittarius","Capricorn","Aquarius","Pisces"},0),12)+1=12,rah,"·"),IF(MOD(MATCH(CALC_PlanetPositions!$B$15,{"Aries","Taurus","Gemini","Cancer","Leo","Virgo","Libra","Scorpio","Sagittarius","Capricorn","Aquarius","Pisces"},0)-MATCH(INPUT_Chart!$C$5,{"Aries","Taurus","Gemini","Cancer","Leo","Virgo","Libra","Scorpio","Sagittarius","Capricorn","Aquarius","Pisces"},0),12)+1=12,ket,"·")),"—")</f>
        <v>—</v>
      </c>
      <c r="F6" s="929" t="str">
        <f ca="1">IFERROR(_xludf.textjoin(" ",TRUE(),IF(MOD(MATCH(CALC_PlanetPositions!$B$7,{"Aries","Taurus","Gemini","Cancer","Leo","Virgo","Libra","Scorpio","Sagittarius","Capricorn","Aquarius","Pisces"},0)-MATCH(INPUT_Chart!$C$5,{"Aries","Taurus","Gemini","Cancer","Leo","Virgo","Libra","Scorpio","Sagittarius","Capricorn","Aquarius","Pisces"},0),12)+1=10,sun,"·"),IF(MOD(MATCH(CALC_PlanetPositions!$B$8,{"Aries","Taurus","Gemini","Cancer","Leo","Virgo","Libra","Scorpio","Sagittarius","Capricorn","Aquarius","Pisces"},0)-MATCH(INPUT_Chart!$C$5,{"Aries","Taurus","Gemini","Cancer","Leo","Virgo","Libra","Scorpio","Sagittarius","Capricorn","Aquarius","Pisces"},0),12)+1=10,moo,"·"),IF(MOD(MATCH(CALC_PlanetPositions!$B$9,{"Aries","Taurus","Gemini","Cancer","Leo","Virgo","Libra","Scorpio","Sagittarius","Capricorn","Aquarius","Pisces"},0)-MATCH(INPUT_Chart!$C$5,{"Aries","Taurus","Gemini","Cancer","Leo","Virgo","Libra","Scorpio","Sagittarius","Capricorn","Aquarius","Pisces"},0),12)+1=10,mar,"·"),IF(MOD(MATCH(CALC_PlanetPositions!$B$10,{"Aries","Taurus","Gemini","Cancer","Leo","Virgo","Libra","Scorpio","Sagittarius","Capricorn","Aquarius","Pisces"},0)-MATCH(INPUT_Chart!$C$5,{"Aries","Taurus","Gemini","Cancer","Leo","Virgo","Libra","Scorpio","Sagittarius","Capricorn","Aquarius","Pisces"},0),12)+1=10,mer,"·"),IF(MOD(MATCH(CALC_PlanetPositions!$B$11,{"Aries","Taurus","Gemini","Cancer","Leo","Virgo","Libra","Scorpio","Sagittarius","Capricorn","Aquarius","Pisces"},0)-MATCH(INPUT_Chart!$C$5,{"Aries","Taurus","Gemini","Cancer","Leo","Virgo","Libra","Scorpio","Sagittarius","Capricorn","Aquarius","Pisces"},0),12)+1=10,jup,"·"),IF(MOD(MATCH(CALC_PlanetPositions!$B$12,{"Aries","Taurus","Gemini","Cancer","Leo","Virgo","Libra","Scorpio","Sagittarius","Capricorn","Aquarius","Pisces"},0)-MATCH(INPUT_Chart!$C$5,{"Aries","Taurus","Gemini","Cancer","Leo","Virgo","Libra","Scorpio","Sagittarius","Capricorn","Aquarius","Pisces"},0),12)+1=10,ven,"·"),IF(MOD(MATCH(CALC_PlanetPositions!$B$13,{"Aries","Taurus","Gemini","Cancer","Leo","Virgo","Libra","Scorpio","Sagittarius","Capricorn","Aquarius","Pisces"},0)-MATCH(INPUT_Chart!$C$5,{"Aries","Taurus","Gemini","Cancer","Leo","Virgo","Libra","Scorpio","Sagittarius","Capricorn","Aquarius","Pisces"},0),12)+1=10,sat,"·"),IF(MOD(MATCH(CALC_PlanetPositions!$B$14,{"Aries","Taurus","Gemini","Cancer","Leo","Virgo","Libra","Scorpio","Sagittarius","Capricorn","Aquarius","Pisces"},0)-MATCH(INPUT_Chart!$C$5,{"Aries","Taurus","Gemini","Cancer","Leo","Virgo","Libra","Scorpio","Sagittarius","Capricorn","Aquarius","Pisces"},0),12)+1=10,rah,"·"),IF(MOD(MATCH(CALC_PlanetPositions!$B$15,{"Aries","Taurus","Gemini","Cancer","Leo","Virgo","Libra","Scorpio","Sagittarius","Capricorn","Aquarius","Pisces"},0)-MATCH(INPUT_Chart!$C$5,{"Aries","Taurus","Gemini","Cancer","Leo","Virgo","Libra","Scorpio","Sagittarius","Capricorn","Aquarius","Pisces"},0),12)+1=10,ket,"·")),"—")</f>
        <v>—</v>
      </c>
      <c r="G6" s="929" t="str">
        <f ca="1">IFERROR(_xludf.textjoin(" ",TRUE(),IF(MOD(MATCH(CALC_PlanetPositions!$B$7,{"Aries","Taurus","Gemini","Cancer","Leo","Virgo","Libra","Scorpio","Sagittarius","Capricorn","Aquarius","Pisces"},0)-MATCH(INPUT_Chart!$C$5,{"Aries","Taurus","Gemini","Cancer","Leo","Virgo","Libra","Scorpio","Sagittarius","Capricorn","Aquarius","Pisces"},0),12)+1=3,sun,"·"),IF(MOD(MATCH(CALC_PlanetPositions!$B$8,{"Aries","Taurus","Gemini","Cancer","Leo","Virgo","Libra","Scorpio","Sagittarius","Capricorn","Aquarius","Pisces"},0)-MATCH(INPUT_Chart!$C$5,{"Aries","Taurus","Gemini","Cancer","Leo","Virgo","Libra","Scorpio","Sagittarius","Capricorn","Aquarius","Pisces"},0),12)+1=3,moo,"·"),IF(MOD(MATCH(CALC_PlanetPositions!$B$9,{"Aries","Taurus","Gemini","Cancer","Leo","Virgo","Libra","Scorpio","Sagittarius","Capricorn","Aquarius","Pisces"},0)-MATCH(INPUT_Chart!$C$5,{"Aries","Taurus","Gemini","Cancer","Leo","Virgo","Libra","Scorpio","Sagittarius","Capricorn","Aquarius","Pisces"},0),12)+1=3,mar,"·"),IF(MOD(MATCH(CALC_PlanetPositions!$B$10,{"Aries","Taurus","Gemini","Cancer","Leo","Virgo","Libra","Scorpio","Sagittarius","Capricorn","Aquarius","Pisces"},0)-MATCH(INPUT_Chart!$C$5,{"Aries","Taurus","Gemini","Cancer","Leo","Virgo","Libra","Scorpio","Sagittarius","Capricorn","Aquarius","Pisces"},0),12)+1=3,mer,"·"),IF(MOD(MATCH(CALC_PlanetPositions!$B$11,{"Aries","Taurus","Gemini","Cancer","Leo","Virgo","Libra","Scorpio","Sagittarius","Capricorn","Aquarius","Pisces"},0)-MATCH(INPUT_Chart!$C$5,{"Aries","Taurus","Gemini","Cancer","Leo","Virgo","Libra","Scorpio","Sagittarius","Capricorn","Aquarius","Pisces"},0),12)+1=3,jup,"·"),IF(MOD(MATCH(CALC_PlanetPositions!$B$12,{"Aries","Taurus","Gemini","Cancer","Leo","Virgo","Libra","Scorpio","Sagittarius","Capricorn","Aquarius","Pisces"},0)-MATCH(INPUT_Chart!$C$5,{"Aries","Taurus","Gemini","Cancer","Leo","Virgo","Libra","Scorpio","Sagittarius","Capricorn","Aquarius","Pisces"},0),12)+1=3,ven,"·"),IF(MOD(MATCH(CALC_PlanetPositions!$B$13,{"Aries","Taurus","Gemini","Cancer","Leo","Virgo","Libra","Scorpio","Sagittarius","Capricorn","Aquarius","Pisces"},0)-MATCH(INPUT_Chart!$C$5,{"Aries","Taurus","Gemini","Cancer","Leo","Virgo","Libra","Scorpio","Sagittarius","Capricorn","Aquarius","Pisces"},0),12)+1=3,sat,"·"),IF(MOD(MATCH(CALC_PlanetPositions!$B$14,{"Aries","Taurus","Gemini","Cancer","Leo","Virgo","Libra","Scorpio","Sagittarius","Capricorn","Aquarius","Pisces"},0)-MATCH(INPUT_Chart!$C$5,{"Aries","Taurus","Gemini","Cancer","Leo","Virgo","Libra","Scorpio","Sagittarius","Capricorn","Aquarius","Pisces"},0),12)+1=3,rah,"·"),IF(MOD(MATCH(CALC_PlanetPositions!$B$15,{"Aries","Taurus","Gemini","Cancer","Leo","Virgo","Libra","Scorpio","Sagittarius","Capricorn","Aquarius","Pisces"},0)-MATCH(INPUT_Chart!$C$5,{"Aries","Taurus","Gemini","Cancer","Leo","Virgo","Libra","Scorpio","Sagittarius","Capricorn","Aquarius","Pisces"},0),12)+1=3,ket,"·")),"—")</f>
        <v>—</v>
      </c>
      <c r="H6" s="828">
        <v>-1.75</v>
      </c>
    </row>
    <row r="7" spans="1:10" ht="18" customHeight="1" x14ac:dyDescent="0.2">
      <c r="A7" s="632">
        <v>3</v>
      </c>
      <c r="B7" s="926" t="str">
        <f ca="1">IFERROR(_xludf.textjoin(" ",TRUE(),IF(MOD(MATCH(CALC_PlanetPositions!$B$7,{"Aries","Taurus","Gemini","Cancer","Leo","Virgo","Libra","Scorpio","Sagittarius","Capricorn","Aquarius","Pisces"},0)-MATCH(INPUT_Chart!$C$5,{"Aries","Taurus","Gemini","Cancer","Leo","Virgo","Libra","Scorpio","Sagittarius","Capricorn","Aquarius","Pisces"},0),12)+1=3,sun,"·"),IF(MOD(MATCH(CALC_PlanetPositions!$B$8,{"Aries","Taurus","Gemini","Cancer","Leo","Virgo","Libra","Scorpio","Sagittarius","Capricorn","Aquarius","Pisces"},0)-MATCH(INPUT_Chart!$C$5,{"Aries","Taurus","Gemini","Cancer","Leo","Virgo","Libra","Scorpio","Sagittarius","Capricorn","Aquarius","Pisces"},0),12)+1=3,moo,"·"),IF(MOD(MATCH(CALC_PlanetPositions!$B$9,{"Aries","Taurus","Gemini","Cancer","Leo","Virgo","Libra","Scorpio","Sagittarius","Capricorn","Aquarius","Pisces"},0)-MATCH(INPUT_Chart!$C$5,{"Aries","Taurus","Gemini","Cancer","Leo","Virgo","Libra","Scorpio","Sagittarius","Capricorn","Aquarius","Pisces"},0),12)+1=3,mar,"·"),IF(MOD(MATCH(CALC_PlanetPositions!$B$10,{"Aries","Taurus","Gemini","Cancer","Leo","Virgo","Libra","Scorpio","Sagittarius","Capricorn","Aquarius","Pisces"},0)-MATCH(INPUT_Chart!$C$5,{"Aries","Taurus","Gemini","Cancer","Leo","Virgo","Libra","Scorpio","Sagittarius","Capricorn","Aquarius","Pisces"},0),12)+1=3,mer,"·"),IF(MOD(MATCH(CALC_PlanetPositions!$B$11,{"Aries","Taurus","Gemini","Cancer","Leo","Virgo","Libra","Scorpio","Sagittarius","Capricorn","Aquarius","Pisces"},0)-MATCH(INPUT_Chart!$C$5,{"Aries","Taurus","Gemini","Cancer","Leo","Virgo","Libra","Scorpio","Sagittarius","Capricorn","Aquarius","Pisces"},0),12)+1=3,jup,"·"),IF(MOD(MATCH(CALC_PlanetPositions!$B$12,{"Aries","Taurus","Gemini","Cancer","Leo","Virgo","Libra","Scorpio","Sagittarius","Capricorn","Aquarius","Pisces"},0)-MATCH(INPUT_Chart!$C$5,{"Aries","Taurus","Gemini","Cancer","Leo","Virgo","Libra","Scorpio","Sagittarius","Capricorn","Aquarius","Pisces"},0),12)+1=3,ven,"·"),IF(MOD(MATCH(CALC_PlanetPositions!$B$13,{"Aries","Taurus","Gemini","Cancer","Leo","Virgo","Libra","Scorpio","Sagittarius","Capricorn","Aquarius","Pisces"},0)-MATCH(INPUT_Chart!$C$5,{"Aries","Taurus","Gemini","Cancer","Leo","Virgo","Libra","Scorpio","Sagittarius","Capricorn","Aquarius","Pisces"},0),12)+1=3,sat,"·"),IF(MOD(MATCH(CALC_PlanetPositions!$B$14,{"Aries","Taurus","Gemini","Cancer","Leo","Virgo","Libra","Scorpio","Sagittarius","Capricorn","Aquarius","Pisces"},0)-MATCH(INPUT_Chart!$C$5,{"Aries","Taurus","Gemini","Cancer","Leo","Virgo","Libra","Scorpio","Sagittarius","Capricorn","Aquarius","Pisces"},0),12)+1=3,rah,"·"),IF(MOD(MATCH(CALC_PlanetPositions!$B$15,{"Aries","Taurus","Gemini","Cancer","Leo","Virgo","Libra","Scorpio","Sagittarius","Capricorn","Aquarius","Pisces"},0)-MATCH(INPUT_Chart!$C$5,{"Aries","Taurus","Gemini","Cancer","Leo","Virgo","Libra","Scorpio","Sagittarius","Capricorn","Aquarius","Pisces"},0),12)+1=3,ket,"·")),"—")</f>
        <v>—</v>
      </c>
      <c r="C7" s="926" t="str">
        <f ca="1">IFERROR(_xludf.textjoin(" ",TRUE(),IF(MOD(MATCH(CALC_PlanetPositions!$B$7,{"Aries","Taurus","Gemini","Cancer","Leo","Virgo","Libra","Scorpio","Sagittarius","Capricorn","Aquarius","Pisces"},0)-MATCH(INPUT_Chart!$C$5,{"Aries","Taurus","Gemini","Cancer","Leo","Virgo","Libra","Scorpio","Sagittarius","Capricorn","Aquarius","Pisces"},0),12)+1=5,sun,"·"),IF(MOD(MATCH(CALC_PlanetPositions!$B$8,{"Aries","Taurus","Gemini","Cancer","Leo","Virgo","Libra","Scorpio","Sagittarius","Capricorn","Aquarius","Pisces"},0)-MATCH(INPUT_Chart!$C$5,{"Aries","Taurus","Gemini","Cancer","Leo","Virgo","Libra","Scorpio","Sagittarius","Capricorn","Aquarius","Pisces"},0),12)+1=5,moo,"·"),IF(MOD(MATCH(CALC_PlanetPositions!$B$9,{"Aries","Taurus","Gemini","Cancer","Leo","Virgo","Libra","Scorpio","Sagittarius","Capricorn","Aquarius","Pisces"},0)-MATCH(INPUT_Chart!$C$5,{"Aries","Taurus","Gemini","Cancer","Leo","Virgo","Libra","Scorpio","Sagittarius","Capricorn","Aquarius","Pisces"},0),12)+1=5,mar,"·"),IF(MOD(MATCH(CALC_PlanetPositions!$B$10,{"Aries","Taurus","Gemini","Cancer","Leo","Virgo","Libra","Scorpio","Sagittarius","Capricorn","Aquarius","Pisces"},0)-MATCH(INPUT_Chart!$C$5,{"Aries","Taurus","Gemini","Cancer","Leo","Virgo","Libra","Scorpio","Sagittarius","Capricorn","Aquarius","Pisces"},0),12)+1=5,mer,"·"),IF(MOD(MATCH(CALC_PlanetPositions!$B$11,{"Aries","Taurus","Gemini","Cancer","Leo","Virgo","Libra","Scorpio","Sagittarius","Capricorn","Aquarius","Pisces"},0)-MATCH(INPUT_Chart!$C$5,{"Aries","Taurus","Gemini","Cancer","Leo","Virgo","Libra","Scorpio","Sagittarius","Capricorn","Aquarius","Pisces"},0),12)+1=5,jup,"·"),IF(MOD(MATCH(CALC_PlanetPositions!$B$12,{"Aries","Taurus","Gemini","Cancer","Leo","Virgo","Libra","Scorpio","Sagittarius","Capricorn","Aquarius","Pisces"},0)-MATCH(INPUT_Chart!$C$5,{"Aries","Taurus","Gemini","Cancer","Leo","Virgo","Libra","Scorpio","Sagittarius","Capricorn","Aquarius","Pisces"},0),12)+1=5,ven,"·"),IF(MOD(MATCH(CALC_PlanetPositions!$B$13,{"Aries","Taurus","Gemini","Cancer","Leo","Virgo","Libra","Scorpio","Sagittarius","Capricorn","Aquarius","Pisces"},0)-MATCH(INPUT_Chart!$C$5,{"Aries","Taurus","Gemini","Cancer","Leo","Virgo","Libra","Scorpio","Sagittarius","Capricorn","Aquarius","Pisces"},0),12)+1=5,sat,"·"),IF(MOD(MATCH(CALC_PlanetPositions!$B$14,{"Aries","Taurus","Gemini","Cancer","Leo","Virgo","Libra","Scorpio","Sagittarius","Capricorn","Aquarius","Pisces"},0)-MATCH(INPUT_Chart!$C$5,{"Aries","Taurus","Gemini","Cancer","Leo","Virgo","Libra","Scorpio","Sagittarius","Capricorn","Aquarius","Pisces"},0),12)+1=5,rah,"·"),IF(MOD(MATCH(CALC_PlanetPositions!$B$15,{"Aries","Taurus","Gemini","Cancer","Leo","Virgo","Libra","Scorpio","Sagittarius","Capricorn","Aquarius","Pisces"},0)-MATCH(INPUT_Chart!$C$5,{"Aries","Taurus","Gemini","Cancer","Leo","Virgo","Libra","Scorpio","Sagittarius","Capricorn","Aquarius","Pisces"},0),12)+1=5,ket,"·")),"—")</f>
        <v>—</v>
      </c>
      <c r="D7" s="926" t="str">
        <f ca="1">IFERROR(_xludf.textjoin(" ",TRUE(),IF(MOD(MATCH(CALC_PlanetPositions!$B$7,{"Aries","Taurus","Gemini","Cancer","Leo","Virgo","Libra","Scorpio","Sagittarius","Capricorn","Aquarius","Pisces"},0)-MATCH(INPUT_Chart!$C$5,{"Aries","Taurus","Gemini","Cancer","Leo","Virgo","Libra","Scorpio","Sagittarius","Capricorn","Aquarius","Pisces"},0),12)+1=12,sun,"·"),IF(MOD(MATCH(CALC_PlanetPositions!$B$8,{"Aries","Taurus","Gemini","Cancer","Leo","Virgo","Libra","Scorpio","Sagittarius","Capricorn","Aquarius","Pisces"},0)-MATCH(INPUT_Chart!$C$5,{"Aries","Taurus","Gemini","Cancer","Leo","Virgo","Libra","Scorpio","Sagittarius","Capricorn","Aquarius","Pisces"},0),12)+1=12,moo,"·"),IF(MOD(MATCH(CALC_PlanetPositions!$B$9,{"Aries","Taurus","Gemini","Cancer","Leo","Virgo","Libra","Scorpio","Sagittarius","Capricorn","Aquarius","Pisces"},0)-MATCH(INPUT_Chart!$C$5,{"Aries","Taurus","Gemini","Cancer","Leo","Virgo","Libra","Scorpio","Sagittarius","Capricorn","Aquarius","Pisces"},0),12)+1=12,mar,"·"),IF(MOD(MATCH(CALC_PlanetPositions!$B$10,{"Aries","Taurus","Gemini","Cancer","Leo","Virgo","Libra","Scorpio","Sagittarius","Capricorn","Aquarius","Pisces"},0)-MATCH(INPUT_Chart!$C$5,{"Aries","Taurus","Gemini","Cancer","Leo","Virgo","Libra","Scorpio","Sagittarius","Capricorn","Aquarius","Pisces"},0),12)+1=12,mer,"·"),IF(MOD(MATCH(CALC_PlanetPositions!$B$11,{"Aries","Taurus","Gemini","Cancer","Leo","Virgo","Libra","Scorpio","Sagittarius","Capricorn","Aquarius","Pisces"},0)-MATCH(INPUT_Chart!$C$5,{"Aries","Taurus","Gemini","Cancer","Leo","Virgo","Libra","Scorpio","Sagittarius","Capricorn","Aquarius","Pisces"},0),12)+1=12,jup,"·"),IF(MOD(MATCH(CALC_PlanetPositions!$B$12,{"Aries","Taurus","Gemini","Cancer","Leo","Virgo","Libra","Scorpio","Sagittarius","Capricorn","Aquarius","Pisces"},0)-MATCH(INPUT_Chart!$C$5,{"Aries","Taurus","Gemini","Cancer","Leo","Virgo","Libra","Scorpio","Sagittarius","Capricorn","Aquarius","Pisces"},0),12)+1=12,ven,"·"),IF(MOD(MATCH(CALC_PlanetPositions!$B$13,{"Aries","Taurus","Gemini","Cancer","Leo","Virgo","Libra","Scorpio","Sagittarius","Capricorn","Aquarius","Pisces"},0)-MATCH(INPUT_Chart!$C$5,{"Aries","Taurus","Gemini","Cancer","Leo","Virgo","Libra","Scorpio","Sagittarius","Capricorn","Aquarius","Pisces"},0),12)+1=12,sat,"·"),IF(MOD(MATCH(CALC_PlanetPositions!$B$14,{"Aries","Taurus","Gemini","Cancer","Leo","Virgo","Libra","Scorpio","Sagittarius","Capricorn","Aquarius","Pisces"},0)-MATCH(INPUT_Chart!$C$5,{"Aries","Taurus","Gemini","Cancer","Leo","Virgo","Libra","Scorpio","Sagittarius","Capricorn","Aquarius","Pisces"},0),12)+1=12,rah,"·"),IF(MOD(MATCH(CALC_PlanetPositions!$B$15,{"Aries","Taurus","Gemini","Cancer","Leo","Virgo","Libra","Scorpio","Sagittarius","Capricorn","Aquarius","Pisces"},0)-MATCH(INPUT_Chart!$C$5,{"Aries","Taurus","Gemini","Cancer","Leo","Virgo","Libra","Scorpio","Sagittarius","Capricorn","Aquarius","Pisces"},0),12)+1=12,ket,"·")),"—")</f>
        <v>—</v>
      </c>
      <c r="E7" s="927" t="str">
        <f ca="1">IFERROR(_xludf.textjoin(" ",TRUE(),IF(MOD(MATCH(CALC_PlanetPositions!$B$7,{"Aries","Taurus","Gemini","Cancer","Leo","Virgo","Libra","Scorpio","Sagittarius","Capricorn","Aquarius","Pisces"},0)-MATCH(INPUT_Chart!$C$5,{"Aries","Taurus","Gemini","Cancer","Leo","Virgo","Libra","Scorpio","Sagittarius","Capricorn","Aquarius","Pisces"},0),12)+1=1,sun,"·"),IF(MOD(MATCH(CALC_PlanetPositions!$B$8,{"Aries","Taurus","Gemini","Cancer","Leo","Virgo","Libra","Scorpio","Sagittarius","Capricorn","Aquarius","Pisces"},0)-MATCH(INPUT_Chart!$C$5,{"Aries","Taurus","Gemini","Cancer","Leo","Virgo","Libra","Scorpio","Sagittarius","Capricorn","Aquarius","Pisces"},0),12)+1=1,moo,"·"),IF(MOD(MATCH(CALC_PlanetPositions!$B$9,{"Aries","Taurus","Gemini","Cancer","Leo","Virgo","Libra","Scorpio","Sagittarius","Capricorn","Aquarius","Pisces"},0)-MATCH(INPUT_Chart!$C$5,{"Aries","Taurus","Gemini","Cancer","Leo","Virgo","Libra","Scorpio","Sagittarius","Capricorn","Aquarius","Pisces"},0),12)+1=1,mar,"·"),IF(MOD(MATCH(CALC_PlanetPositions!$B$10,{"Aries","Taurus","Gemini","Cancer","Leo","Virgo","Libra","Scorpio","Sagittarius","Capricorn","Aquarius","Pisces"},0)-MATCH(INPUT_Chart!$C$5,{"Aries","Taurus","Gemini","Cancer","Leo","Virgo","Libra","Scorpio","Sagittarius","Capricorn","Aquarius","Pisces"},0),12)+1=1,mer,"·"),IF(MOD(MATCH(CALC_PlanetPositions!$B$11,{"Aries","Taurus","Gemini","Cancer","Leo","Virgo","Libra","Scorpio","Sagittarius","Capricorn","Aquarius","Pisces"},0)-MATCH(INPUT_Chart!$C$5,{"Aries","Taurus","Gemini","Cancer","Leo","Virgo","Libra","Scorpio","Sagittarius","Capricorn","Aquarius","Pisces"},0),12)+1=1,jup,"·"),IF(MOD(MATCH(CALC_PlanetPositions!$B$12,{"Aries","Taurus","Gemini","Cancer","Leo","Virgo","Libra","Scorpio","Sagittarius","Capricorn","Aquarius","Pisces"},0)-MATCH(INPUT_Chart!$C$5,{"Aries","Taurus","Gemini","Cancer","Leo","Virgo","Libra","Scorpio","Sagittarius","Capricorn","Aquarius","Pisces"},0),12)+1=1,ven,"·"),IF(MOD(MATCH(CALC_PlanetPositions!$B$13,{"Aries","Taurus","Gemini","Cancer","Leo","Virgo","Libra","Scorpio","Sagittarius","Capricorn","Aquarius","Pisces"},0)-MATCH(INPUT_Chart!$C$5,{"Aries","Taurus","Gemini","Cancer","Leo","Virgo","Libra","Scorpio","Sagittarius","Capricorn","Aquarius","Pisces"},0),12)+1=1,sat,"·"),IF(MOD(MATCH(CALC_PlanetPositions!$B$14,{"Aries","Taurus","Gemini","Cancer","Leo","Virgo","Libra","Scorpio","Sagittarius","Capricorn","Aquarius","Pisces"},0)-MATCH(INPUT_Chart!$C$5,{"Aries","Taurus","Gemini","Cancer","Leo","Virgo","Libra","Scorpio","Sagittarius","Capricorn","Aquarius","Pisces"},0),12)+1=1,rah,"·"),IF(MOD(MATCH(CALC_PlanetPositions!$B$15,{"Aries","Taurus","Gemini","Cancer","Leo","Virgo","Libra","Scorpio","Sagittarius","Capricorn","Aquarius","Pisces"},0)-MATCH(INPUT_Chart!$C$5,{"Aries","Taurus","Gemini","Cancer","Leo","Virgo","Libra","Scorpio","Sagittarius","Capricorn","Aquarius","Pisces"},0),12)+1=1,ket,"·")),"—")</f>
        <v>—</v>
      </c>
      <c r="F7" s="927" t="str">
        <f ca="1">IFERROR(_xludf.textjoin(" ",TRUE(),IF(MOD(MATCH(CALC_PlanetPositions!$B$7,{"Aries","Taurus","Gemini","Cancer","Leo","Virgo","Libra","Scorpio","Sagittarius","Capricorn","Aquarius","Pisces"},0)-MATCH(INPUT_Chart!$C$5,{"Aries","Taurus","Gemini","Cancer","Leo","Virgo","Libra","Scorpio","Sagittarius","Capricorn","Aquarius","Pisces"},0),12)+1=11,sun,"·"),IF(MOD(MATCH(CALC_PlanetPositions!$B$8,{"Aries","Taurus","Gemini","Cancer","Leo","Virgo","Libra","Scorpio","Sagittarius","Capricorn","Aquarius","Pisces"},0)-MATCH(INPUT_Chart!$C$5,{"Aries","Taurus","Gemini","Cancer","Leo","Virgo","Libra","Scorpio","Sagittarius","Capricorn","Aquarius","Pisces"},0),12)+1=11,moo,"·"),IF(MOD(MATCH(CALC_PlanetPositions!$B$9,{"Aries","Taurus","Gemini","Cancer","Leo","Virgo","Libra","Scorpio","Sagittarius","Capricorn","Aquarius","Pisces"},0)-MATCH(INPUT_Chart!$C$5,{"Aries","Taurus","Gemini","Cancer","Leo","Virgo","Libra","Scorpio","Sagittarius","Capricorn","Aquarius","Pisces"},0),12)+1=11,mar,"·"),IF(MOD(MATCH(CALC_PlanetPositions!$B$10,{"Aries","Taurus","Gemini","Cancer","Leo","Virgo","Libra","Scorpio","Sagittarius","Capricorn","Aquarius","Pisces"},0)-MATCH(INPUT_Chart!$C$5,{"Aries","Taurus","Gemini","Cancer","Leo","Virgo","Libra","Scorpio","Sagittarius","Capricorn","Aquarius","Pisces"},0),12)+1=11,mer,"·"),IF(MOD(MATCH(CALC_PlanetPositions!$B$11,{"Aries","Taurus","Gemini","Cancer","Leo","Virgo","Libra","Scorpio","Sagittarius","Capricorn","Aquarius","Pisces"},0)-MATCH(INPUT_Chart!$C$5,{"Aries","Taurus","Gemini","Cancer","Leo","Virgo","Libra","Scorpio","Sagittarius","Capricorn","Aquarius","Pisces"},0),12)+1=11,jup,"·"),IF(MOD(MATCH(CALC_PlanetPositions!$B$12,{"Aries","Taurus","Gemini","Cancer","Leo","Virgo","Libra","Scorpio","Sagittarius","Capricorn","Aquarius","Pisces"},0)-MATCH(INPUT_Chart!$C$5,{"Aries","Taurus","Gemini","Cancer","Leo","Virgo","Libra","Scorpio","Sagittarius","Capricorn","Aquarius","Pisces"},0),12)+1=11,ven,"·"),IF(MOD(MATCH(CALC_PlanetPositions!$B$13,{"Aries","Taurus","Gemini","Cancer","Leo","Virgo","Libra","Scorpio","Sagittarius","Capricorn","Aquarius","Pisces"},0)-MATCH(INPUT_Chart!$C$5,{"Aries","Taurus","Gemini","Cancer","Leo","Virgo","Libra","Scorpio","Sagittarius","Capricorn","Aquarius","Pisces"},0),12)+1=11,sat,"·"),IF(MOD(MATCH(CALC_PlanetPositions!$B$14,{"Aries","Taurus","Gemini","Cancer","Leo","Virgo","Libra","Scorpio","Sagittarius","Capricorn","Aquarius","Pisces"},0)-MATCH(INPUT_Chart!$C$5,{"Aries","Taurus","Gemini","Cancer","Leo","Virgo","Libra","Scorpio","Sagittarius","Capricorn","Aquarius","Pisces"},0),12)+1=11,rah,"·"),IF(MOD(MATCH(CALC_PlanetPositions!$B$15,{"Aries","Taurus","Gemini","Cancer","Leo","Virgo","Libra","Scorpio","Sagittarius","Capricorn","Aquarius","Pisces"},0)-MATCH(INPUT_Chart!$C$5,{"Aries","Taurus","Gemini","Cancer","Leo","Virgo","Libra","Scorpio","Sagittarius","Capricorn","Aquarius","Pisces"},0),12)+1=11,ket,"·")),"—")</f>
        <v>—</v>
      </c>
      <c r="G7" s="927" t="str">
        <f ca="1">IFERROR(_xludf.textjoin(" ",TRUE(),IF(MOD(MATCH(CALC_PlanetPositions!$B$7,{"Aries","Taurus","Gemini","Cancer","Leo","Virgo","Libra","Scorpio","Sagittarius","Capricorn","Aquarius","Pisces"},0)-MATCH(INPUT_Chart!$C$5,{"Aries","Taurus","Gemini","Cancer","Leo","Virgo","Libra","Scorpio","Sagittarius","Capricorn","Aquarius","Pisces"},0),12)+1=4,sun,"·"),IF(MOD(MATCH(CALC_PlanetPositions!$B$8,{"Aries","Taurus","Gemini","Cancer","Leo","Virgo","Libra","Scorpio","Sagittarius","Capricorn","Aquarius","Pisces"},0)-MATCH(INPUT_Chart!$C$5,{"Aries","Taurus","Gemini","Cancer","Leo","Virgo","Libra","Scorpio","Sagittarius","Capricorn","Aquarius","Pisces"},0),12)+1=4,moo,"·"),IF(MOD(MATCH(CALC_PlanetPositions!$B$9,{"Aries","Taurus","Gemini","Cancer","Leo","Virgo","Libra","Scorpio","Sagittarius","Capricorn","Aquarius","Pisces"},0)-MATCH(INPUT_Chart!$C$5,{"Aries","Taurus","Gemini","Cancer","Leo","Virgo","Libra","Scorpio","Sagittarius","Capricorn","Aquarius","Pisces"},0),12)+1=4,mar,"·"),IF(MOD(MATCH(CALC_PlanetPositions!$B$10,{"Aries","Taurus","Gemini","Cancer","Leo","Virgo","Libra","Scorpio","Sagittarius","Capricorn","Aquarius","Pisces"},0)-MATCH(INPUT_Chart!$C$5,{"Aries","Taurus","Gemini","Cancer","Leo","Virgo","Libra","Scorpio","Sagittarius","Capricorn","Aquarius","Pisces"},0),12)+1=4,mer,"·"),IF(MOD(MATCH(CALC_PlanetPositions!$B$11,{"Aries","Taurus","Gemini","Cancer","Leo","Virgo","Libra","Scorpio","Sagittarius","Capricorn","Aquarius","Pisces"},0)-MATCH(INPUT_Chart!$C$5,{"Aries","Taurus","Gemini","Cancer","Leo","Virgo","Libra","Scorpio","Sagittarius","Capricorn","Aquarius","Pisces"},0),12)+1=4,jup,"·"),IF(MOD(MATCH(CALC_PlanetPositions!$B$12,{"Aries","Taurus","Gemini","Cancer","Leo","Virgo","Libra","Scorpio","Sagittarius","Capricorn","Aquarius","Pisces"},0)-MATCH(INPUT_Chart!$C$5,{"Aries","Taurus","Gemini","Cancer","Leo","Virgo","Libra","Scorpio","Sagittarius","Capricorn","Aquarius","Pisces"},0),12)+1=4,ven,"·"),IF(MOD(MATCH(CALC_PlanetPositions!$B$13,{"Aries","Taurus","Gemini","Cancer","Leo","Virgo","Libra","Scorpio","Sagittarius","Capricorn","Aquarius","Pisces"},0)-MATCH(INPUT_Chart!$C$5,{"Aries","Taurus","Gemini","Cancer","Leo","Virgo","Libra","Scorpio","Sagittarius","Capricorn","Aquarius","Pisces"},0),12)+1=4,sat,"·"),IF(MOD(MATCH(CALC_PlanetPositions!$B$14,{"Aries","Taurus","Gemini","Cancer","Leo","Virgo","Libra","Scorpio","Sagittarius","Capricorn","Aquarius","Pisces"},0)-MATCH(INPUT_Chart!$C$5,{"Aries","Taurus","Gemini","Cancer","Leo","Virgo","Libra","Scorpio","Sagittarius","Capricorn","Aquarius","Pisces"},0),12)+1=4,rah,"·"),IF(MOD(MATCH(CALC_PlanetPositions!$B$15,{"Aries","Taurus","Gemini","Cancer","Leo","Virgo","Libra","Scorpio","Sagittarius","Capricorn","Aquarius","Pisces"},0)-MATCH(INPUT_Chart!$C$5,{"Aries","Taurus","Gemini","Cancer","Leo","Virgo","Libra","Scorpio","Sagittarius","Capricorn","Aquarius","Pisces"},0),12)+1=4,ket,"·")),"—")</f>
        <v>—</v>
      </c>
      <c r="H7" s="822">
        <v>2.25</v>
      </c>
    </row>
    <row r="8" spans="1:10" ht="18" customHeight="1" x14ac:dyDescent="0.2">
      <c r="A8" s="627">
        <v>4</v>
      </c>
      <c r="B8" s="928" t="str">
        <f ca="1">IFERROR(_xludf.textjoin(" ",TRUE(),IF(MOD(MATCH(CALC_PlanetPositions!$B$7,{"Aries","Taurus","Gemini","Cancer","Leo","Virgo","Libra","Scorpio","Sagittarius","Capricorn","Aquarius","Pisces"},0)-MATCH(INPUT_Chart!$C$5,{"Aries","Taurus","Gemini","Cancer","Leo","Virgo","Libra","Scorpio","Sagittarius","Capricorn","Aquarius","Pisces"},0),12)+1=4,sun,"·"),IF(MOD(MATCH(CALC_PlanetPositions!$B$8,{"Aries","Taurus","Gemini","Cancer","Leo","Virgo","Libra","Scorpio","Sagittarius","Capricorn","Aquarius","Pisces"},0)-MATCH(INPUT_Chart!$C$5,{"Aries","Taurus","Gemini","Cancer","Leo","Virgo","Libra","Scorpio","Sagittarius","Capricorn","Aquarius","Pisces"},0),12)+1=4,moo,"·"),IF(MOD(MATCH(CALC_PlanetPositions!$B$9,{"Aries","Taurus","Gemini","Cancer","Leo","Virgo","Libra","Scorpio","Sagittarius","Capricorn","Aquarius","Pisces"},0)-MATCH(INPUT_Chart!$C$5,{"Aries","Taurus","Gemini","Cancer","Leo","Virgo","Libra","Scorpio","Sagittarius","Capricorn","Aquarius","Pisces"},0),12)+1=4,mar,"·"),IF(MOD(MATCH(CALC_PlanetPositions!$B$10,{"Aries","Taurus","Gemini","Cancer","Leo","Virgo","Libra","Scorpio","Sagittarius","Capricorn","Aquarius","Pisces"},0)-MATCH(INPUT_Chart!$C$5,{"Aries","Taurus","Gemini","Cancer","Leo","Virgo","Libra","Scorpio","Sagittarius","Capricorn","Aquarius","Pisces"},0),12)+1=4,mer,"·"),IF(MOD(MATCH(CALC_PlanetPositions!$B$11,{"Aries","Taurus","Gemini","Cancer","Leo","Virgo","Libra","Scorpio","Sagittarius","Capricorn","Aquarius","Pisces"},0)-MATCH(INPUT_Chart!$C$5,{"Aries","Taurus","Gemini","Cancer","Leo","Virgo","Libra","Scorpio","Sagittarius","Capricorn","Aquarius","Pisces"},0),12)+1=4,jup,"·"),IF(MOD(MATCH(CALC_PlanetPositions!$B$12,{"Aries","Taurus","Gemini","Cancer","Leo","Virgo","Libra","Scorpio","Sagittarius","Capricorn","Aquarius","Pisces"},0)-MATCH(INPUT_Chart!$C$5,{"Aries","Taurus","Gemini","Cancer","Leo","Virgo","Libra","Scorpio","Sagittarius","Capricorn","Aquarius","Pisces"},0),12)+1=4,ven,"·"),IF(MOD(MATCH(CALC_PlanetPositions!$B$13,{"Aries","Taurus","Gemini","Cancer","Leo","Virgo","Libra","Scorpio","Sagittarius","Capricorn","Aquarius","Pisces"},0)-MATCH(INPUT_Chart!$C$5,{"Aries","Taurus","Gemini","Cancer","Leo","Virgo","Libra","Scorpio","Sagittarius","Capricorn","Aquarius","Pisces"},0),12)+1=4,sat,"·"),IF(MOD(MATCH(CALC_PlanetPositions!$B$14,{"Aries","Taurus","Gemini","Cancer","Leo","Virgo","Libra","Scorpio","Sagittarius","Capricorn","Aquarius","Pisces"},0)-MATCH(INPUT_Chart!$C$5,{"Aries","Taurus","Gemini","Cancer","Leo","Virgo","Libra","Scorpio","Sagittarius","Capricorn","Aquarius","Pisces"},0),12)+1=4,rah,"·"),IF(MOD(MATCH(CALC_PlanetPositions!$B$15,{"Aries","Taurus","Gemini","Cancer","Leo","Virgo","Libra","Scorpio","Sagittarius","Capricorn","Aquarius","Pisces"},0)-MATCH(INPUT_Chart!$C$5,{"Aries","Taurus","Gemini","Cancer","Leo","Virgo","Libra","Scorpio","Sagittarius","Capricorn","Aquarius","Pisces"},0),12)+1=4,ket,"·")),"—")</f>
        <v>—</v>
      </c>
      <c r="C8" s="928" t="str">
        <f ca="1">IFERROR(_xludf.textjoin(" ",TRUE(),IF(MOD(MATCH(CALC_PlanetPositions!$B$7,{"Aries","Taurus","Gemini","Cancer","Leo","Virgo","Libra","Scorpio","Sagittarius","Capricorn","Aquarius","Pisces"},0)-MATCH(INPUT_Chart!$C$5,{"Aries","Taurus","Gemini","Cancer","Leo","Virgo","Libra","Scorpio","Sagittarius","Capricorn","Aquarius","Pisces"},0),12)+1=6,sun,"·"),IF(MOD(MATCH(CALC_PlanetPositions!$B$8,{"Aries","Taurus","Gemini","Cancer","Leo","Virgo","Libra","Scorpio","Sagittarius","Capricorn","Aquarius","Pisces"},0)-MATCH(INPUT_Chart!$C$5,{"Aries","Taurus","Gemini","Cancer","Leo","Virgo","Libra","Scorpio","Sagittarius","Capricorn","Aquarius","Pisces"},0),12)+1=6,moo,"·"),IF(MOD(MATCH(CALC_PlanetPositions!$B$9,{"Aries","Taurus","Gemini","Cancer","Leo","Virgo","Libra","Scorpio","Sagittarius","Capricorn","Aquarius","Pisces"},0)-MATCH(INPUT_Chart!$C$5,{"Aries","Taurus","Gemini","Cancer","Leo","Virgo","Libra","Scorpio","Sagittarius","Capricorn","Aquarius","Pisces"},0),12)+1=6,mar,"·"),IF(MOD(MATCH(CALC_PlanetPositions!$B$10,{"Aries","Taurus","Gemini","Cancer","Leo","Virgo","Libra","Scorpio","Sagittarius","Capricorn","Aquarius","Pisces"},0)-MATCH(INPUT_Chart!$C$5,{"Aries","Taurus","Gemini","Cancer","Leo","Virgo","Libra","Scorpio","Sagittarius","Capricorn","Aquarius","Pisces"},0),12)+1=6,mer,"·"),IF(MOD(MATCH(CALC_PlanetPositions!$B$11,{"Aries","Taurus","Gemini","Cancer","Leo","Virgo","Libra","Scorpio","Sagittarius","Capricorn","Aquarius","Pisces"},0)-MATCH(INPUT_Chart!$C$5,{"Aries","Taurus","Gemini","Cancer","Leo","Virgo","Libra","Scorpio","Sagittarius","Capricorn","Aquarius","Pisces"},0),12)+1=6,jup,"·"),IF(MOD(MATCH(CALC_PlanetPositions!$B$12,{"Aries","Taurus","Gemini","Cancer","Leo","Virgo","Libra","Scorpio","Sagittarius","Capricorn","Aquarius","Pisces"},0)-MATCH(INPUT_Chart!$C$5,{"Aries","Taurus","Gemini","Cancer","Leo","Virgo","Libra","Scorpio","Sagittarius","Capricorn","Aquarius","Pisces"},0),12)+1=6,ven,"·"),IF(MOD(MATCH(CALC_PlanetPositions!$B$13,{"Aries","Taurus","Gemini","Cancer","Leo","Virgo","Libra","Scorpio","Sagittarius","Capricorn","Aquarius","Pisces"},0)-MATCH(INPUT_Chart!$C$5,{"Aries","Taurus","Gemini","Cancer","Leo","Virgo","Libra","Scorpio","Sagittarius","Capricorn","Aquarius","Pisces"},0),12)+1=6,sat,"·"),IF(MOD(MATCH(CALC_PlanetPositions!$B$14,{"Aries","Taurus","Gemini","Cancer","Leo","Virgo","Libra","Scorpio","Sagittarius","Capricorn","Aquarius","Pisces"},0)-MATCH(INPUT_Chart!$C$5,{"Aries","Taurus","Gemini","Cancer","Leo","Virgo","Libra","Scorpio","Sagittarius","Capricorn","Aquarius","Pisces"},0),12)+1=6,rah,"·"),IF(MOD(MATCH(CALC_PlanetPositions!$B$15,{"Aries","Taurus","Gemini","Cancer","Leo","Virgo","Libra","Scorpio","Sagittarius","Capricorn","Aquarius","Pisces"},0)-MATCH(INPUT_Chart!$C$5,{"Aries","Taurus","Gemini","Cancer","Leo","Virgo","Libra","Scorpio","Sagittarius","Capricorn","Aquarius","Pisces"},0),12)+1=6,ket,"·")),"—")</f>
        <v>—</v>
      </c>
      <c r="D8" s="928" t="str">
        <f ca="1">IFERROR(_xludf.textjoin(" ",TRUE(),IF(MOD(MATCH(CALC_PlanetPositions!$B$7,{"Aries","Taurus","Gemini","Cancer","Leo","Virgo","Libra","Scorpio","Sagittarius","Capricorn","Aquarius","Pisces"},0)-MATCH(INPUT_Chart!$C$5,{"Aries","Taurus","Gemini","Cancer","Leo","Virgo","Libra","Scorpio","Sagittarius","Capricorn","Aquarius","Pisces"},0),12)+1=1,sun,"·"),IF(MOD(MATCH(CALC_PlanetPositions!$B$8,{"Aries","Taurus","Gemini","Cancer","Leo","Virgo","Libra","Scorpio","Sagittarius","Capricorn","Aquarius","Pisces"},0)-MATCH(INPUT_Chart!$C$5,{"Aries","Taurus","Gemini","Cancer","Leo","Virgo","Libra","Scorpio","Sagittarius","Capricorn","Aquarius","Pisces"},0),12)+1=1,moo,"·"),IF(MOD(MATCH(CALC_PlanetPositions!$B$9,{"Aries","Taurus","Gemini","Cancer","Leo","Virgo","Libra","Scorpio","Sagittarius","Capricorn","Aquarius","Pisces"},0)-MATCH(INPUT_Chart!$C$5,{"Aries","Taurus","Gemini","Cancer","Leo","Virgo","Libra","Scorpio","Sagittarius","Capricorn","Aquarius","Pisces"},0),12)+1=1,mar,"·"),IF(MOD(MATCH(CALC_PlanetPositions!$B$10,{"Aries","Taurus","Gemini","Cancer","Leo","Virgo","Libra","Scorpio","Sagittarius","Capricorn","Aquarius","Pisces"},0)-MATCH(INPUT_Chart!$C$5,{"Aries","Taurus","Gemini","Cancer","Leo","Virgo","Libra","Scorpio","Sagittarius","Capricorn","Aquarius","Pisces"},0),12)+1=1,mer,"·"),IF(MOD(MATCH(CALC_PlanetPositions!$B$11,{"Aries","Taurus","Gemini","Cancer","Leo","Virgo","Libra","Scorpio","Sagittarius","Capricorn","Aquarius","Pisces"},0)-MATCH(INPUT_Chart!$C$5,{"Aries","Taurus","Gemini","Cancer","Leo","Virgo","Libra","Scorpio","Sagittarius","Capricorn","Aquarius","Pisces"},0),12)+1=1,jup,"·"),IF(MOD(MATCH(CALC_PlanetPositions!$B$12,{"Aries","Taurus","Gemini","Cancer","Leo","Virgo","Libra","Scorpio","Sagittarius","Capricorn","Aquarius","Pisces"},0)-MATCH(INPUT_Chart!$C$5,{"Aries","Taurus","Gemini","Cancer","Leo","Virgo","Libra","Scorpio","Sagittarius","Capricorn","Aquarius","Pisces"},0),12)+1=1,ven,"·"),IF(MOD(MATCH(CALC_PlanetPositions!$B$13,{"Aries","Taurus","Gemini","Cancer","Leo","Virgo","Libra","Scorpio","Sagittarius","Capricorn","Aquarius","Pisces"},0)-MATCH(INPUT_Chart!$C$5,{"Aries","Taurus","Gemini","Cancer","Leo","Virgo","Libra","Scorpio","Sagittarius","Capricorn","Aquarius","Pisces"},0),12)+1=1,sat,"·"),IF(MOD(MATCH(CALC_PlanetPositions!$B$14,{"Aries","Taurus","Gemini","Cancer","Leo","Virgo","Libra","Scorpio","Sagittarius","Capricorn","Aquarius","Pisces"},0)-MATCH(INPUT_Chart!$C$5,{"Aries","Taurus","Gemini","Cancer","Leo","Virgo","Libra","Scorpio","Sagittarius","Capricorn","Aquarius","Pisces"},0),12)+1=1,rah,"·"),IF(MOD(MATCH(CALC_PlanetPositions!$B$15,{"Aries","Taurus","Gemini","Cancer","Leo","Virgo","Libra","Scorpio","Sagittarius","Capricorn","Aquarius","Pisces"},0)-MATCH(INPUT_Chart!$C$5,{"Aries","Taurus","Gemini","Cancer","Leo","Virgo","Libra","Scorpio","Sagittarius","Capricorn","Aquarius","Pisces"},0),12)+1=1,ket,"·")),"—")</f>
        <v>—</v>
      </c>
      <c r="E8" s="929" t="str">
        <f ca="1">IFERROR(_xludf.textjoin(" ",TRUE(),IF(MOD(MATCH(CALC_PlanetPositions!$B$7,{"Aries","Taurus","Gemini","Cancer","Leo","Virgo","Libra","Scorpio","Sagittarius","Capricorn","Aquarius","Pisces"},0)-MATCH(INPUT_Chart!$C$5,{"Aries","Taurus","Gemini","Cancer","Leo","Virgo","Libra","Scorpio","Sagittarius","Capricorn","Aquarius","Pisces"},0),12)+1=2,sun,"·"),IF(MOD(MATCH(CALC_PlanetPositions!$B$8,{"Aries","Taurus","Gemini","Cancer","Leo","Virgo","Libra","Scorpio","Sagittarius","Capricorn","Aquarius","Pisces"},0)-MATCH(INPUT_Chart!$C$5,{"Aries","Taurus","Gemini","Cancer","Leo","Virgo","Libra","Scorpio","Sagittarius","Capricorn","Aquarius","Pisces"},0),12)+1=2,moo,"·"),IF(MOD(MATCH(CALC_PlanetPositions!$B$9,{"Aries","Taurus","Gemini","Cancer","Leo","Virgo","Libra","Scorpio","Sagittarius","Capricorn","Aquarius","Pisces"},0)-MATCH(INPUT_Chart!$C$5,{"Aries","Taurus","Gemini","Cancer","Leo","Virgo","Libra","Scorpio","Sagittarius","Capricorn","Aquarius","Pisces"},0),12)+1=2,mar,"·"),IF(MOD(MATCH(CALC_PlanetPositions!$B$10,{"Aries","Taurus","Gemini","Cancer","Leo","Virgo","Libra","Scorpio","Sagittarius","Capricorn","Aquarius","Pisces"},0)-MATCH(INPUT_Chart!$C$5,{"Aries","Taurus","Gemini","Cancer","Leo","Virgo","Libra","Scorpio","Sagittarius","Capricorn","Aquarius","Pisces"},0),12)+1=2,mer,"·"),IF(MOD(MATCH(CALC_PlanetPositions!$B$11,{"Aries","Taurus","Gemini","Cancer","Leo","Virgo","Libra","Scorpio","Sagittarius","Capricorn","Aquarius","Pisces"},0)-MATCH(INPUT_Chart!$C$5,{"Aries","Taurus","Gemini","Cancer","Leo","Virgo","Libra","Scorpio","Sagittarius","Capricorn","Aquarius","Pisces"},0),12)+1=2,jup,"·"),IF(MOD(MATCH(CALC_PlanetPositions!$B$12,{"Aries","Taurus","Gemini","Cancer","Leo","Virgo","Libra","Scorpio","Sagittarius","Capricorn","Aquarius","Pisces"},0)-MATCH(INPUT_Chart!$C$5,{"Aries","Taurus","Gemini","Cancer","Leo","Virgo","Libra","Scorpio","Sagittarius","Capricorn","Aquarius","Pisces"},0),12)+1=2,ven,"·"),IF(MOD(MATCH(CALC_PlanetPositions!$B$13,{"Aries","Taurus","Gemini","Cancer","Leo","Virgo","Libra","Scorpio","Sagittarius","Capricorn","Aquarius","Pisces"},0)-MATCH(INPUT_Chart!$C$5,{"Aries","Taurus","Gemini","Cancer","Leo","Virgo","Libra","Scorpio","Sagittarius","Capricorn","Aquarius","Pisces"},0),12)+1=2,sat,"·"),IF(MOD(MATCH(CALC_PlanetPositions!$B$14,{"Aries","Taurus","Gemini","Cancer","Leo","Virgo","Libra","Scorpio","Sagittarius","Capricorn","Aquarius","Pisces"},0)-MATCH(INPUT_Chart!$C$5,{"Aries","Taurus","Gemini","Cancer","Leo","Virgo","Libra","Scorpio","Sagittarius","Capricorn","Aquarius","Pisces"},0),12)+1=2,rah,"·"),IF(MOD(MATCH(CALC_PlanetPositions!$B$15,{"Aries","Taurus","Gemini","Cancer","Leo","Virgo","Libra","Scorpio","Sagittarius","Capricorn","Aquarius","Pisces"},0)-MATCH(INPUT_Chart!$C$5,{"Aries","Taurus","Gemini","Cancer","Leo","Virgo","Libra","Scorpio","Sagittarius","Capricorn","Aquarius","Pisces"},0),12)+1=2,ket,"·")),"—")</f>
        <v>—</v>
      </c>
      <c r="F8" s="929" t="str">
        <f ca="1">IFERROR(_xludf.textjoin(" ",TRUE(),IF(MOD(MATCH(CALC_PlanetPositions!$B$7,{"Aries","Taurus","Gemini","Cancer","Leo","Virgo","Libra","Scorpio","Sagittarius","Capricorn","Aquarius","Pisces"},0)-MATCH(INPUT_Chart!$C$5,{"Aries","Taurus","Gemini","Cancer","Leo","Virgo","Libra","Scorpio","Sagittarius","Capricorn","Aquarius","Pisces"},0),12)+1=12,sun,"·"),IF(MOD(MATCH(CALC_PlanetPositions!$B$8,{"Aries","Taurus","Gemini","Cancer","Leo","Virgo","Libra","Scorpio","Sagittarius","Capricorn","Aquarius","Pisces"},0)-MATCH(INPUT_Chart!$C$5,{"Aries","Taurus","Gemini","Cancer","Leo","Virgo","Libra","Scorpio","Sagittarius","Capricorn","Aquarius","Pisces"},0),12)+1=12,moo,"·"),IF(MOD(MATCH(CALC_PlanetPositions!$B$9,{"Aries","Taurus","Gemini","Cancer","Leo","Virgo","Libra","Scorpio","Sagittarius","Capricorn","Aquarius","Pisces"},0)-MATCH(INPUT_Chart!$C$5,{"Aries","Taurus","Gemini","Cancer","Leo","Virgo","Libra","Scorpio","Sagittarius","Capricorn","Aquarius","Pisces"},0),12)+1=12,mar,"·"),IF(MOD(MATCH(CALC_PlanetPositions!$B$10,{"Aries","Taurus","Gemini","Cancer","Leo","Virgo","Libra","Scorpio","Sagittarius","Capricorn","Aquarius","Pisces"},0)-MATCH(INPUT_Chart!$C$5,{"Aries","Taurus","Gemini","Cancer","Leo","Virgo","Libra","Scorpio","Sagittarius","Capricorn","Aquarius","Pisces"},0),12)+1=12,mer,"·"),IF(MOD(MATCH(CALC_PlanetPositions!$B$11,{"Aries","Taurus","Gemini","Cancer","Leo","Virgo","Libra","Scorpio","Sagittarius","Capricorn","Aquarius","Pisces"},0)-MATCH(INPUT_Chart!$C$5,{"Aries","Taurus","Gemini","Cancer","Leo","Virgo","Libra","Scorpio","Sagittarius","Capricorn","Aquarius","Pisces"},0),12)+1=12,jup,"·"),IF(MOD(MATCH(CALC_PlanetPositions!$B$12,{"Aries","Taurus","Gemini","Cancer","Leo","Virgo","Libra","Scorpio","Sagittarius","Capricorn","Aquarius","Pisces"},0)-MATCH(INPUT_Chart!$C$5,{"Aries","Taurus","Gemini","Cancer","Leo","Virgo","Libra","Scorpio","Sagittarius","Capricorn","Aquarius","Pisces"},0),12)+1=12,ven,"·"),IF(MOD(MATCH(CALC_PlanetPositions!$B$13,{"Aries","Taurus","Gemini","Cancer","Leo","Virgo","Libra","Scorpio","Sagittarius","Capricorn","Aquarius","Pisces"},0)-MATCH(INPUT_Chart!$C$5,{"Aries","Taurus","Gemini","Cancer","Leo","Virgo","Libra","Scorpio","Sagittarius","Capricorn","Aquarius","Pisces"},0),12)+1=12,sat,"·"),IF(MOD(MATCH(CALC_PlanetPositions!$B$14,{"Aries","Taurus","Gemini","Cancer","Leo","Virgo","Libra","Scorpio","Sagittarius","Capricorn","Aquarius","Pisces"},0)-MATCH(INPUT_Chart!$C$5,{"Aries","Taurus","Gemini","Cancer","Leo","Virgo","Libra","Scorpio","Sagittarius","Capricorn","Aquarius","Pisces"},0),12)+1=12,rah,"·"),IF(MOD(MATCH(CALC_PlanetPositions!$B$15,{"Aries","Taurus","Gemini","Cancer","Leo","Virgo","Libra","Scorpio","Sagittarius","Capricorn","Aquarius","Pisces"},0)-MATCH(INPUT_Chart!$C$5,{"Aries","Taurus","Gemini","Cancer","Leo","Virgo","Libra","Scorpio","Sagittarius","Capricorn","Aquarius","Pisces"},0),12)+1=12,ket,"·")),"—")</f>
        <v>—</v>
      </c>
      <c r="G8" s="929" t="str">
        <f ca="1">IFERROR(_xludf.textjoin(" ",TRUE(),IF(MOD(MATCH(CALC_PlanetPositions!$B$7,{"Aries","Taurus","Gemini","Cancer","Leo","Virgo","Libra","Scorpio","Sagittarius","Capricorn","Aquarius","Pisces"},0)-MATCH(INPUT_Chart!$C$5,{"Aries","Taurus","Gemini","Cancer","Leo","Virgo","Libra","Scorpio","Sagittarius","Capricorn","Aquarius","Pisces"},0),12)+1=5,sun,"·"),IF(MOD(MATCH(CALC_PlanetPositions!$B$8,{"Aries","Taurus","Gemini","Cancer","Leo","Virgo","Libra","Scorpio","Sagittarius","Capricorn","Aquarius","Pisces"},0)-MATCH(INPUT_Chart!$C$5,{"Aries","Taurus","Gemini","Cancer","Leo","Virgo","Libra","Scorpio","Sagittarius","Capricorn","Aquarius","Pisces"},0),12)+1=5,moo,"·"),IF(MOD(MATCH(CALC_PlanetPositions!$B$9,{"Aries","Taurus","Gemini","Cancer","Leo","Virgo","Libra","Scorpio","Sagittarius","Capricorn","Aquarius","Pisces"},0)-MATCH(INPUT_Chart!$C$5,{"Aries","Taurus","Gemini","Cancer","Leo","Virgo","Libra","Scorpio","Sagittarius","Capricorn","Aquarius","Pisces"},0),12)+1=5,mar,"·"),IF(MOD(MATCH(CALC_PlanetPositions!$B$10,{"Aries","Taurus","Gemini","Cancer","Leo","Virgo","Libra","Scorpio","Sagittarius","Capricorn","Aquarius","Pisces"},0)-MATCH(INPUT_Chart!$C$5,{"Aries","Taurus","Gemini","Cancer","Leo","Virgo","Libra","Scorpio","Sagittarius","Capricorn","Aquarius","Pisces"},0),12)+1=5,mer,"·"),IF(MOD(MATCH(CALC_PlanetPositions!$B$11,{"Aries","Taurus","Gemini","Cancer","Leo","Virgo","Libra","Scorpio","Sagittarius","Capricorn","Aquarius","Pisces"},0)-MATCH(INPUT_Chart!$C$5,{"Aries","Taurus","Gemini","Cancer","Leo","Virgo","Libra","Scorpio","Sagittarius","Capricorn","Aquarius","Pisces"},0),12)+1=5,jup,"·"),IF(MOD(MATCH(CALC_PlanetPositions!$B$12,{"Aries","Taurus","Gemini","Cancer","Leo","Virgo","Libra","Scorpio","Sagittarius","Capricorn","Aquarius","Pisces"},0)-MATCH(INPUT_Chart!$C$5,{"Aries","Taurus","Gemini","Cancer","Leo","Virgo","Libra","Scorpio","Sagittarius","Capricorn","Aquarius","Pisces"},0),12)+1=5,ven,"·"),IF(MOD(MATCH(CALC_PlanetPositions!$B$13,{"Aries","Taurus","Gemini","Cancer","Leo","Virgo","Libra","Scorpio","Sagittarius","Capricorn","Aquarius","Pisces"},0)-MATCH(INPUT_Chart!$C$5,{"Aries","Taurus","Gemini","Cancer","Leo","Virgo","Libra","Scorpio","Sagittarius","Capricorn","Aquarius","Pisces"},0),12)+1=5,sat,"·"),IF(MOD(MATCH(CALC_PlanetPositions!$B$14,{"Aries","Taurus","Gemini","Cancer","Leo","Virgo","Libra","Scorpio","Sagittarius","Capricorn","Aquarius","Pisces"},0)-MATCH(INPUT_Chart!$C$5,{"Aries","Taurus","Gemini","Cancer","Leo","Virgo","Libra","Scorpio","Sagittarius","Capricorn","Aquarius","Pisces"},0),12)+1=5,rah,"·"),IF(MOD(MATCH(CALC_PlanetPositions!$B$15,{"Aries","Taurus","Gemini","Cancer","Leo","Virgo","Libra","Scorpio","Sagittarius","Capricorn","Aquarius","Pisces"},0)-MATCH(INPUT_Chart!$C$5,{"Aries","Taurus","Gemini","Cancer","Leo","Virgo","Libra","Scorpio","Sagittarius","Capricorn","Aquarius","Pisces"},0),12)+1=5,ket,"·")),"—")</f>
        <v>—</v>
      </c>
      <c r="H8" s="828">
        <v>0.5</v>
      </c>
    </row>
    <row r="9" spans="1:10" ht="18" customHeight="1" x14ac:dyDescent="0.2">
      <c r="A9" s="632">
        <v>5</v>
      </c>
      <c r="B9" s="926" t="str">
        <f ca="1">IFERROR(_xludf.textjoin(" ",TRUE(),IF(MOD(MATCH(CALC_PlanetPositions!$B$7,{"Aries","Taurus","Gemini","Cancer","Leo","Virgo","Libra","Scorpio","Sagittarius","Capricorn","Aquarius","Pisces"},0)-MATCH(INPUT_Chart!$C$5,{"Aries","Taurus","Gemini","Cancer","Leo","Virgo","Libra","Scorpio","Sagittarius","Capricorn","Aquarius","Pisces"},0),12)+1=5,sun,"·"),IF(MOD(MATCH(CALC_PlanetPositions!$B$8,{"Aries","Taurus","Gemini","Cancer","Leo","Virgo","Libra","Scorpio","Sagittarius","Capricorn","Aquarius","Pisces"},0)-MATCH(INPUT_Chart!$C$5,{"Aries","Taurus","Gemini","Cancer","Leo","Virgo","Libra","Scorpio","Sagittarius","Capricorn","Aquarius","Pisces"},0),12)+1=5,moo,"·"),IF(MOD(MATCH(CALC_PlanetPositions!$B$9,{"Aries","Taurus","Gemini","Cancer","Leo","Virgo","Libra","Scorpio","Sagittarius","Capricorn","Aquarius","Pisces"},0)-MATCH(INPUT_Chart!$C$5,{"Aries","Taurus","Gemini","Cancer","Leo","Virgo","Libra","Scorpio","Sagittarius","Capricorn","Aquarius","Pisces"},0),12)+1=5,mar,"·"),IF(MOD(MATCH(CALC_PlanetPositions!$B$10,{"Aries","Taurus","Gemini","Cancer","Leo","Virgo","Libra","Scorpio","Sagittarius","Capricorn","Aquarius","Pisces"},0)-MATCH(INPUT_Chart!$C$5,{"Aries","Taurus","Gemini","Cancer","Leo","Virgo","Libra","Scorpio","Sagittarius","Capricorn","Aquarius","Pisces"},0),12)+1=5,mer,"·"),IF(MOD(MATCH(CALC_PlanetPositions!$B$11,{"Aries","Taurus","Gemini","Cancer","Leo","Virgo","Libra","Scorpio","Sagittarius","Capricorn","Aquarius","Pisces"},0)-MATCH(INPUT_Chart!$C$5,{"Aries","Taurus","Gemini","Cancer","Leo","Virgo","Libra","Scorpio","Sagittarius","Capricorn","Aquarius","Pisces"},0),12)+1=5,jup,"·"),IF(MOD(MATCH(CALC_PlanetPositions!$B$12,{"Aries","Taurus","Gemini","Cancer","Leo","Virgo","Libra","Scorpio","Sagittarius","Capricorn","Aquarius","Pisces"},0)-MATCH(INPUT_Chart!$C$5,{"Aries","Taurus","Gemini","Cancer","Leo","Virgo","Libra","Scorpio","Sagittarius","Capricorn","Aquarius","Pisces"},0),12)+1=5,ven,"·"),IF(MOD(MATCH(CALC_PlanetPositions!$B$13,{"Aries","Taurus","Gemini","Cancer","Leo","Virgo","Libra","Scorpio","Sagittarius","Capricorn","Aquarius","Pisces"},0)-MATCH(INPUT_Chart!$C$5,{"Aries","Taurus","Gemini","Cancer","Leo","Virgo","Libra","Scorpio","Sagittarius","Capricorn","Aquarius","Pisces"},0),12)+1=5,sat,"·"),IF(MOD(MATCH(CALC_PlanetPositions!$B$14,{"Aries","Taurus","Gemini","Cancer","Leo","Virgo","Libra","Scorpio","Sagittarius","Capricorn","Aquarius","Pisces"},0)-MATCH(INPUT_Chart!$C$5,{"Aries","Taurus","Gemini","Cancer","Leo","Virgo","Libra","Scorpio","Sagittarius","Capricorn","Aquarius","Pisces"},0),12)+1=5,rah,"·"),IF(MOD(MATCH(CALC_PlanetPositions!$B$15,{"Aries","Taurus","Gemini","Cancer","Leo","Virgo","Libra","Scorpio","Sagittarius","Capricorn","Aquarius","Pisces"},0)-MATCH(INPUT_Chart!$C$5,{"Aries","Taurus","Gemini","Cancer","Leo","Virgo","Libra","Scorpio","Sagittarius","Capricorn","Aquarius","Pisces"},0),12)+1=5,ket,"·")),"—")</f>
        <v>—</v>
      </c>
      <c r="C9" s="926" t="str">
        <f ca="1">IFERROR(_xludf.textjoin(" ",TRUE(),IF(MOD(MATCH(CALC_PlanetPositions!$B$7,{"Aries","Taurus","Gemini","Cancer","Leo","Virgo","Libra","Scorpio","Sagittarius","Capricorn","Aquarius","Pisces"},0)-MATCH(INPUT_Chart!$C$5,{"Aries","Taurus","Gemini","Cancer","Leo","Virgo","Libra","Scorpio","Sagittarius","Capricorn","Aquarius","Pisces"},0),12)+1=7,sun,"·"),IF(MOD(MATCH(CALC_PlanetPositions!$B$8,{"Aries","Taurus","Gemini","Cancer","Leo","Virgo","Libra","Scorpio","Sagittarius","Capricorn","Aquarius","Pisces"},0)-MATCH(INPUT_Chart!$C$5,{"Aries","Taurus","Gemini","Cancer","Leo","Virgo","Libra","Scorpio","Sagittarius","Capricorn","Aquarius","Pisces"},0),12)+1=7,moo,"·"),IF(MOD(MATCH(CALC_PlanetPositions!$B$9,{"Aries","Taurus","Gemini","Cancer","Leo","Virgo","Libra","Scorpio","Sagittarius","Capricorn","Aquarius","Pisces"},0)-MATCH(INPUT_Chart!$C$5,{"Aries","Taurus","Gemini","Cancer","Leo","Virgo","Libra","Scorpio","Sagittarius","Capricorn","Aquarius","Pisces"},0),12)+1=7,mar,"·"),IF(MOD(MATCH(CALC_PlanetPositions!$B$10,{"Aries","Taurus","Gemini","Cancer","Leo","Virgo","Libra","Scorpio","Sagittarius","Capricorn","Aquarius","Pisces"},0)-MATCH(INPUT_Chart!$C$5,{"Aries","Taurus","Gemini","Cancer","Leo","Virgo","Libra","Scorpio","Sagittarius","Capricorn","Aquarius","Pisces"},0),12)+1=7,mer,"·"),IF(MOD(MATCH(CALC_PlanetPositions!$B$11,{"Aries","Taurus","Gemini","Cancer","Leo","Virgo","Libra","Scorpio","Sagittarius","Capricorn","Aquarius","Pisces"},0)-MATCH(INPUT_Chart!$C$5,{"Aries","Taurus","Gemini","Cancer","Leo","Virgo","Libra","Scorpio","Sagittarius","Capricorn","Aquarius","Pisces"},0),12)+1=7,jup,"·"),IF(MOD(MATCH(CALC_PlanetPositions!$B$12,{"Aries","Taurus","Gemini","Cancer","Leo","Virgo","Libra","Scorpio","Sagittarius","Capricorn","Aquarius","Pisces"},0)-MATCH(INPUT_Chart!$C$5,{"Aries","Taurus","Gemini","Cancer","Leo","Virgo","Libra","Scorpio","Sagittarius","Capricorn","Aquarius","Pisces"},0),12)+1=7,ven,"·"),IF(MOD(MATCH(CALC_PlanetPositions!$B$13,{"Aries","Taurus","Gemini","Cancer","Leo","Virgo","Libra","Scorpio","Sagittarius","Capricorn","Aquarius","Pisces"},0)-MATCH(INPUT_Chart!$C$5,{"Aries","Taurus","Gemini","Cancer","Leo","Virgo","Libra","Scorpio","Sagittarius","Capricorn","Aquarius","Pisces"},0),12)+1=7,sat,"·"),IF(MOD(MATCH(CALC_PlanetPositions!$B$14,{"Aries","Taurus","Gemini","Cancer","Leo","Virgo","Libra","Scorpio","Sagittarius","Capricorn","Aquarius","Pisces"},0)-MATCH(INPUT_Chart!$C$5,{"Aries","Taurus","Gemini","Cancer","Leo","Virgo","Libra","Scorpio","Sagittarius","Capricorn","Aquarius","Pisces"},0),12)+1=7,rah,"·"),IF(MOD(MATCH(CALC_PlanetPositions!$B$15,{"Aries","Taurus","Gemini","Cancer","Leo","Virgo","Libra","Scorpio","Sagittarius","Capricorn","Aquarius","Pisces"},0)-MATCH(INPUT_Chart!$C$5,{"Aries","Taurus","Gemini","Cancer","Leo","Virgo","Libra","Scorpio","Sagittarius","Capricorn","Aquarius","Pisces"},0),12)+1=7,ket,"·")),"—")</f>
        <v>—</v>
      </c>
      <c r="D9" s="926" t="str">
        <f ca="1">IFERROR(_xludf.textjoin(" ",TRUE(),IF(MOD(MATCH(CALC_PlanetPositions!$B$7,{"Aries","Taurus","Gemini","Cancer","Leo","Virgo","Libra","Scorpio","Sagittarius","Capricorn","Aquarius","Pisces"},0)-MATCH(INPUT_Chart!$C$5,{"Aries","Taurus","Gemini","Cancer","Leo","Virgo","Libra","Scorpio","Sagittarius","Capricorn","Aquarius","Pisces"},0),12)+1=2,sun,"·"),IF(MOD(MATCH(CALC_PlanetPositions!$B$8,{"Aries","Taurus","Gemini","Cancer","Leo","Virgo","Libra","Scorpio","Sagittarius","Capricorn","Aquarius","Pisces"},0)-MATCH(INPUT_Chart!$C$5,{"Aries","Taurus","Gemini","Cancer","Leo","Virgo","Libra","Scorpio","Sagittarius","Capricorn","Aquarius","Pisces"},0),12)+1=2,moo,"·"),IF(MOD(MATCH(CALC_PlanetPositions!$B$9,{"Aries","Taurus","Gemini","Cancer","Leo","Virgo","Libra","Scorpio","Sagittarius","Capricorn","Aquarius","Pisces"},0)-MATCH(INPUT_Chart!$C$5,{"Aries","Taurus","Gemini","Cancer","Leo","Virgo","Libra","Scorpio","Sagittarius","Capricorn","Aquarius","Pisces"},0),12)+1=2,mar,"·"),IF(MOD(MATCH(CALC_PlanetPositions!$B$10,{"Aries","Taurus","Gemini","Cancer","Leo","Virgo","Libra","Scorpio","Sagittarius","Capricorn","Aquarius","Pisces"},0)-MATCH(INPUT_Chart!$C$5,{"Aries","Taurus","Gemini","Cancer","Leo","Virgo","Libra","Scorpio","Sagittarius","Capricorn","Aquarius","Pisces"},0),12)+1=2,mer,"·"),IF(MOD(MATCH(CALC_PlanetPositions!$B$11,{"Aries","Taurus","Gemini","Cancer","Leo","Virgo","Libra","Scorpio","Sagittarius","Capricorn","Aquarius","Pisces"},0)-MATCH(INPUT_Chart!$C$5,{"Aries","Taurus","Gemini","Cancer","Leo","Virgo","Libra","Scorpio","Sagittarius","Capricorn","Aquarius","Pisces"},0),12)+1=2,jup,"·"),IF(MOD(MATCH(CALC_PlanetPositions!$B$12,{"Aries","Taurus","Gemini","Cancer","Leo","Virgo","Libra","Scorpio","Sagittarius","Capricorn","Aquarius","Pisces"},0)-MATCH(INPUT_Chart!$C$5,{"Aries","Taurus","Gemini","Cancer","Leo","Virgo","Libra","Scorpio","Sagittarius","Capricorn","Aquarius","Pisces"},0),12)+1=2,ven,"·"),IF(MOD(MATCH(CALC_PlanetPositions!$B$13,{"Aries","Taurus","Gemini","Cancer","Leo","Virgo","Libra","Scorpio","Sagittarius","Capricorn","Aquarius","Pisces"},0)-MATCH(INPUT_Chart!$C$5,{"Aries","Taurus","Gemini","Cancer","Leo","Virgo","Libra","Scorpio","Sagittarius","Capricorn","Aquarius","Pisces"},0),12)+1=2,sat,"·"),IF(MOD(MATCH(CALC_PlanetPositions!$B$14,{"Aries","Taurus","Gemini","Cancer","Leo","Virgo","Libra","Scorpio","Sagittarius","Capricorn","Aquarius","Pisces"},0)-MATCH(INPUT_Chart!$C$5,{"Aries","Taurus","Gemini","Cancer","Leo","Virgo","Libra","Scorpio","Sagittarius","Capricorn","Aquarius","Pisces"},0),12)+1=2,rah,"·"),IF(MOD(MATCH(CALC_PlanetPositions!$B$15,{"Aries","Taurus","Gemini","Cancer","Leo","Virgo","Libra","Scorpio","Sagittarius","Capricorn","Aquarius","Pisces"},0)-MATCH(INPUT_Chart!$C$5,{"Aries","Taurus","Gemini","Cancer","Leo","Virgo","Libra","Scorpio","Sagittarius","Capricorn","Aquarius","Pisces"},0),12)+1=2,ket,"·")),"—")</f>
        <v>—</v>
      </c>
      <c r="E9" s="927" t="str">
        <f ca="1">IFERROR(_xludf.textjoin(" ",TRUE(),IF(MOD(MATCH(CALC_PlanetPositions!$B$7,{"Aries","Taurus","Gemini","Cancer","Leo","Virgo","Libra","Scorpio","Sagittarius","Capricorn","Aquarius","Pisces"},0)-MATCH(INPUT_Chart!$C$5,{"Aries","Taurus","Gemini","Cancer","Leo","Virgo","Libra","Scorpio","Sagittarius","Capricorn","Aquarius","Pisces"},0),12)+1=3,sun,"·"),IF(MOD(MATCH(CALC_PlanetPositions!$B$8,{"Aries","Taurus","Gemini","Cancer","Leo","Virgo","Libra","Scorpio","Sagittarius","Capricorn","Aquarius","Pisces"},0)-MATCH(INPUT_Chart!$C$5,{"Aries","Taurus","Gemini","Cancer","Leo","Virgo","Libra","Scorpio","Sagittarius","Capricorn","Aquarius","Pisces"},0),12)+1=3,moo,"·"),IF(MOD(MATCH(CALC_PlanetPositions!$B$9,{"Aries","Taurus","Gemini","Cancer","Leo","Virgo","Libra","Scorpio","Sagittarius","Capricorn","Aquarius","Pisces"},0)-MATCH(INPUT_Chart!$C$5,{"Aries","Taurus","Gemini","Cancer","Leo","Virgo","Libra","Scorpio","Sagittarius","Capricorn","Aquarius","Pisces"},0),12)+1=3,mar,"·"),IF(MOD(MATCH(CALC_PlanetPositions!$B$10,{"Aries","Taurus","Gemini","Cancer","Leo","Virgo","Libra","Scorpio","Sagittarius","Capricorn","Aquarius","Pisces"},0)-MATCH(INPUT_Chart!$C$5,{"Aries","Taurus","Gemini","Cancer","Leo","Virgo","Libra","Scorpio","Sagittarius","Capricorn","Aquarius","Pisces"},0),12)+1=3,mer,"·"),IF(MOD(MATCH(CALC_PlanetPositions!$B$11,{"Aries","Taurus","Gemini","Cancer","Leo","Virgo","Libra","Scorpio","Sagittarius","Capricorn","Aquarius","Pisces"},0)-MATCH(INPUT_Chart!$C$5,{"Aries","Taurus","Gemini","Cancer","Leo","Virgo","Libra","Scorpio","Sagittarius","Capricorn","Aquarius","Pisces"},0),12)+1=3,jup,"·"),IF(MOD(MATCH(CALC_PlanetPositions!$B$12,{"Aries","Taurus","Gemini","Cancer","Leo","Virgo","Libra","Scorpio","Sagittarius","Capricorn","Aquarius","Pisces"},0)-MATCH(INPUT_Chart!$C$5,{"Aries","Taurus","Gemini","Cancer","Leo","Virgo","Libra","Scorpio","Sagittarius","Capricorn","Aquarius","Pisces"},0),12)+1=3,ven,"·"),IF(MOD(MATCH(CALC_PlanetPositions!$B$13,{"Aries","Taurus","Gemini","Cancer","Leo","Virgo","Libra","Scorpio","Sagittarius","Capricorn","Aquarius","Pisces"},0)-MATCH(INPUT_Chart!$C$5,{"Aries","Taurus","Gemini","Cancer","Leo","Virgo","Libra","Scorpio","Sagittarius","Capricorn","Aquarius","Pisces"},0),12)+1=3,sat,"·"),IF(MOD(MATCH(CALC_PlanetPositions!$B$14,{"Aries","Taurus","Gemini","Cancer","Leo","Virgo","Libra","Scorpio","Sagittarius","Capricorn","Aquarius","Pisces"},0)-MATCH(INPUT_Chart!$C$5,{"Aries","Taurus","Gemini","Cancer","Leo","Virgo","Libra","Scorpio","Sagittarius","Capricorn","Aquarius","Pisces"},0),12)+1=3,rah,"·"),IF(MOD(MATCH(CALC_PlanetPositions!$B$15,{"Aries","Taurus","Gemini","Cancer","Leo","Virgo","Libra","Scorpio","Sagittarius","Capricorn","Aquarius","Pisces"},0)-MATCH(INPUT_Chart!$C$5,{"Aries","Taurus","Gemini","Cancer","Leo","Virgo","Libra","Scorpio","Sagittarius","Capricorn","Aquarius","Pisces"},0),12)+1=3,ket,"·")),"—")</f>
        <v>—</v>
      </c>
      <c r="F9" s="927" t="str">
        <f ca="1">IFERROR(_xludf.textjoin(" ",TRUE(),IF(MOD(MATCH(CALC_PlanetPositions!$B$7,{"Aries","Taurus","Gemini","Cancer","Leo","Virgo","Libra","Scorpio","Sagittarius","Capricorn","Aquarius","Pisces"},0)-MATCH(INPUT_Chart!$C$5,{"Aries","Taurus","Gemini","Cancer","Leo","Virgo","Libra","Scorpio","Sagittarius","Capricorn","Aquarius","Pisces"},0),12)+1=1,sun,"·"),IF(MOD(MATCH(CALC_PlanetPositions!$B$8,{"Aries","Taurus","Gemini","Cancer","Leo","Virgo","Libra","Scorpio","Sagittarius","Capricorn","Aquarius","Pisces"},0)-MATCH(INPUT_Chart!$C$5,{"Aries","Taurus","Gemini","Cancer","Leo","Virgo","Libra","Scorpio","Sagittarius","Capricorn","Aquarius","Pisces"},0),12)+1=1,moo,"·"),IF(MOD(MATCH(CALC_PlanetPositions!$B$9,{"Aries","Taurus","Gemini","Cancer","Leo","Virgo","Libra","Scorpio","Sagittarius","Capricorn","Aquarius","Pisces"},0)-MATCH(INPUT_Chart!$C$5,{"Aries","Taurus","Gemini","Cancer","Leo","Virgo","Libra","Scorpio","Sagittarius","Capricorn","Aquarius","Pisces"},0),12)+1=1,mar,"·"),IF(MOD(MATCH(CALC_PlanetPositions!$B$10,{"Aries","Taurus","Gemini","Cancer","Leo","Virgo","Libra","Scorpio","Sagittarius","Capricorn","Aquarius","Pisces"},0)-MATCH(INPUT_Chart!$C$5,{"Aries","Taurus","Gemini","Cancer","Leo","Virgo","Libra","Scorpio","Sagittarius","Capricorn","Aquarius","Pisces"},0),12)+1=1,mer,"·"),IF(MOD(MATCH(CALC_PlanetPositions!$B$11,{"Aries","Taurus","Gemini","Cancer","Leo","Virgo","Libra","Scorpio","Sagittarius","Capricorn","Aquarius","Pisces"},0)-MATCH(INPUT_Chart!$C$5,{"Aries","Taurus","Gemini","Cancer","Leo","Virgo","Libra","Scorpio","Sagittarius","Capricorn","Aquarius","Pisces"},0),12)+1=1,jup,"·"),IF(MOD(MATCH(CALC_PlanetPositions!$B$12,{"Aries","Taurus","Gemini","Cancer","Leo","Virgo","Libra","Scorpio","Sagittarius","Capricorn","Aquarius","Pisces"},0)-MATCH(INPUT_Chart!$C$5,{"Aries","Taurus","Gemini","Cancer","Leo","Virgo","Libra","Scorpio","Sagittarius","Capricorn","Aquarius","Pisces"},0),12)+1=1,ven,"·"),IF(MOD(MATCH(CALC_PlanetPositions!$B$13,{"Aries","Taurus","Gemini","Cancer","Leo","Virgo","Libra","Scorpio","Sagittarius","Capricorn","Aquarius","Pisces"},0)-MATCH(INPUT_Chart!$C$5,{"Aries","Taurus","Gemini","Cancer","Leo","Virgo","Libra","Scorpio","Sagittarius","Capricorn","Aquarius","Pisces"},0),12)+1=1,sat,"·"),IF(MOD(MATCH(CALC_PlanetPositions!$B$14,{"Aries","Taurus","Gemini","Cancer","Leo","Virgo","Libra","Scorpio","Sagittarius","Capricorn","Aquarius","Pisces"},0)-MATCH(INPUT_Chart!$C$5,{"Aries","Taurus","Gemini","Cancer","Leo","Virgo","Libra","Scorpio","Sagittarius","Capricorn","Aquarius","Pisces"},0),12)+1=1,rah,"·"),IF(MOD(MATCH(CALC_PlanetPositions!$B$15,{"Aries","Taurus","Gemini","Cancer","Leo","Virgo","Libra","Scorpio","Sagittarius","Capricorn","Aquarius","Pisces"},0)-MATCH(INPUT_Chart!$C$5,{"Aries","Taurus","Gemini","Cancer","Leo","Virgo","Libra","Scorpio","Sagittarius","Capricorn","Aquarius","Pisces"},0),12)+1=1,ket,"·")),"—")</f>
        <v>—</v>
      </c>
      <c r="G9" s="927" t="str">
        <f ca="1">IFERROR(_xludf.textjoin(" ",TRUE(),IF(MOD(MATCH(CALC_PlanetPositions!$B$7,{"Aries","Taurus","Gemini","Cancer","Leo","Virgo","Libra","Scorpio","Sagittarius","Capricorn","Aquarius","Pisces"},0)-MATCH(INPUT_Chart!$C$5,{"Aries","Taurus","Gemini","Cancer","Leo","Virgo","Libra","Scorpio","Sagittarius","Capricorn","Aquarius","Pisces"},0),12)+1=6,sun,"·"),IF(MOD(MATCH(CALC_PlanetPositions!$B$8,{"Aries","Taurus","Gemini","Cancer","Leo","Virgo","Libra","Scorpio","Sagittarius","Capricorn","Aquarius","Pisces"},0)-MATCH(INPUT_Chart!$C$5,{"Aries","Taurus","Gemini","Cancer","Leo","Virgo","Libra","Scorpio","Sagittarius","Capricorn","Aquarius","Pisces"},0),12)+1=6,moo,"·"),IF(MOD(MATCH(CALC_PlanetPositions!$B$9,{"Aries","Taurus","Gemini","Cancer","Leo","Virgo","Libra","Scorpio","Sagittarius","Capricorn","Aquarius","Pisces"},0)-MATCH(INPUT_Chart!$C$5,{"Aries","Taurus","Gemini","Cancer","Leo","Virgo","Libra","Scorpio","Sagittarius","Capricorn","Aquarius","Pisces"},0),12)+1=6,mar,"·"),IF(MOD(MATCH(CALC_PlanetPositions!$B$10,{"Aries","Taurus","Gemini","Cancer","Leo","Virgo","Libra","Scorpio","Sagittarius","Capricorn","Aquarius","Pisces"},0)-MATCH(INPUT_Chart!$C$5,{"Aries","Taurus","Gemini","Cancer","Leo","Virgo","Libra","Scorpio","Sagittarius","Capricorn","Aquarius","Pisces"},0),12)+1=6,mer,"·"),IF(MOD(MATCH(CALC_PlanetPositions!$B$11,{"Aries","Taurus","Gemini","Cancer","Leo","Virgo","Libra","Scorpio","Sagittarius","Capricorn","Aquarius","Pisces"},0)-MATCH(INPUT_Chart!$C$5,{"Aries","Taurus","Gemini","Cancer","Leo","Virgo","Libra","Scorpio","Sagittarius","Capricorn","Aquarius","Pisces"},0),12)+1=6,jup,"·"),IF(MOD(MATCH(CALC_PlanetPositions!$B$12,{"Aries","Taurus","Gemini","Cancer","Leo","Virgo","Libra","Scorpio","Sagittarius","Capricorn","Aquarius","Pisces"},0)-MATCH(INPUT_Chart!$C$5,{"Aries","Taurus","Gemini","Cancer","Leo","Virgo","Libra","Scorpio","Sagittarius","Capricorn","Aquarius","Pisces"},0),12)+1=6,ven,"·"),IF(MOD(MATCH(CALC_PlanetPositions!$B$13,{"Aries","Taurus","Gemini","Cancer","Leo","Virgo","Libra","Scorpio","Sagittarius","Capricorn","Aquarius","Pisces"},0)-MATCH(INPUT_Chart!$C$5,{"Aries","Taurus","Gemini","Cancer","Leo","Virgo","Libra","Scorpio","Sagittarius","Capricorn","Aquarius","Pisces"},0),12)+1=6,sat,"·"),IF(MOD(MATCH(CALC_PlanetPositions!$B$14,{"Aries","Taurus","Gemini","Cancer","Leo","Virgo","Libra","Scorpio","Sagittarius","Capricorn","Aquarius","Pisces"},0)-MATCH(INPUT_Chart!$C$5,{"Aries","Taurus","Gemini","Cancer","Leo","Virgo","Libra","Scorpio","Sagittarius","Capricorn","Aquarius","Pisces"},0),12)+1=6,rah,"·"),IF(MOD(MATCH(CALC_PlanetPositions!$B$15,{"Aries","Taurus","Gemini","Cancer","Leo","Virgo","Libra","Scorpio","Sagittarius","Capricorn","Aquarius","Pisces"},0)-MATCH(INPUT_Chart!$C$5,{"Aries","Taurus","Gemini","Cancer","Leo","Virgo","Libra","Scorpio","Sagittarius","Capricorn","Aquarius","Pisces"},0),12)+1=6,ket,"·")),"—")</f>
        <v>—</v>
      </c>
      <c r="H9" s="822">
        <v>-1.5</v>
      </c>
    </row>
    <row r="10" spans="1:10" ht="18" customHeight="1" x14ac:dyDescent="0.2">
      <c r="A10" s="627">
        <v>6</v>
      </c>
      <c r="B10" s="928" t="str">
        <f ca="1">IFERROR(_xludf.textjoin(" ",TRUE(),IF(MOD(MATCH(CALC_PlanetPositions!$B$7,{"Aries","Taurus","Gemini","Cancer","Leo","Virgo","Libra","Scorpio","Sagittarius","Capricorn","Aquarius","Pisces"},0)-MATCH(INPUT_Chart!$C$5,{"Aries","Taurus","Gemini","Cancer","Leo","Virgo","Libra","Scorpio","Sagittarius","Capricorn","Aquarius","Pisces"},0),12)+1=6,sun,"·"),IF(MOD(MATCH(CALC_PlanetPositions!$B$8,{"Aries","Taurus","Gemini","Cancer","Leo","Virgo","Libra","Scorpio","Sagittarius","Capricorn","Aquarius","Pisces"},0)-MATCH(INPUT_Chart!$C$5,{"Aries","Taurus","Gemini","Cancer","Leo","Virgo","Libra","Scorpio","Sagittarius","Capricorn","Aquarius","Pisces"},0),12)+1=6,moo,"·"),IF(MOD(MATCH(CALC_PlanetPositions!$B$9,{"Aries","Taurus","Gemini","Cancer","Leo","Virgo","Libra","Scorpio","Sagittarius","Capricorn","Aquarius","Pisces"},0)-MATCH(INPUT_Chart!$C$5,{"Aries","Taurus","Gemini","Cancer","Leo","Virgo","Libra","Scorpio","Sagittarius","Capricorn","Aquarius","Pisces"},0),12)+1=6,mar,"·"),IF(MOD(MATCH(CALC_PlanetPositions!$B$10,{"Aries","Taurus","Gemini","Cancer","Leo","Virgo","Libra","Scorpio","Sagittarius","Capricorn","Aquarius","Pisces"},0)-MATCH(INPUT_Chart!$C$5,{"Aries","Taurus","Gemini","Cancer","Leo","Virgo","Libra","Scorpio","Sagittarius","Capricorn","Aquarius","Pisces"},0),12)+1=6,mer,"·"),IF(MOD(MATCH(CALC_PlanetPositions!$B$11,{"Aries","Taurus","Gemini","Cancer","Leo","Virgo","Libra","Scorpio","Sagittarius","Capricorn","Aquarius","Pisces"},0)-MATCH(INPUT_Chart!$C$5,{"Aries","Taurus","Gemini","Cancer","Leo","Virgo","Libra","Scorpio","Sagittarius","Capricorn","Aquarius","Pisces"},0),12)+1=6,jup,"·"),IF(MOD(MATCH(CALC_PlanetPositions!$B$12,{"Aries","Taurus","Gemini","Cancer","Leo","Virgo","Libra","Scorpio","Sagittarius","Capricorn","Aquarius","Pisces"},0)-MATCH(INPUT_Chart!$C$5,{"Aries","Taurus","Gemini","Cancer","Leo","Virgo","Libra","Scorpio","Sagittarius","Capricorn","Aquarius","Pisces"},0),12)+1=6,ven,"·"),IF(MOD(MATCH(CALC_PlanetPositions!$B$13,{"Aries","Taurus","Gemini","Cancer","Leo","Virgo","Libra","Scorpio","Sagittarius","Capricorn","Aquarius","Pisces"},0)-MATCH(INPUT_Chart!$C$5,{"Aries","Taurus","Gemini","Cancer","Leo","Virgo","Libra","Scorpio","Sagittarius","Capricorn","Aquarius","Pisces"},0),12)+1=6,sat,"·"),IF(MOD(MATCH(CALC_PlanetPositions!$B$14,{"Aries","Taurus","Gemini","Cancer","Leo","Virgo","Libra","Scorpio","Sagittarius","Capricorn","Aquarius","Pisces"},0)-MATCH(INPUT_Chart!$C$5,{"Aries","Taurus","Gemini","Cancer","Leo","Virgo","Libra","Scorpio","Sagittarius","Capricorn","Aquarius","Pisces"},0),12)+1=6,rah,"·"),IF(MOD(MATCH(CALC_PlanetPositions!$B$15,{"Aries","Taurus","Gemini","Cancer","Leo","Virgo","Libra","Scorpio","Sagittarius","Capricorn","Aquarius","Pisces"},0)-MATCH(INPUT_Chart!$C$5,{"Aries","Taurus","Gemini","Cancer","Leo","Virgo","Libra","Scorpio","Sagittarius","Capricorn","Aquarius","Pisces"},0),12)+1=6,ket,"·")),"—")</f>
        <v>—</v>
      </c>
      <c r="C10" s="928" t="str">
        <f ca="1">IFERROR(_xludf.textjoin(" ",TRUE(),IF(MOD(MATCH(CALC_PlanetPositions!$B$7,{"Aries","Taurus","Gemini","Cancer","Leo","Virgo","Libra","Scorpio","Sagittarius","Capricorn","Aquarius","Pisces"},0)-MATCH(INPUT_Chart!$C$5,{"Aries","Taurus","Gemini","Cancer","Leo","Virgo","Libra","Scorpio","Sagittarius","Capricorn","Aquarius","Pisces"},0),12)+1=8,sun,"·"),IF(MOD(MATCH(CALC_PlanetPositions!$B$8,{"Aries","Taurus","Gemini","Cancer","Leo","Virgo","Libra","Scorpio","Sagittarius","Capricorn","Aquarius","Pisces"},0)-MATCH(INPUT_Chart!$C$5,{"Aries","Taurus","Gemini","Cancer","Leo","Virgo","Libra","Scorpio","Sagittarius","Capricorn","Aquarius","Pisces"},0),12)+1=8,moo,"·"),IF(MOD(MATCH(CALC_PlanetPositions!$B$9,{"Aries","Taurus","Gemini","Cancer","Leo","Virgo","Libra","Scorpio","Sagittarius","Capricorn","Aquarius","Pisces"},0)-MATCH(INPUT_Chart!$C$5,{"Aries","Taurus","Gemini","Cancer","Leo","Virgo","Libra","Scorpio","Sagittarius","Capricorn","Aquarius","Pisces"},0),12)+1=8,mar,"·"),IF(MOD(MATCH(CALC_PlanetPositions!$B$10,{"Aries","Taurus","Gemini","Cancer","Leo","Virgo","Libra","Scorpio","Sagittarius","Capricorn","Aquarius","Pisces"},0)-MATCH(INPUT_Chart!$C$5,{"Aries","Taurus","Gemini","Cancer","Leo","Virgo","Libra","Scorpio","Sagittarius","Capricorn","Aquarius","Pisces"},0),12)+1=8,mer,"·"),IF(MOD(MATCH(CALC_PlanetPositions!$B$11,{"Aries","Taurus","Gemini","Cancer","Leo","Virgo","Libra","Scorpio","Sagittarius","Capricorn","Aquarius","Pisces"},0)-MATCH(INPUT_Chart!$C$5,{"Aries","Taurus","Gemini","Cancer","Leo","Virgo","Libra","Scorpio","Sagittarius","Capricorn","Aquarius","Pisces"},0),12)+1=8,jup,"·"),IF(MOD(MATCH(CALC_PlanetPositions!$B$12,{"Aries","Taurus","Gemini","Cancer","Leo","Virgo","Libra","Scorpio","Sagittarius","Capricorn","Aquarius","Pisces"},0)-MATCH(INPUT_Chart!$C$5,{"Aries","Taurus","Gemini","Cancer","Leo","Virgo","Libra","Scorpio","Sagittarius","Capricorn","Aquarius","Pisces"},0),12)+1=8,ven,"·"),IF(MOD(MATCH(CALC_PlanetPositions!$B$13,{"Aries","Taurus","Gemini","Cancer","Leo","Virgo","Libra","Scorpio","Sagittarius","Capricorn","Aquarius","Pisces"},0)-MATCH(INPUT_Chart!$C$5,{"Aries","Taurus","Gemini","Cancer","Leo","Virgo","Libra","Scorpio","Sagittarius","Capricorn","Aquarius","Pisces"},0),12)+1=8,sat,"·"),IF(MOD(MATCH(CALC_PlanetPositions!$B$14,{"Aries","Taurus","Gemini","Cancer","Leo","Virgo","Libra","Scorpio","Sagittarius","Capricorn","Aquarius","Pisces"},0)-MATCH(INPUT_Chart!$C$5,{"Aries","Taurus","Gemini","Cancer","Leo","Virgo","Libra","Scorpio","Sagittarius","Capricorn","Aquarius","Pisces"},0),12)+1=8,rah,"·"),IF(MOD(MATCH(CALC_PlanetPositions!$B$15,{"Aries","Taurus","Gemini","Cancer","Leo","Virgo","Libra","Scorpio","Sagittarius","Capricorn","Aquarius","Pisces"},0)-MATCH(INPUT_Chart!$C$5,{"Aries","Taurus","Gemini","Cancer","Leo","Virgo","Libra","Scorpio","Sagittarius","Capricorn","Aquarius","Pisces"},0),12)+1=8,ket,"·")),"—")</f>
        <v>—</v>
      </c>
      <c r="D10" s="928" t="str">
        <f ca="1">IFERROR(_xludf.textjoin(" ",TRUE(),IF(MOD(MATCH(CALC_PlanetPositions!$B$7,{"Aries","Taurus","Gemini","Cancer","Leo","Virgo","Libra","Scorpio","Sagittarius","Capricorn","Aquarius","Pisces"},0)-MATCH(INPUT_Chart!$C$5,{"Aries","Taurus","Gemini","Cancer","Leo","Virgo","Libra","Scorpio","Sagittarius","Capricorn","Aquarius","Pisces"},0),12)+1=3,sun,"·"),IF(MOD(MATCH(CALC_PlanetPositions!$B$8,{"Aries","Taurus","Gemini","Cancer","Leo","Virgo","Libra","Scorpio","Sagittarius","Capricorn","Aquarius","Pisces"},0)-MATCH(INPUT_Chart!$C$5,{"Aries","Taurus","Gemini","Cancer","Leo","Virgo","Libra","Scorpio","Sagittarius","Capricorn","Aquarius","Pisces"},0),12)+1=3,moo,"·"),IF(MOD(MATCH(CALC_PlanetPositions!$B$9,{"Aries","Taurus","Gemini","Cancer","Leo","Virgo","Libra","Scorpio","Sagittarius","Capricorn","Aquarius","Pisces"},0)-MATCH(INPUT_Chart!$C$5,{"Aries","Taurus","Gemini","Cancer","Leo","Virgo","Libra","Scorpio","Sagittarius","Capricorn","Aquarius","Pisces"},0),12)+1=3,mar,"·"),IF(MOD(MATCH(CALC_PlanetPositions!$B$10,{"Aries","Taurus","Gemini","Cancer","Leo","Virgo","Libra","Scorpio","Sagittarius","Capricorn","Aquarius","Pisces"},0)-MATCH(INPUT_Chart!$C$5,{"Aries","Taurus","Gemini","Cancer","Leo","Virgo","Libra","Scorpio","Sagittarius","Capricorn","Aquarius","Pisces"},0),12)+1=3,mer,"·"),IF(MOD(MATCH(CALC_PlanetPositions!$B$11,{"Aries","Taurus","Gemini","Cancer","Leo","Virgo","Libra","Scorpio","Sagittarius","Capricorn","Aquarius","Pisces"},0)-MATCH(INPUT_Chart!$C$5,{"Aries","Taurus","Gemini","Cancer","Leo","Virgo","Libra","Scorpio","Sagittarius","Capricorn","Aquarius","Pisces"},0),12)+1=3,jup,"·"),IF(MOD(MATCH(CALC_PlanetPositions!$B$12,{"Aries","Taurus","Gemini","Cancer","Leo","Virgo","Libra","Scorpio","Sagittarius","Capricorn","Aquarius","Pisces"},0)-MATCH(INPUT_Chart!$C$5,{"Aries","Taurus","Gemini","Cancer","Leo","Virgo","Libra","Scorpio","Sagittarius","Capricorn","Aquarius","Pisces"},0),12)+1=3,ven,"·"),IF(MOD(MATCH(CALC_PlanetPositions!$B$13,{"Aries","Taurus","Gemini","Cancer","Leo","Virgo","Libra","Scorpio","Sagittarius","Capricorn","Aquarius","Pisces"},0)-MATCH(INPUT_Chart!$C$5,{"Aries","Taurus","Gemini","Cancer","Leo","Virgo","Libra","Scorpio","Sagittarius","Capricorn","Aquarius","Pisces"},0),12)+1=3,sat,"·"),IF(MOD(MATCH(CALC_PlanetPositions!$B$14,{"Aries","Taurus","Gemini","Cancer","Leo","Virgo","Libra","Scorpio","Sagittarius","Capricorn","Aquarius","Pisces"},0)-MATCH(INPUT_Chart!$C$5,{"Aries","Taurus","Gemini","Cancer","Leo","Virgo","Libra","Scorpio","Sagittarius","Capricorn","Aquarius","Pisces"},0),12)+1=3,rah,"·"),IF(MOD(MATCH(CALC_PlanetPositions!$B$15,{"Aries","Taurus","Gemini","Cancer","Leo","Virgo","Libra","Scorpio","Sagittarius","Capricorn","Aquarius","Pisces"},0)-MATCH(INPUT_Chart!$C$5,{"Aries","Taurus","Gemini","Cancer","Leo","Virgo","Libra","Scorpio","Sagittarius","Capricorn","Aquarius","Pisces"},0),12)+1=3,ket,"·")),"—")</f>
        <v>—</v>
      </c>
      <c r="E10" s="929" t="str">
        <f ca="1">IFERROR(_xludf.textjoin(" ",TRUE(),IF(MOD(MATCH(CALC_PlanetPositions!$B$7,{"Aries","Taurus","Gemini","Cancer","Leo","Virgo","Libra","Scorpio","Sagittarius","Capricorn","Aquarius","Pisces"},0)-MATCH(INPUT_Chart!$C$5,{"Aries","Taurus","Gemini","Cancer","Leo","Virgo","Libra","Scorpio","Sagittarius","Capricorn","Aquarius","Pisces"},0),12)+1=4,sun,"·"),IF(MOD(MATCH(CALC_PlanetPositions!$B$8,{"Aries","Taurus","Gemini","Cancer","Leo","Virgo","Libra","Scorpio","Sagittarius","Capricorn","Aquarius","Pisces"},0)-MATCH(INPUT_Chart!$C$5,{"Aries","Taurus","Gemini","Cancer","Leo","Virgo","Libra","Scorpio","Sagittarius","Capricorn","Aquarius","Pisces"},0),12)+1=4,moo,"·"),IF(MOD(MATCH(CALC_PlanetPositions!$B$9,{"Aries","Taurus","Gemini","Cancer","Leo","Virgo","Libra","Scorpio","Sagittarius","Capricorn","Aquarius","Pisces"},0)-MATCH(INPUT_Chart!$C$5,{"Aries","Taurus","Gemini","Cancer","Leo","Virgo","Libra","Scorpio","Sagittarius","Capricorn","Aquarius","Pisces"},0),12)+1=4,mar,"·"),IF(MOD(MATCH(CALC_PlanetPositions!$B$10,{"Aries","Taurus","Gemini","Cancer","Leo","Virgo","Libra","Scorpio","Sagittarius","Capricorn","Aquarius","Pisces"},0)-MATCH(INPUT_Chart!$C$5,{"Aries","Taurus","Gemini","Cancer","Leo","Virgo","Libra","Scorpio","Sagittarius","Capricorn","Aquarius","Pisces"},0),12)+1=4,mer,"·"),IF(MOD(MATCH(CALC_PlanetPositions!$B$11,{"Aries","Taurus","Gemini","Cancer","Leo","Virgo","Libra","Scorpio","Sagittarius","Capricorn","Aquarius","Pisces"},0)-MATCH(INPUT_Chart!$C$5,{"Aries","Taurus","Gemini","Cancer","Leo","Virgo","Libra","Scorpio","Sagittarius","Capricorn","Aquarius","Pisces"},0),12)+1=4,jup,"·"),IF(MOD(MATCH(CALC_PlanetPositions!$B$12,{"Aries","Taurus","Gemini","Cancer","Leo","Virgo","Libra","Scorpio","Sagittarius","Capricorn","Aquarius","Pisces"},0)-MATCH(INPUT_Chart!$C$5,{"Aries","Taurus","Gemini","Cancer","Leo","Virgo","Libra","Scorpio","Sagittarius","Capricorn","Aquarius","Pisces"},0),12)+1=4,ven,"·"),IF(MOD(MATCH(CALC_PlanetPositions!$B$13,{"Aries","Taurus","Gemini","Cancer","Leo","Virgo","Libra","Scorpio","Sagittarius","Capricorn","Aquarius","Pisces"},0)-MATCH(INPUT_Chart!$C$5,{"Aries","Taurus","Gemini","Cancer","Leo","Virgo","Libra","Scorpio","Sagittarius","Capricorn","Aquarius","Pisces"},0),12)+1=4,sat,"·"),IF(MOD(MATCH(CALC_PlanetPositions!$B$14,{"Aries","Taurus","Gemini","Cancer","Leo","Virgo","Libra","Scorpio","Sagittarius","Capricorn","Aquarius","Pisces"},0)-MATCH(INPUT_Chart!$C$5,{"Aries","Taurus","Gemini","Cancer","Leo","Virgo","Libra","Scorpio","Sagittarius","Capricorn","Aquarius","Pisces"},0),12)+1=4,rah,"·"),IF(MOD(MATCH(CALC_PlanetPositions!$B$15,{"Aries","Taurus","Gemini","Cancer","Leo","Virgo","Libra","Scorpio","Sagittarius","Capricorn","Aquarius","Pisces"},0)-MATCH(INPUT_Chart!$C$5,{"Aries","Taurus","Gemini","Cancer","Leo","Virgo","Libra","Scorpio","Sagittarius","Capricorn","Aquarius","Pisces"},0),12)+1=4,ket,"·")),"—")</f>
        <v>—</v>
      </c>
      <c r="F10" s="929" t="str">
        <f ca="1">IFERROR(_xludf.textjoin(" ",TRUE(),IF(MOD(MATCH(CALC_PlanetPositions!$B$7,{"Aries","Taurus","Gemini","Cancer","Leo","Virgo","Libra","Scorpio","Sagittarius","Capricorn","Aquarius","Pisces"},0)-MATCH(INPUT_Chart!$C$5,{"Aries","Taurus","Gemini","Cancer","Leo","Virgo","Libra","Scorpio","Sagittarius","Capricorn","Aquarius","Pisces"},0),12)+1=2,sun,"·"),IF(MOD(MATCH(CALC_PlanetPositions!$B$8,{"Aries","Taurus","Gemini","Cancer","Leo","Virgo","Libra","Scorpio","Sagittarius","Capricorn","Aquarius","Pisces"},0)-MATCH(INPUT_Chart!$C$5,{"Aries","Taurus","Gemini","Cancer","Leo","Virgo","Libra","Scorpio","Sagittarius","Capricorn","Aquarius","Pisces"},0),12)+1=2,moo,"·"),IF(MOD(MATCH(CALC_PlanetPositions!$B$9,{"Aries","Taurus","Gemini","Cancer","Leo","Virgo","Libra","Scorpio","Sagittarius","Capricorn","Aquarius","Pisces"},0)-MATCH(INPUT_Chart!$C$5,{"Aries","Taurus","Gemini","Cancer","Leo","Virgo","Libra","Scorpio","Sagittarius","Capricorn","Aquarius","Pisces"},0),12)+1=2,mar,"·"),IF(MOD(MATCH(CALC_PlanetPositions!$B$10,{"Aries","Taurus","Gemini","Cancer","Leo","Virgo","Libra","Scorpio","Sagittarius","Capricorn","Aquarius","Pisces"},0)-MATCH(INPUT_Chart!$C$5,{"Aries","Taurus","Gemini","Cancer","Leo","Virgo","Libra","Scorpio","Sagittarius","Capricorn","Aquarius","Pisces"},0),12)+1=2,mer,"·"),IF(MOD(MATCH(CALC_PlanetPositions!$B$11,{"Aries","Taurus","Gemini","Cancer","Leo","Virgo","Libra","Scorpio","Sagittarius","Capricorn","Aquarius","Pisces"},0)-MATCH(INPUT_Chart!$C$5,{"Aries","Taurus","Gemini","Cancer","Leo","Virgo","Libra","Scorpio","Sagittarius","Capricorn","Aquarius","Pisces"},0),12)+1=2,jup,"·"),IF(MOD(MATCH(CALC_PlanetPositions!$B$12,{"Aries","Taurus","Gemini","Cancer","Leo","Virgo","Libra","Scorpio","Sagittarius","Capricorn","Aquarius","Pisces"},0)-MATCH(INPUT_Chart!$C$5,{"Aries","Taurus","Gemini","Cancer","Leo","Virgo","Libra","Scorpio","Sagittarius","Capricorn","Aquarius","Pisces"},0),12)+1=2,ven,"·"),IF(MOD(MATCH(CALC_PlanetPositions!$B$13,{"Aries","Taurus","Gemini","Cancer","Leo","Virgo","Libra","Scorpio","Sagittarius","Capricorn","Aquarius","Pisces"},0)-MATCH(INPUT_Chart!$C$5,{"Aries","Taurus","Gemini","Cancer","Leo","Virgo","Libra","Scorpio","Sagittarius","Capricorn","Aquarius","Pisces"},0),12)+1=2,sat,"·"),IF(MOD(MATCH(CALC_PlanetPositions!$B$14,{"Aries","Taurus","Gemini","Cancer","Leo","Virgo","Libra","Scorpio","Sagittarius","Capricorn","Aquarius","Pisces"},0)-MATCH(INPUT_Chart!$C$5,{"Aries","Taurus","Gemini","Cancer","Leo","Virgo","Libra","Scorpio","Sagittarius","Capricorn","Aquarius","Pisces"},0),12)+1=2,rah,"·"),IF(MOD(MATCH(CALC_PlanetPositions!$B$15,{"Aries","Taurus","Gemini","Cancer","Leo","Virgo","Libra","Scorpio","Sagittarius","Capricorn","Aquarius","Pisces"},0)-MATCH(INPUT_Chart!$C$5,{"Aries","Taurus","Gemini","Cancer","Leo","Virgo","Libra","Scorpio","Sagittarius","Capricorn","Aquarius","Pisces"},0),12)+1=2,ket,"·")),"—")</f>
        <v>—</v>
      </c>
      <c r="G10" s="929" t="str">
        <f ca="1">IFERROR(_xludf.textjoin(" ",TRUE(),IF(MOD(MATCH(CALC_PlanetPositions!$B$7,{"Aries","Taurus","Gemini","Cancer","Leo","Virgo","Libra","Scorpio","Sagittarius","Capricorn","Aquarius","Pisces"},0)-MATCH(INPUT_Chart!$C$5,{"Aries","Taurus","Gemini","Cancer","Leo","Virgo","Libra","Scorpio","Sagittarius","Capricorn","Aquarius","Pisces"},0),12)+1=7,sun,"·"),IF(MOD(MATCH(CALC_PlanetPositions!$B$8,{"Aries","Taurus","Gemini","Cancer","Leo","Virgo","Libra","Scorpio","Sagittarius","Capricorn","Aquarius","Pisces"},0)-MATCH(INPUT_Chart!$C$5,{"Aries","Taurus","Gemini","Cancer","Leo","Virgo","Libra","Scorpio","Sagittarius","Capricorn","Aquarius","Pisces"},0),12)+1=7,moo,"·"),IF(MOD(MATCH(CALC_PlanetPositions!$B$9,{"Aries","Taurus","Gemini","Cancer","Leo","Virgo","Libra","Scorpio","Sagittarius","Capricorn","Aquarius","Pisces"},0)-MATCH(INPUT_Chart!$C$5,{"Aries","Taurus","Gemini","Cancer","Leo","Virgo","Libra","Scorpio","Sagittarius","Capricorn","Aquarius","Pisces"},0),12)+1=7,mar,"·"),IF(MOD(MATCH(CALC_PlanetPositions!$B$10,{"Aries","Taurus","Gemini","Cancer","Leo","Virgo","Libra","Scorpio","Sagittarius","Capricorn","Aquarius","Pisces"},0)-MATCH(INPUT_Chart!$C$5,{"Aries","Taurus","Gemini","Cancer","Leo","Virgo","Libra","Scorpio","Sagittarius","Capricorn","Aquarius","Pisces"},0),12)+1=7,mer,"·"),IF(MOD(MATCH(CALC_PlanetPositions!$B$11,{"Aries","Taurus","Gemini","Cancer","Leo","Virgo","Libra","Scorpio","Sagittarius","Capricorn","Aquarius","Pisces"},0)-MATCH(INPUT_Chart!$C$5,{"Aries","Taurus","Gemini","Cancer","Leo","Virgo","Libra","Scorpio","Sagittarius","Capricorn","Aquarius","Pisces"},0),12)+1=7,jup,"·"),IF(MOD(MATCH(CALC_PlanetPositions!$B$12,{"Aries","Taurus","Gemini","Cancer","Leo","Virgo","Libra","Scorpio","Sagittarius","Capricorn","Aquarius","Pisces"},0)-MATCH(INPUT_Chart!$C$5,{"Aries","Taurus","Gemini","Cancer","Leo","Virgo","Libra","Scorpio","Sagittarius","Capricorn","Aquarius","Pisces"},0),12)+1=7,ven,"·"),IF(MOD(MATCH(CALC_PlanetPositions!$B$13,{"Aries","Taurus","Gemini","Cancer","Leo","Virgo","Libra","Scorpio","Sagittarius","Capricorn","Aquarius","Pisces"},0)-MATCH(INPUT_Chart!$C$5,{"Aries","Taurus","Gemini","Cancer","Leo","Virgo","Libra","Scorpio","Sagittarius","Capricorn","Aquarius","Pisces"},0),12)+1=7,sat,"·"),IF(MOD(MATCH(CALC_PlanetPositions!$B$14,{"Aries","Taurus","Gemini","Cancer","Leo","Virgo","Libra","Scorpio","Sagittarius","Capricorn","Aquarius","Pisces"},0)-MATCH(INPUT_Chart!$C$5,{"Aries","Taurus","Gemini","Cancer","Leo","Virgo","Libra","Scorpio","Sagittarius","Capricorn","Aquarius","Pisces"},0),12)+1=7,rah,"·"),IF(MOD(MATCH(CALC_PlanetPositions!$B$15,{"Aries","Taurus","Gemini","Cancer","Leo","Virgo","Libra","Scorpio","Sagittarius","Capricorn","Aquarius","Pisces"},0)-MATCH(INPUT_Chart!$C$5,{"Aries","Taurus","Gemini","Cancer","Leo","Virgo","Libra","Scorpio","Sagittarius","Capricorn","Aquarius","Pisces"},0),12)+1=7,ket,"·")),"—")</f>
        <v>—</v>
      </c>
      <c r="H10" s="828">
        <v>2.5</v>
      </c>
    </row>
    <row r="11" spans="1:10" ht="18" customHeight="1" x14ac:dyDescent="0.2">
      <c r="A11" s="632">
        <v>7</v>
      </c>
      <c r="B11" s="926" t="str">
        <f ca="1">IFERROR(_xludf.textjoin(" ",TRUE(),IF(MOD(MATCH(CALC_PlanetPositions!$B$7,{"Aries","Taurus","Gemini","Cancer","Leo","Virgo","Libra","Scorpio","Sagittarius","Capricorn","Aquarius","Pisces"},0)-MATCH(INPUT_Chart!$C$5,{"Aries","Taurus","Gemini","Cancer","Leo","Virgo","Libra","Scorpio","Sagittarius","Capricorn","Aquarius","Pisces"},0),12)+1=7,sun,"·"),IF(MOD(MATCH(CALC_PlanetPositions!$B$8,{"Aries","Taurus","Gemini","Cancer","Leo","Virgo","Libra","Scorpio","Sagittarius","Capricorn","Aquarius","Pisces"},0)-MATCH(INPUT_Chart!$C$5,{"Aries","Taurus","Gemini","Cancer","Leo","Virgo","Libra","Scorpio","Sagittarius","Capricorn","Aquarius","Pisces"},0),12)+1=7,moo,"·"),IF(MOD(MATCH(CALC_PlanetPositions!$B$9,{"Aries","Taurus","Gemini","Cancer","Leo","Virgo","Libra","Scorpio","Sagittarius","Capricorn","Aquarius","Pisces"},0)-MATCH(INPUT_Chart!$C$5,{"Aries","Taurus","Gemini","Cancer","Leo","Virgo","Libra","Scorpio","Sagittarius","Capricorn","Aquarius","Pisces"},0),12)+1=7,mar,"·"),IF(MOD(MATCH(CALC_PlanetPositions!$B$10,{"Aries","Taurus","Gemini","Cancer","Leo","Virgo","Libra","Scorpio","Sagittarius","Capricorn","Aquarius","Pisces"},0)-MATCH(INPUT_Chart!$C$5,{"Aries","Taurus","Gemini","Cancer","Leo","Virgo","Libra","Scorpio","Sagittarius","Capricorn","Aquarius","Pisces"},0),12)+1=7,mer,"·"),IF(MOD(MATCH(CALC_PlanetPositions!$B$11,{"Aries","Taurus","Gemini","Cancer","Leo","Virgo","Libra","Scorpio","Sagittarius","Capricorn","Aquarius","Pisces"},0)-MATCH(INPUT_Chart!$C$5,{"Aries","Taurus","Gemini","Cancer","Leo","Virgo","Libra","Scorpio","Sagittarius","Capricorn","Aquarius","Pisces"},0),12)+1=7,jup,"·"),IF(MOD(MATCH(CALC_PlanetPositions!$B$12,{"Aries","Taurus","Gemini","Cancer","Leo","Virgo","Libra","Scorpio","Sagittarius","Capricorn","Aquarius","Pisces"},0)-MATCH(INPUT_Chart!$C$5,{"Aries","Taurus","Gemini","Cancer","Leo","Virgo","Libra","Scorpio","Sagittarius","Capricorn","Aquarius","Pisces"},0),12)+1=7,ven,"·"),IF(MOD(MATCH(CALC_PlanetPositions!$B$13,{"Aries","Taurus","Gemini","Cancer","Leo","Virgo","Libra","Scorpio","Sagittarius","Capricorn","Aquarius","Pisces"},0)-MATCH(INPUT_Chart!$C$5,{"Aries","Taurus","Gemini","Cancer","Leo","Virgo","Libra","Scorpio","Sagittarius","Capricorn","Aquarius","Pisces"},0),12)+1=7,sat,"·"),IF(MOD(MATCH(CALC_PlanetPositions!$B$14,{"Aries","Taurus","Gemini","Cancer","Leo","Virgo","Libra","Scorpio","Sagittarius","Capricorn","Aquarius","Pisces"},0)-MATCH(INPUT_Chart!$C$5,{"Aries","Taurus","Gemini","Cancer","Leo","Virgo","Libra","Scorpio","Sagittarius","Capricorn","Aquarius","Pisces"},0),12)+1=7,rah,"·"),IF(MOD(MATCH(CALC_PlanetPositions!$B$15,{"Aries","Taurus","Gemini","Cancer","Leo","Virgo","Libra","Scorpio","Sagittarius","Capricorn","Aquarius","Pisces"},0)-MATCH(INPUT_Chart!$C$5,{"Aries","Taurus","Gemini","Cancer","Leo","Virgo","Libra","Scorpio","Sagittarius","Capricorn","Aquarius","Pisces"},0),12)+1=7,ket,"·")),"—")</f>
        <v>—</v>
      </c>
      <c r="C11" s="926" t="str">
        <f ca="1">IFERROR(_xludf.textjoin(" ",TRUE(),IF(MOD(MATCH(CALC_PlanetPositions!$B$7,{"Aries","Taurus","Gemini","Cancer","Leo","Virgo","Libra","Scorpio","Sagittarius","Capricorn","Aquarius","Pisces"},0)-MATCH(INPUT_Chart!$C$5,{"Aries","Taurus","Gemini","Cancer","Leo","Virgo","Libra","Scorpio","Sagittarius","Capricorn","Aquarius","Pisces"},0),12)+1=9,sun,"·"),IF(MOD(MATCH(CALC_PlanetPositions!$B$8,{"Aries","Taurus","Gemini","Cancer","Leo","Virgo","Libra","Scorpio","Sagittarius","Capricorn","Aquarius","Pisces"},0)-MATCH(INPUT_Chart!$C$5,{"Aries","Taurus","Gemini","Cancer","Leo","Virgo","Libra","Scorpio","Sagittarius","Capricorn","Aquarius","Pisces"},0),12)+1=9,moo,"·"),IF(MOD(MATCH(CALC_PlanetPositions!$B$9,{"Aries","Taurus","Gemini","Cancer","Leo","Virgo","Libra","Scorpio","Sagittarius","Capricorn","Aquarius","Pisces"},0)-MATCH(INPUT_Chart!$C$5,{"Aries","Taurus","Gemini","Cancer","Leo","Virgo","Libra","Scorpio","Sagittarius","Capricorn","Aquarius","Pisces"},0),12)+1=9,mar,"·"),IF(MOD(MATCH(CALC_PlanetPositions!$B$10,{"Aries","Taurus","Gemini","Cancer","Leo","Virgo","Libra","Scorpio","Sagittarius","Capricorn","Aquarius","Pisces"},0)-MATCH(INPUT_Chart!$C$5,{"Aries","Taurus","Gemini","Cancer","Leo","Virgo","Libra","Scorpio","Sagittarius","Capricorn","Aquarius","Pisces"},0),12)+1=9,mer,"·"),IF(MOD(MATCH(CALC_PlanetPositions!$B$11,{"Aries","Taurus","Gemini","Cancer","Leo","Virgo","Libra","Scorpio","Sagittarius","Capricorn","Aquarius","Pisces"},0)-MATCH(INPUT_Chart!$C$5,{"Aries","Taurus","Gemini","Cancer","Leo","Virgo","Libra","Scorpio","Sagittarius","Capricorn","Aquarius","Pisces"},0),12)+1=9,jup,"·"),IF(MOD(MATCH(CALC_PlanetPositions!$B$12,{"Aries","Taurus","Gemini","Cancer","Leo","Virgo","Libra","Scorpio","Sagittarius","Capricorn","Aquarius","Pisces"},0)-MATCH(INPUT_Chart!$C$5,{"Aries","Taurus","Gemini","Cancer","Leo","Virgo","Libra","Scorpio","Sagittarius","Capricorn","Aquarius","Pisces"},0),12)+1=9,ven,"·"),IF(MOD(MATCH(CALC_PlanetPositions!$B$13,{"Aries","Taurus","Gemini","Cancer","Leo","Virgo","Libra","Scorpio","Sagittarius","Capricorn","Aquarius","Pisces"},0)-MATCH(INPUT_Chart!$C$5,{"Aries","Taurus","Gemini","Cancer","Leo","Virgo","Libra","Scorpio","Sagittarius","Capricorn","Aquarius","Pisces"},0),12)+1=9,sat,"·"),IF(MOD(MATCH(CALC_PlanetPositions!$B$14,{"Aries","Taurus","Gemini","Cancer","Leo","Virgo","Libra","Scorpio","Sagittarius","Capricorn","Aquarius","Pisces"},0)-MATCH(INPUT_Chart!$C$5,{"Aries","Taurus","Gemini","Cancer","Leo","Virgo","Libra","Scorpio","Sagittarius","Capricorn","Aquarius","Pisces"},0),12)+1=9,rah,"·"),IF(MOD(MATCH(CALC_PlanetPositions!$B$15,{"Aries","Taurus","Gemini","Cancer","Leo","Virgo","Libra","Scorpio","Sagittarius","Capricorn","Aquarius","Pisces"},0)-MATCH(INPUT_Chart!$C$5,{"Aries","Taurus","Gemini","Cancer","Leo","Virgo","Libra","Scorpio","Sagittarius","Capricorn","Aquarius","Pisces"},0),12)+1=9,ket,"·")),"—")</f>
        <v>—</v>
      </c>
      <c r="D11" s="926" t="str">
        <f ca="1">IFERROR(_xludf.textjoin(" ",TRUE(),IF(MOD(MATCH(CALC_PlanetPositions!$B$7,{"Aries","Taurus","Gemini","Cancer","Leo","Virgo","Libra","Scorpio","Sagittarius","Capricorn","Aquarius","Pisces"},0)-MATCH(INPUT_Chart!$C$5,{"Aries","Taurus","Gemini","Cancer","Leo","Virgo","Libra","Scorpio","Sagittarius","Capricorn","Aquarius","Pisces"},0),12)+1=4,sun,"·"),IF(MOD(MATCH(CALC_PlanetPositions!$B$8,{"Aries","Taurus","Gemini","Cancer","Leo","Virgo","Libra","Scorpio","Sagittarius","Capricorn","Aquarius","Pisces"},0)-MATCH(INPUT_Chart!$C$5,{"Aries","Taurus","Gemini","Cancer","Leo","Virgo","Libra","Scorpio","Sagittarius","Capricorn","Aquarius","Pisces"},0),12)+1=4,moo,"·"),IF(MOD(MATCH(CALC_PlanetPositions!$B$9,{"Aries","Taurus","Gemini","Cancer","Leo","Virgo","Libra","Scorpio","Sagittarius","Capricorn","Aquarius","Pisces"},0)-MATCH(INPUT_Chart!$C$5,{"Aries","Taurus","Gemini","Cancer","Leo","Virgo","Libra","Scorpio","Sagittarius","Capricorn","Aquarius","Pisces"},0),12)+1=4,mar,"·"),IF(MOD(MATCH(CALC_PlanetPositions!$B$10,{"Aries","Taurus","Gemini","Cancer","Leo","Virgo","Libra","Scorpio","Sagittarius","Capricorn","Aquarius","Pisces"},0)-MATCH(INPUT_Chart!$C$5,{"Aries","Taurus","Gemini","Cancer","Leo","Virgo","Libra","Scorpio","Sagittarius","Capricorn","Aquarius","Pisces"},0),12)+1=4,mer,"·"),IF(MOD(MATCH(CALC_PlanetPositions!$B$11,{"Aries","Taurus","Gemini","Cancer","Leo","Virgo","Libra","Scorpio","Sagittarius","Capricorn","Aquarius","Pisces"},0)-MATCH(INPUT_Chart!$C$5,{"Aries","Taurus","Gemini","Cancer","Leo","Virgo","Libra","Scorpio","Sagittarius","Capricorn","Aquarius","Pisces"},0),12)+1=4,jup,"·"),IF(MOD(MATCH(CALC_PlanetPositions!$B$12,{"Aries","Taurus","Gemini","Cancer","Leo","Virgo","Libra","Scorpio","Sagittarius","Capricorn","Aquarius","Pisces"},0)-MATCH(INPUT_Chart!$C$5,{"Aries","Taurus","Gemini","Cancer","Leo","Virgo","Libra","Scorpio","Sagittarius","Capricorn","Aquarius","Pisces"},0),12)+1=4,ven,"·"),IF(MOD(MATCH(CALC_PlanetPositions!$B$13,{"Aries","Taurus","Gemini","Cancer","Leo","Virgo","Libra","Scorpio","Sagittarius","Capricorn","Aquarius","Pisces"},0)-MATCH(INPUT_Chart!$C$5,{"Aries","Taurus","Gemini","Cancer","Leo","Virgo","Libra","Scorpio","Sagittarius","Capricorn","Aquarius","Pisces"},0),12)+1=4,sat,"·"),IF(MOD(MATCH(CALC_PlanetPositions!$B$14,{"Aries","Taurus","Gemini","Cancer","Leo","Virgo","Libra","Scorpio","Sagittarius","Capricorn","Aquarius","Pisces"},0)-MATCH(INPUT_Chart!$C$5,{"Aries","Taurus","Gemini","Cancer","Leo","Virgo","Libra","Scorpio","Sagittarius","Capricorn","Aquarius","Pisces"},0),12)+1=4,rah,"·"),IF(MOD(MATCH(CALC_PlanetPositions!$B$15,{"Aries","Taurus","Gemini","Cancer","Leo","Virgo","Libra","Scorpio","Sagittarius","Capricorn","Aquarius","Pisces"},0)-MATCH(INPUT_Chart!$C$5,{"Aries","Taurus","Gemini","Cancer","Leo","Virgo","Libra","Scorpio","Sagittarius","Capricorn","Aquarius","Pisces"},0),12)+1=4,ket,"·")),"—")</f>
        <v>—</v>
      </c>
      <c r="E11" s="927" t="str">
        <f ca="1">IFERROR(_xludf.textjoin(" ",TRUE(),IF(MOD(MATCH(CALC_PlanetPositions!$B$7,{"Aries","Taurus","Gemini","Cancer","Leo","Virgo","Libra","Scorpio","Sagittarius","Capricorn","Aquarius","Pisces"},0)-MATCH(INPUT_Chart!$C$5,{"Aries","Taurus","Gemini","Cancer","Leo","Virgo","Libra","Scorpio","Sagittarius","Capricorn","Aquarius","Pisces"},0),12)+1=5,sun,"·"),IF(MOD(MATCH(CALC_PlanetPositions!$B$8,{"Aries","Taurus","Gemini","Cancer","Leo","Virgo","Libra","Scorpio","Sagittarius","Capricorn","Aquarius","Pisces"},0)-MATCH(INPUT_Chart!$C$5,{"Aries","Taurus","Gemini","Cancer","Leo","Virgo","Libra","Scorpio","Sagittarius","Capricorn","Aquarius","Pisces"},0),12)+1=5,moo,"·"),IF(MOD(MATCH(CALC_PlanetPositions!$B$9,{"Aries","Taurus","Gemini","Cancer","Leo","Virgo","Libra","Scorpio","Sagittarius","Capricorn","Aquarius","Pisces"},0)-MATCH(INPUT_Chart!$C$5,{"Aries","Taurus","Gemini","Cancer","Leo","Virgo","Libra","Scorpio","Sagittarius","Capricorn","Aquarius","Pisces"},0),12)+1=5,mar,"·"),IF(MOD(MATCH(CALC_PlanetPositions!$B$10,{"Aries","Taurus","Gemini","Cancer","Leo","Virgo","Libra","Scorpio","Sagittarius","Capricorn","Aquarius","Pisces"},0)-MATCH(INPUT_Chart!$C$5,{"Aries","Taurus","Gemini","Cancer","Leo","Virgo","Libra","Scorpio","Sagittarius","Capricorn","Aquarius","Pisces"},0),12)+1=5,mer,"·"),IF(MOD(MATCH(CALC_PlanetPositions!$B$11,{"Aries","Taurus","Gemini","Cancer","Leo","Virgo","Libra","Scorpio","Sagittarius","Capricorn","Aquarius","Pisces"},0)-MATCH(INPUT_Chart!$C$5,{"Aries","Taurus","Gemini","Cancer","Leo","Virgo","Libra","Scorpio","Sagittarius","Capricorn","Aquarius","Pisces"},0),12)+1=5,jup,"·"),IF(MOD(MATCH(CALC_PlanetPositions!$B$12,{"Aries","Taurus","Gemini","Cancer","Leo","Virgo","Libra","Scorpio","Sagittarius","Capricorn","Aquarius","Pisces"},0)-MATCH(INPUT_Chart!$C$5,{"Aries","Taurus","Gemini","Cancer","Leo","Virgo","Libra","Scorpio","Sagittarius","Capricorn","Aquarius","Pisces"},0),12)+1=5,ven,"·"),IF(MOD(MATCH(CALC_PlanetPositions!$B$13,{"Aries","Taurus","Gemini","Cancer","Leo","Virgo","Libra","Scorpio","Sagittarius","Capricorn","Aquarius","Pisces"},0)-MATCH(INPUT_Chart!$C$5,{"Aries","Taurus","Gemini","Cancer","Leo","Virgo","Libra","Scorpio","Sagittarius","Capricorn","Aquarius","Pisces"},0),12)+1=5,sat,"·"),IF(MOD(MATCH(CALC_PlanetPositions!$B$14,{"Aries","Taurus","Gemini","Cancer","Leo","Virgo","Libra","Scorpio","Sagittarius","Capricorn","Aquarius","Pisces"},0)-MATCH(INPUT_Chart!$C$5,{"Aries","Taurus","Gemini","Cancer","Leo","Virgo","Libra","Scorpio","Sagittarius","Capricorn","Aquarius","Pisces"},0),12)+1=5,rah,"·"),IF(MOD(MATCH(CALC_PlanetPositions!$B$15,{"Aries","Taurus","Gemini","Cancer","Leo","Virgo","Libra","Scorpio","Sagittarius","Capricorn","Aquarius","Pisces"},0)-MATCH(INPUT_Chart!$C$5,{"Aries","Taurus","Gemini","Cancer","Leo","Virgo","Libra","Scorpio","Sagittarius","Capricorn","Aquarius","Pisces"},0),12)+1=5,ket,"·")),"—")</f>
        <v>—</v>
      </c>
      <c r="F11" s="927" t="str">
        <f ca="1">IFERROR(_xludf.textjoin(" ",TRUE(),IF(MOD(MATCH(CALC_PlanetPositions!$B$7,{"Aries","Taurus","Gemini","Cancer","Leo","Virgo","Libra","Scorpio","Sagittarius","Capricorn","Aquarius","Pisces"},0)-MATCH(INPUT_Chart!$C$5,{"Aries","Taurus","Gemini","Cancer","Leo","Virgo","Libra","Scorpio","Sagittarius","Capricorn","Aquarius","Pisces"},0),12)+1=3,sun,"·"),IF(MOD(MATCH(CALC_PlanetPositions!$B$8,{"Aries","Taurus","Gemini","Cancer","Leo","Virgo","Libra","Scorpio","Sagittarius","Capricorn","Aquarius","Pisces"},0)-MATCH(INPUT_Chart!$C$5,{"Aries","Taurus","Gemini","Cancer","Leo","Virgo","Libra","Scorpio","Sagittarius","Capricorn","Aquarius","Pisces"},0),12)+1=3,moo,"·"),IF(MOD(MATCH(CALC_PlanetPositions!$B$9,{"Aries","Taurus","Gemini","Cancer","Leo","Virgo","Libra","Scorpio","Sagittarius","Capricorn","Aquarius","Pisces"},0)-MATCH(INPUT_Chart!$C$5,{"Aries","Taurus","Gemini","Cancer","Leo","Virgo","Libra","Scorpio","Sagittarius","Capricorn","Aquarius","Pisces"},0),12)+1=3,mar,"·"),IF(MOD(MATCH(CALC_PlanetPositions!$B$10,{"Aries","Taurus","Gemini","Cancer","Leo","Virgo","Libra","Scorpio","Sagittarius","Capricorn","Aquarius","Pisces"},0)-MATCH(INPUT_Chart!$C$5,{"Aries","Taurus","Gemini","Cancer","Leo","Virgo","Libra","Scorpio","Sagittarius","Capricorn","Aquarius","Pisces"},0),12)+1=3,mer,"·"),IF(MOD(MATCH(CALC_PlanetPositions!$B$11,{"Aries","Taurus","Gemini","Cancer","Leo","Virgo","Libra","Scorpio","Sagittarius","Capricorn","Aquarius","Pisces"},0)-MATCH(INPUT_Chart!$C$5,{"Aries","Taurus","Gemini","Cancer","Leo","Virgo","Libra","Scorpio","Sagittarius","Capricorn","Aquarius","Pisces"},0),12)+1=3,jup,"·"),IF(MOD(MATCH(CALC_PlanetPositions!$B$12,{"Aries","Taurus","Gemini","Cancer","Leo","Virgo","Libra","Scorpio","Sagittarius","Capricorn","Aquarius","Pisces"},0)-MATCH(INPUT_Chart!$C$5,{"Aries","Taurus","Gemini","Cancer","Leo","Virgo","Libra","Scorpio","Sagittarius","Capricorn","Aquarius","Pisces"},0),12)+1=3,ven,"·"),IF(MOD(MATCH(CALC_PlanetPositions!$B$13,{"Aries","Taurus","Gemini","Cancer","Leo","Virgo","Libra","Scorpio","Sagittarius","Capricorn","Aquarius","Pisces"},0)-MATCH(INPUT_Chart!$C$5,{"Aries","Taurus","Gemini","Cancer","Leo","Virgo","Libra","Scorpio","Sagittarius","Capricorn","Aquarius","Pisces"},0),12)+1=3,sat,"·"),IF(MOD(MATCH(CALC_PlanetPositions!$B$14,{"Aries","Taurus","Gemini","Cancer","Leo","Virgo","Libra","Scorpio","Sagittarius","Capricorn","Aquarius","Pisces"},0)-MATCH(INPUT_Chart!$C$5,{"Aries","Taurus","Gemini","Cancer","Leo","Virgo","Libra","Scorpio","Sagittarius","Capricorn","Aquarius","Pisces"},0),12)+1=3,rah,"·"),IF(MOD(MATCH(CALC_PlanetPositions!$B$15,{"Aries","Taurus","Gemini","Cancer","Leo","Virgo","Libra","Scorpio","Sagittarius","Capricorn","Aquarius","Pisces"},0)-MATCH(INPUT_Chart!$C$5,{"Aries","Taurus","Gemini","Cancer","Leo","Virgo","Libra","Scorpio","Sagittarius","Capricorn","Aquarius","Pisces"},0),12)+1=3,ket,"·")),"—")</f>
        <v>—</v>
      </c>
      <c r="G11" s="927" t="str">
        <f ca="1">IFERROR(_xludf.textjoin(" ",TRUE(),IF(MOD(MATCH(CALC_PlanetPositions!$B$7,{"Aries","Taurus","Gemini","Cancer","Leo","Virgo","Libra","Scorpio","Sagittarius","Capricorn","Aquarius","Pisces"},0)-MATCH(INPUT_Chart!$C$5,{"Aries","Taurus","Gemini","Cancer","Leo","Virgo","Libra","Scorpio","Sagittarius","Capricorn","Aquarius","Pisces"},0),12)+1=8,sun,"·"),IF(MOD(MATCH(CALC_PlanetPositions!$B$8,{"Aries","Taurus","Gemini","Cancer","Leo","Virgo","Libra","Scorpio","Sagittarius","Capricorn","Aquarius","Pisces"},0)-MATCH(INPUT_Chart!$C$5,{"Aries","Taurus","Gemini","Cancer","Leo","Virgo","Libra","Scorpio","Sagittarius","Capricorn","Aquarius","Pisces"},0),12)+1=8,moo,"·"),IF(MOD(MATCH(CALC_PlanetPositions!$B$9,{"Aries","Taurus","Gemini","Cancer","Leo","Virgo","Libra","Scorpio","Sagittarius","Capricorn","Aquarius","Pisces"},0)-MATCH(INPUT_Chart!$C$5,{"Aries","Taurus","Gemini","Cancer","Leo","Virgo","Libra","Scorpio","Sagittarius","Capricorn","Aquarius","Pisces"},0),12)+1=8,mar,"·"),IF(MOD(MATCH(CALC_PlanetPositions!$B$10,{"Aries","Taurus","Gemini","Cancer","Leo","Virgo","Libra","Scorpio","Sagittarius","Capricorn","Aquarius","Pisces"},0)-MATCH(INPUT_Chart!$C$5,{"Aries","Taurus","Gemini","Cancer","Leo","Virgo","Libra","Scorpio","Sagittarius","Capricorn","Aquarius","Pisces"},0),12)+1=8,mer,"·"),IF(MOD(MATCH(CALC_PlanetPositions!$B$11,{"Aries","Taurus","Gemini","Cancer","Leo","Virgo","Libra","Scorpio","Sagittarius","Capricorn","Aquarius","Pisces"},0)-MATCH(INPUT_Chart!$C$5,{"Aries","Taurus","Gemini","Cancer","Leo","Virgo","Libra","Scorpio","Sagittarius","Capricorn","Aquarius","Pisces"},0),12)+1=8,jup,"·"),IF(MOD(MATCH(CALC_PlanetPositions!$B$12,{"Aries","Taurus","Gemini","Cancer","Leo","Virgo","Libra","Scorpio","Sagittarius","Capricorn","Aquarius","Pisces"},0)-MATCH(INPUT_Chart!$C$5,{"Aries","Taurus","Gemini","Cancer","Leo","Virgo","Libra","Scorpio","Sagittarius","Capricorn","Aquarius","Pisces"},0),12)+1=8,ven,"·"),IF(MOD(MATCH(CALC_PlanetPositions!$B$13,{"Aries","Taurus","Gemini","Cancer","Leo","Virgo","Libra","Scorpio","Sagittarius","Capricorn","Aquarius","Pisces"},0)-MATCH(INPUT_Chart!$C$5,{"Aries","Taurus","Gemini","Cancer","Leo","Virgo","Libra","Scorpio","Sagittarius","Capricorn","Aquarius","Pisces"},0),12)+1=8,sat,"·"),IF(MOD(MATCH(CALC_PlanetPositions!$B$14,{"Aries","Taurus","Gemini","Cancer","Leo","Virgo","Libra","Scorpio","Sagittarius","Capricorn","Aquarius","Pisces"},0)-MATCH(INPUT_Chart!$C$5,{"Aries","Taurus","Gemini","Cancer","Leo","Virgo","Libra","Scorpio","Sagittarius","Capricorn","Aquarius","Pisces"},0),12)+1=8,rah,"·"),IF(MOD(MATCH(CALC_PlanetPositions!$B$15,{"Aries","Taurus","Gemini","Cancer","Leo","Virgo","Libra","Scorpio","Sagittarius","Capricorn","Aquarius","Pisces"},0)-MATCH(INPUT_Chart!$C$5,{"Aries","Taurus","Gemini","Cancer","Leo","Virgo","Libra","Scorpio","Sagittarius","Capricorn","Aquarius","Pisces"},0),12)+1=8,ket,"·")),"—")</f>
        <v>—</v>
      </c>
      <c r="H11" s="822">
        <v>-1.75</v>
      </c>
    </row>
    <row r="12" spans="1:10" ht="18" customHeight="1" x14ac:dyDescent="0.2">
      <c r="A12" s="627">
        <v>8</v>
      </c>
      <c r="B12" s="928" t="str">
        <f ca="1">IFERROR(_xludf.textjoin(" ",TRUE(),IF(MOD(MATCH(CALC_PlanetPositions!$B$7,{"Aries","Taurus","Gemini","Cancer","Leo","Virgo","Libra","Scorpio","Sagittarius","Capricorn","Aquarius","Pisces"},0)-MATCH(INPUT_Chart!$C$5,{"Aries","Taurus","Gemini","Cancer","Leo","Virgo","Libra","Scorpio","Sagittarius","Capricorn","Aquarius","Pisces"},0),12)+1=8,sun,"·"),IF(MOD(MATCH(CALC_PlanetPositions!$B$8,{"Aries","Taurus","Gemini","Cancer","Leo","Virgo","Libra","Scorpio","Sagittarius","Capricorn","Aquarius","Pisces"},0)-MATCH(INPUT_Chart!$C$5,{"Aries","Taurus","Gemini","Cancer","Leo","Virgo","Libra","Scorpio","Sagittarius","Capricorn","Aquarius","Pisces"},0),12)+1=8,moo,"·"),IF(MOD(MATCH(CALC_PlanetPositions!$B$9,{"Aries","Taurus","Gemini","Cancer","Leo","Virgo","Libra","Scorpio","Sagittarius","Capricorn","Aquarius","Pisces"},0)-MATCH(INPUT_Chart!$C$5,{"Aries","Taurus","Gemini","Cancer","Leo","Virgo","Libra","Scorpio","Sagittarius","Capricorn","Aquarius","Pisces"},0),12)+1=8,mar,"·"),IF(MOD(MATCH(CALC_PlanetPositions!$B$10,{"Aries","Taurus","Gemini","Cancer","Leo","Virgo","Libra","Scorpio","Sagittarius","Capricorn","Aquarius","Pisces"},0)-MATCH(INPUT_Chart!$C$5,{"Aries","Taurus","Gemini","Cancer","Leo","Virgo","Libra","Scorpio","Sagittarius","Capricorn","Aquarius","Pisces"},0),12)+1=8,mer,"·"),IF(MOD(MATCH(CALC_PlanetPositions!$B$11,{"Aries","Taurus","Gemini","Cancer","Leo","Virgo","Libra","Scorpio","Sagittarius","Capricorn","Aquarius","Pisces"},0)-MATCH(INPUT_Chart!$C$5,{"Aries","Taurus","Gemini","Cancer","Leo","Virgo","Libra","Scorpio","Sagittarius","Capricorn","Aquarius","Pisces"},0),12)+1=8,jup,"·"),IF(MOD(MATCH(CALC_PlanetPositions!$B$12,{"Aries","Taurus","Gemini","Cancer","Leo","Virgo","Libra","Scorpio","Sagittarius","Capricorn","Aquarius","Pisces"},0)-MATCH(INPUT_Chart!$C$5,{"Aries","Taurus","Gemini","Cancer","Leo","Virgo","Libra","Scorpio","Sagittarius","Capricorn","Aquarius","Pisces"},0),12)+1=8,ven,"·"),IF(MOD(MATCH(CALC_PlanetPositions!$B$13,{"Aries","Taurus","Gemini","Cancer","Leo","Virgo","Libra","Scorpio","Sagittarius","Capricorn","Aquarius","Pisces"},0)-MATCH(INPUT_Chart!$C$5,{"Aries","Taurus","Gemini","Cancer","Leo","Virgo","Libra","Scorpio","Sagittarius","Capricorn","Aquarius","Pisces"},0),12)+1=8,sat,"·"),IF(MOD(MATCH(CALC_PlanetPositions!$B$14,{"Aries","Taurus","Gemini","Cancer","Leo","Virgo","Libra","Scorpio","Sagittarius","Capricorn","Aquarius","Pisces"},0)-MATCH(INPUT_Chart!$C$5,{"Aries","Taurus","Gemini","Cancer","Leo","Virgo","Libra","Scorpio","Sagittarius","Capricorn","Aquarius","Pisces"},0),12)+1=8,rah,"·"),IF(MOD(MATCH(CALC_PlanetPositions!$B$15,{"Aries","Taurus","Gemini","Cancer","Leo","Virgo","Libra","Scorpio","Sagittarius","Capricorn","Aquarius","Pisces"},0)-MATCH(INPUT_Chart!$C$5,{"Aries","Taurus","Gemini","Cancer","Leo","Virgo","Libra","Scorpio","Sagittarius","Capricorn","Aquarius","Pisces"},0),12)+1=8,ket,"·")),"—")</f>
        <v>—</v>
      </c>
      <c r="C12" s="928" t="str">
        <f ca="1">IFERROR(_xludf.textjoin(" ",TRUE(),IF(MOD(MATCH(CALC_PlanetPositions!$B$7,{"Aries","Taurus","Gemini","Cancer","Leo","Virgo","Libra","Scorpio","Sagittarius","Capricorn","Aquarius","Pisces"},0)-MATCH(INPUT_Chart!$C$5,{"Aries","Taurus","Gemini","Cancer","Leo","Virgo","Libra","Scorpio","Sagittarius","Capricorn","Aquarius","Pisces"},0),12)+1=10,sun,"·"),IF(MOD(MATCH(CALC_PlanetPositions!$B$8,{"Aries","Taurus","Gemini","Cancer","Leo","Virgo","Libra","Scorpio","Sagittarius","Capricorn","Aquarius","Pisces"},0)-MATCH(INPUT_Chart!$C$5,{"Aries","Taurus","Gemini","Cancer","Leo","Virgo","Libra","Scorpio","Sagittarius","Capricorn","Aquarius","Pisces"},0),12)+1=10,moo,"·"),IF(MOD(MATCH(CALC_PlanetPositions!$B$9,{"Aries","Taurus","Gemini","Cancer","Leo","Virgo","Libra","Scorpio","Sagittarius","Capricorn","Aquarius","Pisces"},0)-MATCH(INPUT_Chart!$C$5,{"Aries","Taurus","Gemini","Cancer","Leo","Virgo","Libra","Scorpio","Sagittarius","Capricorn","Aquarius","Pisces"},0),12)+1=10,mar,"·"),IF(MOD(MATCH(CALC_PlanetPositions!$B$10,{"Aries","Taurus","Gemini","Cancer","Leo","Virgo","Libra","Scorpio","Sagittarius","Capricorn","Aquarius","Pisces"},0)-MATCH(INPUT_Chart!$C$5,{"Aries","Taurus","Gemini","Cancer","Leo","Virgo","Libra","Scorpio","Sagittarius","Capricorn","Aquarius","Pisces"},0),12)+1=10,mer,"·"),IF(MOD(MATCH(CALC_PlanetPositions!$B$11,{"Aries","Taurus","Gemini","Cancer","Leo","Virgo","Libra","Scorpio","Sagittarius","Capricorn","Aquarius","Pisces"},0)-MATCH(INPUT_Chart!$C$5,{"Aries","Taurus","Gemini","Cancer","Leo","Virgo","Libra","Scorpio","Sagittarius","Capricorn","Aquarius","Pisces"},0),12)+1=10,jup,"·"),IF(MOD(MATCH(CALC_PlanetPositions!$B$12,{"Aries","Taurus","Gemini","Cancer","Leo","Virgo","Libra","Scorpio","Sagittarius","Capricorn","Aquarius","Pisces"},0)-MATCH(INPUT_Chart!$C$5,{"Aries","Taurus","Gemini","Cancer","Leo","Virgo","Libra","Scorpio","Sagittarius","Capricorn","Aquarius","Pisces"},0),12)+1=10,ven,"·"),IF(MOD(MATCH(CALC_PlanetPositions!$B$13,{"Aries","Taurus","Gemini","Cancer","Leo","Virgo","Libra","Scorpio","Sagittarius","Capricorn","Aquarius","Pisces"},0)-MATCH(INPUT_Chart!$C$5,{"Aries","Taurus","Gemini","Cancer","Leo","Virgo","Libra","Scorpio","Sagittarius","Capricorn","Aquarius","Pisces"},0),12)+1=10,sat,"·"),IF(MOD(MATCH(CALC_PlanetPositions!$B$14,{"Aries","Taurus","Gemini","Cancer","Leo","Virgo","Libra","Scorpio","Sagittarius","Capricorn","Aquarius","Pisces"},0)-MATCH(INPUT_Chart!$C$5,{"Aries","Taurus","Gemini","Cancer","Leo","Virgo","Libra","Scorpio","Sagittarius","Capricorn","Aquarius","Pisces"},0),12)+1=10,rah,"·"),IF(MOD(MATCH(CALC_PlanetPositions!$B$15,{"Aries","Taurus","Gemini","Cancer","Leo","Virgo","Libra","Scorpio","Sagittarius","Capricorn","Aquarius","Pisces"},0)-MATCH(INPUT_Chart!$C$5,{"Aries","Taurus","Gemini","Cancer","Leo","Virgo","Libra","Scorpio","Sagittarius","Capricorn","Aquarius","Pisces"},0),12)+1=10,ket,"·")),"—")</f>
        <v>—</v>
      </c>
      <c r="D12" s="928" t="str">
        <f ca="1">IFERROR(_xludf.textjoin(" ",TRUE(),IF(MOD(MATCH(CALC_PlanetPositions!$B$7,{"Aries","Taurus","Gemini","Cancer","Leo","Virgo","Libra","Scorpio","Sagittarius","Capricorn","Aquarius","Pisces"},0)-MATCH(INPUT_Chart!$C$5,{"Aries","Taurus","Gemini","Cancer","Leo","Virgo","Libra","Scorpio","Sagittarius","Capricorn","Aquarius","Pisces"},0),12)+1=5,sun,"·"),IF(MOD(MATCH(CALC_PlanetPositions!$B$8,{"Aries","Taurus","Gemini","Cancer","Leo","Virgo","Libra","Scorpio","Sagittarius","Capricorn","Aquarius","Pisces"},0)-MATCH(INPUT_Chart!$C$5,{"Aries","Taurus","Gemini","Cancer","Leo","Virgo","Libra","Scorpio","Sagittarius","Capricorn","Aquarius","Pisces"},0),12)+1=5,moo,"·"),IF(MOD(MATCH(CALC_PlanetPositions!$B$9,{"Aries","Taurus","Gemini","Cancer","Leo","Virgo","Libra","Scorpio","Sagittarius","Capricorn","Aquarius","Pisces"},0)-MATCH(INPUT_Chart!$C$5,{"Aries","Taurus","Gemini","Cancer","Leo","Virgo","Libra","Scorpio","Sagittarius","Capricorn","Aquarius","Pisces"},0),12)+1=5,mar,"·"),IF(MOD(MATCH(CALC_PlanetPositions!$B$10,{"Aries","Taurus","Gemini","Cancer","Leo","Virgo","Libra","Scorpio","Sagittarius","Capricorn","Aquarius","Pisces"},0)-MATCH(INPUT_Chart!$C$5,{"Aries","Taurus","Gemini","Cancer","Leo","Virgo","Libra","Scorpio","Sagittarius","Capricorn","Aquarius","Pisces"},0),12)+1=5,mer,"·"),IF(MOD(MATCH(CALC_PlanetPositions!$B$11,{"Aries","Taurus","Gemini","Cancer","Leo","Virgo","Libra","Scorpio","Sagittarius","Capricorn","Aquarius","Pisces"},0)-MATCH(INPUT_Chart!$C$5,{"Aries","Taurus","Gemini","Cancer","Leo","Virgo","Libra","Scorpio","Sagittarius","Capricorn","Aquarius","Pisces"},0),12)+1=5,jup,"·"),IF(MOD(MATCH(CALC_PlanetPositions!$B$12,{"Aries","Taurus","Gemini","Cancer","Leo","Virgo","Libra","Scorpio","Sagittarius","Capricorn","Aquarius","Pisces"},0)-MATCH(INPUT_Chart!$C$5,{"Aries","Taurus","Gemini","Cancer","Leo","Virgo","Libra","Scorpio","Sagittarius","Capricorn","Aquarius","Pisces"},0),12)+1=5,ven,"·"),IF(MOD(MATCH(CALC_PlanetPositions!$B$13,{"Aries","Taurus","Gemini","Cancer","Leo","Virgo","Libra","Scorpio","Sagittarius","Capricorn","Aquarius","Pisces"},0)-MATCH(INPUT_Chart!$C$5,{"Aries","Taurus","Gemini","Cancer","Leo","Virgo","Libra","Scorpio","Sagittarius","Capricorn","Aquarius","Pisces"},0),12)+1=5,sat,"·"),IF(MOD(MATCH(CALC_PlanetPositions!$B$14,{"Aries","Taurus","Gemini","Cancer","Leo","Virgo","Libra","Scorpio","Sagittarius","Capricorn","Aquarius","Pisces"},0)-MATCH(INPUT_Chart!$C$5,{"Aries","Taurus","Gemini","Cancer","Leo","Virgo","Libra","Scorpio","Sagittarius","Capricorn","Aquarius","Pisces"},0),12)+1=5,rah,"·"),IF(MOD(MATCH(CALC_PlanetPositions!$B$15,{"Aries","Taurus","Gemini","Cancer","Leo","Virgo","Libra","Scorpio","Sagittarius","Capricorn","Aquarius","Pisces"},0)-MATCH(INPUT_Chart!$C$5,{"Aries","Taurus","Gemini","Cancer","Leo","Virgo","Libra","Scorpio","Sagittarius","Capricorn","Aquarius","Pisces"},0),12)+1=5,ket,"·")),"—")</f>
        <v>—</v>
      </c>
      <c r="E12" s="929" t="str">
        <f ca="1">IFERROR(_xludf.textjoin(" ",TRUE(),IF(MOD(MATCH(CALC_PlanetPositions!$B$7,{"Aries","Taurus","Gemini","Cancer","Leo","Virgo","Libra","Scorpio","Sagittarius","Capricorn","Aquarius","Pisces"},0)-MATCH(INPUT_Chart!$C$5,{"Aries","Taurus","Gemini","Cancer","Leo","Virgo","Libra","Scorpio","Sagittarius","Capricorn","Aquarius","Pisces"},0),12)+1=6,sun,"·"),IF(MOD(MATCH(CALC_PlanetPositions!$B$8,{"Aries","Taurus","Gemini","Cancer","Leo","Virgo","Libra","Scorpio","Sagittarius","Capricorn","Aquarius","Pisces"},0)-MATCH(INPUT_Chart!$C$5,{"Aries","Taurus","Gemini","Cancer","Leo","Virgo","Libra","Scorpio","Sagittarius","Capricorn","Aquarius","Pisces"},0),12)+1=6,moo,"·"),IF(MOD(MATCH(CALC_PlanetPositions!$B$9,{"Aries","Taurus","Gemini","Cancer","Leo","Virgo","Libra","Scorpio","Sagittarius","Capricorn","Aquarius","Pisces"},0)-MATCH(INPUT_Chart!$C$5,{"Aries","Taurus","Gemini","Cancer","Leo","Virgo","Libra","Scorpio","Sagittarius","Capricorn","Aquarius","Pisces"},0),12)+1=6,mar,"·"),IF(MOD(MATCH(CALC_PlanetPositions!$B$10,{"Aries","Taurus","Gemini","Cancer","Leo","Virgo","Libra","Scorpio","Sagittarius","Capricorn","Aquarius","Pisces"},0)-MATCH(INPUT_Chart!$C$5,{"Aries","Taurus","Gemini","Cancer","Leo","Virgo","Libra","Scorpio","Sagittarius","Capricorn","Aquarius","Pisces"},0),12)+1=6,mer,"·"),IF(MOD(MATCH(CALC_PlanetPositions!$B$11,{"Aries","Taurus","Gemini","Cancer","Leo","Virgo","Libra","Scorpio","Sagittarius","Capricorn","Aquarius","Pisces"},0)-MATCH(INPUT_Chart!$C$5,{"Aries","Taurus","Gemini","Cancer","Leo","Virgo","Libra","Scorpio","Sagittarius","Capricorn","Aquarius","Pisces"},0),12)+1=6,jup,"·"),IF(MOD(MATCH(CALC_PlanetPositions!$B$12,{"Aries","Taurus","Gemini","Cancer","Leo","Virgo","Libra","Scorpio","Sagittarius","Capricorn","Aquarius","Pisces"},0)-MATCH(INPUT_Chart!$C$5,{"Aries","Taurus","Gemini","Cancer","Leo","Virgo","Libra","Scorpio","Sagittarius","Capricorn","Aquarius","Pisces"},0),12)+1=6,ven,"·"),IF(MOD(MATCH(CALC_PlanetPositions!$B$13,{"Aries","Taurus","Gemini","Cancer","Leo","Virgo","Libra","Scorpio","Sagittarius","Capricorn","Aquarius","Pisces"},0)-MATCH(INPUT_Chart!$C$5,{"Aries","Taurus","Gemini","Cancer","Leo","Virgo","Libra","Scorpio","Sagittarius","Capricorn","Aquarius","Pisces"},0),12)+1=6,sat,"·"),IF(MOD(MATCH(CALC_PlanetPositions!$B$14,{"Aries","Taurus","Gemini","Cancer","Leo","Virgo","Libra","Scorpio","Sagittarius","Capricorn","Aquarius","Pisces"},0)-MATCH(INPUT_Chart!$C$5,{"Aries","Taurus","Gemini","Cancer","Leo","Virgo","Libra","Scorpio","Sagittarius","Capricorn","Aquarius","Pisces"},0),12)+1=6,rah,"·"),IF(MOD(MATCH(CALC_PlanetPositions!$B$15,{"Aries","Taurus","Gemini","Cancer","Leo","Virgo","Libra","Scorpio","Sagittarius","Capricorn","Aquarius","Pisces"},0)-MATCH(INPUT_Chart!$C$5,{"Aries","Taurus","Gemini","Cancer","Leo","Virgo","Libra","Scorpio","Sagittarius","Capricorn","Aquarius","Pisces"},0),12)+1=6,ket,"·")),"—")</f>
        <v>—</v>
      </c>
      <c r="F12" s="929" t="str">
        <f ca="1">IFERROR(_xludf.textjoin(" ",TRUE(),IF(MOD(MATCH(CALC_PlanetPositions!$B$7,{"Aries","Taurus","Gemini","Cancer","Leo","Virgo","Libra","Scorpio","Sagittarius","Capricorn","Aquarius","Pisces"},0)-MATCH(INPUT_Chart!$C$5,{"Aries","Taurus","Gemini","Cancer","Leo","Virgo","Libra","Scorpio","Sagittarius","Capricorn","Aquarius","Pisces"},0),12)+1=4,sun,"·"),IF(MOD(MATCH(CALC_PlanetPositions!$B$8,{"Aries","Taurus","Gemini","Cancer","Leo","Virgo","Libra","Scorpio","Sagittarius","Capricorn","Aquarius","Pisces"},0)-MATCH(INPUT_Chart!$C$5,{"Aries","Taurus","Gemini","Cancer","Leo","Virgo","Libra","Scorpio","Sagittarius","Capricorn","Aquarius","Pisces"},0),12)+1=4,moo,"·"),IF(MOD(MATCH(CALC_PlanetPositions!$B$9,{"Aries","Taurus","Gemini","Cancer","Leo","Virgo","Libra","Scorpio","Sagittarius","Capricorn","Aquarius","Pisces"},0)-MATCH(INPUT_Chart!$C$5,{"Aries","Taurus","Gemini","Cancer","Leo","Virgo","Libra","Scorpio","Sagittarius","Capricorn","Aquarius","Pisces"},0),12)+1=4,mar,"·"),IF(MOD(MATCH(CALC_PlanetPositions!$B$10,{"Aries","Taurus","Gemini","Cancer","Leo","Virgo","Libra","Scorpio","Sagittarius","Capricorn","Aquarius","Pisces"},0)-MATCH(INPUT_Chart!$C$5,{"Aries","Taurus","Gemini","Cancer","Leo","Virgo","Libra","Scorpio","Sagittarius","Capricorn","Aquarius","Pisces"},0),12)+1=4,mer,"·"),IF(MOD(MATCH(CALC_PlanetPositions!$B$11,{"Aries","Taurus","Gemini","Cancer","Leo","Virgo","Libra","Scorpio","Sagittarius","Capricorn","Aquarius","Pisces"},0)-MATCH(INPUT_Chart!$C$5,{"Aries","Taurus","Gemini","Cancer","Leo","Virgo","Libra","Scorpio","Sagittarius","Capricorn","Aquarius","Pisces"},0),12)+1=4,jup,"·"),IF(MOD(MATCH(CALC_PlanetPositions!$B$12,{"Aries","Taurus","Gemini","Cancer","Leo","Virgo","Libra","Scorpio","Sagittarius","Capricorn","Aquarius","Pisces"},0)-MATCH(INPUT_Chart!$C$5,{"Aries","Taurus","Gemini","Cancer","Leo","Virgo","Libra","Scorpio","Sagittarius","Capricorn","Aquarius","Pisces"},0),12)+1=4,ven,"·"),IF(MOD(MATCH(CALC_PlanetPositions!$B$13,{"Aries","Taurus","Gemini","Cancer","Leo","Virgo","Libra","Scorpio","Sagittarius","Capricorn","Aquarius","Pisces"},0)-MATCH(INPUT_Chart!$C$5,{"Aries","Taurus","Gemini","Cancer","Leo","Virgo","Libra","Scorpio","Sagittarius","Capricorn","Aquarius","Pisces"},0),12)+1=4,sat,"·"),IF(MOD(MATCH(CALC_PlanetPositions!$B$14,{"Aries","Taurus","Gemini","Cancer","Leo","Virgo","Libra","Scorpio","Sagittarius","Capricorn","Aquarius","Pisces"},0)-MATCH(INPUT_Chart!$C$5,{"Aries","Taurus","Gemini","Cancer","Leo","Virgo","Libra","Scorpio","Sagittarius","Capricorn","Aquarius","Pisces"},0),12)+1=4,rah,"·"),IF(MOD(MATCH(CALC_PlanetPositions!$B$15,{"Aries","Taurus","Gemini","Cancer","Leo","Virgo","Libra","Scorpio","Sagittarius","Capricorn","Aquarius","Pisces"},0)-MATCH(INPUT_Chart!$C$5,{"Aries","Taurus","Gemini","Cancer","Leo","Virgo","Libra","Scorpio","Sagittarius","Capricorn","Aquarius","Pisces"},0),12)+1=4,ket,"·")),"—")</f>
        <v>—</v>
      </c>
      <c r="G12" s="929" t="str">
        <f ca="1">IFERROR(_xludf.textjoin(" ",TRUE(),IF(MOD(MATCH(CALC_PlanetPositions!$B$7,{"Aries","Taurus","Gemini","Cancer","Leo","Virgo","Libra","Scorpio","Sagittarius","Capricorn","Aquarius","Pisces"},0)-MATCH(INPUT_Chart!$C$5,{"Aries","Taurus","Gemini","Cancer","Leo","Virgo","Libra","Scorpio","Sagittarius","Capricorn","Aquarius","Pisces"},0),12)+1=9,sun,"·"),IF(MOD(MATCH(CALC_PlanetPositions!$B$8,{"Aries","Taurus","Gemini","Cancer","Leo","Virgo","Libra","Scorpio","Sagittarius","Capricorn","Aquarius","Pisces"},0)-MATCH(INPUT_Chart!$C$5,{"Aries","Taurus","Gemini","Cancer","Leo","Virgo","Libra","Scorpio","Sagittarius","Capricorn","Aquarius","Pisces"},0),12)+1=9,moo,"·"),IF(MOD(MATCH(CALC_PlanetPositions!$B$9,{"Aries","Taurus","Gemini","Cancer","Leo","Virgo","Libra","Scorpio","Sagittarius","Capricorn","Aquarius","Pisces"},0)-MATCH(INPUT_Chart!$C$5,{"Aries","Taurus","Gemini","Cancer","Leo","Virgo","Libra","Scorpio","Sagittarius","Capricorn","Aquarius","Pisces"},0),12)+1=9,mar,"·"),IF(MOD(MATCH(CALC_PlanetPositions!$B$10,{"Aries","Taurus","Gemini","Cancer","Leo","Virgo","Libra","Scorpio","Sagittarius","Capricorn","Aquarius","Pisces"},0)-MATCH(INPUT_Chart!$C$5,{"Aries","Taurus","Gemini","Cancer","Leo","Virgo","Libra","Scorpio","Sagittarius","Capricorn","Aquarius","Pisces"},0),12)+1=9,mer,"·"),IF(MOD(MATCH(CALC_PlanetPositions!$B$11,{"Aries","Taurus","Gemini","Cancer","Leo","Virgo","Libra","Scorpio","Sagittarius","Capricorn","Aquarius","Pisces"},0)-MATCH(INPUT_Chart!$C$5,{"Aries","Taurus","Gemini","Cancer","Leo","Virgo","Libra","Scorpio","Sagittarius","Capricorn","Aquarius","Pisces"},0),12)+1=9,jup,"·"),IF(MOD(MATCH(CALC_PlanetPositions!$B$12,{"Aries","Taurus","Gemini","Cancer","Leo","Virgo","Libra","Scorpio","Sagittarius","Capricorn","Aquarius","Pisces"},0)-MATCH(INPUT_Chart!$C$5,{"Aries","Taurus","Gemini","Cancer","Leo","Virgo","Libra","Scorpio","Sagittarius","Capricorn","Aquarius","Pisces"},0),12)+1=9,ven,"·"),IF(MOD(MATCH(CALC_PlanetPositions!$B$13,{"Aries","Taurus","Gemini","Cancer","Leo","Virgo","Libra","Scorpio","Sagittarius","Capricorn","Aquarius","Pisces"},0)-MATCH(INPUT_Chart!$C$5,{"Aries","Taurus","Gemini","Cancer","Leo","Virgo","Libra","Scorpio","Sagittarius","Capricorn","Aquarius","Pisces"},0),12)+1=9,sat,"·"),IF(MOD(MATCH(CALC_PlanetPositions!$B$14,{"Aries","Taurus","Gemini","Cancer","Leo","Virgo","Libra","Scorpio","Sagittarius","Capricorn","Aquarius","Pisces"},0)-MATCH(INPUT_Chart!$C$5,{"Aries","Taurus","Gemini","Cancer","Leo","Virgo","Libra","Scorpio","Sagittarius","Capricorn","Aquarius","Pisces"},0),12)+1=9,rah,"·"),IF(MOD(MATCH(CALC_PlanetPositions!$B$15,{"Aries","Taurus","Gemini","Cancer","Leo","Virgo","Libra","Scorpio","Sagittarius","Capricorn","Aquarius","Pisces"},0)-MATCH(INPUT_Chart!$C$5,{"Aries","Taurus","Gemini","Cancer","Leo","Virgo","Libra","Scorpio","Sagittarius","Capricorn","Aquarius","Pisces"},0),12)+1=9,ket,"·")),"—")</f>
        <v>—</v>
      </c>
      <c r="H12" s="828">
        <v>0</v>
      </c>
    </row>
    <row r="13" spans="1:10" ht="18" customHeight="1" x14ac:dyDescent="0.2">
      <c r="A13" s="632">
        <v>9</v>
      </c>
      <c r="B13" s="926" t="str">
        <f ca="1">IFERROR(_xludf.textjoin(" ",TRUE(),IF(MOD(MATCH(CALC_PlanetPositions!$B$7,{"Aries","Taurus","Gemini","Cancer","Leo","Virgo","Libra","Scorpio","Sagittarius","Capricorn","Aquarius","Pisces"},0)-MATCH(INPUT_Chart!$C$5,{"Aries","Taurus","Gemini","Cancer","Leo","Virgo","Libra","Scorpio","Sagittarius","Capricorn","Aquarius","Pisces"},0),12)+1=9,sun,"·"),IF(MOD(MATCH(CALC_PlanetPositions!$B$8,{"Aries","Taurus","Gemini","Cancer","Leo","Virgo","Libra","Scorpio","Sagittarius","Capricorn","Aquarius","Pisces"},0)-MATCH(INPUT_Chart!$C$5,{"Aries","Taurus","Gemini","Cancer","Leo","Virgo","Libra","Scorpio","Sagittarius","Capricorn","Aquarius","Pisces"},0),12)+1=9,moo,"·"),IF(MOD(MATCH(CALC_PlanetPositions!$B$9,{"Aries","Taurus","Gemini","Cancer","Leo","Virgo","Libra","Scorpio","Sagittarius","Capricorn","Aquarius","Pisces"},0)-MATCH(INPUT_Chart!$C$5,{"Aries","Taurus","Gemini","Cancer","Leo","Virgo","Libra","Scorpio","Sagittarius","Capricorn","Aquarius","Pisces"},0),12)+1=9,mar,"·"),IF(MOD(MATCH(CALC_PlanetPositions!$B$10,{"Aries","Taurus","Gemini","Cancer","Leo","Virgo","Libra","Scorpio","Sagittarius","Capricorn","Aquarius","Pisces"},0)-MATCH(INPUT_Chart!$C$5,{"Aries","Taurus","Gemini","Cancer","Leo","Virgo","Libra","Scorpio","Sagittarius","Capricorn","Aquarius","Pisces"},0),12)+1=9,mer,"·"),IF(MOD(MATCH(CALC_PlanetPositions!$B$11,{"Aries","Taurus","Gemini","Cancer","Leo","Virgo","Libra","Scorpio","Sagittarius","Capricorn","Aquarius","Pisces"},0)-MATCH(INPUT_Chart!$C$5,{"Aries","Taurus","Gemini","Cancer","Leo","Virgo","Libra","Scorpio","Sagittarius","Capricorn","Aquarius","Pisces"},0),12)+1=9,jup,"·"),IF(MOD(MATCH(CALC_PlanetPositions!$B$12,{"Aries","Taurus","Gemini","Cancer","Leo","Virgo","Libra","Scorpio","Sagittarius","Capricorn","Aquarius","Pisces"},0)-MATCH(INPUT_Chart!$C$5,{"Aries","Taurus","Gemini","Cancer","Leo","Virgo","Libra","Scorpio","Sagittarius","Capricorn","Aquarius","Pisces"},0),12)+1=9,ven,"·"),IF(MOD(MATCH(CALC_PlanetPositions!$B$13,{"Aries","Taurus","Gemini","Cancer","Leo","Virgo","Libra","Scorpio","Sagittarius","Capricorn","Aquarius","Pisces"},0)-MATCH(INPUT_Chart!$C$5,{"Aries","Taurus","Gemini","Cancer","Leo","Virgo","Libra","Scorpio","Sagittarius","Capricorn","Aquarius","Pisces"},0),12)+1=9,sat,"·"),IF(MOD(MATCH(CALC_PlanetPositions!$B$14,{"Aries","Taurus","Gemini","Cancer","Leo","Virgo","Libra","Scorpio","Sagittarius","Capricorn","Aquarius","Pisces"},0)-MATCH(INPUT_Chart!$C$5,{"Aries","Taurus","Gemini","Cancer","Leo","Virgo","Libra","Scorpio","Sagittarius","Capricorn","Aquarius","Pisces"},0),12)+1=9,rah,"·"),IF(MOD(MATCH(CALC_PlanetPositions!$B$15,{"Aries","Taurus","Gemini","Cancer","Leo","Virgo","Libra","Scorpio","Sagittarius","Capricorn","Aquarius","Pisces"},0)-MATCH(INPUT_Chart!$C$5,{"Aries","Taurus","Gemini","Cancer","Leo","Virgo","Libra","Scorpio","Sagittarius","Capricorn","Aquarius","Pisces"},0),12)+1=9,ket,"·")),"—")</f>
        <v>—</v>
      </c>
      <c r="C13" s="926" t="str">
        <f ca="1">IFERROR(_xludf.textjoin(" ",TRUE(),IF(MOD(MATCH(CALC_PlanetPositions!$B$7,{"Aries","Taurus","Gemini","Cancer","Leo","Virgo","Libra","Scorpio","Sagittarius","Capricorn","Aquarius","Pisces"},0)-MATCH(INPUT_Chart!$C$5,{"Aries","Taurus","Gemini","Cancer","Leo","Virgo","Libra","Scorpio","Sagittarius","Capricorn","Aquarius","Pisces"},0),12)+1=11,sun,"·"),IF(MOD(MATCH(CALC_PlanetPositions!$B$8,{"Aries","Taurus","Gemini","Cancer","Leo","Virgo","Libra","Scorpio","Sagittarius","Capricorn","Aquarius","Pisces"},0)-MATCH(INPUT_Chart!$C$5,{"Aries","Taurus","Gemini","Cancer","Leo","Virgo","Libra","Scorpio","Sagittarius","Capricorn","Aquarius","Pisces"},0),12)+1=11,moo,"·"),IF(MOD(MATCH(CALC_PlanetPositions!$B$9,{"Aries","Taurus","Gemini","Cancer","Leo","Virgo","Libra","Scorpio","Sagittarius","Capricorn","Aquarius","Pisces"},0)-MATCH(INPUT_Chart!$C$5,{"Aries","Taurus","Gemini","Cancer","Leo","Virgo","Libra","Scorpio","Sagittarius","Capricorn","Aquarius","Pisces"},0),12)+1=11,mar,"·"),IF(MOD(MATCH(CALC_PlanetPositions!$B$10,{"Aries","Taurus","Gemini","Cancer","Leo","Virgo","Libra","Scorpio","Sagittarius","Capricorn","Aquarius","Pisces"},0)-MATCH(INPUT_Chart!$C$5,{"Aries","Taurus","Gemini","Cancer","Leo","Virgo","Libra","Scorpio","Sagittarius","Capricorn","Aquarius","Pisces"},0),12)+1=11,mer,"·"),IF(MOD(MATCH(CALC_PlanetPositions!$B$11,{"Aries","Taurus","Gemini","Cancer","Leo","Virgo","Libra","Scorpio","Sagittarius","Capricorn","Aquarius","Pisces"},0)-MATCH(INPUT_Chart!$C$5,{"Aries","Taurus","Gemini","Cancer","Leo","Virgo","Libra","Scorpio","Sagittarius","Capricorn","Aquarius","Pisces"},0),12)+1=11,jup,"·"),IF(MOD(MATCH(CALC_PlanetPositions!$B$12,{"Aries","Taurus","Gemini","Cancer","Leo","Virgo","Libra","Scorpio","Sagittarius","Capricorn","Aquarius","Pisces"},0)-MATCH(INPUT_Chart!$C$5,{"Aries","Taurus","Gemini","Cancer","Leo","Virgo","Libra","Scorpio","Sagittarius","Capricorn","Aquarius","Pisces"},0),12)+1=11,ven,"·"),IF(MOD(MATCH(CALC_PlanetPositions!$B$13,{"Aries","Taurus","Gemini","Cancer","Leo","Virgo","Libra","Scorpio","Sagittarius","Capricorn","Aquarius","Pisces"},0)-MATCH(INPUT_Chart!$C$5,{"Aries","Taurus","Gemini","Cancer","Leo","Virgo","Libra","Scorpio","Sagittarius","Capricorn","Aquarius","Pisces"},0),12)+1=11,sat,"·"),IF(MOD(MATCH(CALC_PlanetPositions!$B$14,{"Aries","Taurus","Gemini","Cancer","Leo","Virgo","Libra","Scorpio","Sagittarius","Capricorn","Aquarius","Pisces"},0)-MATCH(INPUT_Chart!$C$5,{"Aries","Taurus","Gemini","Cancer","Leo","Virgo","Libra","Scorpio","Sagittarius","Capricorn","Aquarius","Pisces"},0),12)+1=11,rah,"·"),IF(MOD(MATCH(CALC_PlanetPositions!$B$15,{"Aries","Taurus","Gemini","Cancer","Leo","Virgo","Libra","Scorpio","Sagittarius","Capricorn","Aquarius","Pisces"},0)-MATCH(INPUT_Chart!$C$5,{"Aries","Taurus","Gemini","Cancer","Leo","Virgo","Libra","Scorpio","Sagittarius","Capricorn","Aquarius","Pisces"},0),12)+1=11,ket,"·")),"—")</f>
        <v>—</v>
      </c>
      <c r="D13" s="926" t="str">
        <f ca="1">IFERROR(_xludf.textjoin(" ",TRUE(),IF(MOD(MATCH(CALC_PlanetPositions!$B$7,{"Aries","Taurus","Gemini","Cancer","Leo","Virgo","Libra","Scorpio","Sagittarius","Capricorn","Aquarius","Pisces"},0)-MATCH(INPUT_Chart!$C$5,{"Aries","Taurus","Gemini","Cancer","Leo","Virgo","Libra","Scorpio","Sagittarius","Capricorn","Aquarius","Pisces"},0),12)+1=6,sun,"·"),IF(MOD(MATCH(CALC_PlanetPositions!$B$8,{"Aries","Taurus","Gemini","Cancer","Leo","Virgo","Libra","Scorpio","Sagittarius","Capricorn","Aquarius","Pisces"},0)-MATCH(INPUT_Chart!$C$5,{"Aries","Taurus","Gemini","Cancer","Leo","Virgo","Libra","Scorpio","Sagittarius","Capricorn","Aquarius","Pisces"},0),12)+1=6,moo,"·"),IF(MOD(MATCH(CALC_PlanetPositions!$B$9,{"Aries","Taurus","Gemini","Cancer","Leo","Virgo","Libra","Scorpio","Sagittarius","Capricorn","Aquarius","Pisces"},0)-MATCH(INPUT_Chart!$C$5,{"Aries","Taurus","Gemini","Cancer","Leo","Virgo","Libra","Scorpio","Sagittarius","Capricorn","Aquarius","Pisces"},0),12)+1=6,mar,"·"),IF(MOD(MATCH(CALC_PlanetPositions!$B$10,{"Aries","Taurus","Gemini","Cancer","Leo","Virgo","Libra","Scorpio","Sagittarius","Capricorn","Aquarius","Pisces"},0)-MATCH(INPUT_Chart!$C$5,{"Aries","Taurus","Gemini","Cancer","Leo","Virgo","Libra","Scorpio","Sagittarius","Capricorn","Aquarius","Pisces"},0),12)+1=6,mer,"·"),IF(MOD(MATCH(CALC_PlanetPositions!$B$11,{"Aries","Taurus","Gemini","Cancer","Leo","Virgo","Libra","Scorpio","Sagittarius","Capricorn","Aquarius","Pisces"},0)-MATCH(INPUT_Chart!$C$5,{"Aries","Taurus","Gemini","Cancer","Leo","Virgo","Libra","Scorpio","Sagittarius","Capricorn","Aquarius","Pisces"},0),12)+1=6,jup,"·"),IF(MOD(MATCH(CALC_PlanetPositions!$B$12,{"Aries","Taurus","Gemini","Cancer","Leo","Virgo","Libra","Scorpio","Sagittarius","Capricorn","Aquarius","Pisces"},0)-MATCH(INPUT_Chart!$C$5,{"Aries","Taurus","Gemini","Cancer","Leo","Virgo","Libra","Scorpio","Sagittarius","Capricorn","Aquarius","Pisces"},0),12)+1=6,ven,"·"),IF(MOD(MATCH(CALC_PlanetPositions!$B$13,{"Aries","Taurus","Gemini","Cancer","Leo","Virgo","Libra","Scorpio","Sagittarius","Capricorn","Aquarius","Pisces"},0)-MATCH(INPUT_Chart!$C$5,{"Aries","Taurus","Gemini","Cancer","Leo","Virgo","Libra","Scorpio","Sagittarius","Capricorn","Aquarius","Pisces"},0),12)+1=6,sat,"·"),IF(MOD(MATCH(CALC_PlanetPositions!$B$14,{"Aries","Taurus","Gemini","Cancer","Leo","Virgo","Libra","Scorpio","Sagittarius","Capricorn","Aquarius","Pisces"},0)-MATCH(INPUT_Chart!$C$5,{"Aries","Taurus","Gemini","Cancer","Leo","Virgo","Libra","Scorpio","Sagittarius","Capricorn","Aquarius","Pisces"},0),12)+1=6,rah,"·"),IF(MOD(MATCH(CALC_PlanetPositions!$B$15,{"Aries","Taurus","Gemini","Cancer","Leo","Virgo","Libra","Scorpio","Sagittarius","Capricorn","Aquarius","Pisces"},0)-MATCH(INPUT_Chart!$C$5,{"Aries","Taurus","Gemini","Cancer","Leo","Virgo","Libra","Scorpio","Sagittarius","Capricorn","Aquarius","Pisces"},0),12)+1=6,ket,"·")),"—")</f>
        <v>—</v>
      </c>
      <c r="E13" s="927" t="str">
        <f ca="1">IFERROR(_xludf.textjoin(" ",TRUE(),IF(MOD(MATCH(CALC_PlanetPositions!$B$7,{"Aries","Taurus","Gemini","Cancer","Leo","Virgo","Libra","Scorpio","Sagittarius","Capricorn","Aquarius","Pisces"},0)-MATCH(INPUT_Chart!$C$5,{"Aries","Taurus","Gemini","Cancer","Leo","Virgo","Libra","Scorpio","Sagittarius","Capricorn","Aquarius","Pisces"},0),12)+1=7,sun,"·"),IF(MOD(MATCH(CALC_PlanetPositions!$B$8,{"Aries","Taurus","Gemini","Cancer","Leo","Virgo","Libra","Scorpio","Sagittarius","Capricorn","Aquarius","Pisces"},0)-MATCH(INPUT_Chart!$C$5,{"Aries","Taurus","Gemini","Cancer","Leo","Virgo","Libra","Scorpio","Sagittarius","Capricorn","Aquarius","Pisces"},0),12)+1=7,moo,"·"),IF(MOD(MATCH(CALC_PlanetPositions!$B$9,{"Aries","Taurus","Gemini","Cancer","Leo","Virgo","Libra","Scorpio","Sagittarius","Capricorn","Aquarius","Pisces"},0)-MATCH(INPUT_Chart!$C$5,{"Aries","Taurus","Gemini","Cancer","Leo","Virgo","Libra","Scorpio","Sagittarius","Capricorn","Aquarius","Pisces"},0),12)+1=7,mar,"·"),IF(MOD(MATCH(CALC_PlanetPositions!$B$10,{"Aries","Taurus","Gemini","Cancer","Leo","Virgo","Libra","Scorpio","Sagittarius","Capricorn","Aquarius","Pisces"},0)-MATCH(INPUT_Chart!$C$5,{"Aries","Taurus","Gemini","Cancer","Leo","Virgo","Libra","Scorpio","Sagittarius","Capricorn","Aquarius","Pisces"},0),12)+1=7,mer,"·"),IF(MOD(MATCH(CALC_PlanetPositions!$B$11,{"Aries","Taurus","Gemini","Cancer","Leo","Virgo","Libra","Scorpio","Sagittarius","Capricorn","Aquarius","Pisces"},0)-MATCH(INPUT_Chart!$C$5,{"Aries","Taurus","Gemini","Cancer","Leo","Virgo","Libra","Scorpio","Sagittarius","Capricorn","Aquarius","Pisces"},0),12)+1=7,jup,"·"),IF(MOD(MATCH(CALC_PlanetPositions!$B$12,{"Aries","Taurus","Gemini","Cancer","Leo","Virgo","Libra","Scorpio","Sagittarius","Capricorn","Aquarius","Pisces"},0)-MATCH(INPUT_Chart!$C$5,{"Aries","Taurus","Gemini","Cancer","Leo","Virgo","Libra","Scorpio","Sagittarius","Capricorn","Aquarius","Pisces"},0),12)+1=7,ven,"·"),IF(MOD(MATCH(CALC_PlanetPositions!$B$13,{"Aries","Taurus","Gemini","Cancer","Leo","Virgo","Libra","Scorpio","Sagittarius","Capricorn","Aquarius","Pisces"},0)-MATCH(INPUT_Chart!$C$5,{"Aries","Taurus","Gemini","Cancer","Leo","Virgo","Libra","Scorpio","Sagittarius","Capricorn","Aquarius","Pisces"},0),12)+1=7,sat,"·"),IF(MOD(MATCH(CALC_PlanetPositions!$B$14,{"Aries","Taurus","Gemini","Cancer","Leo","Virgo","Libra","Scorpio","Sagittarius","Capricorn","Aquarius","Pisces"},0)-MATCH(INPUT_Chart!$C$5,{"Aries","Taurus","Gemini","Cancer","Leo","Virgo","Libra","Scorpio","Sagittarius","Capricorn","Aquarius","Pisces"},0),12)+1=7,rah,"·"),IF(MOD(MATCH(CALC_PlanetPositions!$B$15,{"Aries","Taurus","Gemini","Cancer","Leo","Virgo","Libra","Scorpio","Sagittarius","Capricorn","Aquarius","Pisces"},0)-MATCH(INPUT_Chart!$C$5,{"Aries","Taurus","Gemini","Cancer","Leo","Virgo","Libra","Scorpio","Sagittarius","Capricorn","Aquarius","Pisces"},0),12)+1=7,ket,"·")),"—")</f>
        <v>—</v>
      </c>
      <c r="F13" s="927" t="str">
        <f ca="1">IFERROR(_xludf.textjoin(" ",TRUE(),IF(MOD(MATCH(CALC_PlanetPositions!$B$7,{"Aries","Taurus","Gemini","Cancer","Leo","Virgo","Libra","Scorpio","Sagittarius","Capricorn","Aquarius","Pisces"},0)-MATCH(INPUT_Chart!$C$5,{"Aries","Taurus","Gemini","Cancer","Leo","Virgo","Libra","Scorpio","Sagittarius","Capricorn","Aquarius","Pisces"},0),12)+1=5,sun,"·"),IF(MOD(MATCH(CALC_PlanetPositions!$B$8,{"Aries","Taurus","Gemini","Cancer","Leo","Virgo","Libra","Scorpio","Sagittarius","Capricorn","Aquarius","Pisces"},0)-MATCH(INPUT_Chart!$C$5,{"Aries","Taurus","Gemini","Cancer","Leo","Virgo","Libra","Scorpio","Sagittarius","Capricorn","Aquarius","Pisces"},0),12)+1=5,moo,"·"),IF(MOD(MATCH(CALC_PlanetPositions!$B$9,{"Aries","Taurus","Gemini","Cancer","Leo","Virgo","Libra","Scorpio","Sagittarius","Capricorn","Aquarius","Pisces"},0)-MATCH(INPUT_Chart!$C$5,{"Aries","Taurus","Gemini","Cancer","Leo","Virgo","Libra","Scorpio","Sagittarius","Capricorn","Aquarius","Pisces"},0),12)+1=5,mar,"·"),IF(MOD(MATCH(CALC_PlanetPositions!$B$10,{"Aries","Taurus","Gemini","Cancer","Leo","Virgo","Libra","Scorpio","Sagittarius","Capricorn","Aquarius","Pisces"},0)-MATCH(INPUT_Chart!$C$5,{"Aries","Taurus","Gemini","Cancer","Leo","Virgo","Libra","Scorpio","Sagittarius","Capricorn","Aquarius","Pisces"},0),12)+1=5,mer,"·"),IF(MOD(MATCH(CALC_PlanetPositions!$B$11,{"Aries","Taurus","Gemini","Cancer","Leo","Virgo","Libra","Scorpio","Sagittarius","Capricorn","Aquarius","Pisces"},0)-MATCH(INPUT_Chart!$C$5,{"Aries","Taurus","Gemini","Cancer","Leo","Virgo","Libra","Scorpio","Sagittarius","Capricorn","Aquarius","Pisces"},0),12)+1=5,jup,"·"),IF(MOD(MATCH(CALC_PlanetPositions!$B$12,{"Aries","Taurus","Gemini","Cancer","Leo","Virgo","Libra","Scorpio","Sagittarius","Capricorn","Aquarius","Pisces"},0)-MATCH(INPUT_Chart!$C$5,{"Aries","Taurus","Gemini","Cancer","Leo","Virgo","Libra","Scorpio","Sagittarius","Capricorn","Aquarius","Pisces"},0),12)+1=5,ven,"·"),IF(MOD(MATCH(CALC_PlanetPositions!$B$13,{"Aries","Taurus","Gemini","Cancer","Leo","Virgo","Libra","Scorpio","Sagittarius","Capricorn","Aquarius","Pisces"},0)-MATCH(INPUT_Chart!$C$5,{"Aries","Taurus","Gemini","Cancer","Leo","Virgo","Libra","Scorpio","Sagittarius","Capricorn","Aquarius","Pisces"},0),12)+1=5,sat,"·"),IF(MOD(MATCH(CALC_PlanetPositions!$B$14,{"Aries","Taurus","Gemini","Cancer","Leo","Virgo","Libra","Scorpio","Sagittarius","Capricorn","Aquarius","Pisces"},0)-MATCH(INPUT_Chart!$C$5,{"Aries","Taurus","Gemini","Cancer","Leo","Virgo","Libra","Scorpio","Sagittarius","Capricorn","Aquarius","Pisces"},0),12)+1=5,rah,"·"),IF(MOD(MATCH(CALC_PlanetPositions!$B$15,{"Aries","Taurus","Gemini","Cancer","Leo","Virgo","Libra","Scorpio","Sagittarius","Capricorn","Aquarius","Pisces"},0)-MATCH(INPUT_Chart!$C$5,{"Aries","Taurus","Gemini","Cancer","Leo","Virgo","Libra","Scorpio","Sagittarius","Capricorn","Aquarius","Pisces"},0),12)+1=5,ket,"·")),"—")</f>
        <v>—</v>
      </c>
      <c r="G13" s="927" t="str">
        <f ca="1">IFERROR(_xludf.textjoin(" ",TRUE(),IF(MOD(MATCH(CALC_PlanetPositions!$B$7,{"Aries","Taurus","Gemini","Cancer","Leo","Virgo","Libra","Scorpio","Sagittarius","Capricorn","Aquarius","Pisces"},0)-MATCH(INPUT_Chart!$C$5,{"Aries","Taurus","Gemini","Cancer","Leo","Virgo","Libra","Scorpio","Sagittarius","Capricorn","Aquarius","Pisces"},0),12)+1=10,sun,"·"),IF(MOD(MATCH(CALC_PlanetPositions!$B$8,{"Aries","Taurus","Gemini","Cancer","Leo","Virgo","Libra","Scorpio","Sagittarius","Capricorn","Aquarius","Pisces"},0)-MATCH(INPUT_Chart!$C$5,{"Aries","Taurus","Gemini","Cancer","Leo","Virgo","Libra","Scorpio","Sagittarius","Capricorn","Aquarius","Pisces"},0),12)+1=10,moo,"·"),IF(MOD(MATCH(CALC_PlanetPositions!$B$9,{"Aries","Taurus","Gemini","Cancer","Leo","Virgo","Libra","Scorpio","Sagittarius","Capricorn","Aquarius","Pisces"},0)-MATCH(INPUT_Chart!$C$5,{"Aries","Taurus","Gemini","Cancer","Leo","Virgo","Libra","Scorpio","Sagittarius","Capricorn","Aquarius","Pisces"},0),12)+1=10,mar,"·"),IF(MOD(MATCH(CALC_PlanetPositions!$B$10,{"Aries","Taurus","Gemini","Cancer","Leo","Virgo","Libra","Scorpio","Sagittarius","Capricorn","Aquarius","Pisces"},0)-MATCH(INPUT_Chart!$C$5,{"Aries","Taurus","Gemini","Cancer","Leo","Virgo","Libra","Scorpio","Sagittarius","Capricorn","Aquarius","Pisces"},0),12)+1=10,mer,"·"),IF(MOD(MATCH(CALC_PlanetPositions!$B$11,{"Aries","Taurus","Gemini","Cancer","Leo","Virgo","Libra","Scorpio","Sagittarius","Capricorn","Aquarius","Pisces"},0)-MATCH(INPUT_Chart!$C$5,{"Aries","Taurus","Gemini","Cancer","Leo","Virgo","Libra","Scorpio","Sagittarius","Capricorn","Aquarius","Pisces"},0),12)+1=10,jup,"·"),IF(MOD(MATCH(CALC_PlanetPositions!$B$12,{"Aries","Taurus","Gemini","Cancer","Leo","Virgo","Libra","Scorpio","Sagittarius","Capricorn","Aquarius","Pisces"},0)-MATCH(INPUT_Chart!$C$5,{"Aries","Taurus","Gemini","Cancer","Leo","Virgo","Libra","Scorpio","Sagittarius","Capricorn","Aquarius","Pisces"},0),12)+1=10,ven,"·"),IF(MOD(MATCH(CALC_PlanetPositions!$B$13,{"Aries","Taurus","Gemini","Cancer","Leo","Virgo","Libra","Scorpio","Sagittarius","Capricorn","Aquarius","Pisces"},0)-MATCH(INPUT_Chart!$C$5,{"Aries","Taurus","Gemini","Cancer","Leo","Virgo","Libra","Scorpio","Sagittarius","Capricorn","Aquarius","Pisces"},0),12)+1=10,sat,"·"),IF(MOD(MATCH(CALC_PlanetPositions!$B$14,{"Aries","Taurus","Gemini","Cancer","Leo","Virgo","Libra","Scorpio","Sagittarius","Capricorn","Aquarius","Pisces"},0)-MATCH(INPUT_Chart!$C$5,{"Aries","Taurus","Gemini","Cancer","Leo","Virgo","Libra","Scorpio","Sagittarius","Capricorn","Aquarius","Pisces"},0),12)+1=10,rah,"·"),IF(MOD(MATCH(CALC_PlanetPositions!$B$15,{"Aries","Taurus","Gemini","Cancer","Leo","Virgo","Libra","Scorpio","Sagittarius","Capricorn","Aquarius","Pisces"},0)-MATCH(INPUT_Chart!$C$5,{"Aries","Taurus","Gemini","Cancer","Leo","Virgo","Libra","Scorpio","Sagittarius","Capricorn","Aquarius","Pisces"},0),12)+1=10,ket,"·")),"—")</f>
        <v>—</v>
      </c>
      <c r="H13" s="822">
        <v>0.25</v>
      </c>
    </row>
    <row r="14" spans="1:10" ht="18" customHeight="1" x14ac:dyDescent="0.2">
      <c r="A14" s="627">
        <v>10</v>
      </c>
      <c r="B14" s="928" t="str">
        <f ca="1">IFERROR(_xludf.textjoin(" ",TRUE(),IF(MOD(MATCH(CALC_PlanetPositions!$B$7,{"Aries","Taurus","Gemini","Cancer","Leo","Virgo","Libra","Scorpio","Sagittarius","Capricorn","Aquarius","Pisces"},0)-MATCH(INPUT_Chart!$C$5,{"Aries","Taurus","Gemini","Cancer","Leo","Virgo","Libra","Scorpio","Sagittarius","Capricorn","Aquarius","Pisces"},0),12)+1=10,sun,"·"),IF(MOD(MATCH(CALC_PlanetPositions!$B$8,{"Aries","Taurus","Gemini","Cancer","Leo","Virgo","Libra","Scorpio","Sagittarius","Capricorn","Aquarius","Pisces"},0)-MATCH(INPUT_Chart!$C$5,{"Aries","Taurus","Gemini","Cancer","Leo","Virgo","Libra","Scorpio","Sagittarius","Capricorn","Aquarius","Pisces"},0),12)+1=10,moo,"·"),IF(MOD(MATCH(CALC_PlanetPositions!$B$9,{"Aries","Taurus","Gemini","Cancer","Leo","Virgo","Libra","Scorpio","Sagittarius","Capricorn","Aquarius","Pisces"},0)-MATCH(INPUT_Chart!$C$5,{"Aries","Taurus","Gemini","Cancer","Leo","Virgo","Libra","Scorpio","Sagittarius","Capricorn","Aquarius","Pisces"},0),12)+1=10,mar,"·"),IF(MOD(MATCH(CALC_PlanetPositions!$B$10,{"Aries","Taurus","Gemini","Cancer","Leo","Virgo","Libra","Scorpio","Sagittarius","Capricorn","Aquarius","Pisces"},0)-MATCH(INPUT_Chart!$C$5,{"Aries","Taurus","Gemini","Cancer","Leo","Virgo","Libra","Scorpio","Sagittarius","Capricorn","Aquarius","Pisces"},0),12)+1=10,mer,"·"),IF(MOD(MATCH(CALC_PlanetPositions!$B$11,{"Aries","Taurus","Gemini","Cancer","Leo","Virgo","Libra","Scorpio","Sagittarius","Capricorn","Aquarius","Pisces"},0)-MATCH(INPUT_Chart!$C$5,{"Aries","Taurus","Gemini","Cancer","Leo","Virgo","Libra","Scorpio","Sagittarius","Capricorn","Aquarius","Pisces"},0),12)+1=10,jup,"·"),IF(MOD(MATCH(CALC_PlanetPositions!$B$12,{"Aries","Taurus","Gemini","Cancer","Leo","Virgo","Libra","Scorpio","Sagittarius","Capricorn","Aquarius","Pisces"},0)-MATCH(INPUT_Chart!$C$5,{"Aries","Taurus","Gemini","Cancer","Leo","Virgo","Libra","Scorpio","Sagittarius","Capricorn","Aquarius","Pisces"},0),12)+1=10,ven,"·"),IF(MOD(MATCH(CALC_PlanetPositions!$B$13,{"Aries","Taurus","Gemini","Cancer","Leo","Virgo","Libra","Scorpio","Sagittarius","Capricorn","Aquarius","Pisces"},0)-MATCH(INPUT_Chart!$C$5,{"Aries","Taurus","Gemini","Cancer","Leo","Virgo","Libra","Scorpio","Sagittarius","Capricorn","Aquarius","Pisces"},0),12)+1=10,sat,"·"),IF(MOD(MATCH(CALC_PlanetPositions!$B$14,{"Aries","Taurus","Gemini","Cancer","Leo","Virgo","Libra","Scorpio","Sagittarius","Capricorn","Aquarius","Pisces"},0)-MATCH(INPUT_Chart!$C$5,{"Aries","Taurus","Gemini","Cancer","Leo","Virgo","Libra","Scorpio","Sagittarius","Capricorn","Aquarius","Pisces"},0),12)+1=10,rah,"·"),IF(MOD(MATCH(CALC_PlanetPositions!$B$15,{"Aries","Taurus","Gemini","Cancer","Leo","Virgo","Libra","Scorpio","Sagittarius","Capricorn","Aquarius","Pisces"},0)-MATCH(INPUT_Chart!$C$5,{"Aries","Taurus","Gemini","Cancer","Leo","Virgo","Libra","Scorpio","Sagittarius","Capricorn","Aquarius","Pisces"},0),12)+1=10,ket,"·")),"—")</f>
        <v>—</v>
      </c>
      <c r="C14" s="928" t="str">
        <f ca="1">IFERROR(_xludf.textjoin(" ",TRUE(),IF(MOD(MATCH(CALC_PlanetPositions!$B$7,{"Aries","Taurus","Gemini","Cancer","Leo","Virgo","Libra","Scorpio","Sagittarius","Capricorn","Aquarius","Pisces"},0)-MATCH(INPUT_Chart!$C$5,{"Aries","Taurus","Gemini","Cancer","Leo","Virgo","Libra","Scorpio","Sagittarius","Capricorn","Aquarius","Pisces"},0),12)+1=12,sun,"·"),IF(MOD(MATCH(CALC_PlanetPositions!$B$8,{"Aries","Taurus","Gemini","Cancer","Leo","Virgo","Libra","Scorpio","Sagittarius","Capricorn","Aquarius","Pisces"},0)-MATCH(INPUT_Chart!$C$5,{"Aries","Taurus","Gemini","Cancer","Leo","Virgo","Libra","Scorpio","Sagittarius","Capricorn","Aquarius","Pisces"},0),12)+1=12,moo,"·"),IF(MOD(MATCH(CALC_PlanetPositions!$B$9,{"Aries","Taurus","Gemini","Cancer","Leo","Virgo","Libra","Scorpio","Sagittarius","Capricorn","Aquarius","Pisces"},0)-MATCH(INPUT_Chart!$C$5,{"Aries","Taurus","Gemini","Cancer","Leo","Virgo","Libra","Scorpio","Sagittarius","Capricorn","Aquarius","Pisces"},0),12)+1=12,mar,"·"),IF(MOD(MATCH(CALC_PlanetPositions!$B$10,{"Aries","Taurus","Gemini","Cancer","Leo","Virgo","Libra","Scorpio","Sagittarius","Capricorn","Aquarius","Pisces"},0)-MATCH(INPUT_Chart!$C$5,{"Aries","Taurus","Gemini","Cancer","Leo","Virgo","Libra","Scorpio","Sagittarius","Capricorn","Aquarius","Pisces"},0),12)+1=12,mer,"·"),IF(MOD(MATCH(CALC_PlanetPositions!$B$11,{"Aries","Taurus","Gemini","Cancer","Leo","Virgo","Libra","Scorpio","Sagittarius","Capricorn","Aquarius","Pisces"},0)-MATCH(INPUT_Chart!$C$5,{"Aries","Taurus","Gemini","Cancer","Leo","Virgo","Libra","Scorpio","Sagittarius","Capricorn","Aquarius","Pisces"},0),12)+1=12,jup,"·"),IF(MOD(MATCH(CALC_PlanetPositions!$B$12,{"Aries","Taurus","Gemini","Cancer","Leo","Virgo","Libra","Scorpio","Sagittarius","Capricorn","Aquarius","Pisces"},0)-MATCH(INPUT_Chart!$C$5,{"Aries","Taurus","Gemini","Cancer","Leo","Virgo","Libra","Scorpio","Sagittarius","Capricorn","Aquarius","Pisces"},0),12)+1=12,ven,"·"),IF(MOD(MATCH(CALC_PlanetPositions!$B$13,{"Aries","Taurus","Gemini","Cancer","Leo","Virgo","Libra","Scorpio","Sagittarius","Capricorn","Aquarius","Pisces"},0)-MATCH(INPUT_Chart!$C$5,{"Aries","Taurus","Gemini","Cancer","Leo","Virgo","Libra","Scorpio","Sagittarius","Capricorn","Aquarius","Pisces"},0),12)+1=12,sat,"·"),IF(MOD(MATCH(CALC_PlanetPositions!$B$14,{"Aries","Taurus","Gemini","Cancer","Leo","Virgo","Libra","Scorpio","Sagittarius","Capricorn","Aquarius","Pisces"},0)-MATCH(INPUT_Chart!$C$5,{"Aries","Taurus","Gemini","Cancer","Leo","Virgo","Libra","Scorpio","Sagittarius","Capricorn","Aquarius","Pisces"},0),12)+1=12,rah,"·"),IF(MOD(MATCH(CALC_PlanetPositions!$B$15,{"Aries","Taurus","Gemini","Cancer","Leo","Virgo","Libra","Scorpio","Sagittarius","Capricorn","Aquarius","Pisces"},0)-MATCH(INPUT_Chart!$C$5,{"Aries","Taurus","Gemini","Cancer","Leo","Virgo","Libra","Scorpio","Sagittarius","Capricorn","Aquarius","Pisces"},0),12)+1=12,ket,"·")),"—")</f>
        <v>—</v>
      </c>
      <c r="D14" s="928" t="str">
        <f ca="1">IFERROR(_xludf.textjoin(" ",TRUE(),IF(MOD(MATCH(CALC_PlanetPositions!$B$7,{"Aries","Taurus","Gemini","Cancer","Leo","Virgo","Libra","Scorpio","Sagittarius","Capricorn","Aquarius","Pisces"},0)-MATCH(INPUT_Chart!$C$5,{"Aries","Taurus","Gemini","Cancer","Leo","Virgo","Libra","Scorpio","Sagittarius","Capricorn","Aquarius","Pisces"},0),12)+1=7,sun,"·"),IF(MOD(MATCH(CALC_PlanetPositions!$B$8,{"Aries","Taurus","Gemini","Cancer","Leo","Virgo","Libra","Scorpio","Sagittarius","Capricorn","Aquarius","Pisces"},0)-MATCH(INPUT_Chart!$C$5,{"Aries","Taurus","Gemini","Cancer","Leo","Virgo","Libra","Scorpio","Sagittarius","Capricorn","Aquarius","Pisces"},0),12)+1=7,moo,"·"),IF(MOD(MATCH(CALC_PlanetPositions!$B$9,{"Aries","Taurus","Gemini","Cancer","Leo","Virgo","Libra","Scorpio","Sagittarius","Capricorn","Aquarius","Pisces"},0)-MATCH(INPUT_Chart!$C$5,{"Aries","Taurus","Gemini","Cancer","Leo","Virgo","Libra","Scorpio","Sagittarius","Capricorn","Aquarius","Pisces"},0),12)+1=7,mar,"·"),IF(MOD(MATCH(CALC_PlanetPositions!$B$10,{"Aries","Taurus","Gemini","Cancer","Leo","Virgo","Libra","Scorpio","Sagittarius","Capricorn","Aquarius","Pisces"},0)-MATCH(INPUT_Chart!$C$5,{"Aries","Taurus","Gemini","Cancer","Leo","Virgo","Libra","Scorpio","Sagittarius","Capricorn","Aquarius","Pisces"},0),12)+1=7,mer,"·"),IF(MOD(MATCH(CALC_PlanetPositions!$B$11,{"Aries","Taurus","Gemini","Cancer","Leo","Virgo","Libra","Scorpio","Sagittarius","Capricorn","Aquarius","Pisces"},0)-MATCH(INPUT_Chart!$C$5,{"Aries","Taurus","Gemini","Cancer","Leo","Virgo","Libra","Scorpio","Sagittarius","Capricorn","Aquarius","Pisces"},0),12)+1=7,jup,"·"),IF(MOD(MATCH(CALC_PlanetPositions!$B$12,{"Aries","Taurus","Gemini","Cancer","Leo","Virgo","Libra","Scorpio","Sagittarius","Capricorn","Aquarius","Pisces"},0)-MATCH(INPUT_Chart!$C$5,{"Aries","Taurus","Gemini","Cancer","Leo","Virgo","Libra","Scorpio","Sagittarius","Capricorn","Aquarius","Pisces"},0),12)+1=7,ven,"·"),IF(MOD(MATCH(CALC_PlanetPositions!$B$13,{"Aries","Taurus","Gemini","Cancer","Leo","Virgo","Libra","Scorpio","Sagittarius","Capricorn","Aquarius","Pisces"},0)-MATCH(INPUT_Chart!$C$5,{"Aries","Taurus","Gemini","Cancer","Leo","Virgo","Libra","Scorpio","Sagittarius","Capricorn","Aquarius","Pisces"},0),12)+1=7,sat,"·"),IF(MOD(MATCH(CALC_PlanetPositions!$B$14,{"Aries","Taurus","Gemini","Cancer","Leo","Virgo","Libra","Scorpio","Sagittarius","Capricorn","Aquarius","Pisces"},0)-MATCH(INPUT_Chart!$C$5,{"Aries","Taurus","Gemini","Cancer","Leo","Virgo","Libra","Scorpio","Sagittarius","Capricorn","Aquarius","Pisces"},0),12)+1=7,rah,"·"),IF(MOD(MATCH(CALC_PlanetPositions!$B$15,{"Aries","Taurus","Gemini","Cancer","Leo","Virgo","Libra","Scorpio","Sagittarius","Capricorn","Aquarius","Pisces"},0)-MATCH(INPUT_Chart!$C$5,{"Aries","Taurus","Gemini","Cancer","Leo","Virgo","Libra","Scorpio","Sagittarius","Capricorn","Aquarius","Pisces"},0),12)+1=7,ket,"·")),"—")</f>
        <v>—</v>
      </c>
      <c r="E14" s="929" t="str">
        <f ca="1">IFERROR(_xludf.textjoin(" ",TRUE(),IF(MOD(MATCH(CALC_PlanetPositions!$B$7,{"Aries","Taurus","Gemini","Cancer","Leo","Virgo","Libra","Scorpio","Sagittarius","Capricorn","Aquarius","Pisces"},0)-MATCH(INPUT_Chart!$C$5,{"Aries","Taurus","Gemini","Cancer","Leo","Virgo","Libra","Scorpio","Sagittarius","Capricorn","Aquarius","Pisces"},0),12)+1=8,sun,"·"),IF(MOD(MATCH(CALC_PlanetPositions!$B$8,{"Aries","Taurus","Gemini","Cancer","Leo","Virgo","Libra","Scorpio","Sagittarius","Capricorn","Aquarius","Pisces"},0)-MATCH(INPUT_Chart!$C$5,{"Aries","Taurus","Gemini","Cancer","Leo","Virgo","Libra","Scorpio","Sagittarius","Capricorn","Aquarius","Pisces"},0),12)+1=8,moo,"·"),IF(MOD(MATCH(CALC_PlanetPositions!$B$9,{"Aries","Taurus","Gemini","Cancer","Leo","Virgo","Libra","Scorpio","Sagittarius","Capricorn","Aquarius","Pisces"},0)-MATCH(INPUT_Chart!$C$5,{"Aries","Taurus","Gemini","Cancer","Leo","Virgo","Libra","Scorpio","Sagittarius","Capricorn","Aquarius","Pisces"},0),12)+1=8,mar,"·"),IF(MOD(MATCH(CALC_PlanetPositions!$B$10,{"Aries","Taurus","Gemini","Cancer","Leo","Virgo","Libra","Scorpio","Sagittarius","Capricorn","Aquarius","Pisces"},0)-MATCH(INPUT_Chart!$C$5,{"Aries","Taurus","Gemini","Cancer","Leo","Virgo","Libra","Scorpio","Sagittarius","Capricorn","Aquarius","Pisces"},0),12)+1=8,mer,"·"),IF(MOD(MATCH(CALC_PlanetPositions!$B$11,{"Aries","Taurus","Gemini","Cancer","Leo","Virgo","Libra","Scorpio","Sagittarius","Capricorn","Aquarius","Pisces"},0)-MATCH(INPUT_Chart!$C$5,{"Aries","Taurus","Gemini","Cancer","Leo","Virgo","Libra","Scorpio","Sagittarius","Capricorn","Aquarius","Pisces"},0),12)+1=8,jup,"·"),IF(MOD(MATCH(CALC_PlanetPositions!$B$12,{"Aries","Taurus","Gemini","Cancer","Leo","Virgo","Libra","Scorpio","Sagittarius","Capricorn","Aquarius","Pisces"},0)-MATCH(INPUT_Chart!$C$5,{"Aries","Taurus","Gemini","Cancer","Leo","Virgo","Libra","Scorpio","Sagittarius","Capricorn","Aquarius","Pisces"},0),12)+1=8,ven,"·"),IF(MOD(MATCH(CALC_PlanetPositions!$B$13,{"Aries","Taurus","Gemini","Cancer","Leo","Virgo","Libra","Scorpio","Sagittarius","Capricorn","Aquarius","Pisces"},0)-MATCH(INPUT_Chart!$C$5,{"Aries","Taurus","Gemini","Cancer","Leo","Virgo","Libra","Scorpio","Sagittarius","Capricorn","Aquarius","Pisces"},0),12)+1=8,sat,"·"),IF(MOD(MATCH(CALC_PlanetPositions!$B$14,{"Aries","Taurus","Gemini","Cancer","Leo","Virgo","Libra","Scorpio","Sagittarius","Capricorn","Aquarius","Pisces"},0)-MATCH(INPUT_Chart!$C$5,{"Aries","Taurus","Gemini","Cancer","Leo","Virgo","Libra","Scorpio","Sagittarius","Capricorn","Aquarius","Pisces"},0),12)+1=8,rah,"·"),IF(MOD(MATCH(CALC_PlanetPositions!$B$15,{"Aries","Taurus","Gemini","Cancer","Leo","Virgo","Libra","Scorpio","Sagittarius","Capricorn","Aquarius","Pisces"},0)-MATCH(INPUT_Chart!$C$5,{"Aries","Taurus","Gemini","Cancer","Leo","Virgo","Libra","Scorpio","Sagittarius","Capricorn","Aquarius","Pisces"},0),12)+1=8,ket,"·")),"—")</f>
        <v>—</v>
      </c>
      <c r="F14" s="929" t="str">
        <f ca="1">IFERROR(_xludf.textjoin(" ",TRUE(),IF(MOD(MATCH(CALC_PlanetPositions!$B$7,{"Aries","Taurus","Gemini","Cancer","Leo","Virgo","Libra","Scorpio","Sagittarius","Capricorn","Aquarius","Pisces"},0)-MATCH(INPUT_Chart!$C$5,{"Aries","Taurus","Gemini","Cancer","Leo","Virgo","Libra","Scorpio","Sagittarius","Capricorn","Aquarius","Pisces"},0),12)+1=6,sun,"·"),IF(MOD(MATCH(CALC_PlanetPositions!$B$8,{"Aries","Taurus","Gemini","Cancer","Leo","Virgo","Libra","Scorpio","Sagittarius","Capricorn","Aquarius","Pisces"},0)-MATCH(INPUT_Chart!$C$5,{"Aries","Taurus","Gemini","Cancer","Leo","Virgo","Libra","Scorpio","Sagittarius","Capricorn","Aquarius","Pisces"},0),12)+1=6,moo,"·"),IF(MOD(MATCH(CALC_PlanetPositions!$B$9,{"Aries","Taurus","Gemini","Cancer","Leo","Virgo","Libra","Scorpio","Sagittarius","Capricorn","Aquarius","Pisces"},0)-MATCH(INPUT_Chart!$C$5,{"Aries","Taurus","Gemini","Cancer","Leo","Virgo","Libra","Scorpio","Sagittarius","Capricorn","Aquarius","Pisces"},0),12)+1=6,mar,"·"),IF(MOD(MATCH(CALC_PlanetPositions!$B$10,{"Aries","Taurus","Gemini","Cancer","Leo","Virgo","Libra","Scorpio","Sagittarius","Capricorn","Aquarius","Pisces"},0)-MATCH(INPUT_Chart!$C$5,{"Aries","Taurus","Gemini","Cancer","Leo","Virgo","Libra","Scorpio","Sagittarius","Capricorn","Aquarius","Pisces"},0),12)+1=6,mer,"·"),IF(MOD(MATCH(CALC_PlanetPositions!$B$11,{"Aries","Taurus","Gemini","Cancer","Leo","Virgo","Libra","Scorpio","Sagittarius","Capricorn","Aquarius","Pisces"},0)-MATCH(INPUT_Chart!$C$5,{"Aries","Taurus","Gemini","Cancer","Leo","Virgo","Libra","Scorpio","Sagittarius","Capricorn","Aquarius","Pisces"},0),12)+1=6,jup,"·"),IF(MOD(MATCH(CALC_PlanetPositions!$B$12,{"Aries","Taurus","Gemini","Cancer","Leo","Virgo","Libra","Scorpio","Sagittarius","Capricorn","Aquarius","Pisces"},0)-MATCH(INPUT_Chart!$C$5,{"Aries","Taurus","Gemini","Cancer","Leo","Virgo","Libra","Scorpio","Sagittarius","Capricorn","Aquarius","Pisces"},0),12)+1=6,ven,"·"),IF(MOD(MATCH(CALC_PlanetPositions!$B$13,{"Aries","Taurus","Gemini","Cancer","Leo","Virgo","Libra","Scorpio","Sagittarius","Capricorn","Aquarius","Pisces"},0)-MATCH(INPUT_Chart!$C$5,{"Aries","Taurus","Gemini","Cancer","Leo","Virgo","Libra","Scorpio","Sagittarius","Capricorn","Aquarius","Pisces"},0),12)+1=6,sat,"·"),IF(MOD(MATCH(CALC_PlanetPositions!$B$14,{"Aries","Taurus","Gemini","Cancer","Leo","Virgo","Libra","Scorpio","Sagittarius","Capricorn","Aquarius","Pisces"},0)-MATCH(INPUT_Chart!$C$5,{"Aries","Taurus","Gemini","Cancer","Leo","Virgo","Libra","Scorpio","Sagittarius","Capricorn","Aquarius","Pisces"},0),12)+1=6,rah,"·"),IF(MOD(MATCH(CALC_PlanetPositions!$B$15,{"Aries","Taurus","Gemini","Cancer","Leo","Virgo","Libra","Scorpio","Sagittarius","Capricorn","Aquarius","Pisces"},0)-MATCH(INPUT_Chart!$C$5,{"Aries","Taurus","Gemini","Cancer","Leo","Virgo","Libra","Scorpio","Sagittarius","Capricorn","Aquarius","Pisces"},0),12)+1=6,ket,"·")),"—")</f>
        <v>—</v>
      </c>
      <c r="G14" s="929" t="str">
        <f ca="1">IFERROR(_xludf.textjoin(" ",TRUE(),IF(MOD(MATCH(CALC_PlanetPositions!$B$7,{"Aries","Taurus","Gemini","Cancer","Leo","Virgo","Libra","Scorpio","Sagittarius","Capricorn","Aquarius","Pisces"},0)-MATCH(INPUT_Chart!$C$5,{"Aries","Taurus","Gemini","Cancer","Leo","Virgo","Libra","Scorpio","Sagittarius","Capricorn","Aquarius","Pisces"},0),12)+1=11,sun,"·"),IF(MOD(MATCH(CALC_PlanetPositions!$B$8,{"Aries","Taurus","Gemini","Cancer","Leo","Virgo","Libra","Scorpio","Sagittarius","Capricorn","Aquarius","Pisces"},0)-MATCH(INPUT_Chart!$C$5,{"Aries","Taurus","Gemini","Cancer","Leo","Virgo","Libra","Scorpio","Sagittarius","Capricorn","Aquarius","Pisces"},0),12)+1=11,moo,"·"),IF(MOD(MATCH(CALC_PlanetPositions!$B$9,{"Aries","Taurus","Gemini","Cancer","Leo","Virgo","Libra","Scorpio","Sagittarius","Capricorn","Aquarius","Pisces"},0)-MATCH(INPUT_Chart!$C$5,{"Aries","Taurus","Gemini","Cancer","Leo","Virgo","Libra","Scorpio","Sagittarius","Capricorn","Aquarius","Pisces"},0),12)+1=11,mar,"·"),IF(MOD(MATCH(CALC_PlanetPositions!$B$10,{"Aries","Taurus","Gemini","Cancer","Leo","Virgo","Libra","Scorpio","Sagittarius","Capricorn","Aquarius","Pisces"},0)-MATCH(INPUT_Chart!$C$5,{"Aries","Taurus","Gemini","Cancer","Leo","Virgo","Libra","Scorpio","Sagittarius","Capricorn","Aquarius","Pisces"},0),12)+1=11,mer,"·"),IF(MOD(MATCH(CALC_PlanetPositions!$B$11,{"Aries","Taurus","Gemini","Cancer","Leo","Virgo","Libra","Scorpio","Sagittarius","Capricorn","Aquarius","Pisces"},0)-MATCH(INPUT_Chart!$C$5,{"Aries","Taurus","Gemini","Cancer","Leo","Virgo","Libra","Scorpio","Sagittarius","Capricorn","Aquarius","Pisces"},0),12)+1=11,jup,"·"),IF(MOD(MATCH(CALC_PlanetPositions!$B$12,{"Aries","Taurus","Gemini","Cancer","Leo","Virgo","Libra","Scorpio","Sagittarius","Capricorn","Aquarius","Pisces"},0)-MATCH(INPUT_Chart!$C$5,{"Aries","Taurus","Gemini","Cancer","Leo","Virgo","Libra","Scorpio","Sagittarius","Capricorn","Aquarius","Pisces"},0),12)+1=11,ven,"·"),IF(MOD(MATCH(CALC_PlanetPositions!$B$13,{"Aries","Taurus","Gemini","Cancer","Leo","Virgo","Libra","Scorpio","Sagittarius","Capricorn","Aquarius","Pisces"},0)-MATCH(INPUT_Chart!$C$5,{"Aries","Taurus","Gemini","Cancer","Leo","Virgo","Libra","Scorpio","Sagittarius","Capricorn","Aquarius","Pisces"},0),12)+1=11,sat,"·"),IF(MOD(MATCH(CALC_PlanetPositions!$B$14,{"Aries","Taurus","Gemini","Cancer","Leo","Virgo","Libra","Scorpio","Sagittarius","Capricorn","Aquarius","Pisces"},0)-MATCH(INPUT_Chart!$C$5,{"Aries","Taurus","Gemini","Cancer","Leo","Virgo","Libra","Scorpio","Sagittarius","Capricorn","Aquarius","Pisces"},0),12)+1=11,rah,"·"),IF(MOD(MATCH(CALC_PlanetPositions!$B$15,{"Aries","Taurus","Gemini","Cancer","Leo","Virgo","Libra","Scorpio","Sagittarius","Capricorn","Aquarius","Pisces"},0)-MATCH(INPUT_Chart!$C$5,{"Aries","Taurus","Gemini","Cancer","Leo","Virgo","Libra","Scorpio","Sagittarius","Capricorn","Aquarius","Pisces"},0),12)+1=11,ket,"·")),"—")</f>
        <v>—</v>
      </c>
      <c r="H14" s="828">
        <v>0.25</v>
      </c>
    </row>
    <row r="15" spans="1:10" ht="18" customHeight="1" x14ac:dyDescent="0.2">
      <c r="A15" s="632">
        <v>11</v>
      </c>
      <c r="B15" s="926" t="str">
        <f ca="1">IFERROR(_xludf.textjoin(" ",TRUE(),IF(MOD(MATCH(CALC_PlanetPositions!$B$7,{"Aries","Taurus","Gemini","Cancer","Leo","Virgo","Libra","Scorpio","Sagittarius","Capricorn","Aquarius","Pisces"},0)-MATCH(INPUT_Chart!$C$5,{"Aries","Taurus","Gemini","Cancer","Leo","Virgo","Libra","Scorpio","Sagittarius","Capricorn","Aquarius","Pisces"},0),12)+1=11,sun,"·"),IF(MOD(MATCH(CALC_PlanetPositions!$B$8,{"Aries","Taurus","Gemini","Cancer","Leo","Virgo","Libra","Scorpio","Sagittarius","Capricorn","Aquarius","Pisces"},0)-MATCH(INPUT_Chart!$C$5,{"Aries","Taurus","Gemini","Cancer","Leo","Virgo","Libra","Scorpio","Sagittarius","Capricorn","Aquarius","Pisces"},0),12)+1=11,moo,"·"),IF(MOD(MATCH(CALC_PlanetPositions!$B$9,{"Aries","Taurus","Gemini","Cancer","Leo","Virgo","Libra","Scorpio","Sagittarius","Capricorn","Aquarius","Pisces"},0)-MATCH(INPUT_Chart!$C$5,{"Aries","Taurus","Gemini","Cancer","Leo","Virgo","Libra","Scorpio","Sagittarius","Capricorn","Aquarius","Pisces"},0),12)+1=11,mar,"·"),IF(MOD(MATCH(CALC_PlanetPositions!$B$10,{"Aries","Taurus","Gemini","Cancer","Leo","Virgo","Libra","Scorpio","Sagittarius","Capricorn","Aquarius","Pisces"},0)-MATCH(INPUT_Chart!$C$5,{"Aries","Taurus","Gemini","Cancer","Leo","Virgo","Libra","Scorpio","Sagittarius","Capricorn","Aquarius","Pisces"},0),12)+1=11,mer,"·"),IF(MOD(MATCH(CALC_PlanetPositions!$B$11,{"Aries","Taurus","Gemini","Cancer","Leo","Virgo","Libra","Scorpio","Sagittarius","Capricorn","Aquarius","Pisces"},0)-MATCH(INPUT_Chart!$C$5,{"Aries","Taurus","Gemini","Cancer","Leo","Virgo","Libra","Scorpio","Sagittarius","Capricorn","Aquarius","Pisces"},0),12)+1=11,jup,"·"),IF(MOD(MATCH(CALC_PlanetPositions!$B$12,{"Aries","Taurus","Gemini","Cancer","Leo","Virgo","Libra","Scorpio","Sagittarius","Capricorn","Aquarius","Pisces"},0)-MATCH(INPUT_Chart!$C$5,{"Aries","Taurus","Gemini","Cancer","Leo","Virgo","Libra","Scorpio","Sagittarius","Capricorn","Aquarius","Pisces"},0),12)+1=11,ven,"·"),IF(MOD(MATCH(CALC_PlanetPositions!$B$13,{"Aries","Taurus","Gemini","Cancer","Leo","Virgo","Libra","Scorpio","Sagittarius","Capricorn","Aquarius","Pisces"},0)-MATCH(INPUT_Chart!$C$5,{"Aries","Taurus","Gemini","Cancer","Leo","Virgo","Libra","Scorpio","Sagittarius","Capricorn","Aquarius","Pisces"},0),12)+1=11,sat,"·"),IF(MOD(MATCH(CALC_PlanetPositions!$B$14,{"Aries","Taurus","Gemini","Cancer","Leo","Virgo","Libra","Scorpio","Sagittarius","Capricorn","Aquarius","Pisces"},0)-MATCH(INPUT_Chart!$C$5,{"Aries","Taurus","Gemini","Cancer","Leo","Virgo","Libra","Scorpio","Sagittarius","Capricorn","Aquarius","Pisces"},0),12)+1=11,rah,"·"),IF(MOD(MATCH(CALC_PlanetPositions!$B$15,{"Aries","Taurus","Gemini","Cancer","Leo","Virgo","Libra","Scorpio","Sagittarius","Capricorn","Aquarius","Pisces"},0)-MATCH(INPUT_Chart!$C$5,{"Aries","Taurus","Gemini","Cancer","Leo","Virgo","Libra","Scorpio","Sagittarius","Capricorn","Aquarius","Pisces"},0),12)+1=11,ket,"·")),"—")</f>
        <v>—</v>
      </c>
      <c r="C15" s="926" t="str">
        <f ca="1">IFERROR(_xludf.textjoin(" ",TRUE(),IF(MOD(MATCH(CALC_PlanetPositions!$B$7,{"Aries","Taurus","Gemini","Cancer","Leo","Virgo","Libra","Scorpio","Sagittarius","Capricorn","Aquarius","Pisces"},0)-MATCH(INPUT_Chart!$C$5,{"Aries","Taurus","Gemini","Cancer","Leo","Virgo","Libra","Scorpio","Sagittarius","Capricorn","Aquarius","Pisces"},0),12)+1=1,sun,"·"),IF(MOD(MATCH(CALC_PlanetPositions!$B$8,{"Aries","Taurus","Gemini","Cancer","Leo","Virgo","Libra","Scorpio","Sagittarius","Capricorn","Aquarius","Pisces"},0)-MATCH(INPUT_Chart!$C$5,{"Aries","Taurus","Gemini","Cancer","Leo","Virgo","Libra","Scorpio","Sagittarius","Capricorn","Aquarius","Pisces"},0),12)+1=1,moo,"·"),IF(MOD(MATCH(CALC_PlanetPositions!$B$9,{"Aries","Taurus","Gemini","Cancer","Leo","Virgo","Libra","Scorpio","Sagittarius","Capricorn","Aquarius","Pisces"},0)-MATCH(INPUT_Chart!$C$5,{"Aries","Taurus","Gemini","Cancer","Leo","Virgo","Libra","Scorpio","Sagittarius","Capricorn","Aquarius","Pisces"},0),12)+1=1,mar,"·"),IF(MOD(MATCH(CALC_PlanetPositions!$B$10,{"Aries","Taurus","Gemini","Cancer","Leo","Virgo","Libra","Scorpio","Sagittarius","Capricorn","Aquarius","Pisces"},0)-MATCH(INPUT_Chart!$C$5,{"Aries","Taurus","Gemini","Cancer","Leo","Virgo","Libra","Scorpio","Sagittarius","Capricorn","Aquarius","Pisces"},0),12)+1=1,mer,"·"),IF(MOD(MATCH(CALC_PlanetPositions!$B$11,{"Aries","Taurus","Gemini","Cancer","Leo","Virgo","Libra","Scorpio","Sagittarius","Capricorn","Aquarius","Pisces"},0)-MATCH(INPUT_Chart!$C$5,{"Aries","Taurus","Gemini","Cancer","Leo","Virgo","Libra","Scorpio","Sagittarius","Capricorn","Aquarius","Pisces"},0),12)+1=1,jup,"·"),IF(MOD(MATCH(CALC_PlanetPositions!$B$12,{"Aries","Taurus","Gemini","Cancer","Leo","Virgo","Libra","Scorpio","Sagittarius","Capricorn","Aquarius","Pisces"},0)-MATCH(INPUT_Chart!$C$5,{"Aries","Taurus","Gemini","Cancer","Leo","Virgo","Libra","Scorpio","Sagittarius","Capricorn","Aquarius","Pisces"},0),12)+1=1,ven,"·"),IF(MOD(MATCH(CALC_PlanetPositions!$B$13,{"Aries","Taurus","Gemini","Cancer","Leo","Virgo","Libra","Scorpio","Sagittarius","Capricorn","Aquarius","Pisces"},0)-MATCH(INPUT_Chart!$C$5,{"Aries","Taurus","Gemini","Cancer","Leo","Virgo","Libra","Scorpio","Sagittarius","Capricorn","Aquarius","Pisces"},0),12)+1=1,sat,"·"),IF(MOD(MATCH(CALC_PlanetPositions!$B$14,{"Aries","Taurus","Gemini","Cancer","Leo","Virgo","Libra","Scorpio","Sagittarius","Capricorn","Aquarius","Pisces"},0)-MATCH(INPUT_Chart!$C$5,{"Aries","Taurus","Gemini","Cancer","Leo","Virgo","Libra","Scorpio","Sagittarius","Capricorn","Aquarius","Pisces"},0),12)+1=1,rah,"·"),IF(MOD(MATCH(CALC_PlanetPositions!$B$15,{"Aries","Taurus","Gemini","Cancer","Leo","Virgo","Libra","Scorpio","Sagittarius","Capricorn","Aquarius","Pisces"},0)-MATCH(INPUT_Chart!$C$5,{"Aries","Taurus","Gemini","Cancer","Leo","Virgo","Libra","Scorpio","Sagittarius","Capricorn","Aquarius","Pisces"},0),12)+1=1,ket,"·")),"—")</f>
        <v>—</v>
      </c>
      <c r="D15" s="926" t="str">
        <f ca="1">IFERROR(_xludf.textjoin(" ",TRUE(),IF(MOD(MATCH(CALC_PlanetPositions!$B$7,{"Aries","Taurus","Gemini","Cancer","Leo","Virgo","Libra","Scorpio","Sagittarius","Capricorn","Aquarius","Pisces"},0)-MATCH(INPUT_Chart!$C$5,{"Aries","Taurus","Gemini","Cancer","Leo","Virgo","Libra","Scorpio","Sagittarius","Capricorn","Aquarius","Pisces"},0),12)+1=8,sun,"·"),IF(MOD(MATCH(CALC_PlanetPositions!$B$8,{"Aries","Taurus","Gemini","Cancer","Leo","Virgo","Libra","Scorpio","Sagittarius","Capricorn","Aquarius","Pisces"},0)-MATCH(INPUT_Chart!$C$5,{"Aries","Taurus","Gemini","Cancer","Leo","Virgo","Libra","Scorpio","Sagittarius","Capricorn","Aquarius","Pisces"},0),12)+1=8,moo,"·"),IF(MOD(MATCH(CALC_PlanetPositions!$B$9,{"Aries","Taurus","Gemini","Cancer","Leo","Virgo","Libra","Scorpio","Sagittarius","Capricorn","Aquarius","Pisces"},0)-MATCH(INPUT_Chart!$C$5,{"Aries","Taurus","Gemini","Cancer","Leo","Virgo","Libra","Scorpio","Sagittarius","Capricorn","Aquarius","Pisces"},0),12)+1=8,mar,"·"),IF(MOD(MATCH(CALC_PlanetPositions!$B$10,{"Aries","Taurus","Gemini","Cancer","Leo","Virgo","Libra","Scorpio","Sagittarius","Capricorn","Aquarius","Pisces"},0)-MATCH(INPUT_Chart!$C$5,{"Aries","Taurus","Gemini","Cancer","Leo","Virgo","Libra","Scorpio","Sagittarius","Capricorn","Aquarius","Pisces"},0),12)+1=8,mer,"·"),IF(MOD(MATCH(CALC_PlanetPositions!$B$11,{"Aries","Taurus","Gemini","Cancer","Leo","Virgo","Libra","Scorpio","Sagittarius","Capricorn","Aquarius","Pisces"},0)-MATCH(INPUT_Chart!$C$5,{"Aries","Taurus","Gemini","Cancer","Leo","Virgo","Libra","Scorpio","Sagittarius","Capricorn","Aquarius","Pisces"},0),12)+1=8,jup,"·"),IF(MOD(MATCH(CALC_PlanetPositions!$B$12,{"Aries","Taurus","Gemini","Cancer","Leo","Virgo","Libra","Scorpio","Sagittarius","Capricorn","Aquarius","Pisces"},0)-MATCH(INPUT_Chart!$C$5,{"Aries","Taurus","Gemini","Cancer","Leo","Virgo","Libra","Scorpio","Sagittarius","Capricorn","Aquarius","Pisces"},0),12)+1=8,ven,"·"),IF(MOD(MATCH(CALC_PlanetPositions!$B$13,{"Aries","Taurus","Gemini","Cancer","Leo","Virgo","Libra","Scorpio","Sagittarius","Capricorn","Aquarius","Pisces"},0)-MATCH(INPUT_Chart!$C$5,{"Aries","Taurus","Gemini","Cancer","Leo","Virgo","Libra","Scorpio","Sagittarius","Capricorn","Aquarius","Pisces"},0),12)+1=8,sat,"·"),IF(MOD(MATCH(CALC_PlanetPositions!$B$14,{"Aries","Taurus","Gemini","Cancer","Leo","Virgo","Libra","Scorpio","Sagittarius","Capricorn","Aquarius","Pisces"},0)-MATCH(INPUT_Chart!$C$5,{"Aries","Taurus","Gemini","Cancer","Leo","Virgo","Libra","Scorpio","Sagittarius","Capricorn","Aquarius","Pisces"},0),12)+1=8,rah,"·"),IF(MOD(MATCH(CALC_PlanetPositions!$B$15,{"Aries","Taurus","Gemini","Cancer","Leo","Virgo","Libra","Scorpio","Sagittarius","Capricorn","Aquarius","Pisces"},0)-MATCH(INPUT_Chart!$C$5,{"Aries","Taurus","Gemini","Cancer","Leo","Virgo","Libra","Scorpio","Sagittarius","Capricorn","Aquarius","Pisces"},0),12)+1=8,ket,"·")),"—")</f>
        <v>—</v>
      </c>
      <c r="E15" s="927" t="str">
        <f ca="1">IFERROR(_xludf.textjoin(" ",TRUE(),IF(MOD(MATCH(CALC_PlanetPositions!$B$7,{"Aries","Taurus","Gemini","Cancer","Leo","Virgo","Libra","Scorpio","Sagittarius","Capricorn","Aquarius","Pisces"},0)-MATCH(INPUT_Chart!$C$5,{"Aries","Taurus","Gemini","Cancer","Leo","Virgo","Libra","Scorpio","Sagittarius","Capricorn","Aquarius","Pisces"},0),12)+1=9,sun,"·"),IF(MOD(MATCH(CALC_PlanetPositions!$B$8,{"Aries","Taurus","Gemini","Cancer","Leo","Virgo","Libra","Scorpio","Sagittarius","Capricorn","Aquarius","Pisces"},0)-MATCH(INPUT_Chart!$C$5,{"Aries","Taurus","Gemini","Cancer","Leo","Virgo","Libra","Scorpio","Sagittarius","Capricorn","Aquarius","Pisces"},0),12)+1=9,moo,"·"),IF(MOD(MATCH(CALC_PlanetPositions!$B$9,{"Aries","Taurus","Gemini","Cancer","Leo","Virgo","Libra","Scorpio","Sagittarius","Capricorn","Aquarius","Pisces"},0)-MATCH(INPUT_Chart!$C$5,{"Aries","Taurus","Gemini","Cancer","Leo","Virgo","Libra","Scorpio","Sagittarius","Capricorn","Aquarius","Pisces"},0),12)+1=9,mar,"·"),IF(MOD(MATCH(CALC_PlanetPositions!$B$10,{"Aries","Taurus","Gemini","Cancer","Leo","Virgo","Libra","Scorpio","Sagittarius","Capricorn","Aquarius","Pisces"},0)-MATCH(INPUT_Chart!$C$5,{"Aries","Taurus","Gemini","Cancer","Leo","Virgo","Libra","Scorpio","Sagittarius","Capricorn","Aquarius","Pisces"},0),12)+1=9,mer,"·"),IF(MOD(MATCH(CALC_PlanetPositions!$B$11,{"Aries","Taurus","Gemini","Cancer","Leo","Virgo","Libra","Scorpio","Sagittarius","Capricorn","Aquarius","Pisces"},0)-MATCH(INPUT_Chart!$C$5,{"Aries","Taurus","Gemini","Cancer","Leo","Virgo","Libra","Scorpio","Sagittarius","Capricorn","Aquarius","Pisces"},0),12)+1=9,jup,"·"),IF(MOD(MATCH(CALC_PlanetPositions!$B$12,{"Aries","Taurus","Gemini","Cancer","Leo","Virgo","Libra","Scorpio","Sagittarius","Capricorn","Aquarius","Pisces"},0)-MATCH(INPUT_Chart!$C$5,{"Aries","Taurus","Gemini","Cancer","Leo","Virgo","Libra","Scorpio","Sagittarius","Capricorn","Aquarius","Pisces"},0),12)+1=9,ven,"·"),IF(MOD(MATCH(CALC_PlanetPositions!$B$13,{"Aries","Taurus","Gemini","Cancer","Leo","Virgo","Libra","Scorpio","Sagittarius","Capricorn","Aquarius","Pisces"},0)-MATCH(INPUT_Chart!$C$5,{"Aries","Taurus","Gemini","Cancer","Leo","Virgo","Libra","Scorpio","Sagittarius","Capricorn","Aquarius","Pisces"},0),12)+1=9,sat,"·"),IF(MOD(MATCH(CALC_PlanetPositions!$B$14,{"Aries","Taurus","Gemini","Cancer","Leo","Virgo","Libra","Scorpio","Sagittarius","Capricorn","Aquarius","Pisces"},0)-MATCH(INPUT_Chart!$C$5,{"Aries","Taurus","Gemini","Cancer","Leo","Virgo","Libra","Scorpio","Sagittarius","Capricorn","Aquarius","Pisces"},0),12)+1=9,rah,"·"),IF(MOD(MATCH(CALC_PlanetPositions!$B$15,{"Aries","Taurus","Gemini","Cancer","Leo","Virgo","Libra","Scorpio","Sagittarius","Capricorn","Aquarius","Pisces"},0)-MATCH(INPUT_Chart!$C$5,{"Aries","Taurus","Gemini","Cancer","Leo","Virgo","Libra","Scorpio","Sagittarius","Capricorn","Aquarius","Pisces"},0),12)+1=9,ket,"·")),"—")</f>
        <v>—</v>
      </c>
      <c r="F15" s="927" t="str">
        <f ca="1">IFERROR(_xludf.textjoin(" ",TRUE(),IF(MOD(MATCH(CALC_PlanetPositions!$B$7,{"Aries","Taurus","Gemini","Cancer","Leo","Virgo","Libra","Scorpio","Sagittarius","Capricorn","Aquarius","Pisces"},0)-MATCH(INPUT_Chart!$C$5,{"Aries","Taurus","Gemini","Cancer","Leo","Virgo","Libra","Scorpio","Sagittarius","Capricorn","Aquarius","Pisces"},0),12)+1=7,sun,"·"),IF(MOD(MATCH(CALC_PlanetPositions!$B$8,{"Aries","Taurus","Gemini","Cancer","Leo","Virgo","Libra","Scorpio","Sagittarius","Capricorn","Aquarius","Pisces"},0)-MATCH(INPUT_Chart!$C$5,{"Aries","Taurus","Gemini","Cancer","Leo","Virgo","Libra","Scorpio","Sagittarius","Capricorn","Aquarius","Pisces"},0),12)+1=7,moo,"·"),IF(MOD(MATCH(CALC_PlanetPositions!$B$9,{"Aries","Taurus","Gemini","Cancer","Leo","Virgo","Libra","Scorpio","Sagittarius","Capricorn","Aquarius","Pisces"},0)-MATCH(INPUT_Chart!$C$5,{"Aries","Taurus","Gemini","Cancer","Leo","Virgo","Libra","Scorpio","Sagittarius","Capricorn","Aquarius","Pisces"},0),12)+1=7,mar,"·"),IF(MOD(MATCH(CALC_PlanetPositions!$B$10,{"Aries","Taurus","Gemini","Cancer","Leo","Virgo","Libra","Scorpio","Sagittarius","Capricorn","Aquarius","Pisces"},0)-MATCH(INPUT_Chart!$C$5,{"Aries","Taurus","Gemini","Cancer","Leo","Virgo","Libra","Scorpio","Sagittarius","Capricorn","Aquarius","Pisces"},0),12)+1=7,mer,"·"),IF(MOD(MATCH(CALC_PlanetPositions!$B$11,{"Aries","Taurus","Gemini","Cancer","Leo","Virgo","Libra","Scorpio","Sagittarius","Capricorn","Aquarius","Pisces"},0)-MATCH(INPUT_Chart!$C$5,{"Aries","Taurus","Gemini","Cancer","Leo","Virgo","Libra","Scorpio","Sagittarius","Capricorn","Aquarius","Pisces"},0),12)+1=7,jup,"·"),IF(MOD(MATCH(CALC_PlanetPositions!$B$12,{"Aries","Taurus","Gemini","Cancer","Leo","Virgo","Libra","Scorpio","Sagittarius","Capricorn","Aquarius","Pisces"},0)-MATCH(INPUT_Chart!$C$5,{"Aries","Taurus","Gemini","Cancer","Leo","Virgo","Libra","Scorpio","Sagittarius","Capricorn","Aquarius","Pisces"},0),12)+1=7,ven,"·"),IF(MOD(MATCH(CALC_PlanetPositions!$B$13,{"Aries","Taurus","Gemini","Cancer","Leo","Virgo","Libra","Scorpio","Sagittarius","Capricorn","Aquarius","Pisces"},0)-MATCH(INPUT_Chart!$C$5,{"Aries","Taurus","Gemini","Cancer","Leo","Virgo","Libra","Scorpio","Sagittarius","Capricorn","Aquarius","Pisces"},0),12)+1=7,sat,"·"),IF(MOD(MATCH(CALC_PlanetPositions!$B$14,{"Aries","Taurus","Gemini","Cancer","Leo","Virgo","Libra","Scorpio","Sagittarius","Capricorn","Aquarius","Pisces"},0)-MATCH(INPUT_Chart!$C$5,{"Aries","Taurus","Gemini","Cancer","Leo","Virgo","Libra","Scorpio","Sagittarius","Capricorn","Aquarius","Pisces"},0),12)+1=7,rah,"·"),IF(MOD(MATCH(CALC_PlanetPositions!$B$15,{"Aries","Taurus","Gemini","Cancer","Leo","Virgo","Libra","Scorpio","Sagittarius","Capricorn","Aquarius","Pisces"},0)-MATCH(INPUT_Chart!$C$5,{"Aries","Taurus","Gemini","Cancer","Leo","Virgo","Libra","Scorpio","Sagittarius","Capricorn","Aquarius","Pisces"},0),12)+1=7,ket,"·")),"—")</f>
        <v>—</v>
      </c>
      <c r="G15" s="927" t="str">
        <f ca="1">IFERROR(_xludf.textjoin(" ",TRUE(),IF(MOD(MATCH(CALC_PlanetPositions!$B$7,{"Aries","Taurus","Gemini","Cancer","Leo","Virgo","Libra","Scorpio","Sagittarius","Capricorn","Aquarius","Pisces"},0)-MATCH(INPUT_Chart!$C$5,{"Aries","Taurus","Gemini","Cancer","Leo","Virgo","Libra","Scorpio","Sagittarius","Capricorn","Aquarius","Pisces"},0),12)+1=12,sun,"·"),IF(MOD(MATCH(CALC_PlanetPositions!$B$8,{"Aries","Taurus","Gemini","Cancer","Leo","Virgo","Libra","Scorpio","Sagittarius","Capricorn","Aquarius","Pisces"},0)-MATCH(INPUT_Chart!$C$5,{"Aries","Taurus","Gemini","Cancer","Leo","Virgo","Libra","Scorpio","Sagittarius","Capricorn","Aquarius","Pisces"},0),12)+1=12,moo,"·"),IF(MOD(MATCH(CALC_PlanetPositions!$B$9,{"Aries","Taurus","Gemini","Cancer","Leo","Virgo","Libra","Scorpio","Sagittarius","Capricorn","Aquarius","Pisces"},0)-MATCH(INPUT_Chart!$C$5,{"Aries","Taurus","Gemini","Cancer","Leo","Virgo","Libra","Scorpio","Sagittarius","Capricorn","Aquarius","Pisces"},0),12)+1=12,mar,"·"),IF(MOD(MATCH(CALC_PlanetPositions!$B$10,{"Aries","Taurus","Gemini","Cancer","Leo","Virgo","Libra","Scorpio","Sagittarius","Capricorn","Aquarius","Pisces"},0)-MATCH(INPUT_Chart!$C$5,{"Aries","Taurus","Gemini","Cancer","Leo","Virgo","Libra","Scorpio","Sagittarius","Capricorn","Aquarius","Pisces"},0),12)+1=12,mer,"·"),IF(MOD(MATCH(CALC_PlanetPositions!$B$11,{"Aries","Taurus","Gemini","Cancer","Leo","Virgo","Libra","Scorpio","Sagittarius","Capricorn","Aquarius","Pisces"},0)-MATCH(INPUT_Chart!$C$5,{"Aries","Taurus","Gemini","Cancer","Leo","Virgo","Libra","Scorpio","Sagittarius","Capricorn","Aquarius","Pisces"},0),12)+1=12,jup,"·"),IF(MOD(MATCH(CALC_PlanetPositions!$B$12,{"Aries","Taurus","Gemini","Cancer","Leo","Virgo","Libra","Scorpio","Sagittarius","Capricorn","Aquarius","Pisces"},0)-MATCH(INPUT_Chart!$C$5,{"Aries","Taurus","Gemini","Cancer","Leo","Virgo","Libra","Scorpio","Sagittarius","Capricorn","Aquarius","Pisces"},0),12)+1=12,ven,"·"),IF(MOD(MATCH(CALC_PlanetPositions!$B$13,{"Aries","Taurus","Gemini","Cancer","Leo","Virgo","Libra","Scorpio","Sagittarius","Capricorn","Aquarius","Pisces"},0)-MATCH(INPUT_Chart!$C$5,{"Aries","Taurus","Gemini","Cancer","Leo","Virgo","Libra","Scorpio","Sagittarius","Capricorn","Aquarius","Pisces"},0),12)+1=12,sat,"·"),IF(MOD(MATCH(CALC_PlanetPositions!$B$14,{"Aries","Taurus","Gemini","Cancer","Leo","Virgo","Libra","Scorpio","Sagittarius","Capricorn","Aquarius","Pisces"},0)-MATCH(INPUT_Chart!$C$5,{"Aries","Taurus","Gemini","Cancer","Leo","Virgo","Libra","Scorpio","Sagittarius","Capricorn","Aquarius","Pisces"},0),12)+1=12,rah,"·"),IF(MOD(MATCH(CALC_PlanetPositions!$B$15,{"Aries","Taurus","Gemini","Cancer","Leo","Virgo","Libra","Scorpio","Sagittarius","Capricorn","Aquarius","Pisces"},0)-MATCH(INPUT_Chart!$C$5,{"Aries","Taurus","Gemini","Cancer","Leo","Virgo","Libra","Scorpio","Sagittarius","Capricorn","Aquarius","Pisces"},0),12)+1=12,ket,"·")),"—")</f>
        <v>—</v>
      </c>
      <c r="H15" s="822">
        <v>0.25</v>
      </c>
    </row>
    <row r="16" spans="1:10" ht="18" customHeight="1" x14ac:dyDescent="0.2">
      <c r="A16" s="627">
        <v>12</v>
      </c>
      <c r="B16" s="928" t="str">
        <f ca="1">IFERROR(_xludf.textjoin(" ",TRUE(),IF(MOD(MATCH(CALC_PlanetPositions!$B$7,{"Aries","Taurus","Gemini","Cancer","Leo","Virgo","Libra","Scorpio","Sagittarius","Capricorn","Aquarius","Pisces"},0)-MATCH(INPUT_Chart!$C$5,{"Aries","Taurus","Gemini","Cancer","Leo","Virgo","Libra","Scorpio","Sagittarius","Capricorn","Aquarius","Pisces"},0),12)+1=12,sun,"·"),IF(MOD(MATCH(CALC_PlanetPositions!$B$8,{"Aries","Taurus","Gemini","Cancer","Leo","Virgo","Libra","Scorpio","Sagittarius","Capricorn","Aquarius","Pisces"},0)-MATCH(INPUT_Chart!$C$5,{"Aries","Taurus","Gemini","Cancer","Leo","Virgo","Libra","Scorpio","Sagittarius","Capricorn","Aquarius","Pisces"},0),12)+1=12,moo,"·"),IF(MOD(MATCH(CALC_PlanetPositions!$B$9,{"Aries","Taurus","Gemini","Cancer","Leo","Virgo","Libra","Scorpio","Sagittarius","Capricorn","Aquarius","Pisces"},0)-MATCH(INPUT_Chart!$C$5,{"Aries","Taurus","Gemini","Cancer","Leo","Virgo","Libra","Scorpio","Sagittarius","Capricorn","Aquarius","Pisces"},0),12)+1=12,mar,"·"),IF(MOD(MATCH(CALC_PlanetPositions!$B$10,{"Aries","Taurus","Gemini","Cancer","Leo","Virgo","Libra","Scorpio","Sagittarius","Capricorn","Aquarius","Pisces"},0)-MATCH(INPUT_Chart!$C$5,{"Aries","Taurus","Gemini","Cancer","Leo","Virgo","Libra","Scorpio","Sagittarius","Capricorn","Aquarius","Pisces"},0),12)+1=12,mer,"·"),IF(MOD(MATCH(CALC_PlanetPositions!$B$11,{"Aries","Taurus","Gemini","Cancer","Leo","Virgo","Libra","Scorpio","Sagittarius","Capricorn","Aquarius","Pisces"},0)-MATCH(INPUT_Chart!$C$5,{"Aries","Taurus","Gemini","Cancer","Leo","Virgo","Libra","Scorpio","Sagittarius","Capricorn","Aquarius","Pisces"},0),12)+1=12,jup,"·"),IF(MOD(MATCH(CALC_PlanetPositions!$B$12,{"Aries","Taurus","Gemini","Cancer","Leo","Virgo","Libra","Scorpio","Sagittarius","Capricorn","Aquarius","Pisces"},0)-MATCH(INPUT_Chart!$C$5,{"Aries","Taurus","Gemini","Cancer","Leo","Virgo","Libra","Scorpio","Sagittarius","Capricorn","Aquarius","Pisces"},0),12)+1=12,ven,"·"),IF(MOD(MATCH(CALC_PlanetPositions!$B$13,{"Aries","Taurus","Gemini","Cancer","Leo","Virgo","Libra","Scorpio","Sagittarius","Capricorn","Aquarius","Pisces"},0)-MATCH(INPUT_Chart!$C$5,{"Aries","Taurus","Gemini","Cancer","Leo","Virgo","Libra","Scorpio","Sagittarius","Capricorn","Aquarius","Pisces"},0),12)+1=12,sat,"·"),IF(MOD(MATCH(CALC_PlanetPositions!$B$14,{"Aries","Taurus","Gemini","Cancer","Leo","Virgo","Libra","Scorpio","Sagittarius","Capricorn","Aquarius","Pisces"},0)-MATCH(INPUT_Chart!$C$5,{"Aries","Taurus","Gemini","Cancer","Leo","Virgo","Libra","Scorpio","Sagittarius","Capricorn","Aquarius","Pisces"},0),12)+1=12,rah,"·"),IF(MOD(MATCH(CALC_PlanetPositions!$B$15,{"Aries","Taurus","Gemini","Cancer","Leo","Virgo","Libra","Scorpio","Sagittarius","Capricorn","Aquarius","Pisces"},0)-MATCH(INPUT_Chart!$C$5,{"Aries","Taurus","Gemini","Cancer","Leo","Virgo","Libra","Scorpio","Sagittarius","Capricorn","Aquarius","Pisces"},0),12)+1=12,ket,"·")),"—")</f>
        <v>—</v>
      </c>
      <c r="C16" s="928" t="str">
        <f ca="1">IFERROR(_xludf.textjoin(" ",TRUE(),IF(MOD(MATCH(CALC_PlanetPositions!$B$7,{"Aries","Taurus","Gemini","Cancer","Leo","Virgo","Libra","Scorpio","Sagittarius","Capricorn","Aquarius","Pisces"},0)-MATCH(INPUT_Chart!$C$5,{"Aries","Taurus","Gemini","Cancer","Leo","Virgo","Libra","Scorpio","Sagittarius","Capricorn","Aquarius","Pisces"},0),12)+1=2,sun,"·"),IF(MOD(MATCH(CALC_PlanetPositions!$B$8,{"Aries","Taurus","Gemini","Cancer","Leo","Virgo","Libra","Scorpio","Sagittarius","Capricorn","Aquarius","Pisces"},0)-MATCH(INPUT_Chart!$C$5,{"Aries","Taurus","Gemini","Cancer","Leo","Virgo","Libra","Scorpio","Sagittarius","Capricorn","Aquarius","Pisces"},0),12)+1=2,moo,"·"),IF(MOD(MATCH(CALC_PlanetPositions!$B$9,{"Aries","Taurus","Gemini","Cancer","Leo","Virgo","Libra","Scorpio","Sagittarius","Capricorn","Aquarius","Pisces"},0)-MATCH(INPUT_Chart!$C$5,{"Aries","Taurus","Gemini","Cancer","Leo","Virgo","Libra","Scorpio","Sagittarius","Capricorn","Aquarius","Pisces"},0),12)+1=2,mar,"·"),IF(MOD(MATCH(CALC_PlanetPositions!$B$10,{"Aries","Taurus","Gemini","Cancer","Leo","Virgo","Libra","Scorpio","Sagittarius","Capricorn","Aquarius","Pisces"},0)-MATCH(INPUT_Chart!$C$5,{"Aries","Taurus","Gemini","Cancer","Leo","Virgo","Libra","Scorpio","Sagittarius","Capricorn","Aquarius","Pisces"},0),12)+1=2,mer,"·"),IF(MOD(MATCH(CALC_PlanetPositions!$B$11,{"Aries","Taurus","Gemini","Cancer","Leo","Virgo","Libra","Scorpio","Sagittarius","Capricorn","Aquarius","Pisces"},0)-MATCH(INPUT_Chart!$C$5,{"Aries","Taurus","Gemini","Cancer","Leo","Virgo","Libra","Scorpio","Sagittarius","Capricorn","Aquarius","Pisces"},0),12)+1=2,jup,"·"),IF(MOD(MATCH(CALC_PlanetPositions!$B$12,{"Aries","Taurus","Gemini","Cancer","Leo","Virgo","Libra","Scorpio","Sagittarius","Capricorn","Aquarius","Pisces"},0)-MATCH(INPUT_Chart!$C$5,{"Aries","Taurus","Gemini","Cancer","Leo","Virgo","Libra","Scorpio","Sagittarius","Capricorn","Aquarius","Pisces"},0),12)+1=2,ven,"·"),IF(MOD(MATCH(CALC_PlanetPositions!$B$13,{"Aries","Taurus","Gemini","Cancer","Leo","Virgo","Libra","Scorpio","Sagittarius","Capricorn","Aquarius","Pisces"},0)-MATCH(INPUT_Chart!$C$5,{"Aries","Taurus","Gemini","Cancer","Leo","Virgo","Libra","Scorpio","Sagittarius","Capricorn","Aquarius","Pisces"},0),12)+1=2,sat,"·"),IF(MOD(MATCH(CALC_PlanetPositions!$B$14,{"Aries","Taurus","Gemini","Cancer","Leo","Virgo","Libra","Scorpio","Sagittarius","Capricorn","Aquarius","Pisces"},0)-MATCH(INPUT_Chart!$C$5,{"Aries","Taurus","Gemini","Cancer","Leo","Virgo","Libra","Scorpio","Sagittarius","Capricorn","Aquarius","Pisces"},0),12)+1=2,rah,"·"),IF(MOD(MATCH(CALC_PlanetPositions!$B$15,{"Aries","Taurus","Gemini","Cancer","Leo","Virgo","Libra","Scorpio","Sagittarius","Capricorn","Aquarius","Pisces"},0)-MATCH(INPUT_Chart!$C$5,{"Aries","Taurus","Gemini","Cancer","Leo","Virgo","Libra","Scorpio","Sagittarius","Capricorn","Aquarius","Pisces"},0),12)+1=2,ket,"·")),"—")</f>
        <v>—</v>
      </c>
      <c r="D16" s="928" t="str">
        <f ca="1">IFERROR(_xludf.textjoin(" ",TRUE(),IF(MOD(MATCH(CALC_PlanetPositions!$B$7,{"Aries","Taurus","Gemini","Cancer","Leo","Virgo","Libra","Scorpio","Sagittarius","Capricorn","Aquarius","Pisces"},0)-MATCH(INPUT_Chart!$C$5,{"Aries","Taurus","Gemini","Cancer","Leo","Virgo","Libra","Scorpio","Sagittarius","Capricorn","Aquarius","Pisces"},0),12)+1=9,sun,"·"),IF(MOD(MATCH(CALC_PlanetPositions!$B$8,{"Aries","Taurus","Gemini","Cancer","Leo","Virgo","Libra","Scorpio","Sagittarius","Capricorn","Aquarius","Pisces"},0)-MATCH(INPUT_Chart!$C$5,{"Aries","Taurus","Gemini","Cancer","Leo","Virgo","Libra","Scorpio","Sagittarius","Capricorn","Aquarius","Pisces"},0),12)+1=9,moo,"·"),IF(MOD(MATCH(CALC_PlanetPositions!$B$9,{"Aries","Taurus","Gemini","Cancer","Leo","Virgo","Libra","Scorpio","Sagittarius","Capricorn","Aquarius","Pisces"},0)-MATCH(INPUT_Chart!$C$5,{"Aries","Taurus","Gemini","Cancer","Leo","Virgo","Libra","Scorpio","Sagittarius","Capricorn","Aquarius","Pisces"},0),12)+1=9,mar,"·"),IF(MOD(MATCH(CALC_PlanetPositions!$B$10,{"Aries","Taurus","Gemini","Cancer","Leo","Virgo","Libra","Scorpio","Sagittarius","Capricorn","Aquarius","Pisces"},0)-MATCH(INPUT_Chart!$C$5,{"Aries","Taurus","Gemini","Cancer","Leo","Virgo","Libra","Scorpio","Sagittarius","Capricorn","Aquarius","Pisces"},0),12)+1=9,mer,"·"),IF(MOD(MATCH(CALC_PlanetPositions!$B$11,{"Aries","Taurus","Gemini","Cancer","Leo","Virgo","Libra","Scorpio","Sagittarius","Capricorn","Aquarius","Pisces"},0)-MATCH(INPUT_Chart!$C$5,{"Aries","Taurus","Gemini","Cancer","Leo","Virgo","Libra","Scorpio","Sagittarius","Capricorn","Aquarius","Pisces"},0),12)+1=9,jup,"·"),IF(MOD(MATCH(CALC_PlanetPositions!$B$12,{"Aries","Taurus","Gemini","Cancer","Leo","Virgo","Libra","Scorpio","Sagittarius","Capricorn","Aquarius","Pisces"},0)-MATCH(INPUT_Chart!$C$5,{"Aries","Taurus","Gemini","Cancer","Leo","Virgo","Libra","Scorpio","Sagittarius","Capricorn","Aquarius","Pisces"},0),12)+1=9,ven,"·"),IF(MOD(MATCH(CALC_PlanetPositions!$B$13,{"Aries","Taurus","Gemini","Cancer","Leo","Virgo","Libra","Scorpio","Sagittarius","Capricorn","Aquarius","Pisces"},0)-MATCH(INPUT_Chart!$C$5,{"Aries","Taurus","Gemini","Cancer","Leo","Virgo","Libra","Scorpio","Sagittarius","Capricorn","Aquarius","Pisces"},0),12)+1=9,sat,"·"),IF(MOD(MATCH(CALC_PlanetPositions!$B$14,{"Aries","Taurus","Gemini","Cancer","Leo","Virgo","Libra","Scorpio","Sagittarius","Capricorn","Aquarius","Pisces"},0)-MATCH(INPUT_Chart!$C$5,{"Aries","Taurus","Gemini","Cancer","Leo","Virgo","Libra","Scorpio","Sagittarius","Capricorn","Aquarius","Pisces"},0),12)+1=9,rah,"·"),IF(MOD(MATCH(CALC_PlanetPositions!$B$15,{"Aries","Taurus","Gemini","Cancer","Leo","Virgo","Libra","Scorpio","Sagittarius","Capricorn","Aquarius","Pisces"},0)-MATCH(INPUT_Chart!$C$5,{"Aries","Taurus","Gemini","Cancer","Leo","Virgo","Libra","Scorpio","Sagittarius","Capricorn","Aquarius","Pisces"},0),12)+1=9,ket,"·")),"—")</f>
        <v>—</v>
      </c>
      <c r="E16" s="929" t="str">
        <f ca="1">IFERROR(_xludf.textjoin(" ",TRUE(),IF(MOD(MATCH(CALC_PlanetPositions!$B$7,{"Aries","Taurus","Gemini","Cancer","Leo","Virgo","Libra","Scorpio","Sagittarius","Capricorn","Aquarius","Pisces"},0)-MATCH(INPUT_Chart!$C$5,{"Aries","Taurus","Gemini","Cancer","Leo","Virgo","Libra","Scorpio","Sagittarius","Capricorn","Aquarius","Pisces"},0),12)+1=10,sun,"·"),IF(MOD(MATCH(CALC_PlanetPositions!$B$8,{"Aries","Taurus","Gemini","Cancer","Leo","Virgo","Libra","Scorpio","Sagittarius","Capricorn","Aquarius","Pisces"},0)-MATCH(INPUT_Chart!$C$5,{"Aries","Taurus","Gemini","Cancer","Leo","Virgo","Libra","Scorpio","Sagittarius","Capricorn","Aquarius","Pisces"},0),12)+1=10,moo,"·"),IF(MOD(MATCH(CALC_PlanetPositions!$B$9,{"Aries","Taurus","Gemini","Cancer","Leo","Virgo","Libra","Scorpio","Sagittarius","Capricorn","Aquarius","Pisces"},0)-MATCH(INPUT_Chart!$C$5,{"Aries","Taurus","Gemini","Cancer","Leo","Virgo","Libra","Scorpio","Sagittarius","Capricorn","Aquarius","Pisces"},0),12)+1=10,mar,"·"),IF(MOD(MATCH(CALC_PlanetPositions!$B$10,{"Aries","Taurus","Gemini","Cancer","Leo","Virgo","Libra","Scorpio","Sagittarius","Capricorn","Aquarius","Pisces"},0)-MATCH(INPUT_Chart!$C$5,{"Aries","Taurus","Gemini","Cancer","Leo","Virgo","Libra","Scorpio","Sagittarius","Capricorn","Aquarius","Pisces"},0),12)+1=10,mer,"·"),IF(MOD(MATCH(CALC_PlanetPositions!$B$11,{"Aries","Taurus","Gemini","Cancer","Leo","Virgo","Libra","Scorpio","Sagittarius","Capricorn","Aquarius","Pisces"},0)-MATCH(INPUT_Chart!$C$5,{"Aries","Taurus","Gemini","Cancer","Leo","Virgo","Libra","Scorpio","Sagittarius","Capricorn","Aquarius","Pisces"},0),12)+1=10,jup,"·"),IF(MOD(MATCH(CALC_PlanetPositions!$B$12,{"Aries","Taurus","Gemini","Cancer","Leo","Virgo","Libra","Scorpio","Sagittarius","Capricorn","Aquarius","Pisces"},0)-MATCH(INPUT_Chart!$C$5,{"Aries","Taurus","Gemini","Cancer","Leo","Virgo","Libra","Scorpio","Sagittarius","Capricorn","Aquarius","Pisces"},0),12)+1=10,ven,"·"),IF(MOD(MATCH(CALC_PlanetPositions!$B$13,{"Aries","Taurus","Gemini","Cancer","Leo","Virgo","Libra","Scorpio","Sagittarius","Capricorn","Aquarius","Pisces"},0)-MATCH(INPUT_Chart!$C$5,{"Aries","Taurus","Gemini","Cancer","Leo","Virgo","Libra","Scorpio","Sagittarius","Capricorn","Aquarius","Pisces"},0),12)+1=10,sat,"·"),IF(MOD(MATCH(CALC_PlanetPositions!$B$14,{"Aries","Taurus","Gemini","Cancer","Leo","Virgo","Libra","Scorpio","Sagittarius","Capricorn","Aquarius","Pisces"},0)-MATCH(INPUT_Chart!$C$5,{"Aries","Taurus","Gemini","Cancer","Leo","Virgo","Libra","Scorpio","Sagittarius","Capricorn","Aquarius","Pisces"},0),12)+1=10,rah,"·"),IF(MOD(MATCH(CALC_PlanetPositions!$B$15,{"Aries","Taurus","Gemini","Cancer","Leo","Virgo","Libra","Scorpio","Sagittarius","Capricorn","Aquarius","Pisces"},0)-MATCH(INPUT_Chart!$C$5,{"Aries","Taurus","Gemini","Cancer","Leo","Virgo","Libra","Scorpio","Sagittarius","Capricorn","Aquarius","Pisces"},0),12)+1=10,ket,"·")),"—")</f>
        <v>—</v>
      </c>
      <c r="F16" s="929" t="str">
        <f ca="1">IFERROR(_xludf.textjoin(" ",TRUE(),IF(MOD(MATCH(CALC_PlanetPositions!$B$7,{"Aries","Taurus","Gemini","Cancer","Leo","Virgo","Libra","Scorpio","Sagittarius","Capricorn","Aquarius","Pisces"},0)-MATCH(INPUT_Chart!$C$5,{"Aries","Taurus","Gemini","Cancer","Leo","Virgo","Libra","Scorpio","Sagittarius","Capricorn","Aquarius","Pisces"},0),12)+1=8,sun,"·"),IF(MOD(MATCH(CALC_PlanetPositions!$B$8,{"Aries","Taurus","Gemini","Cancer","Leo","Virgo","Libra","Scorpio","Sagittarius","Capricorn","Aquarius","Pisces"},0)-MATCH(INPUT_Chart!$C$5,{"Aries","Taurus","Gemini","Cancer","Leo","Virgo","Libra","Scorpio","Sagittarius","Capricorn","Aquarius","Pisces"},0),12)+1=8,moo,"·"),IF(MOD(MATCH(CALC_PlanetPositions!$B$9,{"Aries","Taurus","Gemini","Cancer","Leo","Virgo","Libra","Scorpio","Sagittarius","Capricorn","Aquarius","Pisces"},0)-MATCH(INPUT_Chart!$C$5,{"Aries","Taurus","Gemini","Cancer","Leo","Virgo","Libra","Scorpio","Sagittarius","Capricorn","Aquarius","Pisces"},0),12)+1=8,mar,"·"),IF(MOD(MATCH(CALC_PlanetPositions!$B$10,{"Aries","Taurus","Gemini","Cancer","Leo","Virgo","Libra","Scorpio","Sagittarius","Capricorn","Aquarius","Pisces"},0)-MATCH(INPUT_Chart!$C$5,{"Aries","Taurus","Gemini","Cancer","Leo","Virgo","Libra","Scorpio","Sagittarius","Capricorn","Aquarius","Pisces"},0),12)+1=8,mer,"·"),IF(MOD(MATCH(CALC_PlanetPositions!$B$11,{"Aries","Taurus","Gemini","Cancer","Leo","Virgo","Libra","Scorpio","Sagittarius","Capricorn","Aquarius","Pisces"},0)-MATCH(INPUT_Chart!$C$5,{"Aries","Taurus","Gemini","Cancer","Leo","Virgo","Libra","Scorpio","Sagittarius","Capricorn","Aquarius","Pisces"},0),12)+1=8,jup,"·"),IF(MOD(MATCH(CALC_PlanetPositions!$B$12,{"Aries","Taurus","Gemini","Cancer","Leo","Virgo","Libra","Scorpio","Sagittarius","Capricorn","Aquarius","Pisces"},0)-MATCH(INPUT_Chart!$C$5,{"Aries","Taurus","Gemini","Cancer","Leo","Virgo","Libra","Scorpio","Sagittarius","Capricorn","Aquarius","Pisces"},0),12)+1=8,ven,"·"),IF(MOD(MATCH(CALC_PlanetPositions!$B$13,{"Aries","Taurus","Gemini","Cancer","Leo","Virgo","Libra","Scorpio","Sagittarius","Capricorn","Aquarius","Pisces"},0)-MATCH(INPUT_Chart!$C$5,{"Aries","Taurus","Gemini","Cancer","Leo","Virgo","Libra","Scorpio","Sagittarius","Capricorn","Aquarius","Pisces"},0),12)+1=8,sat,"·"),IF(MOD(MATCH(CALC_PlanetPositions!$B$14,{"Aries","Taurus","Gemini","Cancer","Leo","Virgo","Libra","Scorpio","Sagittarius","Capricorn","Aquarius","Pisces"},0)-MATCH(INPUT_Chart!$C$5,{"Aries","Taurus","Gemini","Cancer","Leo","Virgo","Libra","Scorpio","Sagittarius","Capricorn","Aquarius","Pisces"},0),12)+1=8,rah,"·"),IF(MOD(MATCH(CALC_PlanetPositions!$B$15,{"Aries","Taurus","Gemini","Cancer","Leo","Virgo","Libra","Scorpio","Sagittarius","Capricorn","Aquarius","Pisces"},0)-MATCH(INPUT_Chart!$C$5,{"Aries","Taurus","Gemini","Cancer","Leo","Virgo","Libra","Scorpio","Sagittarius","Capricorn","Aquarius","Pisces"},0),12)+1=8,ket,"·")),"—")</f>
        <v>—</v>
      </c>
      <c r="G16" s="929" t="str">
        <f ca="1">IFERROR(_xludf.textjoin(" ",TRUE(),IF(MOD(MATCH(CALC_PlanetPositions!$B$7,{"Aries","Taurus","Gemini","Cancer","Leo","Virgo","Libra","Scorpio","Sagittarius","Capricorn","Aquarius","Pisces"},0)-MATCH(INPUT_Chart!$C$5,{"Aries","Taurus","Gemini","Cancer","Leo","Virgo","Libra","Scorpio","Sagittarius","Capricorn","Aquarius","Pisces"},0),12)+1=1,sun,"·"),IF(MOD(MATCH(CALC_PlanetPositions!$B$8,{"Aries","Taurus","Gemini","Cancer","Leo","Virgo","Libra","Scorpio","Sagittarius","Capricorn","Aquarius","Pisces"},0)-MATCH(INPUT_Chart!$C$5,{"Aries","Taurus","Gemini","Cancer","Leo","Virgo","Libra","Scorpio","Sagittarius","Capricorn","Aquarius","Pisces"},0),12)+1=1,moo,"·"),IF(MOD(MATCH(CALC_PlanetPositions!$B$9,{"Aries","Taurus","Gemini","Cancer","Leo","Virgo","Libra","Scorpio","Sagittarius","Capricorn","Aquarius","Pisces"},0)-MATCH(INPUT_Chart!$C$5,{"Aries","Taurus","Gemini","Cancer","Leo","Virgo","Libra","Scorpio","Sagittarius","Capricorn","Aquarius","Pisces"},0),12)+1=1,mar,"·"),IF(MOD(MATCH(CALC_PlanetPositions!$B$10,{"Aries","Taurus","Gemini","Cancer","Leo","Virgo","Libra","Scorpio","Sagittarius","Capricorn","Aquarius","Pisces"},0)-MATCH(INPUT_Chart!$C$5,{"Aries","Taurus","Gemini","Cancer","Leo","Virgo","Libra","Scorpio","Sagittarius","Capricorn","Aquarius","Pisces"},0),12)+1=1,mer,"·"),IF(MOD(MATCH(CALC_PlanetPositions!$B$11,{"Aries","Taurus","Gemini","Cancer","Leo","Virgo","Libra","Scorpio","Sagittarius","Capricorn","Aquarius","Pisces"},0)-MATCH(INPUT_Chart!$C$5,{"Aries","Taurus","Gemini","Cancer","Leo","Virgo","Libra","Scorpio","Sagittarius","Capricorn","Aquarius","Pisces"},0),12)+1=1,jup,"·"),IF(MOD(MATCH(CALC_PlanetPositions!$B$12,{"Aries","Taurus","Gemini","Cancer","Leo","Virgo","Libra","Scorpio","Sagittarius","Capricorn","Aquarius","Pisces"},0)-MATCH(INPUT_Chart!$C$5,{"Aries","Taurus","Gemini","Cancer","Leo","Virgo","Libra","Scorpio","Sagittarius","Capricorn","Aquarius","Pisces"},0),12)+1=1,ven,"·"),IF(MOD(MATCH(CALC_PlanetPositions!$B$13,{"Aries","Taurus","Gemini","Cancer","Leo","Virgo","Libra","Scorpio","Sagittarius","Capricorn","Aquarius","Pisces"},0)-MATCH(INPUT_Chart!$C$5,{"Aries","Taurus","Gemini","Cancer","Leo","Virgo","Libra","Scorpio","Sagittarius","Capricorn","Aquarius","Pisces"},0),12)+1=1,sat,"·"),IF(MOD(MATCH(CALC_PlanetPositions!$B$14,{"Aries","Taurus","Gemini","Cancer","Leo","Virgo","Libra","Scorpio","Sagittarius","Capricorn","Aquarius","Pisces"},0)-MATCH(INPUT_Chart!$C$5,{"Aries","Taurus","Gemini","Cancer","Leo","Virgo","Libra","Scorpio","Sagittarius","Capricorn","Aquarius","Pisces"},0),12)+1=1,rah,"·"),IF(MOD(MATCH(CALC_PlanetPositions!$B$15,{"Aries","Taurus","Gemini","Cancer","Leo","Virgo","Libra","Scorpio","Sagittarius","Capricorn","Aquarius","Pisces"},0)-MATCH(INPUT_Chart!$C$5,{"Aries","Taurus","Gemini","Cancer","Leo","Virgo","Libra","Scorpio","Sagittarius","Capricorn","Aquarius","Pisces"},0),12)+1=1,ket,"·")),"—")</f>
        <v>—</v>
      </c>
      <c r="H16" s="828">
        <v>0.25</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20"/>
  <sheetViews>
    <sheetView zoomScaleNormal="100" workbookViewId="0"/>
  </sheetViews>
  <sheetFormatPr defaultColWidth="8.609375" defaultRowHeight="15" x14ac:dyDescent="0.2"/>
  <cols>
    <col min="1" max="1" width="4.9765625" customWidth="1"/>
    <col min="2" max="2" width="22.05859375" customWidth="1"/>
    <col min="3" max="3" width="16.0078125" customWidth="1"/>
    <col min="4" max="4" width="11.97265625" customWidth="1"/>
    <col min="5" max="6" width="20.04296875" customWidth="1"/>
    <col min="7" max="7" width="9.953125" customWidth="1"/>
    <col min="8" max="8" width="50.04296875" customWidth="1"/>
  </cols>
  <sheetData>
    <row r="1" spans="1:12" ht="15" customHeight="1" x14ac:dyDescent="0.2">
      <c r="A1" s="930" t="s">
        <v>4051</v>
      </c>
      <c r="L1" t="str">
        <f>HYPERLINK("#'00_INDEX'!A1","← Index")</f>
        <v>← Index</v>
      </c>
    </row>
    <row r="2" spans="1:12" ht="15" customHeight="1" x14ac:dyDescent="0.2">
      <c r="A2" t="s">
        <v>4052</v>
      </c>
    </row>
    <row r="4" spans="1:12" ht="15" customHeight="1" x14ac:dyDescent="0.2">
      <c r="A4" s="868" t="s">
        <v>2276</v>
      </c>
      <c r="B4" s="868" t="s">
        <v>3192</v>
      </c>
      <c r="C4" s="868" t="s">
        <v>4053</v>
      </c>
      <c r="D4" s="868" t="s">
        <v>4054</v>
      </c>
      <c r="E4" s="868" t="s">
        <v>4055</v>
      </c>
      <c r="F4" s="868" t="s">
        <v>4056</v>
      </c>
      <c r="G4" s="868" t="s">
        <v>2310</v>
      </c>
      <c r="H4" s="868" t="s">
        <v>2045</v>
      </c>
    </row>
    <row r="5" spans="1:12" ht="15" customHeight="1" x14ac:dyDescent="0.2">
      <c r="A5">
        <v>1</v>
      </c>
      <c r="B5" t="s">
        <v>1801</v>
      </c>
      <c r="C5" t="s">
        <v>844</v>
      </c>
      <c r="D5" s="931">
        <f>IFERROR(SCORE_AllHouses!$J$5,0)</f>
        <v>-0.5</v>
      </c>
      <c r="E5" s="931">
        <f>IFERROR(SCORE_AllHouses!$J$5,0)</f>
        <v>-0.5</v>
      </c>
      <c r="F5" t="str">
        <f t="shared" ref="F5:F16" si="0">IFERROR(IF(D5&gt;2,"Yes — both strong",IF(AND(D5&lt;-2,E5&lt;-2),"Doubly weak","—")),"—")</f>
        <v>—</v>
      </c>
      <c r="G5">
        <f t="shared" ref="G5:G16" si="1">IFERROR(IF(AND(D5&gt;2,E5&gt;2),0.25,IF(AND(D5&lt;-2,E5&lt;-2),-0.25,0)),0)</f>
        <v>0</v>
      </c>
      <c r="H5" t="str">
        <f>IFERROR(IF(G5=0.25,"H1 reinforced — both H1 and H1 strong",IF(G5=-0.25,"H1 doubly weak — H1 also afflicted","H1 — neutral")),"—")</f>
        <v>H1 — neutral</v>
      </c>
    </row>
    <row r="6" spans="1:12" ht="15" customHeight="1" x14ac:dyDescent="0.2">
      <c r="A6" s="932">
        <v>2</v>
      </c>
      <c r="B6" s="932" t="s">
        <v>1814</v>
      </c>
      <c r="C6" s="932" t="s">
        <v>847</v>
      </c>
      <c r="D6" s="933">
        <f>IFERROR(SCORE_AllHouses!$J$6,0)</f>
        <v>-2.25</v>
      </c>
      <c r="E6" s="933">
        <f>IFERROR(SCORE_AllHouses!$J$7,0)</f>
        <v>-0.5</v>
      </c>
      <c r="F6" s="932" t="str">
        <f t="shared" si="0"/>
        <v>—</v>
      </c>
      <c r="G6" s="932">
        <f t="shared" si="1"/>
        <v>0</v>
      </c>
      <c r="H6" s="932" t="str">
        <f>IFERROR(IF(G6=0.25,"H2 reinforced — both H2 and H3 strong",IF(G6=-0.25,"H2 doubly weak — H3 also afflicted","H2 — neutral")),"—")</f>
        <v>H2 — neutral</v>
      </c>
    </row>
    <row r="7" spans="1:12" ht="15" customHeight="1" x14ac:dyDescent="0.2">
      <c r="A7">
        <v>3</v>
      </c>
      <c r="B7" t="s">
        <v>1829</v>
      </c>
      <c r="C7" t="s">
        <v>1545</v>
      </c>
      <c r="D7" s="931">
        <f>IFERROR(SCORE_AllHouses!$J$7,0)</f>
        <v>-0.5</v>
      </c>
      <c r="E7" s="931">
        <f>IFERROR(SCORE_AllHouses!$J$9,0)</f>
        <v>1.25</v>
      </c>
      <c r="F7" t="str">
        <f t="shared" si="0"/>
        <v>—</v>
      </c>
      <c r="G7">
        <f t="shared" si="1"/>
        <v>0</v>
      </c>
      <c r="H7" t="str">
        <f>IFERROR(IF(G7=0.25,"H3 reinforced — both H3 and H5 strong",IF(G7=-0.25,"H3 doubly weak — H5 also afflicted","H3 — neutral")),"—")</f>
        <v>H3 — neutral</v>
      </c>
    </row>
    <row r="8" spans="1:12" ht="15" customHeight="1" x14ac:dyDescent="0.2">
      <c r="A8" s="932">
        <v>4</v>
      </c>
      <c r="B8" s="932" t="s">
        <v>1844</v>
      </c>
      <c r="C8" s="932" t="s">
        <v>846</v>
      </c>
      <c r="D8" s="933">
        <f>IFERROR(SCORE_AllHouses!$J$8,0)</f>
        <v>1</v>
      </c>
      <c r="E8" s="933">
        <f>IFERROR(SCORE_AllHouses!$J$11,0)</f>
        <v>-2.5</v>
      </c>
      <c r="F8" s="932" t="str">
        <f t="shared" si="0"/>
        <v>—</v>
      </c>
      <c r="G8" s="932">
        <f t="shared" si="1"/>
        <v>0</v>
      </c>
      <c r="H8" s="932" t="str">
        <f>IFERROR(IF(G8=0.25,"H4 reinforced — both H4 and H7 strong",IF(G8=-0.25,"H4 doubly weak — H7 also afflicted","H4 — neutral")),"—")</f>
        <v>H4 — neutral</v>
      </c>
    </row>
    <row r="9" spans="1:12" ht="15" customHeight="1" x14ac:dyDescent="0.2">
      <c r="A9">
        <v>5</v>
      </c>
      <c r="B9" t="s">
        <v>1859</v>
      </c>
      <c r="C9" t="s">
        <v>848</v>
      </c>
      <c r="D9" s="931">
        <f>IFERROR(SCORE_AllHouses!$J$9,0)</f>
        <v>1.25</v>
      </c>
      <c r="E9" s="931">
        <f>IFERROR(SCORE_AllHouses!$J$13,0)</f>
        <v>-1.75</v>
      </c>
      <c r="F9" t="str">
        <f t="shared" si="0"/>
        <v>—</v>
      </c>
      <c r="G9">
        <f t="shared" si="1"/>
        <v>0</v>
      </c>
      <c r="H9" t="str">
        <f>IFERROR(IF(G9=0.25,"H5 reinforced — both H5 and H9 strong",IF(G9=-0.25,"H5 doubly weak — H9 also afflicted","H5 — neutral")),"—")</f>
        <v>H5 — neutral</v>
      </c>
    </row>
    <row r="10" spans="1:12" ht="15" customHeight="1" x14ac:dyDescent="0.2">
      <c r="A10" s="932">
        <v>6</v>
      </c>
      <c r="B10" s="932" t="s">
        <v>1873</v>
      </c>
      <c r="C10" s="932" t="s">
        <v>1548</v>
      </c>
      <c r="D10" s="933">
        <f>IFERROR(SCORE_AllHouses!$J$10,0)</f>
        <v>0</v>
      </c>
      <c r="E10" s="933">
        <f>IFERROR(SCORE_AllHouses!$J$15,0)</f>
        <v>-2</v>
      </c>
      <c r="F10" s="932" t="str">
        <f t="shared" si="0"/>
        <v>—</v>
      </c>
      <c r="G10" s="932">
        <f t="shared" si="1"/>
        <v>0</v>
      </c>
      <c r="H10" s="932" t="str">
        <f>IFERROR(IF(G10=0.25,"H6 reinforced — both H6 and H11 strong",IF(G10=-0.25,"H6 doubly weak — H11 also afflicted","H6 — neutral")),"—")</f>
        <v>H6 — neutral</v>
      </c>
    </row>
    <row r="11" spans="1:12" ht="15" customHeight="1" x14ac:dyDescent="0.2">
      <c r="A11">
        <v>7</v>
      </c>
      <c r="B11" t="s">
        <v>1888</v>
      </c>
      <c r="C11" t="s">
        <v>844</v>
      </c>
      <c r="D11" s="931">
        <f>IFERROR(SCORE_AllHouses!$J$11,0)</f>
        <v>-2.5</v>
      </c>
      <c r="E11" s="931">
        <f>IFERROR(SCORE_AllHouses!$J$5,0)</f>
        <v>-0.5</v>
      </c>
      <c r="F11" t="str">
        <f t="shared" si="0"/>
        <v>—</v>
      </c>
      <c r="G11">
        <f t="shared" si="1"/>
        <v>0</v>
      </c>
      <c r="H11" t="str">
        <f>IFERROR(IF(G11=0.25,"H7 reinforced — both H7 and H1 strong",IF(G11=-0.25,"H7 doubly weak — H1 also afflicted","H7 — neutral")),"—")</f>
        <v>H7 — neutral</v>
      </c>
    </row>
    <row r="12" spans="1:12" ht="15" customHeight="1" x14ac:dyDescent="0.2">
      <c r="A12" s="932">
        <v>8</v>
      </c>
      <c r="B12" s="932" t="s">
        <v>1903</v>
      </c>
      <c r="C12" s="932" t="s">
        <v>847</v>
      </c>
      <c r="D12" s="933">
        <f>IFERROR(SCORE_AllHouses!$J$12,0)</f>
        <v>-2</v>
      </c>
      <c r="E12" s="933">
        <f>IFERROR(SCORE_AllHouses!$J$7,0)</f>
        <v>-0.5</v>
      </c>
      <c r="F12" s="932" t="str">
        <f t="shared" si="0"/>
        <v>—</v>
      </c>
      <c r="G12" s="932">
        <f t="shared" si="1"/>
        <v>0</v>
      </c>
      <c r="H12" s="932" t="str">
        <f>IFERROR(IF(G12=0.25,"H8 reinforced — both H8 and H3 strong",IF(G12=-0.25,"H8 doubly weak — H3 also afflicted","H8 — neutral")),"—")</f>
        <v>H8 — neutral</v>
      </c>
    </row>
    <row r="13" spans="1:12" ht="15" customHeight="1" x14ac:dyDescent="0.2">
      <c r="A13">
        <v>9</v>
      </c>
      <c r="B13" t="s">
        <v>1917</v>
      </c>
      <c r="C13" t="s">
        <v>1545</v>
      </c>
      <c r="D13" s="931">
        <f>IFERROR(SCORE_AllHouses!$J$13,0)</f>
        <v>-1.75</v>
      </c>
      <c r="E13" s="931">
        <f>IFERROR(SCORE_AllHouses!$J$9,0)</f>
        <v>1.25</v>
      </c>
      <c r="F13" t="str">
        <f t="shared" si="0"/>
        <v>—</v>
      </c>
      <c r="G13">
        <f t="shared" si="1"/>
        <v>0</v>
      </c>
      <c r="H13" t="str">
        <f>IFERROR(IF(G13=0.25,"H9 reinforced — both H9 and H5 strong",IF(G13=-0.25,"H9 doubly weak — H5 also afflicted","H9 — neutral")),"—")</f>
        <v>H9 — neutral</v>
      </c>
    </row>
    <row r="14" spans="1:12" ht="15" customHeight="1" x14ac:dyDescent="0.2">
      <c r="A14" s="932">
        <v>10</v>
      </c>
      <c r="B14" s="932" t="s">
        <v>1932</v>
      </c>
      <c r="C14" s="932" t="s">
        <v>846</v>
      </c>
      <c r="D14" s="933">
        <f>IFERROR(SCORE_AllHouses!$J$14,0)</f>
        <v>-1</v>
      </c>
      <c r="E14" s="933">
        <f>IFERROR(SCORE_AllHouses!$J$11,0)</f>
        <v>-2.5</v>
      </c>
      <c r="F14" s="932" t="str">
        <f t="shared" si="0"/>
        <v>—</v>
      </c>
      <c r="G14" s="932">
        <f t="shared" si="1"/>
        <v>0</v>
      </c>
      <c r="H14" s="932" t="str">
        <f>IFERROR(IF(G14=0.25,"H10 reinforced — both H10 and H7 strong",IF(G14=-0.25,"H10 doubly weak — H7 also afflicted","H10 — neutral")),"—")</f>
        <v>H10 — neutral</v>
      </c>
    </row>
    <row r="15" spans="1:12" ht="15" customHeight="1" x14ac:dyDescent="0.2">
      <c r="A15">
        <v>11</v>
      </c>
      <c r="B15" t="s">
        <v>1947</v>
      </c>
      <c r="C15" t="s">
        <v>848</v>
      </c>
      <c r="D15" s="931">
        <f>IFERROR(SCORE_AllHouses!$J$15,0)</f>
        <v>-2</v>
      </c>
      <c r="E15" s="931">
        <f>IFERROR(SCORE_AllHouses!$J$13,0)</f>
        <v>-1.75</v>
      </c>
      <c r="F15" t="str">
        <f t="shared" si="0"/>
        <v>—</v>
      </c>
      <c r="G15">
        <f t="shared" si="1"/>
        <v>0</v>
      </c>
      <c r="H15" t="str">
        <f>IFERROR(IF(G15=0.25,"H11 reinforced — both H11 and H9 strong",IF(G15=-0.25,"H11 doubly weak — H9 also afflicted","H11 — neutral")),"—")</f>
        <v>H11 — neutral</v>
      </c>
    </row>
    <row r="16" spans="1:12" ht="15" customHeight="1" x14ac:dyDescent="0.2">
      <c r="A16" s="932">
        <v>12</v>
      </c>
      <c r="B16" s="932" t="s">
        <v>1960</v>
      </c>
      <c r="C16" s="932" t="s">
        <v>1548</v>
      </c>
      <c r="D16" s="933">
        <f>IFERROR(SCORE_AllHouses!$J$16,0)</f>
        <v>-0.25</v>
      </c>
      <c r="E16" s="933">
        <f>IFERROR(SCORE_AllHouses!$J$15,0)</f>
        <v>-2</v>
      </c>
      <c r="F16" s="932" t="str">
        <f t="shared" si="0"/>
        <v>—</v>
      </c>
      <c r="G16" s="932">
        <f t="shared" si="1"/>
        <v>0</v>
      </c>
      <c r="H16" s="932" t="str">
        <f>IFERROR(IF(G16=0.25,"H12 reinforced — both H12 and H11 strong",IF(G16=-0.25,"H12 doubly weak — H11 also afflicted","H12 — neutral")),"—")</f>
        <v>H12 — neutral</v>
      </c>
    </row>
    <row r="18" spans="1:1" ht="15" customHeight="1" x14ac:dyDescent="0.2">
      <c r="A18" t="s">
        <v>4057</v>
      </c>
    </row>
    <row r="19" spans="1:1" ht="15" customHeight="1" x14ac:dyDescent="0.2">
      <c r="A19" t="s">
        <v>4058</v>
      </c>
    </row>
    <row r="20" spans="1:1" ht="15" customHeight="1" x14ac:dyDescent="0.2">
      <c r="A20" s="934" t="s">
        <v>4059</v>
      </c>
    </row>
  </sheetData>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6A1B9A"/>
  </sheetPr>
  <dimension ref="A1:J23"/>
  <sheetViews>
    <sheetView zoomScaleNormal="100" workbookViewId="0"/>
  </sheetViews>
  <sheetFormatPr defaultColWidth="8.609375" defaultRowHeight="15" x14ac:dyDescent="0.2"/>
  <cols>
    <col min="1" max="1" width="6.05078125" customWidth="1"/>
    <col min="2" max="3" width="16.0078125" customWidth="1"/>
    <col min="4" max="7" width="13.98828125" customWidth="1"/>
    <col min="8" max="8" width="39.953125" customWidth="1"/>
  </cols>
  <sheetData>
    <row r="1" spans="1:10" ht="21.75" customHeight="1" x14ac:dyDescent="0.2">
      <c r="A1" s="1522" t="s">
        <v>4060</v>
      </c>
      <c r="B1" s="1522"/>
      <c r="C1" s="1522"/>
      <c r="D1" s="1522"/>
      <c r="E1" s="1522"/>
      <c r="F1" s="1522"/>
      <c r="G1" s="1522"/>
      <c r="H1" s="1522"/>
      <c r="J1" s="544" t="s">
        <v>2214</v>
      </c>
    </row>
    <row r="2" spans="1:10" ht="24" customHeight="1" x14ac:dyDescent="0.2">
      <c r="A2" s="1523" t="s">
        <v>4061</v>
      </c>
      <c r="B2" s="1523"/>
      <c r="C2" s="1523"/>
      <c r="D2" s="1523"/>
      <c r="E2" s="1523"/>
      <c r="F2" s="1523"/>
      <c r="G2" s="1523"/>
      <c r="H2" s="1523"/>
    </row>
    <row r="4" spans="1:10" ht="15.75" customHeight="1" x14ac:dyDescent="0.2">
      <c r="A4" s="545" t="s">
        <v>2276</v>
      </c>
      <c r="B4" s="545" t="s">
        <v>4062</v>
      </c>
      <c r="C4" s="545" t="s">
        <v>3243</v>
      </c>
      <c r="D4" s="545" t="s">
        <v>4063</v>
      </c>
      <c r="E4" s="545" t="s">
        <v>4064</v>
      </c>
      <c r="F4" s="545" t="s">
        <v>4065</v>
      </c>
      <c r="G4" s="545" t="s">
        <v>4066</v>
      </c>
      <c r="H4" s="545" t="s">
        <v>4067</v>
      </c>
    </row>
    <row r="5" spans="1:10" ht="18" customHeight="1" x14ac:dyDescent="0.2">
      <c r="A5" s="632">
        <v>1</v>
      </c>
      <c r="B5" s="580" t="s">
        <v>4068</v>
      </c>
      <c r="C5" s="925" t="str">
        <f>IFERROR(CALC_BhaveshMap!$D$5,"—")</f>
        <v>Venus</v>
      </c>
      <c r="D5" s="918">
        <f>IFERROR(CALC_BhaveshMap!$H$5,0)</f>
        <v>3</v>
      </c>
      <c r="E5" s="918">
        <v>1</v>
      </c>
      <c r="F5" s="918">
        <f>IFERROR(MOD(2*CALC_BhaveshMap!$H$5-1-1,12)+1,0)</f>
        <v>5</v>
      </c>
      <c r="G5" s="918">
        <f>IFERROR(IF(MOD(2*CALC_BhaveshMap!$H$5-1-1,12)+1=1,10,IF(MOD(2*CALC_BhaveshMap!$H$5-1-1,12)+1=7,4,MOD(2*CALC_BhaveshMap!$H$5-1-1,12)+1)),0)</f>
        <v>5</v>
      </c>
      <c r="H5" s="612" t="str">
        <f>IFERROR(INDEX({"Aries","Taurus","Gemini","Cancer","Leo","Virgo","Libra","Scorpio","Sagittarius","Capricorn","Aquarius","Pisces"},MOD(MATCH(INPUT_Chart!$C$5,{"Aries","Taurus","Gemini","Cancer","Leo","Virgo","Libra","Scorpio","Sagittarius","Capricorn","Aquarius","Pisces"},0)+G5-2,12)+1),"—")</f>
        <v>Virgo</v>
      </c>
    </row>
    <row r="6" spans="1:10" ht="18" customHeight="1" x14ac:dyDescent="0.2">
      <c r="A6" s="627">
        <v>2</v>
      </c>
      <c r="B6" s="578" t="s">
        <v>4069</v>
      </c>
      <c r="C6" s="923" t="str">
        <f>IFERROR(CALC_BhaveshMap!$D$6,"—")</f>
        <v>Mercury</v>
      </c>
      <c r="D6" s="914">
        <f>IFERROR(CALC_BhaveshMap!$H$6,0)</f>
        <v>3</v>
      </c>
      <c r="E6" s="914">
        <v>2</v>
      </c>
      <c r="F6" s="914">
        <f>IFERROR(MOD(2*CALC_BhaveshMap!$H$6-2-1,12)+1,0)</f>
        <v>4</v>
      </c>
      <c r="G6" s="914">
        <f>IFERROR(IF(MOD(2*CALC_BhaveshMap!$H$6-2-1,12)+1=1,10,IF(MOD(2*CALC_BhaveshMap!$H$6-2-1,12)+1=7,4,MOD(2*CALC_BhaveshMap!$H$6-2-1,12)+1)),0)</f>
        <v>4</v>
      </c>
      <c r="H6" s="610" t="str">
        <f>IFERROR(INDEX({"Aries","Taurus","Gemini","Cancer","Leo","Virgo","Libra","Scorpio","Sagittarius","Capricorn","Aquarius","Pisces"},MOD(MATCH(INPUT_Chart!$C$5,{"Aries","Taurus","Gemini","Cancer","Leo","Virgo","Libra","Scorpio","Sagittarius","Capricorn","Aquarius","Pisces"},0)+G6-2,12)+1),"—")</f>
        <v>Leo</v>
      </c>
    </row>
    <row r="7" spans="1:10" ht="18" customHeight="1" x14ac:dyDescent="0.2">
      <c r="A7" s="632">
        <v>3</v>
      </c>
      <c r="B7" s="580" t="s">
        <v>4070</v>
      </c>
      <c r="C7" s="925" t="str">
        <f>IFERROR(CALC_BhaveshMap!$D$7,"—")</f>
        <v>Moon</v>
      </c>
      <c r="D7" s="918">
        <f>IFERROR(CALC_BhaveshMap!$H$7,0)</f>
        <v>3</v>
      </c>
      <c r="E7" s="918">
        <v>3</v>
      </c>
      <c r="F7" s="918">
        <f>IFERROR(MOD(2*CALC_BhaveshMap!$H$7-3-1,12)+1,0)</f>
        <v>3</v>
      </c>
      <c r="G7" s="918">
        <f>IFERROR(IF(MOD(2*CALC_BhaveshMap!$H$7-3-1,12)+1=1,10,IF(MOD(2*CALC_BhaveshMap!$H$7-3-1,12)+1=7,4,MOD(2*CALC_BhaveshMap!$H$7-3-1,12)+1)),0)</f>
        <v>3</v>
      </c>
      <c r="H7" s="612" t="str">
        <f>IFERROR(INDEX({"Aries","Taurus","Gemini","Cancer","Leo","Virgo","Libra","Scorpio","Sagittarius","Capricorn","Aquarius","Pisces"},MOD(MATCH(INPUT_Chart!$C$5,{"Aries","Taurus","Gemini","Cancer","Leo","Virgo","Libra","Scorpio","Sagittarius","Capricorn","Aquarius","Pisces"},0)+G7-2,12)+1),"—")</f>
        <v>Cancer</v>
      </c>
    </row>
    <row r="8" spans="1:10" ht="18" customHeight="1" x14ac:dyDescent="0.2">
      <c r="A8" s="627">
        <v>4</v>
      </c>
      <c r="B8" s="578" t="s">
        <v>4071</v>
      </c>
      <c r="C8" s="923" t="str">
        <f>IFERROR(CALC_BhaveshMap!$D$8,"—")</f>
        <v>Sun</v>
      </c>
      <c r="D8" s="914">
        <f>IFERROR(CALC_BhaveshMap!$H$8,0)</f>
        <v>3</v>
      </c>
      <c r="E8" s="914">
        <v>4</v>
      </c>
      <c r="F8" s="914">
        <f>IFERROR(MOD(2*CALC_BhaveshMap!$H$8-4-1,12)+1,0)</f>
        <v>2</v>
      </c>
      <c r="G8" s="914">
        <f>IFERROR(IF(MOD(2*CALC_BhaveshMap!$H$8-4-1,12)+1=1,10,IF(MOD(2*CALC_BhaveshMap!$H$8-4-1,12)+1=7,4,MOD(2*CALC_BhaveshMap!$H$8-4-1,12)+1)),0)</f>
        <v>2</v>
      </c>
      <c r="H8" s="610" t="str">
        <f>IFERROR(INDEX({"Aries","Taurus","Gemini","Cancer","Leo","Virgo","Libra","Scorpio","Sagittarius","Capricorn","Aquarius","Pisces"},MOD(MATCH(INPUT_Chart!$C$5,{"Aries","Taurus","Gemini","Cancer","Leo","Virgo","Libra","Scorpio","Sagittarius","Capricorn","Aquarius","Pisces"},0)+G8-2,12)+1),"—")</f>
        <v>Gemini</v>
      </c>
    </row>
    <row r="9" spans="1:10" ht="18" customHeight="1" x14ac:dyDescent="0.2">
      <c r="A9" s="632">
        <v>5</v>
      </c>
      <c r="B9" s="580" t="s">
        <v>4072</v>
      </c>
      <c r="C9" s="925" t="str">
        <f>IFERROR(CALC_BhaveshMap!$D$9,"—")</f>
        <v>Mercury</v>
      </c>
      <c r="D9" s="918">
        <f>IFERROR(CALC_BhaveshMap!$H$9,0)</f>
        <v>3</v>
      </c>
      <c r="E9" s="918">
        <v>5</v>
      </c>
      <c r="F9" s="918">
        <f>IFERROR(MOD(2*CALC_BhaveshMap!$H$9-5-1,12)+1,0)</f>
        <v>1</v>
      </c>
      <c r="G9" s="918">
        <f>IFERROR(IF(MOD(2*CALC_BhaveshMap!$H$9-5-1,12)+1=1,10,IF(MOD(2*CALC_BhaveshMap!$H$9-5-1,12)+1=7,4,MOD(2*CALC_BhaveshMap!$H$9-5-1,12)+1)),0)</f>
        <v>10</v>
      </c>
      <c r="H9" s="612" t="str">
        <f>IFERROR(INDEX({"Aries","Taurus","Gemini","Cancer","Leo","Virgo","Libra","Scorpio","Sagittarius","Capricorn","Aquarius","Pisces"},MOD(MATCH(INPUT_Chart!$C$5,{"Aries","Taurus","Gemini","Cancer","Leo","Virgo","Libra","Scorpio","Sagittarius","Capricorn","Aquarius","Pisces"},0)+G9-2,12)+1),"—")</f>
        <v>Aquarius</v>
      </c>
    </row>
    <row r="10" spans="1:10" ht="18" customHeight="1" x14ac:dyDescent="0.2">
      <c r="A10" s="627">
        <v>6</v>
      </c>
      <c r="B10" s="578" t="s">
        <v>4073</v>
      </c>
      <c r="C10" s="923" t="str">
        <f>IFERROR(CALC_BhaveshMap!$D$10,"—")</f>
        <v>Venus</v>
      </c>
      <c r="D10" s="914">
        <f>IFERROR(CALC_BhaveshMap!$H$10,0)</f>
        <v>3</v>
      </c>
      <c r="E10" s="914">
        <v>6</v>
      </c>
      <c r="F10" s="914">
        <f>IFERROR(MOD(2*CALC_BhaveshMap!$H$10-6-1,12)+1,0)</f>
        <v>12</v>
      </c>
      <c r="G10" s="914">
        <f>IFERROR(IF(MOD(2*CALC_BhaveshMap!$H$10-6-1,12)+1=1,10,IF(MOD(2*CALC_BhaveshMap!$H$10-6-1,12)+1=7,4,MOD(2*CALC_BhaveshMap!$H$10-6-1,12)+1)),0)</f>
        <v>12</v>
      </c>
      <c r="H10" s="610" t="str">
        <f>IFERROR(INDEX({"Aries","Taurus","Gemini","Cancer","Leo","Virgo","Libra","Scorpio","Sagittarius","Capricorn","Aquarius","Pisces"},MOD(MATCH(INPUT_Chart!$C$5,{"Aries","Taurus","Gemini","Cancer","Leo","Virgo","Libra","Scorpio","Sagittarius","Capricorn","Aquarius","Pisces"},0)+G10-2,12)+1),"—")</f>
        <v>Aries</v>
      </c>
    </row>
    <row r="11" spans="1:10" ht="18" customHeight="1" x14ac:dyDescent="0.2">
      <c r="A11" s="632">
        <v>7</v>
      </c>
      <c r="B11" s="580" t="s">
        <v>4074</v>
      </c>
      <c r="C11" s="925" t="str">
        <f>IFERROR(CALC_BhaveshMap!$D$11,"—")</f>
        <v>Mars</v>
      </c>
      <c r="D11" s="918">
        <f>IFERROR(CALC_BhaveshMap!$H$11,0)</f>
        <v>2</v>
      </c>
      <c r="E11" s="918">
        <v>7</v>
      </c>
      <c r="F11" s="918">
        <f>IFERROR(MOD(2*CALC_BhaveshMap!$H$11-7-1,12)+1,0)</f>
        <v>9</v>
      </c>
      <c r="G11" s="918">
        <f>IFERROR(IF(MOD(2*CALC_BhaveshMap!$H$11-7-1,12)+1=1,10,IF(MOD(2*CALC_BhaveshMap!$H$11-7-1,12)+1=7,4,MOD(2*CALC_BhaveshMap!$H$11-7-1,12)+1)),0)</f>
        <v>9</v>
      </c>
      <c r="H11" s="612" t="str">
        <f>IFERROR(INDEX({"Aries","Taurus","Gemini","Cancer","Leo","Virgo","Libra","Scorpio","Sagittarius","Capricorn","Aquarius","Pisces"},MOD(MATCH(INPUT_Chart!$C$5,{"Aries","Taurus","Gemini","Cancer","Leo","Virgo","Libra","Scorpio","Sagittarius","Capricorn","Aquarius","Pisces"},0)+G11-2,12)+1),"—")</f>
        <v>Capricorn</v>
      </c>
    </row>
    <row r="12" spans="1:10" ht="18" customHeight="1" x14ac:dyDescent="0.2">
      <c r="A12" s="627">
        <v>8</v>
      </c>
      <c r="B12" s="578" t="s">
        <v>4075</v>
      </c>
      <c r="C12" s="923" t="str">
        <f>IFERROR(CALC_BhaveshMap!$D$12,"—")</f>
        <v>Jupiter</v>
      </c>
      <c r="D12" s="914">
        <f>IFERROR(CALC_BhaveshMap!$H$12,0)</f>
        <v>6</v>
      </c>
      <c r="E12" s="914">
        <v>8</v>
      </c>
      <c r="F12" s="914">
        <f>IFERROR(MOD(2*CALC_BhaveshMap!$H$12-8-1,12)+1,0)</f>
        <v>4</v>
      </c>
      <c r="G12" s="914">
        <f>IFERROR(IF(MOD(2*CALC_BhaveshMap!$H$12-8-1,12)+1=1,10,IF(MOD(2*CALC_BhaveshMap!$H$12-8-1,12)+1=7,4,MOD(2*CALC_BhaveshMap!$H$12-8-1,12)+1)),0)</f>
        <v>4</v>
      </c>
      <c r="H12" s="610" t="str">
        <f>IFERROR(INDEX({"Aries","Taurus","Gemini","Cancer","Leo","Virgo","Libra","Scorpio","Sagittarius","Capricorn","Aquarius","Pisces"},MOD(MATCH(INPUT_Chart!$C$5,{"Aries","Taurus","Gemini","Cancer","Leo","Virgo","Libra","Scorpio","Sagittarius","Capricorn","Aquarius","Pisces"},0)+G12-2,12)+1),"—")</f>
        <v>Leo</v>
      </c>
    </row>
    <row r="13" spans="1:10" ht="18" customHeight="1" x14ac:dyDescent="0.2">
      <c r="A13" s="632">
        <v>9</v>
      </c>
      <c r="B13" s="580" t="s">
        <v>4076</v>
      </c>
      <c r="C13" s="925" t="str">
        <f>IFERROR(CALC_BhaveshMap!$D$13,"—")</f>
        <v>Saturn</v>
      </c>
      <c r="D13" s="918">
        <f>IFERROR(CALC_BhaveshMap!$H$13,0)</f>
        <v>3</v>
      </c>
      <c r="E13" s="918">
        <v>9</v>
      </c>
      <c r="F13" s="918">
        <f>IFERROR(MOD(2*CALC_BhaveshMap!$H$13-9-1,12)+1,0)</f>
        <v>9</v>
      </c>
      <c r="G13" s="918">
        <f>IFERROR(IF(MOD(2*CALC_BhaveshMap!$H$13-9-1,12)+1=1,10,IF(MOD(2*CALC_BhaveshMap!$H$13-9-1,12)+1=7,4,MOD(2*CALC_BhaveshMap!$H$13-9-1,12)+1)),0)</f>
        <v>9</v>
      </c>
      <c r="H13" s="612" t="str">
        <f>IFERROR(INDEX({"Aries","Taurus","Gemini","Cancer","Leo","Virgo","Libra","Scorpio","Sagittarius","Capricorn","Aquarius","Pisces"},MOD(MATCH(INPUT_Chart!$C$5,{"Aries","Taurus","Gemini","Cancer","Leo","Virgo","Libra","Scorpio","Sagittarius","Capricorn","Aquarius","Pisces"},0)+G13-2,12)+1),"—")</f>
        <v>Capricorn</v>
      </c>
    </row>
    <row r="14" spans="1:10" ht="18" customHeight="1" x14ac:dyDescent="0.2">
      <c r="A14" s="627">
        <v>10</v>
      </c>
      <c r="B14" s="578" t="s">
        <v>4077</v>
      </c>
      <c r="C14" s="923" t="str">
        <f>IFERROR(CALC_BhaveshMap!$D$14,"—")</f>
        <v>Saturn</v>
      </c>
      <c r="D14" s="914">
        <f>IFERROR(CALC_BhaveshMap!$H$14,0)</f>
        <v>3</v>
      </c>
      <c r="E14" s="914">
        <v>10</v>
      </c>
      <c r="F14" s="914">
        <f>IFERROR(MOD(2*CALC_BhaveshMap!$H$14-10-1,12)+1,0)</f>
        <v>8</v>
      </c>
      <c r="G14" s="914">
        <f>IFERROR(IF(MOD(2*CALC_BhaveshMap!$H$14-10-1,12)+1=1,10,IF(MOD(2*CALC_BhaveshMap!$H$14-10-1,12)+1=7,4,MOD(2*CALC_BhaveshMap!$H$14-10-1,12)+1)),0)</f>
        <v>8</v>
      </c>
      <c r="H14" s="610" t="str">
        <f>IFERROR(INDEX({"Aries","Taurus","Gemini","Cancer","Leo","Virgo","Libra","Scorpio","Sagittarius","Capricorn","Aquarius","Pisces"},MOD(MATCH(INPUT_Chart!$C$5,{"Aries","Taurus","Gemini","Cancer","Leo","Virgo","Libra","Scorpio","Sagittarius","Capricorn","Aquarius","Pisces"},0)+G14-2,12)+1),"—")</f>
        <v>Sagittarius</v>
      </c>
    </row>
    <row r="15" spans="1:10" ht="18" customHeight="1" x14ac:dyDescent="0.2">
      <c r="A15" s="632">
        <v>11</v>
      </c>
      <c r="B15" s="580" t="s">
        <v>4078</v>
      </c>
      <c r="C15" s="925" t="str">
        <f>IFERROR(CALC_BhaveshMap!$D$15,"—")</f>
        <v>Jupiter</v>
      </c>
      <c r="D15" s="918">
        <f>IFERROR(CALC_BhaveshMap!$H$15,0)</f>
        <v>6</v>
      </c>
      <c r="E15" s="918">
        <v>11</v>
      </c>
      <c r="F15" s="918">
        <f>IFERROR(MOD(2*CALC_BhaveshMap!$H$15-11-1,12)+1,0)</f>
        <v>1</v>
      </c>
      <c r="G15" s="918">
        <f>IFERROR(IF(MOD(2*CALC_BhaveshMap!$H$15-11-1,12)+1=1,10,IF(MOD(2*CALC_BhaveshMap!$H$15-11-1,12)+1=7,4,MOD(2*CALC_BhaveshMap!$H$15-11-1,12)+1)),0)</f>
        <v>10</v>
      </c>
      <c r="H15" s="612" t="str">
        <f>IFERROR(INDEX({"Aries","Taurus","Gemini","Cancer","Leo","Virgo","Libra","Scorpio","Sagittarius","Capricorn","Aquarius","Pisces"},MOD(MATCH(INPUT_Chart!$C$5,{"Aries","Taurus","Gemini","Cancer","Leo","Virgo","Libra","Scorpio","Sagittarius","Capricorn","Aquarius","Pisces"},0)+G15-2,12)+1),"—")</f>
        <v>Aquarius</v>
      </c>
    </row>
    <row r="16" spans="1:10" ht="18" customHeight="1" x14ac:dyDescent="0.2">
      <c r="A16" s="627">
        <v>12</v>
      </c>
      <c r="B16" s="578" t="s">
        <v>4079</v>
      </c>
      <c r="C16" s="923" t="str">
        <f>IFERROR(CALC_BhaveshMap!$D$16,"—")</f>
        <v>Mars</v>
      </c>
      <c r="D16" s="914">
        <f>IFERROR(CALC_BhaveshMap!$H$16,0)</f>
        <v>2</v>
      </c>
      <c r="E16" s="914">
        <v>12</v>
      </c>
      <c r="F16" s="914">
        <f>IFERROR(MOD(2*CALC_BhaveshMap!$H$16-12-1,12)+1,0)</f>
        <v>4</v>
      </c>
      <c r="G16" s="914">
        <f>IFERROR(IF(MOD(2*CALC_BhaveshMap!$H$16-12-1,12)+1=1,10,IF(MOD(2*CALC_BhaveshMap!$H$16-12-1,12)+1=7,4,MOD(2*CALC_BhaveshMap!$H$16-12-1,12)+1)),0)</f>
        <v>4</v>
      </c>
      <c r="H16" s="610" t="str">
        <f>IFERROR(INDEX({"Aries","Taurus","Gemini","Cancer","Leo","Virgo","Libra","Scorpio","Sagittarius","Capricorn","Aquarius","Pisces"},MOD(MATCH(INPUT_Chart!$C$5,{"Aries","Taurus","Gemini","Cancer","Leo","Virgo","Libra","Scorpio","Sagittarius","Capricorn","Aquarius","Pisces"},0)+G16-2,12)+1),"—")</f>
        <v>Leo</v>
      </c>
    </row>
    <row r="18" spans="1:8" ht="18" customHeight="1" x14ac:dyDescent="0.2">
      <c r="A18" s="1524" t="s">
        <v>4080</v>
      </c>
      <c r="B18" s="1524"/>
      <c r="C18" s="1524"/>
      <c r="D18" s="1524"/>
      <c r="E18" s="1524"/>
      <c r="F18" s="1524"/>
      <c r="G18" s="1524"/>
      <c r="H18" s="1524"/>
    </row>
    <row r="19" spans="1:8" ht="15.75" customHeight="1" x14ac:dyDescent="0.2">
      <c r="A19" s="545" t="s">
        <v>4081</v>
      </c>
      <c r="B19" s="545" t="s">
        <v>2276</v>
      </c>
      <c r="C19" s="545" t="s">
        <v>1121</v>
      </c>
      <c r="D19" s="545" t="s">
        <v>4082</v>
      </c>
      <c r="E19" s="545"/>
      <c r="F19" s="545"/>
      <c r="G19" s="545"/>
      <c r="H19" s="545"/>
    </row>
    <row r="20" spans="1:8" ht="15.75" customHeight="1" x14ac:dyDescent="0.2">
      <c r="A20" s="909" t="s">
        <v>4068</v>
      </c>
      <c r="B20" s="935">
        <v>1</v>
      </c>
      <c r="C20" s="910" t="str">
        <f>IFERROR(H5,"—")</f>
        <v>Virgo</v>
      </c>
      <c r="D20" s="936" t="s">
        <v>4083</v>
      </c>
    </row>
    <row r="21" spans="1:8" ht="15.75" customHeight="1" x14ac:dyDescent="0.2">
      <c r="A21" s="906" t="s">
        <v>4074</v>
      </c>
      <c r="B21" s="937">
        <v>7</v>
      </c>
      <c r="C21" s="908" t="str">
        <f>IFERROR(H11,"—")</f>
        <v>Capricorn</v>
      </c>
      <c r="D21" s="938" t="s">
        <v>4084</v>
      </c>
    </row>
    <row r="22" spans="1:8" ht="15.75" customHeight="1" x14ac:dyDescent="0.2">
      <c r="A22" s="909" t="s">
        <v>4077</v>
      </c>
      <c r="B22" s="935">
        <v>10</v>
      </c>
      <c r="C22" s="910" t="str">
        <f>IFERROR(H14,"—")</f>
        <v>Sagittarius</v>
      </c>
      <c r="D22" s="936" t="s">
        <v>4085</v>
      </c>
    </row>
    <row r="23" spans="1:8" ht="15.75" customHeight="1" x14ac:dyDescent="0.2">
      <c r="A23" s="906" t="s">
        <v>4079</v>
      </c>
      <c r="B23" s="937">
        <v>12</v>
      </c>
      <c r="C23" s="908" t="str">
        <f>IFERROR(H16,"—")</f>
        <v>Leo</v>
      </c>
      <c r="D23" s="938" t="s">
        <v>4086</v>
      </c>
    </row>
  </sheetData>
  <mergeCells count="3">
    <mergeCell ref="A1:H1"/>
    <mergeCell ref="A2:H2"/>
    <mergeCell ref="A18:H18"/>
  </mergeCells>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6A1B9A"/>
  </sheetPr>
  <dimension ref="A1:M46"/>
  <sheetViews>
    <sheetView zoomScaleNormal="100" workbookViewId="0"/>
  </sheetViews>
  <sheetFormatPr defaultColWidth="8.609375" defaultRowHeight="15" x14ac:dyDescent="0.2"/>
  <cols>
    <col min="1" max="5" width="6.05078125" customWidth="1"/>
    <col min="6" max="7" width="11.97265625" customWidth="1"/>
    <col min="8" max="8" width="22.05859375" customWidth="1"/>
  </cols>
  <sheetData>
    <row r="1" spans="1:8" ht="21.75" customHeight="1" x14ac:dyDescent="0.2">
      <c r="A1" s="1522" t="s">
        <v>4087</v>
      </c>
      <c r="B1" s="1522"/>
      <c r="C1" s="1522"/>
      <c r="D1" s="1522"/>
      <c r="E1" s="1522"/>
      <c r="F1" s="1522"/>
      <c r="H1" s="544" t="s">
        <v>2214</v>
      </c>
    </row>
    <row r="2" spans="1:8" ht="24" customHeight="1" x14ac:dyDescent="0.2">
      <c r="A2" s="1523" t="s">
        <v>4088</v>
      </c>
      <c r="B2" s="1523"/>
      <c r="C2" s="1523"/>
      <c r="D2" s="1523"/>
      <c r="E2" s="1523"/>
      <c r="F2" s="1523"/>
    </row>
    <row r="4" spans="1:8" ht="15.75" customHeight="1" x14ac:dyDescent="0.2">
      <c r="A4" s="545" t="s">
        <v>4089</v>
      </c>
      <c r="B4" s="545" t="s">
        <v>417</v>
      </c>
      <c r="C4" s="545" t="s">
        <v>4090</v>
      </c>
      <c r="D4" s="545" t="s">
        <v>4091</v>
      </c>
      <c r="E4" s="545" t="s">
        <v>4092</v>
      </c>
      <c r="F4" s="545" t="s">
        <v>4093</v>
      </c>
    </row>
    <row r="5" spans="1:8" ht="15.75" customHeight="1" x14ac:dyDescent="0.2">
      <c r="A5" s="902" t="s">
        <v>345</v>
      </c>
      <c r="B5" s="935" t="s">
        <v>2646</v>
      </c>
      <c r="C5" s="939" t="s">
        <v>4094</v>
      </c>
      <c r="D5" s="909">
        <v>3</v>
      </c>
      <c r="E5" s="904" t="s">
        <v>4095</v>
      </c>
      <c r="F5" s="904" t="s">
        <v>4096</v>
      </c>
    </row>
    <row r="6" spans="1:8" ht="15.75" customHeight="1" x14ac:dyDescent="0.2">
      <c r="A6" s="905" t="s">
        <v>346</v>
      </c>
      <c r="B6" s="906" t="s">
        <v>2650</v>
      </c>
      <c r="C6" s="940" t="s">
        <v>4097</v>
      </c>
      <c r="D6" s="906">
        <v>3</v>
      </c>
      <c r="E6" s="907" t="s">
        <v>4098</v>
      </c>
      <c r="F6" s="907" t="s">
        <v>4096</v>
      </c>
    </row>
    <row r="7" spans="1:8" ht="15.75" customHeight="1" x14ac:dyDescent="0.2">
      <c r="A7" s="902" t="s">
        <v>329</v>
      </c>
      <c r="B7" s="910" t="s">
        <v>2653</v>
      </c>
      <c r="C7" s="939" t="s">
        <v>4099</v>
      </c>
      <c r="D7" s="909">
        <v>3</v>
      </c>
      <c r="E7" s="904" t="s">
        <v>4100</v>
      </c>
      <c r="F7" s="904" t="s">
        <v>4096</v>
      </c>
    </row>
    <row r="8" spans="1:8" ht="15.75" customHeight="1" x14ac:dyDescent="0.2">
      <c r="A8" s="905" t="s">
        <v>347</v>
      </c>
      <c r="B8" s="937" t="s">
        <v>2646</v>
      </c>
      <c r="C8" s="940" t="s">
        <v>4101</v>
      </c>
      <c r="D8" s="906">
        <v>3</v>
      </c>
      <c r="E8" s="907" t="s">
        <v>4102</v>
      </c>
      <c r="F8" s="907" t="s">
        <v>4096</v>
      </c>
    </row>
    <row r="9" spans="1:8" ht="15.75" customHeight="1" x14ac:dyDescent="0.2">
      <c r="A9" s="902" t="s">
        <v>334</v>
      </c>
      <c r="B9" s="909" t="s">
        <v>2650</v>
      </c>
      <c r="C9" s="939" t="s">
        <v>4103</v>
      </c>
      <c r="D9" s="909">
        <v>3</v>
      </c>
      <c r="E9" s="904" t="s">
        <v>4104</v>
      </c>
      <c r="F9" s="904" t="s">
        <v>4096</v>
      </c>
    </row>
    <row r="10" spans="1:8" ht="15.75" customHeight="1" x14ac:dyDescent="0.2">
      <c r="A10" s="905" t="s">
        <v>348</v>
      </c>
      <c r="B10" s="908" t="s">
        <v>2653</v>
      </c>
      <c r="C10" s="940" t="s">
        <v>4105</v>
      </c>
      <c r="D10" s="906">
        <v>3</v>
      </c>
      <c r="E10" s="907" t="s">
        <v>4100</v>
      </c>
      <c r="F10" s="907" t="s">
        <v>4096</v>
      </c>
    </row>
    <row r="11" spans="1:8" ht="15.75" customHeight="1" x14ac:dyDescent="0.2">
      <c r="A11" s="902" t="s">
        <v>349</v>
      </c>
      <c r="B11" s="935" t="s">
        <v>2646</v>
      </c>
      <c r="C11" s="939" t="s">
        <v>4106</v>
      </c>
      <c r="D11" s="909">
        <v>3</v>
      </c>
      <c r="E11" s="904" t="s">
        <v>4107</v>
      </c>
      <c r="F11" s="904" t="s">
        <v>4096</v>
      </c>
    </row>
    <row r="12" spans="1:8" ht="15.75" customHeight="1" x14ac:dyDescent="0.2">
      <c r="A12" s="905" t="s">
        <v>350</v>
      </c>
      <c r="B12" s="906" t="s">
        <v>2650</v>
      </c>
      <c r="C12" s="940" t="s">
        <v>4108</v>
      </c>
      <c r="D12" s="906">
        <v>3</v>
      </c>
      <c r="E12" s="907" t="s">
        <v>4109</v>
      </c>
      <c r="F12" s="907" t="s">
        <v>4096</v>
      </c>
    </row>
    <row r="13" spans="1:8" ht="15.75" customHeight="1" x14ac:dyDescent="0.2">
      <c r="A13" s="902" t="s">
        <v>351</v>
      </c>
      <c r="B13" s="910" t="s">
        <v>2653</v>
      </c>
      <c r="C13" s="939" t="s">
        <v>4110</v>
      </c>
      <c r="D13" s="909">
        <v>3</v>
      </c>
      <c r="E13" s="904" t="s">
        <v>4100</v>
      </c>
      <c r="F13" s="904" t="s">
        <v>4096</v>
      </c>
    </row>
    <row r="14" spans="1:8" ht="15.75" customHeight="1" x14ac:dyDescent="0.2">
      <c r="A14" s="905" t="s">
        <v>352</v>
      </c>
      <c r="B14" s="937" t="s">
        <v>2646</v>
      </c>
      <c r="C14" s="940" t="s">
        <v>4111</v>
      </c>
      <c r="D14" s="906">
        <v>3</v>
      </c>
      <c r="E14" s="907" t="s">
        <v>4112</v>
      </c>
      <c r="F14" s="907" t="s">
        <v>4096</v>
      </c>
    </row>
    <row r="15" spans="1:8" ht="15.75" customHeight="1" x14ac:dyDescent="0.2">
      <c r="A15" s="902" t="s">
        <v>325</v>
      </c>
      <c r="B15" s="909" t="s">
        <v>2650</v>
      </c>
      <c r="C15" s="939" t="s">
        <v>4113</v>
      </c>
      <c r="D15" s="909">
        <v>3</v>
      </c>
      <c r="E15" s="904" t="s">
        <v>4114</v>
      </c>
      <c r="F15" s="904" t="s">
        <v>4096</v>
      </c>
    </row>
    <row r="16" spans="1:8" ht="15.75" customHeight="1" x14ac:dyDescent="0.2">
      <c r="A16" s="905" t="s">
        <v>323</v>
      </c>
      <c r="B16" s="908" t="s">
        <v>2653</v>
      </c>
      <c r="C16" s="940" t="s">
        <v>4115</v>
      </c>
      <c r="D16" s="906">
        <v>3</v>
      </c>
      <c r="E16" s="907" t="s">
        <v>4100</v>
      </c>
      <c r="F16" s="907" t="s">
        <v>4096</v>
      </c>
    </row>
    <row r="18" spans="1:13" ht="18" customHeight="1" x14ac:dyDescent="0.2">
      <c r="A18" s="1524" t="s">
        <v>4116</v>
      </c>
      <c r="B18" s="1524"/>
      <c r="C18" s="1524"/>
      <c r="D18" s="1524"/>
      <c r="E18" s="1524"/>
      <c r="F18" s="1524"/>
    </row>
    <row r="19" spans="1:13" ht="13.5" customHeight="1" x14ac:dyDescent="0.2">
      <c r="A19" s="941" t="s">
        <v>4117</v>
      </c>
      <c r="B19" s="545" t="s">
        <v>4118</v>
      </c>
      <c r="C19" s="545" t="s">
        <v>4119</v>
      </c>
      <c r="D19" s="545" t="s">
        <v>4120</v>
      </c>
      <c r="E19" s="545" t="s">
        <v>4121</v>
      </c>
      <c r="F19" s="545" t="s">
        <v>334</v>
      </c>
      <c r="G19" s="545" t="s">
        <v>4122</v>
      </c>
      <c r="H19" s="545" t="s">
        <v>4123</v>
      </c>
      <c r="I19" s="545" t="s">
        <v>4124</v>
      </c>
      <c r="J19" s="545" t="s">
        <v>4125</v>
      </c>
      <c r="K19" s="545" t="s">
        <v>4126</v>
      </c>
      <c r="L19" s="545" t="s">
        <v>4127</v>
      </c>
      <c r="M19" s="545" t="s">
        <v>4128</v>
      </c>
    </row>
    <row r="20" spans="1:13" ht="13.5" customHeight="1" x14ac:dyDescent="0.2">
      <c r="A20" s="942" t="s">
        <v>4118</v>
      </c>
      <c r="B20" s="943" t="s">
        <v>185</v>
      </c>
      <c r="C20" s="943" t="s">
        <v>185</v>
      </c>
      <c r="D20" s="943" t="s">
        <v>185</v>
      </c>
      <c r="E20" s="943" t="s">
        <v>185</v>
      </c>
      <c r="F20" s="944" t="s">
        <v>4129</v>
      </c>
      <c r="G20" s="943" t="s">
        <v>185</v>
      </c>
      <c r="H20" s="943" t="s">
        <v>185</v>
      </c>
      <c r="I20" s="944" t="s">
        <v>4129</v>
      </c>
      <c r="J20" s="943" t="s">
        <v>185</v>
      </c>
      <c r="K20" s="943" t="s">
        <v>185</v>
      </c>
      <c r="L20" s="944" t="s">
        <v>4129</v>
      </c>
      <c r="M20" s="943" t="s">
        <v>185</v>
      </c>
    </row>
    <row r="21" spans="1:13" ht="13.5" customHeight="1" x14ac:dyDescent="0.2">
      <c r="A21" s="945" t="s">
        <v>4119</v>
      </c>
      <c r="B21" s="946" t="s">
        <v>185</v>
      </c>
      <c r="C21" s="946" t="s">
        <v>185</v>
      </c>
      <c r="D21" s="946" t="s">
        <v>185</v>
      </c>
      <c r="E21" s="947" t="s">
        <v>4129</v>
      </c>
      <c r="F21" s="946" t="s">
        <v>185</v>
      </c>
      <c r="G21" s="946" t="s">
        <v>185</v>
      </c>
      <c r="H21" s="947" t="s">
        <v>4129</v>
      </c>
      <c r="I21" s="946" t="s">
        <v>185</v>
      </c>
      <c r="J21" s="946" t="s">
        <v>185</v>
      </c>
      <c r="K21" s="947" t="s">
        <v>4129</v>
      </c>
      <c r="L21" s="946" t="s">
        <v>185</v>
      </c>
      <c r="M21" s="946" t="s">
        <v>185</v>
      </c>
    </row>
    <row r="22" spans="1:13" ht="13.5" customHeight="1" x14ac:dyDescent="0.2">
      <c r="A22" s="942" t="s">
        <v>4120</v>
      </c>
      <c r="B22" s="943" t="s">
        <v>185</v>
      </c>
      <c r="C22" s="943" t="s">
        <v>185</v>
      </c>
      <c r="D22" s="943" t="s">
        <v>185</v>
      </c>
      <c r="E22" s="943" t="s">
        <v>185</v>
      </c>
      <c r="F22" s="943" t="s">
        <v>185</v>
      </c>
      <c r="G22" s="944" t="s">
        <v>4129</v>
      </c>
      <c r="H22" s="943" t="s">
        <v>185</v>
      </c>
      <c r="I22" s="943" t="s">
        <v>185</v>
      </c>
      <c r="J22" s="944" t="s">
        <v>4129</v>
      </c>
      <c r="K22" s="943" t="s">
        <v>185</v>
      </c>
      <c r="L22" s="943" t="s">
        <v>185</v>
      </c>
      <c r="M22" s="944" t="s">
        <v>4129</v>
      </c>
    </row>
    <row r="23" spans="1:13" ht="13.5" customHeight="1" x14ac:dyDescent="0.2">
      <c r="A23" s="945" t="s">
        <v>4121</v>
      </c>
      <c r="B23" s="946" t="s">
        <v>185</v>
      </c>
      <c r="C23" s="947" t="s">
        <v>4129</v>
      </c>
      <c r="D23" s="946" t="s">
        <v>185</v>
      </c>
      <c r="E23" s="946" t="s">
        <v>185</v>
      </c>
      <c r="F23" s="946" t="s">
        <v>185</v>
      </c>
      <c r="G23" s="946" t="s">
        <v>185</v>
      </c>
      <c r="H23" s="946" t="s">
        <v>185</v>
      </c>
      <c r="I23" s="947" t="s">
        <v>4129</v>
      </c>
      <c r="J23" s="946" t="s">
        <v>185</v>
      </c>
      <c r="K23" s="946" t="s">
        <v>185</v>
      </c>
      <c r="L23" s="947" t="s">
        <v>4129</v>
      </c>
      <c r="M23" s="946" t="s">
        <v>185</v>
      </c>
    </row>
    <row r="24" spans="1:13" ht="13.5" customHeight="1" x14ac:dyDescent="0.2">
      <c r="A24" s="942" t="s">
        <v>334</v>
      </c>
      <c r="B24" s="944" t="s">
        <v>4129</v>
      </c>
      <c r="C24" s="943" t="s">
        <v>185</v>
      </c>
      <c r="D24" s="943" t="s">
        <v>185</v>
      </c>
      <c r="E24" s="943" t="s">
        <v>185</v>
      </c>
      <c r="F24" s="943" t="s">
        <v>185</v>
      </c>
      <c r="G24" s="943" t="s">
        <v>185</v>
      </c>
      <c r="H24" s="944" t="s">
        <v>4129</v>
      </c>
      <c r="I24" s="943" t="s">
        <v>185</v>
      </c>
      <c r="J24" s="943" t="s">
        <v>185</v>
      </c>
      <c r="K24" s="944" t="s">
        <v>4129</v>
      </c>
      <c r="L24" s="943" t="s">
        <v>185</v>
      </c>
      <c r="M24" s="943" t="s">
        <v>185</v>
      </c>
    </row>
    <row r="25" spans="1:13" ht="13.5" customHeight="1" x14ac:dyDescent="0.2">
      <c r="A25" s="945" t="s">
        <v>4122</v>
      </c>
      <c r="B25" s="946" t="s">
        <v>185</v>
      </c>
      <c r="C25" s="946" t="s">
        <v>185</v>
      </c>
      <c r="D25" s="947" t="s">
        <v>4129</v>
      </c>
      <c r="E25" s="946" t="s">
        <v>185</v>
      </c>
      <c r="F25" s="946" t="s">
        <v>185</v>
      </c>
      <c r="G25" s="946" t="s">
        <v>185</v>
      </c>
      <c r="H25" s="946" t="s">
        <v>185</v>
      </c>
      <c r="I25" s="946" t="s">
        <v>185</v>
      </c>
      <c r="J25" s="947" t="s">
        <v>4129</v>
      </c>
      <c r="K25" s="946" t="s">
        <v>185</v>
      </c>
      <c r="L25" s="946" t="s">
        <v>185</v>
      </c>
      <c r="M25" s="947" t="s">
        <v>4129</v>
      </c>
    </row>
    <row r="26" spans="1:13" ht="13.5" customHeight="1" x14ac:dyDescent="0.2">
      <c r="A26" s="942" t="s">
        <v>4123</v>
      </c>
      <c r="B26" s="943" t="s">
        <v>185</v>
      </c>
      <c r="C26" s="944" t="s">
        <v>4129</v>
      </c>
      <c r="D26" s="943" t="s">
        <v>185</v>
      </c>
      <c r="E26" s="943" t="s">
        <v>185</v>
      </c>
      <c r="F26" s="944" t="s">
        <v>4129</v>
      </c>
      <c r="G26" s="943" t="s">
        <v>185</v>
      </c>
      <c r="H26" s="943" t="s">
        <v>185</v>
      </c>
      <c r="I26" s="943" t="s">
        <v>185</v>
      </c>
      <c r="J26" s="943" t="s">
        <v>185</v>
      </c>
      <c r="K26" s="943" t="s">
        <v>185</v>
      </c>
      <c r="L26" s="944" t="s">
        <v>4129</v>
      </c>
      <c r="M26" s="943" t="s">
        <v>185</v>
      </c>
    </row>
    <row r="27" spans="1:13" ht="13.5" customHeight="1" x14ac:dyDescent="0.2">
      <c r="A27" s="945" t="s">
        <v>4124</v>
      </c>
      <c r="B27" s="947" t="s">
        <v>4129</v>
      </c>
      <c r="C27" s="946" t="s">
        <v>185</v>
      </c>
      <c r="D27" s="946" t="s">
        <v>185</v>
      </c>
      <c r="E27" s="947" t="s">
        <v>4129</v>
      </c>
      <c r="F27" s="946" t="s">
        <v>185</v>
      </c>
      <c r="G27" s="946" t="s">
        <v>185</v>
      </c>
      <c r="H27" s="946" t="s">
        <v>185</v>
      </c>
      <c r="I27" s="946" t="s">
        <v>185</v>
      </c>
      <c r="J27" s="946" t="s">
        <v>185</v>
      </c>
      <c r="K27" s="947" t="s">
        <v>4129</v>
      </c>
      <c r="L27" s="946" t="s">
        <v>185</v>
      </c>
      <c r="M27" s="946" t="s">
        <v>185</v>
      </c>
    </row>
    <row r="28" spans="1:13" ht="13.5" customHeight="1" x14ac:dyDescent="0.2">
      <c r="A28" s="942" t="s">
        <v>4125</v>
      </c>
      <c r="B28" s="943" t="s">
        <v>185</v>
      </c>
      <c r="C28" s="943" t="s">
        <v>185</v>
      </c>
      <c r="D28" s="944" t="s">
        <v>4129</v>
      </c>
      <c r="E28" s="943" t="s">
        <v>185</v>
      </c>
      <c r="F28" s="943" t="s">
        <v>185</v>
      </c>
      <c r="G28" s="944" t="s">
        <v>4129</v>
      </c>
      <c r="H28" s="943" t="s">
        <v>185</v>
      </c>
      <c r="I28" s="943" t="s">
        <v>185</v>
      </c>
      <c r="J28" s="943" t="s">
        <v>185</v>
      </c>
      <c r="K28" s="943" t="s">
        <v>185</v>
      </c>
      <c r="L28" s="943" t="s">
        <v>185</v>
      </c>
      <c r="M28" s="944" t="s">
        <v>4129</v>
      </c>
    </row>
    <row r="29" spans="1:13" ht="13.5" customHeight="1" x14ac:dyDescent="0.2">
      <c r="A29" s="945" t="s">
        <v>4126</v>
      </c>
      <c r="B29" s="946" t="s">
        <v>185</v>
      </c>
      <c r="C29" s="947" t="s">
        <v>4129</v>
      </c>
      <c r="D29" s="946" t="s">
        <v>185</v>
      </c>
      <c r="E29" s="946" t="s">
        <v>185</v>
      </c>
      <c r="F29" s="947" t="s">
        <v>4129</v>
      </c>
      <c r="G29" s="946" t="s">
        <v>185</v>
      </c>
      <c r="H29" s="946" t="s">
        <v>185</v>
      </c>
      <c r="I29" s="947" t="s">
        <v>4129</v>
      </c>
      <c r="J29" s="946" t="s">
        <v>185</v>
      </c>
      <c r="K29" s="946" t="s">
        <v>185</v>
      </c>
      <c r="L29" s="946" t="s">
        <v>185</v>
      </c>
      <c r="M29" s="946" t="s">
        <v>185</v>
      </c>
    </row>
    <row r="30" spans="1:13" ht="13.5" customHeight="1" x14ac:dyDescent="0.2">
      <c r="A30" s="942" t="s">
        <v>4127</v>
      </c>
      <c r="B30" s="944" t="s">
        <v>4129</v>
      </c>
      <c r="C30" s="943" t="s">
        <v>185</v>
      </c>
      <c r="D30" s="943" t="s">
        <v>185</v>
      </c>
      <c r="E30" s="944" t="s">
        <v>4129</v>
      </c>
      <c r="F30" s="943" t="s">
        <v>185</v>
      </c>
      <c r="G30" s="943" t="s">
        <v>185</v>
      </c>
      <c r="H30" s="944" t="s">
        <v>4129</v>
      </c>
      <c r="I30" s="943" t="s">
        <v>185</v>
      </c>
      <c r="J30" s="943" t="s">
        <v>185</v>
      </c>
      <c r="K30" s="943" t="s">
        <v>185</v>
      </c>
      <c r="L30" s="943" t="s">
        <v>185</v>
      </c>
      <c r="M30" s="943" t="s">
        <v>185</v>
      </c>
    </row>
    <row r="31" spans="1:13" ht="13.5" customHeight="1" x14ac:dyDescent="0.2">
      <c r="A31" s="945" t="s">
        <v>4128</v>
      </c>
      <c r="B31" s="946" t="s">
        <v>185</v>
      </c>
      <c r="C31" s="946" t="s">
        <v>185</v>
      </c>
      <c r="D31" s="947" t="s">
        <v>4129</v>
      </c>
      <c r="E31" s="946" t="s">
        <v>185</v>
      </c>
      <c r="F31" s="946" t="s">
        <v>185</v>
      </c>
      <c r="G31" s="947" t="s">
        <v>4129</v>
      </c>
      <c r="H31" s="946" t="s">
        <v>185</v>
      </c>
      <c r="I31" s="946" t="s">
        <v>185</v>
      </c>
      <c r="J31" s="947" t="s">
        <v>4129</v>
      </c>
      <c r="K31" s="946" t="s">
        <v>185</v>
      </c>
      <c r="L31" s="946" t="s">
        <v>185</v>
      </c>
      <c r="M31" s="946" t="s">
        <v>185</v>
      </c>
    </row>
    <row r="33" spans="1:8" ht="34.5" customHeight="1" x14ac:dyDescent="0.2">
      <c r="A33" s="1574" t="s">
        <v>4130</v>
      </c>
      <c r="B33" s="1574"/>
      <c r="C33" s="1574"/>
      <c r="D33" s="1574"/>
      <c r="E33" s="1574"/>
      <c r="F33" s="1574"/>
      <c r="G33" s="1574"/>
      <c r="H33" s="1574"/>
    </row>
    <row r="34" spans="1:8" ht="45.75" customHeight="1" x14ac:dyDescent="0.2">
      <c r="A34" s="776" t="s">
        <v>3192</v>
      </c>
      <c r="B34" s="776" t="s">
        <v>4131</v>
      </c>
      <c r="C34" s="776" t="s">
        <v>4132</v>
      </c>
      <c r="D34" s="776" t="s">
        <v>4133</v>
      </c>
      <c r="E34" s="776" t="s">
        <v>4134</v>
      </c>
      <c r="F34" s="776" t="s">
        <v>4135</v>
      </c>
      <c r="G34" s="776" t="s">
        <v>4033</v>
      </c>
      <c r="H34" s="776" t="s">
        <v>2952</v>
      </c>
    </row>
    <row r="35" spans="1:8" ht="15" customHeight="1" x14ac:dyDescent="0.2">
      <c r="A35" t="s">
        <v>844</v>
      </c>
      <c r="B35" t="str">
        <f>IFERROR(INDEX({"Aries","Taurus","Gemini","Cancer","Leo","Virgo","Libra","Scorpio","Sagittarius","Capricorn","Aquarius","Pisces"},MOD(MATCH(INPUT_Chart!$C$5,{"Aries","Taurus","Gemini","Cancer","Leo","Virgo","Libra","Scorpio","Sagittarius","Capricorn","Aquarius","Pisces"},0)+0-1,12)+1),"—")</f>
        <v>Taurus</v>
      </c>
      <c r="C35" t="str">
        <f ca="1">IFERROR(_xludf.let(hs,B35,tc,MATCH(hs,CALC_RasiDrishti!$B$19:$M$19,0),cnt,COUNTIF(OFFSET(CALC_RasiDrishti!$B$20,0,tc-1,12,1),"Y"),IF(cnt=0,"None",_xludf.textjoin(", ",TRUE(),IF(OFFSET(CALC_RasiDrishti!$B$20,0,tc-1,12,1)="Y",CALC_RasiDrishti!$A$20:$A$31,"")))),"—")</f>
        <v>—</v>
      </c>
      <c r="D35" t="str">
        <f ca="1">IFERROR(_xludf.let(hs,B35,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35" t="str">
        <f ca="1">IFERROR(_xludf.let(hs,B35,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35" t="str">
        <f ca="1">IFERROR(_xludf.let(hs,B35,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35" s="948">
        <f>IFERROR(IF(REF_Config!$B$6&lt;&gt;"Jaimini",0,ROUND((E35-F35)*0.25,2)),"—")</f>
        <v>0</v>
      </c>
      <c r="H35" t="str">
        <f>IF(REF_Config!$B$6="Jaimini","▶ Jaimini active","◦ Switch B6 to Jaimini")</f>
        <v>◦ Switch B6 to Jaimini</v>
      </c>
    </row>
    <row r="36" spans="1:8" ht="15" customHeight="1" x14ac:dyDescent="0.2">
      <c r="A36" t="s">
        <v>1544</v>
      </c>
      <c r="B36" t="str">
        <f>IFERROR(INDEX({"Aries","Taurus","Gemini","Cancer","Leo","Virgo","Libra","Scorpio","Sagittarius","Capricorn","Aquarius","Pisces"},MOD(MATCH(INPUT_Chart!$C$5,{"Aries","Taurus","Gemini","Cancer","Leo","Virgo","Libra","Scorpio","Sagittarius","Capricorn","Aquarius","Pisces"},0)+1-1,12)+1),"—")</f>
        <v>Gemini</v>
      </c>
      <c r="C36" t="str">
        <f ca="1">IFERROR(_xludf.let(hs,B36,tc,MATCH(hs,CALC_RasiDrishti!$B$19:$M$19,0),cnt,COUNTIF(OFFSET(CALC_RasiDrishti!$B$20,0,tc-1,12,1),"Y"),IF(cnt=0,"None",_xludf.textjoin(", ",TRUE(),IF(OFFSET(CALC_RasiDrishti!$B$20,0,tc-1,12,1)="Y",CALC_RasiDrishti!$A$20:$A$31,"")))),"—")</f>
        <v>—</v>
      </c>
      <c r="D36" t="str">
        <f ca="1">IFERROR(_xludf.let(hs,B36,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36" t="str">
        <f ca="1">IFERROR(_xludf.let(hs,B36,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36" t="str">
        <f ca="1">IFERROR(_xludf.let(hs,B36,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36" s="948">
        <f>IFERROR(IF(REF_Config!$B$6&lt;&gt;"Jaimini",0,ROUND((E36-F36)*0.25,2)),"—")</f>
        <v>0</v>
      </c>
      <c r="H36" t="str">
        <f>IF(REF_Config!$B$6="Jaimini","▶ Jaimini active","◦ Switch B6 to Jaimini")</f>
        <v>◦ Switch B6 to Jaimini</v>
      </c>
    </row>
    <row r="37" spans="1:8" ht="15" customHeight="1" x14ac:dyDescent="0.2">
      <c r="A37" t="s">
        <v>847</v>
      </c>
      <c r="B37" t="str">
        <f>IFERROR(INDEX({"Aries","Taurus","Gemini","Cancer","Leo","Virgo","Libra","Scorpio","Sagittarius","Capricorn","Aquarius","Pisces"},MOD(MATCH(INPUT_Chart!$C$5,{"Aries","Taurus","Gemini","Cancer","Leo","Virgo","Libra","Scorpio","Sagittarius","Capricorn","Aquarius","Pisces"},0)+2-1,12)+1),"—")</f>
        <v>Cancer</v>
      </c>
      <c r="C37" t="str">
        <f ca="1">IFERROR(_xludf.let(hs,B37,tc,MATCH(hs,CALC_RasiDrishti!$B$19:$M$19,0),cnt,COUNTIF(OFFSET(CALC_RasiDrishti!$B$20,0,tc-1,12,1),"Y"),IF(cnt=0,"None",_xludf.textjoin(", ",TRUE(),IF(OFFSET(CALC_RasiDrishti!$B$20,0,tc-1,12,1)="Y",CALC_RasiDrishti!$A$20:$A$31,"")))),"—")</f>
        <v>—</v>
      </c>
      <c r="D37" t="str">
        <f ca="1">IFERROR(_xludf.let(hs,B37,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37" t="str">
        <f ca="1">IFERROR(_xludf.let(hs,B37,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37" t="str">
        <f ca="1">IFERROR(_xludf.let(hs,B37,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37" s="948">
        <f>IFERROR(IF(REF_Config!$B$6&lt;&gt;"Jaimini",0,ROUND((E37-F37)*0.25,2)),"—")</f>
        <v>0</v>
      </c>
      <c r="H37" t="str">
        <f>IF(REF_Config!$B$6="Jaimini","▶ Jaimini active","◦ Switch B6 to Jaimini")</f>
        <v>◦ Switch B6 to Jaimini</v>
      </c>
    </row>
    <row r="38" spans="1:8" ht="15" customHeight="1" x14ac:dyDescent="0.2">
      <c r="A38" t="s">
        <v>842</v>
      </c>
      <c r="B38" t="str">
        <f>IFERROR(INDEX({"Aries","Taurus","Gemini","Cancer","Leo","Virgo","Libra","Scorpio","Sagittarius","Capricorn","Aquarius","Pisces"},MOD(MATCH(INPUT_Chart!$C$5,{"Aries","Taurus","Gemini","Cancer","Leo","Virgo","Libra","Scorpio","Sagittarius","Capricorn","Aquarius","Pisces"},0)+3-1,12)+1),"—")</f>
        <v>Leo</v>
      </c>
      <c r="C38" t="str">
        <f ca="1">IFERROR(_xludf.let(hs,B38,tc,MATCH(hs,CALC_RasiDrishti!$B$19:$M$19,0),cnt,COUNTIF(OFFSET(CALC_RasiDrishti!$B$20,0,tc-1,12,1),"Y"),IF(cnt=0,"None",_xludf.textjoin(", ",TRUE(),IF(OFFSET(CALC_RasiDrishti!$B$20,0,tc-1,12,1)="Y",CALC_RasiDrishti!$A$20:$A$31,"")))),"—")</f>
        <v>—</v>
      </c>
      <c r="D38" t="str">
        <f ca="1">IFERROR(_xludf.let(hs,B38,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38" t="str">
        <f ca="1">IFERROR(_xludf.let(hs,B38,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38" t="str">
        <f ca="1">IFERROR(_xludf.let(hs,B38,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38" s="948">
        <f>IFERROR(IF(REF_Config!$B$6&lt;&gt;"Jaimini",0,ROUND((E38-F38)*0.25,2)),"—")</f>
        <v>0</v>
      </c>
      <c r="H38" t="str">
        <f>IF(REF_Config!$B$6="Jaimini","▶ Jaimini active","◦ Switch B6 to Jaimini")</f>
        <v>◦ Switch B6 to Jaimini</v>
      </c>
    </row>
    <row r="39" spans="1:8" ht="15" customHeight="1" x14ac:dyDescent="0.2">
      <c r="A39" t="s">
        <v>1545</v>
      </c>
      <c r="B39" t="str">
        <f>IFERROR(INDEX({"Aries","Taurus","Gemini","Cancer","Leo","Virgo","Libra","Scorpio","Sagittarius","Capricorn","Aquarius","Pisces"},MOD(MATCH(INPUT_Chart!$C$5,{"Aries","Taurus","Gemini","Cancer","Leo","Virgo","Libra","Scorpio","Sagittarius","Capricorn","Aquarius","Pisces"},0)+4-1,12)+1),"—")</f>
        <v>Virgo</v>
      </c>
      <c r="C39" t="str">
        <f ca="1">IFERROR(_xludf.let(hs,B39,tc,MATCH(hs,CALC_RasiDrishti!$B$19:$M$19,0),cnt,COUNTIF(OFFSET(CALC_RasiDrishti!$B$20,0,tc-1,12,1),"Y"),IF(cnt=0,"None",_xludf.textjoin(", ",TRUE(),IF(OFFSET(CALC_RasiDrishti!$B$20,0,tc-1,12,1)="Y",CALC_RasiDrishti!$A$20:$A$31,"")))),"—")</f>
        <v>—</v>
      </c>
      <c r="D39" t="str">
        <f ca="1">IFERROR(_xludf.let(hs,B39,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39" t="str">
        <f ca="1">IFERROR(_xludf.let(hs,B39,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39" t="str">
        <f ca="1">IFERROR(_xludf.let(hs,B39,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39" s="948">
        <f>IFERROR(IF(REF_Config!$B$6&lt;&gt;"Jaimini",0,ROUND((E39-F39)*0.25,2)),"—")</f>
        <v>0</v>
      </c>
      <c r="H39" t="str">
        <f>IF(REF_Config!$B$6="Jaimini","▶ Jaimini active","◦ Switch B6 to Jaimini")</f>
        <v>◦ Switch B6 to Jaimini</v>
      </c>
    </row>
    <row r="40" spans="1:8" ht="15" customHeight="1" x14ac:dyDescent="0.2">
      <c r="A40" t="s">
        <v>1546</v>
      </c>
      <c r="B40" t="str">
        <f>IFERROR(INDEX({"Aries","Taurus","Gemini","Cancer","Leo","Virgo","Libra","Scorpio","Sagittarius","Capricorn","Aquarius","Pisces"},MOD(MATCH(INPUT_Chart!$C$5,{"Aries","Taurus","Gemini","Cancer","Leo","Virgo","Libra","Scorpio","Sagittarius","Capricorn","Aquarius","Pisces"},0)+5-1,12)+1),"—")</f>
        <v>Libra</v>
      </c>
      <c r="C40" t="str">
        <f ca="1">IFERROR(_xludf.let(hs,B40,tc,MATCH(hs,CALC_RasiDrishti!$B$19:$M$19,0),cnt,COUNTIF(OFFSET(CALC_RasiDrishti!$B$20,0,tc-1,12,1),"Y"),IF(cnt=0,"None",_xludf.textjoin(", ",TRUE(),IF(OFFSET(CALC_RasiDrishti!$B$20,0,tc-1,12,1)="Y",CALC_RasiDrishti!$A$20:$A$31,"")))),"—")</f>
        <v>—</v>
      </c>
      <c r="D40" t="str">
        <f ca="1">IFERROR(_xludf.let(hs,B40,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40" t="str">
        <f ca="1">IFERROR(_xludf.let(hs,B40,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40" t="str">
        <f ca="1">IFERROR(_xludf.let(hs,B40,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40" s="948">
        <f>IFERROR(IF(REF_Config!$B$6&lt;&gt;"Jaimini",0,ROUND((E40-F40)*0.25,2)),"—")</f>
        <v>0</v>
      </c>
      <c r="H40" t="str">
        <f>IF(REF_Config!$B$6="Jaimini","▶ Jaimini active","◦ Switch B6 to Jaimini")</f>
        <v>◦ Switch B6 to Jaimini</v>
      </c>
    </row>
    <row r="41" spans="1:8" ht="15" customHeight="1" x14ac:dyDescent="0.2">
      <c r="A41" t="s">
        <v>846</v>
      </c>
      <c r="B41" t="str">
        <f>IFERROR(INDEX({"Aries","Taurus","Gemini","Cancer","Leo","Virgo","Libra","Scorpio","Sagittarius","Capricorn","Aquarius","Pisces"},MOD(MATCH(INPUT_Chart!$C$5,{"Aries","Taurus","Gemini","Cancer","Leo","Virgo","Libra","Scorpio","Sagittarius","Capricorn","Aquarius","Pisces"},0)+6-1,12)+1),"—")</f>
        <v>Scorpio</v>
      </c>
      <c r="C41" t="str">
        <f ca="1">IFERROR(_xludf.let(hs,B41,tc,MATCH(hs,CALC_RasiDrishti!$B$19:$M$19,0),cnt,COUNTIF(OFFSET(CALC_RasiDrishti!$B$20,0,tc-1,12,1),"Y"),IF(cnt=0,"None",_xludf.textjoin(", ",TRUE(),IF(OFFSET(CALC_RasiDrishti!$B$20,0,tc-1,12,1)="Y",CALC_RasiDrishti!$A$20:$A$31,"")))),"—")</f>
        <v>—</v>
      </c>
      <c r="D41" t="str">
        <f ca="1">IFERROR(_xludf.let(hs,B41,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41" t="str">
        <f ca="1">IFERROR(_xludf.let(hs,B41,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41" t="str">
        <f ca="1">IFERROR(_xludf.let(hs,B41,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41" s="948">
        <f>IFERROR(IF(REF_Config!$B$6&lt;&gt;"Jaimini",0,ROUND((E41-F41)*0.25,2)),"—")</f>
        <v>0</v>
      </c>
      <c r="H41" t="str">
        <f>IF(REF_Config!$B$6="Jaimini","▶ Jaimini active","◦ Switch B6 to Jaimini")</f>
        <v>◦ Switch B6 to Jaimini</v>
      </c>
    </row>
    <row r="42" spans="1:8" ht="15" customHeight="1" x14ac:dyDescent="0.2">
      <c r="A42" t="s">
        <v>1547</v>
      </c>
      <c r="B42" t="str">
        <f>IFERROR(INDEX({"Aries","Taurus","Gemini","Cancer","Leo","Virgo","Libra","Scorpio","Sagittarius","Capricorn","Aquarius","Pisces"},MOD(MATCH(INPUT_Chart!$C$5,{"Aries","Taurus","Gemini","Cancer","Leo","Virgo","Libra","Scorpio","Sagittarius","Capricorn","Aquarius","Pisces"},0)+7-1,12)+1),"—")</f>
        <v>Sagittarius</v>
      </c>
      <c r="C42" t="str">
        <f ca="1">IFERROR(_xludf.let(hs,B42,tc,MATCH(hs,CALC_RasiDrishti!$B$19:$M$19,0),cnt,COUNTIF(OFFSET(CALC_RasiDrishti!$B$20,0,tc-1,12,1),"Y"),IF(cnt=0,"None",_xludf.textjoin(", ",TRUE(),IF(OFFSET(CALC_RasiDrishti!$B$20,0,tc-1,12,1)="Y",CALC_RasiDrishti!$A$20:$A$31,"")))),"—")</f>
        <v>—</v>
      </c>
      <c r="D42" t="str">
        <f ca="1">IFERROR(_xludf.let(hs,B42,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42" t="str">
        <f ca="1">IFERROR(_xludf.let(hs,B42,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42" t="str">
        <f ca="1">IFERROR(_xludf.let(hs,B42,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42" s="948">
        <f>IFERROR(IF(REF_Config!$B$6&lt;&gt;"Jaimini",0,ROUND((E42-F42)*0.25,2)),"—")</f>
        <v>0</v>
      </c>
      <c r="H42" t="str">
        <f>IF(REF_Config!$B$6="Jaimini","▶ Jaimini active","◦ Switch B6 to Jaimini")</f>
        <v>◦ Switch B6 to Jaimini</v>
      </c>
    </row>
    <row r="43" spans="1:8" ht="15" customHeight="1" x14ac:dyDescent="0.2">
      <c r="A43" t="s">
        <v>848</v>
      </c>
      <c r="B43" t="str">
        <f>IFERROR(INDEX({"Aries","Taurus","Gemini","Cancer","Leo","Virgo","Libra","Scorpio","Sagittarius","Capricorn","Aquarius","Pisces"},MOD(MATCH(INPUT_Chart!$C$5,{"Aries","Taurus","Gemini","Cancer","Leo","Virgo","Libra","Scorpio","Sagittarius","Capricorn","Aquarius","Pisces"},0)+8-1,12)+1),"—")</f>
        <v>Capricorn</v>
      </c>
      <c r="C43" t="str">
        <f ca="1">IFERROR(_xludf.let(hs,B43,tc,MATCH(hs,CALC_RasiDrishti!$B$19:$M$19,0),cnt,COUNTIF(OFFSET(CALC_RasiDrishti!$B$20,0,tc-1,12,1),"Y"),IF(cnt=0,"None",_xludf.textjoin(", ",TRUE(),IF(OFFSET(CALC_RasiDrishti!$B$20,0,tc-1,12,1)="Y",CALC_RasiDrishti!$A$20:$A$31,"")))),"—")</f>
        <v>—</v>
      </c>
      <c r="D43" t="str">
        <f ca="1">IFERROR(_xludf.let(hs,B43,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43" t="str">
        <f ca="1">IFERROR(_xludf.let(hs,B43,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43" t="str">
        <f ca="1">IFERROR(_xludf.let(hs,B43,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43" s="948">
        <f>IFERROR(IF(REF_Config!$B$6&lt;&gt;"Jaimini",0,ROUND((E43-F43)*0.25,2)),"—")</f>
        <v>0</v>
      </c>
      <c r="H43" t="str">
        <f>IF(REF_Config!$B$6="Jaimini","▶ Jaimini active","◦ Switch B6 to Jaimini")</f>
        <v>◦ Switch B6 to Jaimini</v>
      </c>
    </row>
    <row r="44" spans="1:8" ht="15" customHeight="1" x14ac:dyDescent="0.2">
      <c r="A44" t="s">
        <v>841</v>
      </c>
      <c r="B44" t="str">
        <f>IFERROR(INDEX({"Aries","Taurus","Gemini","Cancer","Leo","Virgo","Libra","Scorpio","Sagittarius","Capricorn","Aquarius","Pisces"},MOD(MATCH(INPUT_Chart!$C$5,{"Aries","Taurus","Gemini","Cancer","Leo","Virgo","Libra","Scorpio","Sagittarius","Capricorn","Aquarius","Pisces"},0)+9-1,12)+1),"—")</f>
        <v>Aquarius</v>
      </c>
      <c r="C44" t="str">
        <f ca="1">IFERROR(_xludf.let(hs,B44,tc,MATCH(hs,CALC_RasiDrishti!$B$19:$M$19,0),cnt,COUNTIF(OFFSET(CALC_RasiDrishti!$B$20,0,tc-1,12,1),"Y"),IF(cnt=0,"None",_xludf.textjoin(", ",TRUE(),IF(OFFSET(CALC_RasiDrishti!$B$20,0,tc-1,12,1)="Y",CALC_RasiDrishti!$A$20:$A$31,"")))),"—")</f>
        <v>—</v>
      </c>
      <c r="D44" t="str">
        <f ca="1">IFERROR(_xludf.let(hs,B44,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44" t="str">
        <f ca="1">IFERROR(_xludf.let(hs,B44,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44" t="str">
        <f ca="1">IFERROR(_xludf.let(hs,B44,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44" s="948">
        <f>IFERROR(IF(REF_Config!$B$6&lt;&gt;"Jaimini",0,ROUND((E44-F44)*0.25,2)),"—")</f>
        <v>0</v>
      </c>
      <c r="H44" t="str">
        <f>IF(REF_Config!$B$6="Jaimini","▶ Jaimini active","◦ Switch B6 to Jaimini")</f>
        <v>◦ Switch B6 to Jaimini</v>
      </c>
    </row>
    <row r="45" spans="1:8" ht="15" customHeight="1" x14ac:dyDescent="0.2">
      <c r="A45" t="s">
        <v>1548</v>
      </c>
      <c r="B45" t="str">
        <f>IFERROR(INDEX({"Aries","Taurus","Gemini","Cancer","Leo","Virgo","Libra","Scorpio","Sagittarius","Capricorn","Aquarius","Pisces"},MOD(MATCH(INPUT_Chart!$C$5,{"Aries","Taurus","Gemini","Cancer","Leo","Virgo","Libra","Scorpio","Sagittarius","Capricorn","Aquarius","Pisces"},0)+10-1,12)+1),"—")</f>
        <v>Pisces</v>
      </c>
      <c r="C45" t="str">
        <f ca="1">IFERROR(_xludf.let(hs,B45,tc,MATCH(hs,CALC_RasiDrishti!$B$19:$M$19,0),cnt,COUNTIF(OFFSET(CALC_RasiDrishti!$B$20,0,tc-1,12,1),"Y"),IF(cnt=0,"None",_xludf.textjoin(", ",TRUE(),IF(OFFSET(CALC_RasiDrishti!$B$20,0,tc-1,12,1)="Y",CALC_RasiDrishti!$A$20:$A$31,"")))),"—")</f>
        <v>—</v>
      </c>
      <c r="D45" t="str">
        <f ca="1">IFERROR(_xludf.let(hs,B45,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45" t="str">
        <f ca="1">IFERROR(_xludf.let(hs,B45,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45" t="str">
        <f ca="1">IFERROR(_xludf.let(hs,B45,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45" s="948">
        <f>IFERROR(IF(REF_Config!$B$6&lt;&gt;"Jaimini",0,ROUND((E45-F45)*0.25,2)),"—")</f>
        <v>0</v>
      </c>
      <c r="H45" t="str">
        <f>IF(REF_Config!$B$6="Jaimini","▶ Jaimini active","◦ Switch B6 to Jaimini")</f>
        <v>◦ Switch B6 to Jaimini</v>
      </c>
    </row>
    <row r="46" spans="1:8" ht="15" customHeight="1" x14ac:dyDescent="0.2">
      <c r="A46" t="s">
        <v>1549</v>
      </c>
      <c r="B46" t="str">
        <f>IFERROR(INDEX({"Aries","Taurus","Gemini","Cancer","Leo","Virgo","Libra","Scorpio","Sagittarius","Capricorn","Aquarius","Pisces"},MOD(MATCH(INPUT_Chart!$C$5,{"Aries","Taurus","Gemini","Cancer","Leo","Virgo","Libra","Scorpio","Sagittarius","Capricorn","Aquarius","Pisces"},0)+11-1,12)+1),"—")</f>
        <v>Aries</v>
      </c>
      <c r="C46" t="str">
        <f ca="1">IFERROR(_xludf.let(hs,B46,tc,MATCH(hs,CALC_RasiDrishti!$B$19:$M$19,0),cnt,COUNTIF(OFFSET(CALC_RasiDrishti!$B$20,0,tc-1,12,1),"Y"),IF(cnt=0,"None",_xludf.textjoin(", ",TRUE(),IF(OFFSET(CALC_RasiDrishti!$B$20,0,tc-1,12,1)="Y",CALC_RasiDrishti!$A$20:$A$31,"")))),"—")</f>
        <v>—</v>
      </c>
      <c r="D46" t="str">
        <f ca="1">IFERROR(_xludf.let(hs,B46,tc,MATCH(hs,CALC_RasiDrishti!$B$19:$M$19,0),asp_signs,OFFSET(CALC_RasiDrishti!$B$20,0,tc-1,12,1),asp_sign_names,IF(asp_signs="Y",CALC_RasiDrishti!$A$20:$A$31,""),planet_signs,CALC_PlanetPositions!$B$7:$B$15,planet_names,{"Sun","Moon","Mars","Mercury","Jupiter","Venus","Saturn","Rahu","Ketu"},in_asp,ISNUMBER(MATCH(planet_signs,asp_sign_names,0)),cnt,SUM(in_asp*1),IF(cnt=0,"None",_xludf.textjoin(", ",TRUE(),IF(in_asp,planet_names,"")))),"—")</f>
        <v>—</v>
      </c>
      <c r="E46" t="str">
        <f ca="1">IFERROR(_xludf.let(hs,B46,tc,MATCH(hs,CALC_RasiDrishti!$B$19:$M$19,0),asp_signs,OFFSET(CALC_RasiDrishti!$B$20,0,tc-1,12,1),asp_sign_names,IF(asp_signs="Y",CALC_RasiDrishti!$A$20:$A$31,""),planet_signs,CALC_PlanetPositions!$B$7:$B$15,planet_nature,CALC_PlanetPositions!$M$7:$M$15,in_asp,ISNUMBER(MATCH(planet_signs,asp_sign_names,0)),SUMPRODUCT(in_asp*1,(planet_nature="Benefic")*1)),"—")</f>
        <v>—</v>
      </c>
      <c r="F46" t="str">
        <f ca="1">IFERROR(_xludf.let(hs,B46,tc,MATCH(hs,CALC_RasiDrishti!$B$19:$M$19,0),asp_signs,OFFSET(CALC_RasiDrishti!$B$20,0,tc-1,12,1),asp_sign_names,IF(asp_signs="Y",CALC_RasiDrishti!$A$20:$A$31,""),planet_signs,CALC_PlanetPositions!$B$7:$B$15,planet_nature,CALC_PlanetPositions!$M$7:$M$15,in_asp,ISNUMBER(MATCH(planet_signs,asp_sign_names,0)),SUMPRODUCT(in_asp*1,(planet_nature="Malefic")*1)),"—")</f>
        <v>—</v>
      </c>
      <c r="G46" s="948">
        <f>IFERROR(IF(REF_Config!$B$6&lt;&gt;"Jaimini",0,ROUND((E46-F46)*0.25,2)),"—")</f>
        <v>0</v>
      </c>
      <c r="H46" t="str">
        <f>IF(REF_Config!$B$6="Jaimini","▶ Jaimini active","◦ Switch B6 to Jaimini")</f>
        <v>◦ Switch B6 to Jaimini</v>
      </c>
    </row>
  </sheetData>
  <mergeCells count="4">
    <mergeCell ref="A1:F1"/>
    <mergeCell ref="A2:F2"/>
    <mergeCell ref="A18:F18"/>
    <mergeCell ref="A33:H33"/>
  </mergeCell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6A1B9A"/>
  </sheetPr>
  <dimension ref="A1:J11"/>
  <sheetViews>
    <sheetView zoomScaleNormal="100" workbookViewId="0"/>
  </sheetViews>
  <sheetFormatPr defaultColWidth="8.609375" defaultRowHeight="15" x14ac:dyDescent="0.2"/>
  <cols>
    <col min="1" max="1" width="11.97265625" customWidth="1"/>
    <col min="2" max="7" width="13.98828125" customWidth="1"/>
    <col min="8" max="8" width="39.953125" customWidth="1"/>
  </cols>
  <sheetData>
    <row r="1" spans="1:10" ht="21.75" customHeight="1" x14ac:dyDescent="0.2">
      <c r="A1" s="1522" t="s">
        <v>4136</v>
      </c>
      <c r="B1" s="1522"/>
      <c r="C1" s="1522"/>
      <c r="D1" s="1522"/>
      <c r="E1" s="1522"/>
      <c r="F1" s="1522"/>
      <c r="G1" s="1522"/>
      <c r="H1" s="1522"/>
      <c r="J1" s="544" t="s">
        <v>2214</v>
      </c>
    </row>
    <row r="2" spans="1:10" ht="24" customHeight="1" x14ac:dyDescent="0.2">
      <c r="A2" s="1523" t="s">
        <v>4137</v>
      </c>
      <c r="B2" s="1523"/>
      <c r="C2" s="1523"/>
      <c r="D2" s="1523"/>
      <c r="E2" s="1523"/>
      <c r="F2" s="1523"/>
      <c r="G2" s="1523"/>
      <c r="H2" s="1523"/>
    </row>
    <row r="4" spans="1:10" ht="15.75" customHeight="1" x14ac:dyDescent="0.2">
      <c r="A4" s="545" t="s">
        <v>319</v>
      </c>
      <c r="B4" s="545" t="s">
        <v>1121</v>
      </c>
      <c r="C4" s="545" t="s">
        <v>321</v>
      </c>
      <c r="D4" s="545" t="s">
        <v>4138</v>
      </c>
      <c r="E4" s="545" t="s">
        <v>4139</v>
      </c>
      <c r="F4" s="545" t="s">
        <v>4140</v>
      </c>
      <c r="G4" s="545" t="s">
        <v>4141</v>
      </c>
      <c r="H4" s="545" t="s">
        <v>4142</v>
      </c>
    </row>
    <row r="5" spans="1:10" ht="18" customHeight="1" x14ac:dyDescent="0.2">
      <c r="A5" s="578" t="s">
        <v>266</v>
      </c>
      <c r="B5" s="574" t="str">
        <f>IFERROR(CALC_PlanetPositions!$B$7,"—")</f>
        <v>Cancer</v>
      </c>
      <c r="C5" s="949">
        <f>IFERROR(CALC_PlanetPositions!$C$7,0)</f>
        <v>27.989000000000004</v>
      </c>
      <c r="D5" s="548" t="str">
        <f>IFERROR(IF(MOD(MATCH(CALC_PlanetPositions!$B$7,{"Aries","Taurus","Gemini","Cancer","Leo","Virgo","Libra","Scorpio","Sagittarius","Capricorn","Aquarius","Pisces"},0),2)=1,"Odd","Even"),"—")</f>
        <v>Even</v>
      </c>
      <c r="E5" s="610" t="str">
        <f>IFERROR(IF((MOD(MATCH(CALC_PlanetPositions!$B$7,{"Aries","Taurus","Gemini","Cancer","Leo","Virgo","Libra","Scorpio","Sagittarius","Capricorn","Aquarius","Pisces"},0),2)=1),IF(CALC_PlanetPositions!$C$7&lt;6,"Bala (Infant)",IF(CALC_PlanetPositions!$C$7&lt;12,"Kumar (Child)",IF(CALC_PlanetPositions!$C$7&lt;18,"Yuva (Prime)",IF(CALC_PlanetPositions!$C$7&lt;24,"Vridha (Old)","Mrita (Dead)")))),IF(CALC_PlanetPositions!$C$7&lt;6,"Mrita (Dead)",IF(CALC_PlanetPositions!$C$7&lt;12,"Vridha (Old)",IF(CALC_PlanetPositions!$C$7&lt;18,"Yuva (Prime)",IF(CALC_PlanetPositions!$C$7&lt;24,"Kumar (Child)","Bala (Infant)"))))),"—")</f>
        <v>Bala (Infant)</v>
      </c>
      <c r="F5" s="915">
        <f ca="1">IFERROR(_xludf.switch(E5,"Yuva (Prime)",100,"Kumar (Child)",50,"Vridha (Old)",50,"Bala (Infant)",25,"Mrita (Dead)",0,100),100)</f>
        <v>100</v>
      </c>
      <c r="G5" s="574" t="str">
        <f>IFERROR(IF(OR("·"="COMBUST ⚠","·"="CAZIMI ★"),"Kopa (Combust)",IF(IFERROR(CALC_GrahaYuddha!$D$19,0)&lt;0,"Deena (War loser)",IF(OR(CALC_PlanetPositions!$K$7="Exaltation",CALC_PlanetPositions!$K$7="Deep exalt",CALC_PlanetPositions!$K$7="Own sign",CALC_PlanetPositions!$K$7="Mooltrikona"),"Sthira (Content)",IF(CALC_PlanetPositions!$K$7="Enemy sign","Kshuditha (Enemy sign)",IF(AND(OR(CALC_PlanetPositions!$K$7="Friendly sign",CALC_PlanetPositions!$K$7="Great friend"),ISNUMBER(MATCH(CALC_PlanetPositions!$B$7,{"Cancer","Taurus","Gemini","Sagittarius","Pisces","Leo"},0))),"Mudita (Joyful)",IF(AND((MOD(MATCH(CALC_PlanetPositions!$B$7,{"Aries","Taurus","Gemini","Cancer","Leo","Virgo","Libra","Scorpio","Sagittarius","Capricorn","Aquarius","Pisces"},0),2)=1),(INT(CALC_PlanetPositions!$C$7/10)+1)=1),"Sayana (Sleeping)",IF(AND((MOD(MATCH(CALC_PlanetPositions!$B$7,{"Aries","Taurus","Gemini","Cancer","Leo","Virgo","Libra","Scorpio","Sagittarius","Capricorn","Aquarius","Pisces"},0),2)=1),(INT(CALC_PlanetPositions!$C$7/10)+1)=2),"Upavesh (Stirring)",IF(AND(NOT((MOD(MATCH(CALC_PlanetPositions!$B$7,{"Aries","Taurus","Gemini","Cancer","Leo","Virgo","Libra","Scorpio","Sagittarius","Capricorn","Aquarius","Pisces"},0),2)=1)),(INT(CALC_PlanetPositions!$C$7/10)+1)=1),"Kautuka (Playing)",IF(AND(NOT((MOD(MATCH(CALC_PlanetPositions!$B$7,{"Aries","Taurus","Gemini","Cancer","Leo","Virgo","Libra","Scorpio","Sagittarius","Capricorn","Aquarius","Pisces"},0),2)=1)),(INT(CALC_PlanetPositions!$C$7/10)+1)=2),"Nishcheshta (Powerless)","Prakrita (Normal)"))))))))),"Prakrita (Normal)")</f>
        <v>Mudita (Joyful)</v>
      </c>
      <c r="H5" s="915">
        <f ca="1">IFERROR(_xludf.switch(G5,"Kopa (Combust)",-0.5,"Deena (War loser)",-0.5,"Kshuditha (Enemy sign)",-0.25,"Nishcheshta (Powerless)",-0.25,"Sayana (Sleeping)",-0.2,"Upavesh (Stirring)",-0.1,"Sthira (Content)",0.25,"Mudita (Joyful)",0.5,"Kautuka (Playing)",0.1,"Netrapani (Introspective)",0,"Prakrita (Normal)",0,0),0)</f>
        <v>0</v>
      </c>
    </row>
    <row r="6" spans="1:10" ht="18" customHeight="1" x14ac:dyDescent="0.2">
      <c r="A6" s="580" t="s">
        <v>267</v>
      </c>
      <c r="B6" s="576" t="str">
        <f>IFERROR(CALC_PlanetPositions!$B$8,"—")</f>
        <v>Cancer</v>
      </c>
      <c r="C6" s="950">
        <f>IFERROR(CALC_PlanetPositions!$C$8,0)</f>
        <v>3.9835000000000065</v>
      </c>
      <c r="D6" s="552" t="str">
        <f>IFERROR(IF(MOD(MATCH(CALC_PlanetPositions!$B$8,{"Aries","Taurus","Gemini","Cancer","Leo","Virgo","Libra","Scorpio","Sagittarius","Capricorn","Aquarius","Pisces"},0),2)=1,"Odd","Even"),"—")</f>
        <v>Even</v>
      </c>
      <c r="E6" s="612" t="str">
        <f>IFERROR(IF((MOD(MATCH(CALC_PlanetPositions!$B$8,{"Aries","Taurus","Gemini","Cancer","Leo","Virgo","Libra","Scorpio","Sagittarius","Capricorn","Aquarius","Pisces"},0),2)=1),IF(CALC_PlanetPositions!$C$8&lt;6,"Bala (Infant)",IF(CALC_PlanetPositions!$C$8&lt;12,"Kumar (Child)",IF(CALC_PlanetPositions!$C$8&lt;18,"Yuva (Prime)",IF(CALC_PlanetPositions!$C$8&lt;24,"Vridha (Old)","Mrita (Dead)")))),IF(CALC_PlanetPositions!$C$8&lt;6,"Mrita (Dead)",IF(CALC_PlanetPositions!$C$8&lt;12,"Vridha (Old)",IF(CALC_PlanetPositions!$C$8&lt;18,"Yuva (Prime)",IF(CALC_PlanetPositions!$C$8&lt;24,"Kumar (Child)","Bala (Infant)"))))),"—")</f>
        <v>Mrita (Dead)</v>
      </c>
      <c r="F6" s="919">
        <f ca="1">IFERROR(_xludf.switch(E6,"Yuva (Prime)",100,"Kumar (Child)",50,"Vridha (Old)",50,"Bala (Infant)",25,"Mrita (Dead)",0,100),100)</f>
        <v>100</v>
      </c>
      <c r="G6" s="576" t="str">
        <f>IFERROR(IF(OR(CALC_CombustionCheck!$F$5="COMBUST ⚠",CALC_CombustionCheck!$F$5="CAZIMI ★"),"Kopa (Combust)",IF(IFERROR(CALC_GrahaYuddha!$D$20,0)&lt;0,"Deena (War loser)",IF(OR(CALC_PlanetPositions!$K$8="Exaltation",CALC_PlanetPositions!$K$8="Deep exalt",CALC_PlanetPositions!$K$8="Own sign",CALC_PlanetPositions!$K$8="Mooltrikona"),"Sthira (Content)",IF(CALC_PlanetPositions!$K$8="Enemy sign","Kshuditha (Enemy sign)",IF(AND(OR(CALC_PlanetPositions!$K$8="Friendly sign",CALC_PlanetPositions!$K$8="Great friend"),ISNUMBER(MATCH(CALC_PlanetPositions!$B$8,{"Cancer","Taurus","Gemini","Sagittarius","Pisces","Leo"},0))),"Mudita (Joyful)",IF(AND((MOD(MATCH(CALC_PlanetPositions!$B$8,{"Aries","Taurus","Gemini","Cancer","Leo","Virgo","Libra","Scorpio","Sagittarius","Capricorn","Aquarius","Pisces"},0),2)=1),(INT(CALC_PlanetPositions!$C$8/10)+1)=1),"Sayana (Sleeping)",IF(AND((MOD(MATCH(CALC_PlanetPositions!$B$8,{"Aries","Taurus","Gemini","Cancer","Leo","Virgo","Libra","Scorpio","Sagittarius","Capricorn","Aquarius","Pisces"},0),2)=1),(INT(CALC_PlanetPositions!$C$8/10)+1)=2),"Upavesh (Stirring)",IF(AND(NOT((MOD(MATCH(CALC_PlanetPositions!$B$8,{"Aries","Taurus","Gemini","Cancer","Leo","Virgo","Libra","Scorpio","Sagittarius","Capricorn","Aquarius","Pisces"},0),2)=1)),(INT(CALC_PlanetPositions!$C$8/10)+1)=1),"Kautuka (Playing)",IF(AND(NOT((MOD(MATCH(CALC_PlanetPositions!$B$8,{"Aries","Taurus","Gemini","Cancer","Leo","Virgo","Libra","Scorpio","Sagittarius","Capricorn","Aquarius","Pisces"},0),2)=1)),(INT(CALC_PlanetPositions!$C$8/10)+1)=2),"Nishcheshta (Powerless)","Prakrita (Normal)"))))))))),"Prakrita (Normal)")</f>
        <v>Sthira (Content)</v>
      </c>
      <c r="H6" s="919">
        <f ca="1">IFERROR(_xludf.switch(G6,"Kopa (Combust)",-0.5,"Deena (War loser)",-0.5,"Kshuditha (Enemy sign)",-0.25,"Nishcheshta (Powerless)",-0.25,"Sayana (Sleeping)",-0.2,"Upavesh (Stirring)",-0.1,"Sthira (Content)",0.25,"Mudita (Joyful)",0.5,"Kautuka (Playing)",0.1,"Netrapani (Introspective)",0,"Prakrita (Normal)",0,0),0)</f>
        <v>0</v>
      </c>
    </row>
    <row r="7" spans="1:10" ht="18" customHeight="1" x14ac:dyDescent="0.2">
      <c r="A7" s="578" t="s">
        <v>268</v>
      </c>
      <c r="B7" s="574" t="str">
        <f>IFERROR(CALC_PlanetPositions!$B$9,"—")</f>
        <v>Gemini</v>
      </c>
      <c r="C7" s="949">
        <f>IFERROR(CALC_PlanetPositions!$C$9,0)</f>
        <v>7.4561999999999955</v>
      </c>
      <c r="D7" s="548" t="str">
        <f>IFERROR(IF(MOD(MATCH(CALC_PlanetPositions!$B$9,{"Aries","Taurus","Gemini","Cancer","Leo","Virgo","Libra","Scorpio","Sagittarius","Capricorn","Aquarius","Pisces"},0),2)=1,"Odd","Even"),"—")</f>
        <v>Odd</v>
      </c>
      <c r="E7" s="610" t="str">
        <f>IFERROR(IF((MOD(MATCH(CALC_PlanetPositions!$B$9,{"Aries","Taurus","Gemini","Cancer","Leo","Virgo","Libra","Scorpio","Sagittarius","Capricorn","Aquarius","Pisces"},0),2)=1),IF(CALC_PlanetPositions!$C$9&lt;6,"Bala (Infant)",IF(CALC_PlanetPositions!$C$9&lt;12,"Kumar (Child)",IF(CALC_PlanetPositions!$C$9&lt;18,"Yuva (Prime)",IF(CALC_PlanetPositions!$C$9&lt;24,"Vridha (Old)","Mrita (Dead)")))),IF(CALC_PlanetPositions!$C$9&lt;6,"Mrita (Dead)",IF(CALC_PlanetPositions!$C$9&lt;12,"Vridha (Old)",IF(CALC_PlanetPositions!$C$9&lt;18,"Yuva (Prime)",IF(CALC_PlanetPositions!$C$9&lt;24,"Kumar (Child)","Bala (Infant)"))))),"—")</f>
        <v>Kumar (Child)</v>
      </c>
      <c r="F7" s="915">
        <f ca="1">IFERROR(_xludf.switch(E7,"Yuva (Prime)",100,"Kumar (Child)",50,"Vridha (Old)",50,"Bala (Infant)",25,"Mrita (Dead)",0,100),100)</f>
        <v>100</v>
      </c>
      <c r="G7" s="574" t="str">
        <f>IFERROR(IF(OR(CALC_CombustionCheck!$F$6="COMBUST ⚠",CALC_CombustionCheck!$F$6="CAZIMI ★"),"Kopa (Combust)",IF(IFERROR(CALC_GrahaYuddha!$D$21,0)&lt;0,"Deena (War loser)",IF(OR(CALC_PlanetPositions!$K$9="Exaltation",CALC_PlanetPositions!$K$9="Deep exalt",CALC_PlanetPositions!$K$9="Own sign",CALC_PlanetPositions!$K$9="Mooltrikona"),"Sthira (Content)",IF(CALC_PlanetPositions!$K$9="Enemy sign","Kshuditha (Enemy sign)",IF(AND(OR(CALC_PlanetPositions!$K$9="Friendly sign",CALC_PlanetPositions!$K$9="Great friend"),ISNUMBER(MATCH(CALC_PlanetPositions!$B$9,{"Cancer","Taurus","Gemini","Sagittarius","Pisces","Leo"},0))),"Mudita (Joyful)",IF(AND((MOD(MATCH(CALC_PlanetPositions!$B$9,{"Aries","Taurus","Gemini","Cancer","Leo","Virgo","Libra","Scorpio","Sagittarius","Capricorn","Aquarius","Pisces"},0),2)=1),(INT(CALC_PlanetPositions!$C$9/10)+1)=1),"Sayana (Sleeping)",IF(AND((MOD(MATCH(CALC_PlanetPositions!$B$9,{"Aries","Taurus","Gemini","Cancer","Leo","Virgo","Libra","Scorpio","Sagittarius","Capricorn","Aquarius","Pisces"},0),2)=1),(INT(CALC_PlanetPositions!$C$9/10)+1)=2),"Upavesh (Stirring)",IF(AND(NOT((MOD(MATCH(CALC_PlanetPositions!$B$9,{"Aries","Taurus","Gemini","Cancer","Leo","Virgo","Libra","Scorpio","Sagittarius","Capricorn","Aquarius","Pisces"},0),2)=1)),(INT(CALC_PlanetPositions!$C$9/10)+1)=1),"Kautuka (Playing)",IF(AND(NOT((MOD(MATCH(CALC_PlanetPositions!$B$9,{"Aries","Taurus","Gemini","Cancer","Leo","Virgo","Libra","Scorpio","Sagittarius","Capricorn","Aquarius","Pisces"},0),2)=1)),(INT(CALC_PlanetPositions!$C$9/10)+1)=2),"Nishcheshta (Powerless)","Prakrita (Normal)"))))))))),"Prakrita (Normal)")</f>
        <v>Kshuditha (Enemy sign)</v>
      </c>
      <c r="H7" s="915">
        <f ca="1">IFERROR(_xludf.switch(G7,"Kopa (Combust)",-0.5,"Deena (War loser)",-0.5,"Kshuditha (Enemy sign)",-0.25,"Nishcheshta (Powerless)",-0.25,"Sayana (Sleeping)",-0.2,"Upavesh (Stirring)",-0.1,"Sthira (Content)",0.25,"Mudita (Joyful)",0.5,"Kautuka (Playing)",0.1,"Netrapani (Introspective)",0,"Prakrita (Normal)",0,0),0)</f>
        <v>0</v>
      </c>
    </row>
    <row r="8" spans="1:10" ht="18" customHeight="1" x14ac:dyDescent="0.2">
      <c r="A8" s="580" t="s">
        <v>269</v>
      </c>
      <c r="B8" s="576" t="str">
        <f>IFERROR(CALC_PlanetPositions!$B$10,"—")</f>
        <v>Cancer</v>
      </c>
      <c r="C8" s="950">
        <f>IFERROR(CALC_PlanetPositions!$C$10,0)</f>
        <v>13.674300000000002</v>
      </c>
      <c r="D8" s="552" t="str">
        <f>IFERROR(IF(MOD(MATCH(CALC_PlanetPositions!$B$10,{"Aries","Taurus","Gemini","Cancer","Leo","Virgo","Libra","Scorpio","Sagittarius","Capricorn","Aquarius","Pisces"},0),2)=1,"Odd","Even"),"—")</f>
        <v>Even</v>
      </c>
      <c r="E8" s="612" t="str">
        <f>IFERROR(IF((MOD(MATCH(CALC_PlanetPositions!$B$10,{"Aries","Taurus","Gemini","Cancer","Leo","Virgo","Libra","Scorpio","Sagittarius","Capricorn","Aquarius","Pisces"},0),2)=1),IF(CALC_PlanetPositions!$C$10&lt;6,"Bala (Infant)",IF(CALC_PlanetPositions!$C$10&lt;12,"Kumar (Child)",IF(CALC_PlanetPositions!$C$10&lt;18,"Yuva (Prime)",IF(CALC_PlanetPositions!$C$10&lt;24,"Vridha (Old)","Mrita (Dead)")))),IF(CALC_PlanetPositions!$C$10&lt;6,"Mrita (Dead)",IF(CALC_PlanetPositions!$C$10&lt;12,"Vridha (Old)",IF(CALC_PlanetPositions!$C$10&lt;18,"Yuva (Prime)",IF(CALC_PlanetPositions!$C$10&lt;24,"Kumar (Child)","Bala (Infant)"))))),"—")</f>
        <v>Yuva (Prime)</v>
      </c>
      <c r="F8" s="919">
        <f ca="1">IFERROR(_xludf.switch(E8,"Yuva (Prime)",100,"Kumar (Child)",50,"Vridha (Old)",50,"Bala (Infant)",25,"Mrita (Dead)",0,100),100)</f>
        <v>100</v>
      </c>
      <c r="G8" s="576" t="str">
        <f>IFERROR(IF(OR(CALC_CombustionCheck!$F$7="COMBUST ⚠",CALC_CombustionCheck!$F$7="CAZIMI ★"),"Kopa (Combust)",IF(IFERROR(CALC_GrahaYuddha!$D$22,0)&lt;0,"Deena (War loser)",IF(OR(CALC_PlanetPositions!$K$10="Exaltation",CALC_PlanetPositions!$K$10="Deep exalt",CALC_PlanetPositions!$K$10="Own sign",CALC_PlanetPositions!$K$10="Mooltrikona"),"Sthira (Content)",IF(CALC_PlanetPositions!$K$10="Enemy sign","Kshuditha (Enemy sign)",IF(AND(OR(CALC_PlanetPositions!$K$10="Friendly sign",CALC_PlanetPositions!$K$10="Great friend"),ISNUMBER(MATCH(CALC_PlanetPositions!$B$10,{"Cancer","Taurus","Gemini","Sagittarius","Pisces","Leo"},0))),"Mudita (Joyful)",IF(AND((MOD(MATCH(CALC_PlanetPositions!$B$10,{"Aries","Taurus","Gemini","Cancer","Leo","Virgo","Libra","Scorpio","Sagittarius","Capricorn","Aquarius","Pisces"},0),2)=1),(INT(CALC_PlanetPositions!$C$10/10)+1)=1),"Sayana (Sleeping)",IF(AND((MOD(MATCH(CALC_PlanetPositions!$B$10,{"Aries","Taurus","Gemini","Cancer","Leo","Virgo","Libra","Scorpio","Sagittarius","Capricorn","Aquarius","Pisces"},0),2)=1),(INT(CALC_PlanetPositions!$C$10/10)+1)=2),"Upavesh (Stirring)",IF(AND(NOT((MOD(MATCH(CALC_PlanetPositions!$B$10,{"Aries","Taurus","Gemini","Cancer","Leo","Virgo","Libra","Scorpio","Sagittarius","Capricorn","Aquarius","Pisces"},0),2)=1)),(INT(CALC_PlanetPositions!$C$10/10)+1)=1),"Kautuka (Playing)",IF(AND(NOT((MOD(MATCH(CALC_PlanetPositions!$B$10,{"Aries","Taurus","Gemini","Cancer","Leo","Virgo","Libra","Scorpio","Sagittarius","Capricorn","Aquarius","Pisces"},0),2)=1)),(INT(CALC_PlanetPositions!$C$10/10)+1)=2),"Nishcheshta (Powerless)","Prakrita (Normal)"))))))))),"Prakrita (Normal)")</f>
        <v>Kshuditha (Enemy sign)</v>
      </c>
      <c r="H8" s="919">
        <f ca="1">IFERROR(_xludf.switch(G8,"Kopa (Combust)",-0.5,"Deena (War loser)",-0.5,"Kshuditha (Enemy sign)",-0.25,"Nishcheshta (Powerless)",-0.25,"Sayana (Sleeping)",-0.2,"Upavesh (Stirring)",-0.1,"Sthira (Content)",0.25,"Mudita (Joyful)",0.5,"Kautuka (Playing)",0.1,"Netrapani (Introspective)",0,"Prakrita (Normal)",0,0),0)</f>
        <v>0</v>
      </c>
    </row>
    <row r="9" spans="1:10" ht="18" customHeight="1" x14ac:dyDescent="0.2">
      <c r="A9" s="578" t="s">
        <v>270</v>
      </c>
      <c r="B9" s="574" t="str">
        <f>IFERROR(CALC_PlanetPositions!$B$11,"—")</f>
        <v>Libra</v>
      </c>
      <c r="C9" s="949">
        <f>IFERROR(CALC_PlanetPositions!$C$11,0)</f>
        <v>25.877700000000004</v>
      </c>
      <c r="D9" s="548" t="str">
        <f>IFERROR(IF(MOD(MATCH(CALC_PlanetPositions!$B$11,{"Aries","Taurus","Gemini","Cancer","Leo","Virgo","Libra","Scorpio","Sagittarius","Capricorn","Aquarius","Pisces"},0),2)=1,"Odd","Even"),"—")</f>
        <v>Odd</v>
      </c>
      <c r="E9" s="610" t="str">
        <f>IFERROR(IF((MOD(MATCH(CALC_PlanetPositions!$B$11,{"Aries","Taurus","Gemini","Cancer","Leo","Virgo","Libra","Scorpio","Sagittarius","Capricorn","Aquarius","Pisces"},0),2)=1),IF(CALC_PlanetPositions!$C$11&lt;6,"Bala (Infant)",IF(CALC_PlanetPositions!$C$11&lt;12,"Kumar (Child)",IF(CALC_PlanetPositions!$C$11&lt;18,"Yuva (Prime)",IF(CALC_PlanetPositions!$C$11&lt;24,"Vridha (Old)","Mrita (Dead)")))),IF(CALC_PlanetPositions!$C$11&lt;6,"Mrita (Dead)",IF(CALC_PlanetPositions!$C$11&lt;12,"Vridha (Old)",IF(CALC_PlanetPositions!$C$11&lt;18,"Yuva (Prime)",IF(CALC_PlanetPositions!$C$11&lt;24,"Kumar (Child)","Bala (Infant)"))))),"—")</f>
        <v>Mrita (Dead)</v>
      </c>
      <c r="F9" s="915">
        <f ca="1">IFERROR(_xludf.switch(E9,"Yuva (Prime)",100,"Kumar (Child)",50,"Vridha (Old)",50,"Bala (Infant)",25,"Mrita (Dead)",0,100),100)</f>
        <v>100</v>
      </c>
      <c r="G9" s="574" t="str">
        <f>IFERROR(IF(OR(CALC_CombustionCheck!$F$8="COMBUST ⚠",CALC_CombustionCheck!$F$8="CAZIMI ★"),"Kopa (Combust)",IF(IFERROR(CALC_GrahaYuddha!$D$23,0)&lt;0,"Deena (War loser)",IF(OR(CALC_PlanetPositions!$K$11="Exaltation",CALC_PlanetPositions!$K$11="Deep exalt",CALC_PlanetPositions!$K$11="Own sign",CALC_PlanetPositions!$K$11="Mooltrikona"),"Sthira (Content)",IF(CALC_PlanetPositions!$K$11="Enemy sign","Kshuditha (Enemy sign)",IF(AND(OR(CALC_PlanetPositions!$K$11="Friendly sign",CALC_PlanetPositions!$K$11="Great friend"),ISNUMBER(MATCH(CALC_PlanetPositions!$B$11,{"Cancer","Taurus","Gemini","Sagittarius","Pisces","Leo"},0))),"Mudita (Joyful)",IF(AND((MOD(MATCH(CALC_PlanetPositions!$B$11,{"Aries","Taurus","Gemini","Cancer","Leo","Virgo","Libra","Scorpio","Sagittarius","Capricorn","Aquarius","Pisces"},0),2)=1),(INT(CALC_PlanetPositions!$C$11/10)+1)=1),"Sayana (Sleeping)",IF(AND((MOD(MATCH(CALC_PlanetPositions!$B$11,{"Aries","Taurus","Gemini","Cancer","Leo","Virgo","Libra","Scorpio","Sagittarius","Capricorn","Aquarius","Pisces"},0),2)=1),(INT(CALC_PlanetPositions!$C$11/10)+1)=2),"Upavesh (Stirring)",IF(AND(NOT((MOD(MATCH(CALC_PlanetPositions!$B$11,{"Aries","Taurus","Gemini","Cancer","Leo","Virgo","Libra","Scorpio","Sagittarius","Capricorn","Aquarius","Pisces"},0),2)=1)),(INT(CALC_PlanetPositions!$C$11/10)+1)=1),"Kautuka (Playing)",IF(AND(NOT((MOD(MATCH(CALC_PlanetPositions!$B$11,{"Aries","Taurus","Gemini","Cancer","Leo","Virgo","Libra","Scorpio","Sagittarius","Capricorn","Aquarius","Pisces"},0),2)=1)),(INT(CALC_PlanetPositions!$C$11/10)+1)=2),"Nishcheshta (Powerless)","Prakrita (Normal)"))))))))),"Prakrita (Normal)")</f>
        <v>Kopa (Combust)</v>
      </c>
      <c r="H9" s="915">
        <f ca="1">IFERROR(_xludf.switch(G9,"Kopa (Combust)",-0.5,"Deena (War loser)",-0.5,"Kshuditha (Enemy sign)",-0.25,"Nishcheshta (Powerless)",-0.25,"Sayana (Sleeping)",-0.2,"Upavesh (Stirring)",-0.1,"Sthira (Content)",0.25,"Mudita (Joyful)",0.5,"Kautuka (Playing)",0.1,"Netrapani (Introspective)",0,"Prakrita (Normal)",0,0),0)</f>
        <v>0</v>
      </c>
    </row>
    <row r="10" spans="1:10" ht="18" customHeight="1" x14ac:dyDescent="0.2">
      <c r="A10" s="580" t="s">
        <v>271</v>
      </c>
      <c r="B10" s="576" t="str">
        <f>IFERROR(CALC_PlanetPositions!$B$12,"—")</f>
        <v>Cancer</v>
      </c>
      <c r="C10" s="950">
        <f>IFERROR(CALC_PlanetPositions!$C$12,0)</f>
        <v>22.561199999999999</v>
      </c>
      <c r="D10" s="552" t="str">
        <f>IFERROR(IF(MOD(MATCH(CALC_PlanetPositions!$B$12,{"Aries","Taurus","Gemini","Cancer","Leo","Virgo","Libra","Scorpio","Sagittarius","Capricorn","Aquarius","Pisces"},0),2)=1,"Odd","Even"),"—")</f>
        <v>Even</v>
      </c>
      <c r="E10" s="612" t="str">
        <f>IFERROR(IF((MOD(MATCH(CALC_PlanetPositions!$B$12,{"Aries","Taurus","Gemini","Cancer","Leo","Virgo","Libra","Scorpio","Sagittarius","Capricorn","Aquarius","Pisces"},0),2)=1),IF(CALC_PlanetPositions!$C$12&lt;6,"Bala (Infant)",IF(CALC_PlanetPositions!$C$12&lt;12,"Kumar (Child)",IF(CALC_PlanetPositions!$C$12&lt;18,"Yuva (Prime)",IF(CALC_PlanetPositions!$C$12&lt;24,"Vridha (Old)","Mrita (Dead)")))),IF(CALC_PlanetPositions!$C$12&lt;6,"Mrita (Dead)",IF(CALC_PlanetPositions!$C$12&lt;12,"Vridha (Old)",IF(CALC_PlanetPositions!$C$12&lt;18,"Yuva (Prime)",IF(CALC_PlanetPositions!$C$12&lt;24,"Kumar (Child)","Bala (Infant)"))))),"—")</f>
        <v>Kumar (Child)</v>
      </c>
      <c r="F10" s="919">
        <f ca="1">IFERROR(_xludf.switch(E10,"Yuva (Prime)",100,"Kumar (Child)",50,"Vridha (Old)",50,"Bala (Infant)",25,"Mrita (Dead)",0,100),100)</f>
        <v>100</v>
      </c>
      <c r="G10" s="576" t="str">
        <f>IFERROR(IF(OR(CALC_CombustionCheck!$F$9="COMBUST ⚠",CALC_CombustionCheck!$F$9="CAZIMI ★"),"Kopa (Combust)",IF(IFERROR(CALC_GrahaYuddha!$D$24,0)&lt;0,"Deena (War loser)",IF(OR(CALC_PlanetPositions!$K$12="Exaltation",CALC_PlanetPositions!$K$12="Deep exalt",CALC_PlanetPositions!$K$12="Own sign",CALC_PlanetPositions!$K$12="Mooltrikona"),"Sthira (Content)",IF(CALC_PlanetPositions!$K$12="Enemy sign","Kshuditha (Enemy sign)",IF(AND(OR(CALC_PlanetPositions!$K$12="Friendly sign",CALC_PlanetPositions!$K$12="Great friend"),ISNUMBER(MATCH(CALC_PlanetPositions!$B$12,{"Cancer","Taurus","Gemini","Sagittarius","Pisces","Leo"},0))),"Mudita (Joyful)",IF(AND((MOD(MATCH(CALC_PlanetPositions!$B$12,{"Aries","Taurus","Gemini","Cancer","Leo","Virgo","Libra","Scorpio","Sagittarius","Capricorn","Aquarius","Pisces"},0),2)=1),(INT(CALC_PlanetPositions!$C$12/10)+1)=1),"Sayana (Sleeping)",IF(AND((MOD(MATCH(CALC_PlanetPositions!$B$12,{"Aries","Taurus","Gemini","Cancer","Leo","Virgo","Libra","Scorpio","Sagittarius","Capricorn","Aquarius","Pisces"},0),2)=1),(INT(CALC_PlanetPositions!$C$12/10)+1)=2),"Upavesh (Stirring)",IF(AND(NOT((MOD(MATCH(CALC_PlanetPositions!$B$12,{"Aries","Taurus","Gemini","Cancer","Leo","Virgo","Libra","Scorpio","Sagittarius","Capricorn","Aquarius","Pisces"},0),2)=1)),(INT(CALC_PlanetPositions!$C$12/10)+1)=1),"Kautuka (Playing)",IF(AND(NOT((MOD(MATCH(CALC_PlanetPositions!$B$12,{"Aries","Taurus","Gemini","Cancer","Leo","Virgo","Libra","Scorpio","Sagittarius","Capricorn","Aquarius","Pisces"},0),2)=1)),(INT(CALC_PlanetPositions!$C$12/10)+1)=2),"Nishcheshta (Powerless)","Prakrita (Normal)"))))))))),"Prakrita (Normal)")</f>
        <v>Kopa (Combust)</v>
      </c>
      <c r="H10" s="919">
        <f ca="1">IFERROR(_xludf.switch(G10,"Kopa (Combust)",-0.5,"Deena (War loser)",-0.5,"Kshuditha (Enemy sign)",-0.25,"Nishcheshta (Powerless)",-0.25,"Sayana (Sleeping)",-0.2,"Upavesh (Stirring)",-0.1,"Sthira (Content)",0.25,"Mudita (Joyful)",0.5,"Kautuka (Playing)",0.1,"Netrapani (Introspective)",0,"Prakrita (Normal)",0,0),0)</f>
        <v>0</v>
      </c>
    </row>
    <row r="11" spans="1:10" ht="18" customHeight="1" x14ac:dyDescent="0.2">
      <c r="A11" s="578" t="s">
        <v>272</v>
      </c>
      <c r="B11" s="574" t="str">
        <f>IFERROR(CALC_PlanetPositions!$B$13,"—")</f>
        <v>Cancer</v>
      </c>
      <c r="C11" s="949">
        <f>IFERROR(CALC_PlanetPositions!$C$13,0)</f>
        <v>20.472999999999999</v>
      </c>
      <c r="D11" s="548" t="str">
        <f>IFERROR(IF(MOD(MATCH(CALC_PlanetPositions!$B$13,{"Aries","Taurus","Gemini","Cancer","Leo","Virgo","Libra","Scorpio","Sagittarius","Capricorn","Aquarius","Pisces"},0),2)=1,"Odd","Even"),"—")</f>
        <v>Even</v>
      </c>
      <c r="E11" s="610" t="str">
        <f>IFERROR(IF((MOD(MATCH(CALC_PlanetPositions!$B$13,{"Aries","Taurus","Gemini","Cancer","Leo","Virgo","Libra","Scorpio","Sagittarius","Capricorn","Aquarius","Pisces"},0),2)=1),IF(CALC_PlanetPositions!$C$13&lt;6,"Bala (Infant)",IF(CALC_PlanetPositions!$C$13&lt;12,"Kumar (Child)",IF(CALC_PlanetPositions!$C$13&lt;18,"Yuva (Prime)",IF(CALC_PlanetPositions!$C$13&lt;24,"Vridha (Old)","Mrita (Dead)")))),IF(CALC_PlanetPositions!$C$13&lt;6,"Mrita (Dead)",IF(CALC_PlanetPositions!$C$13&lt;12,"Vridha (Old)",IF(CALC_PlanetPositions!$C$13&lt;18,"Yuva (Prime)",IF(CALC_PlanetPositions!$C$13&lt;24,"Kumar (Child)","Bala (Infant)"))))),"—")</f>
        <v>Kumar (Child)</v>
      </c>
      <c r="F11" s="915">
        <f ca="1">IFERROR(_xludf.switch(E11,"Yuva (Prime)",100,"Kumar (Child)",50,"Vridha (Old)",50,"Bala (Infant)",25,"Mrita (Dead)",0,100),100)</f>
        <v>100</v>
      </c>
      <c r="G11" s="574" t="str">
        <f>IFERROR(IF(OR(CALC_CombustionCheck!$F$10="COMBUST ⚠",CALC_CombustionCheck!$F$10="CAZIMI ★"),"Kopa (Combust)",IF(IFERROR(CALC_GrahaYuddha!$D$25,0)&lt;0,"Deena (War loser)",IF(OR(CALC_PlanetPositions!$K$13="Exaltation",CALC_PlanetPositions!$K$13="Deep exalt",CALC_PlanetPositions!$K$13="Own sign",CALC_PlanetPositions!$K$13="Mooltrikona"),"Sthira (Content)",IF(CALC_PlanetPositions!$K$13="Enemy sign","Kshuditha (Enemy sign)",IF(AND(OR(CALC_PlanetPositions!$K$13="Friendly sign",CALC_PlanetPositions!$K$13="Great friend"),ISNUMBER(MATCH(CALC_PlanetPositions!$B$13,{"Cancer","Taurus","Gemini","Sagittarius","Pisces","Leo"},0))),"Mudita (Joyful)",IF(AND((MOD(MATCH(CALC_PlanetPositions!$B$13,{"Aries","Taurus","Gemini","Cancer","Leo","Virgo","Libra","Scorpio","Sagittarius","Capricorn","Aquarius","Pisces"},0),2)=1),(INT(CALC_PlanetPositions!$C$13/10)+1)=1),"Sayana (Sleeping)",IF(AND((MOD(MATCH(CALC_PlanetPositions!$B$13,{"Aries","Taurus","Gemini","Cancer","Leo","Virgo","Libra","Scorpio","Sagittarius","Capricorn","Aquarius","Pisces"},0),2)=1),(INT(CALC_PlanetPositions!$C$13/10)+1)=2),"Upavesh (Stirring)",IF(AND(NOT((MOD(MATCH(CALC_PlanetPositions!$B$13,{"Aries","Taurus","Gemini","Cancer","Leo","Virgo","Libra","Scorpio","Sagittarius","Capricorn","Aquarius","Pisces"},0),2)=1)),(INT(CALC_PlanetPositions!$C$13/10)+1)=1),"Kautuka (Playing)",IF(AND(NOT((MOD(MATCH(CALC_PlanetPositions!$B$13,{"Aries","Taurus","Gemini","Cancer","Leo","Virgo","Libra","Scorpio","Sagittarius","Capricorn","Aquarius","Pisces"},0),2)=1)),(INT(CALC_PlanetPositions!$C$13/10)+1)=2),"Nishcheshta (Powerless)","Prakrita (Normal)"))))))))),"Prakrita (Normal)")</f>
        <v>Kshuditha (Enemy sign)</v>
      </c>
      <c r="H11" s="915">
        <f ca="1">IFERROR(_xludf.switch(G11,"Kopa (Combust)",-0.5,"Deena (War loser)",-0.5,"Kshuditha (Enemy sign)",-0.25,"Nishcheshta (Powerless)",-0.25,"Sayana (Sleeping)",-0.2,"Upavesh (Stirring)",-0.1,"Sthira (Content)",0.25,"Mudita (Joyful)",0.5,"Kautuka (Playing)",0.1,"Netrapani (Introspective)",0,"Prakrita (Normal)",0,0),0)</f>
        <v>0</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6A1B9A"/>
  </sheetPr>
  <dimension ref="A1:F23"/>
  <sheetViews>
    <sheetView zoomScaleNormal="100" workbookViewId="0"/>
  </sheetViews>
  <sheetFormatPr defaultColWidth="8.609375" defaultRowHeight="15" x14ac:dyDescent="0.2"/>
  <cols>
    <col min="1" max="2" width="20.04296875" customWidth="1"/>
    <col min="3" max="3" width="16.0078125" customWidth="1"/>
    <col min="4" max="4" width="50.04296875" customWidth="1"/>
  </cols>
  <sheetData>
    <row r="1" spans="1:6" ht="21.75" customHeight="1" x14ac:dyDescent="0.2">
      <c r="A1" s="1522" t="s">
        <v>4143</v>
      </c>
      <c r="B1" s="1522"/>
      <c r="C1" s="1522"/>
      <c r="D1" s="1522"/>
      <c r="F1" s="544" t="s">
        <v>2214</v>
      </c>
    </row>
    <row r="2" spans="1:6" ht="24" customHeight="1" x14ac:dyDescent="0.2">
      <c r="A2" s="1523" t="s">
        <v>4144</v>
      </c>
      <c r="B2" s="1523"/>
      <c r="C2" s="1523"/>
      <c r="D2" s="1523"/>
    </row>
    <row r="4" spans="1:6" ht="15.75" customHeight="1" x14ac:dyDescent="0.2">
      <c r="A4" s="545" t="s">
        <v>4145</v>
      </c>
      <c r="B4" s="545" t="s">
        <v>4146</v>
      </c>
      <c r="C4" s="545" t="s">
        <v>2280</v>
      </c>
      <c r="D4" s="545" t="s">
        <v>282</v>
      </c>
    </row>
    <row r="5" spans="1:6" ht="31.5" customHeight="1" x14ac:dyDescent="0.2">
      <c r="A5" s="909" t="s">
        <v>4147</v>
      </c>
      <c r="B5" s="936" t="str">
        <f>IFERROR(CALC_CharaKarak!$B$4,"—")</f>
        <v>Sun</v>
      </c>
      <c r="C5" s="904" t="s">
        <v>4148</v>
      </c>
      <c r="D5" s="550" t="s">
        <v>4149</v>
      </c>
    </row>
    <row r="6" spans="1:6" ht="31.5" customHeight="1" x14ac:dyDescent="0.2">
      <c r="A6" s="906" t="s">
        <v>4150</v>
      </c>
      <c r="B6" s="938" t="str">
        <f>IFERROR(INDEX(CALC_PlanetPositions!$B$7:$B$13,MATCH(CALC_CharaKarak!$B$4,{"Sun","Moon","Mars","Mercury","Jupiter","Venus","Saturn"},0)),"—")</f>
        <v>Cancer</v>
      </c>
      <c r="C6" s="907" t="s">
        <v>4151</v>
      </c>
      <c r="D6" s="554" t="s">
        <v>4152</v>
      </c>
    </row>
    <row r="7" spans="1:6" ht="31.5" customHeight="1" x14ac:dyDescent="0.2">
      <c r="A7" s="909" t="s">
        <v>4153</v>
      </c>
      <c r="B7" s="951">
        <f>IFERROR(INDEX(CALC_PlanetPositions!$C$7:$C$13,MATCH(CALC_CharaKarak!$B$4,{"Sun","Moon","Mars","Mercury","Jupiter","Venus","Saturn"},0)),"—")</f>
        <v>27.989000000000004</v>
      </c>
      <c r="C7" s="904" t="s">
        <v>4154</v>
      </c>
      <c r="D7" s="550" t="s">
        <v>4155</v>
      </c>
    </row>
    <row r="8" spans="1:6" ht="31.5" customHeight="1" x14ac:dyDescent="0.2">
      <c r="A8" s="906" t="s">
        <v>4156</v>
      </c>
      <c r="B8" s="952" t="str">
        <f ca="1">IFERROR(_xludf.switch(CALC_CharaKarak!$B$4,"Sun",CALC_D9_Navamsha!$D$5,"Moon",CALC_D9_Navamsha!$D$6,"Mars",CALC_D9_Navamsha!$D$7,"Mercury",CALC_D9_Navamsha!$D$8,"Jupiter",CALC_D9_Navamsha!$D$9,"Venus",CALC_D9_Navamsha!$D$10,"Saturn",CALC_D9_Navamsha!$D$11,"—"),"—")</f>
        <v>—</v>
      </c>
      <c r="C8" s="907" t="s">
        <v>4157</v>
      </c>
      <c r="D8" s="554" t="s">
        <v>4158</v>
      </c>
    </row>
    <row r="9" spans="1:6" ht="31.5" customHeight="1" x14ac:dyDescent="0.2">
      <c r="A9" s="909" t="s">
        <v>4159</v>
      </c>
      <c r="B9" s="952" t="str">
        <f ca="1">IFERROR(_xludf.switch(CALC_CharaKarak!$B$4,"Sun",CALC_D9_Navamsha!$D$5,"Moon",CALC_D9_Navamsha!$D$6,"Mars",CALC_D9_Navamsha!$D$7,"Mercury",CALC_D9_Navamsha!$D$8,"Jupiter",CALC_D9_Navamsha!$D$9,"Venus",CALC_D9_Navamsha!$D$10,"Saturn",CALC_D9_Navamsha!$D$11,"—"),"—")</f>
        <v>—</v>
      </c>
      <c r="C9" s="904" t="s">
        <v>4157</v>
      </c>
      <c r="D9" s="550" t="s">
        <v>4160</v>
      </c>
    </row>
    <row r="10" spans="1:6" ht="31.5" customHeight="1" x14ac:dyDescent="0.2">
      <c r="A10" s="906" t="s">
        <v>4161</v>
      </c>
      <c r="B10" s="938" t="str">
        <f ca="1">IFERROR(INDEX(REF_Zodiac!$D$7:$O$7,MATCH(B8,REF_Zodiac!$D$3:$O$3,0)),"—")</f>
        <v>—</v>
      </c>
      <c r="C10" s="907" t="s">
        <v>4162</v>
      </c>
      <c r="D10" s="554" t="s">
        <v>4163</v>
      </c>
    </row>
    <row r="11" spans="1:6" ht="31.5" customHeight="1" x14ac:dyDescent="0.2">
      <c r="A11" s="909" t="s">
        <v>4164</v>
      </c>
      <c r="B11" s="936">
        <f>IFERROR(MOD(MATCH(INDEX(CALC_D9_Navamsha!$D$4:$D$16,MATCH(CALC_CharaKarak!$B$4,{"Sun","Moon","Mars","Mercury","Jupiter","Venus","Saturn"},0)+1),{"Aries","Taurus","Gemini","Cancer","Leo","Virgo","Libra","Scorpio","Sagittarius","Capricorn","Aquarius","Pisces"},0)-MATCH(B5,{"Aries","Taurus","Gemini","Cancer","Leo","Virgo","Libra","Scorpio","Sagittarius","Capricorn","Aquarius","Pisces"},0),12)+1,0)</f>
        <v>0</v>
      </c>
      <c r="C11" s="904" t="s">
        <v>4165</v>
      </c>
      <c r="D11" s="550" t="s">
        <v>4166</v>
      </c>
    </row>
    <row r="12" spans="1:6" ht="31.5" customHeight="1" x14ac:dyDescent="0.2">
      <c r="A12" s="906" t="s">
        <v>4167</v>
      </c>
      <c r="B12" s="938" t="str">
        <f ca="1">IFERROR(_xludf.textjoin(", ",TRUE(),IF(CALC_D9_Navamsha!$D$4:$D$16=B5,{"Lagna","Sun","Moon","Mars","Mercury","Jupiter","Venus","Saturn","Rahu","Ketu","",""},"")),"—")</f>
        <v>—</v>
      </c>
      <c r="C12" s="907" t="s">
        <v>4168</v>
      </c>
      <c r="D12" s="554" t="s">
        <v>4169</v>
      </c>
    </row>
    <row r="14" spans="1:6" ht="18" customHeight="1" x14ac:dyDescent="0.2">
      <c r="A14" s="1524" t="s">
        <v>4170</v>
      </c>
      <c r="B14" s="1524"/>
      <c r="C14" s="1524"/>
      <c r="D14" s="1524"/>
    </row>
    <row r="15" spans="1:6" ht="15.75" customHeight="1" x14ac:dyDescent="0.2">
      <c r="A15" s="545" t="s">
        <v>4171</v>
      </c>
      <c r="B15" s="545" t="s">
        <v>2281</v>
      </c>
      <c r="C15" s="545"/>
      <c r="D15" s="545"/>
    </row>
    <row r="16" spans="1:6" ht="19.5" customHeight="1" x14ac:dyDescent="0.2">
      <c r="A16" s="909" t="s">
        <v>4172</v>
      </c>
      <c r="B16" s="1575" t="s">
        <v>4173</v>
      </c>
      <c r="C16" s="1575"/>
      <c r="D16" s="1575"/>
    </row>
    <row r="17" spans="1:4" ht="19.5" customHeight="1" x14ac:dyDescent="0.2">
      <c r="A17" s="906" t="s">
        <v>4174</v>
      </c>
      <c r="B17" s="1576" t="s">
        <v>4175</v>
      </c>
      <c r="C17" s="1576"/>
      <c r="D17" s="1576"/>
    </row>
    <row r="18" spans="1:4" ht="19.5" customHeight="1" x14ac:dyDescent="0.2">
      <c r="A18" s="909" t="s">
        <v>4176</v>
      </c>
      <c r="B18" s="1575" t="s">
        <v>4177</v>
      </c>
      <c r="C18" s="1575"/>
      <c r="D18" s="1575"/>
    </row>
    <row r="19" spans="1:4" ht="19.5" customHeight="1" x14ac:dyDescent="0.2">
      <c r="A19" s="906" t="s">
        <v>4178</v>
      </c>
      <c r="B19" s="1576" t="s">
        <v>4179</v>
      </c>
      <c r="C19" s="1576"/>
      <c r="D19" s="1576"/>
    </row>
    <row r="20" spans="1:4" ht="19.5" customHeight="1" x14ac:dyDescent="0.2">
      <c r="A20" s="909" t="s">
        <v>4180</v>
      </c>
      <c r="B20" s="1575" t="s">
        <v>4181</v>
      </c>
      <c r="C20" s="1575"/>
      <c r="D20" s="1575"/>
    </row>
    <row r="21" spans="1:4" ht="19.5" customHeight="1" x14ac:dyDescent="0.2">
      <c r="A21" s="906" t="s">
        <v>4182</v>
      </c>
      <c r="B21" s="1576" t="s">
        <v>4183</v>
      </c>
      <c r="C21" s="1576"/>
      <c r="D21" s="1576"/>
    </row>
    <row r="22" spans="1:4" ht="19.5" customHeight="1" x14ac:dyDescent="0.2">
      <c r="A22" s="909" t="s">
        <v>4184</v>
      </c>
      <c r="B22" s="1575" t="s">
        <v>4185</v>
      </c>
      <c r="C22" s="1575"/>
      <c r="D22" s="1575"/>
    </row>
    <row r="23" spans="1:4" ht="19.5" customHeight="1" x14ac:dyDescent="0.2">
      <c r="A23" s="906" t="s">
        <v>4186</v>
      </c>
      <c r="B23" s="1576" t="s">
        <v>4187</v>
      </c>
      <c r="C23" s="1576"/>
      <c r="D23" s="1576"/>
    </row>
  </sheetData>
  <mergeCells count="11">
    <mergeCell ref="B23:D23"/>
    <mergeCell ref="B18:D18"/>
    <mergeCell ref="B19:D19"/>
    <mergeCell ref="B20:D20"/>
    <mergeCell ref="B21:D21"/>
    <mergeCell ref="B22:D22"/>
    <mergeCell ref="A1:D1"/>
    <mergeCell ref="A2:D2"/>
    <mergeCell ref="A14:D14"/>
    <mergeCell ref="B16:D16"/>
    <mergeCell ref="B17:D17"/>
  </mergeCells>
  <pageMargins left="0.75" right="0.75" top="1" bottom="1"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6A1B9A"/>
  </sheetPr>
  <dimension ref="A1:K16"/>
  <sheetViews>
    <sheetView zoomScaleNormal="100" workbookViewId="0"/>
  </sheetViews>
  <sheetFormatPr defaultColWidth="8.609375" defaultRowHeight="15" x14ac:dyDescent="0.2"/>
  <cols>
    <col min="1" max="1" width="6.05078125" customWidth="1"/>
    <col min="2" max="2" width="18.0234375" customWidth="1"/>
    <col min="3" max="5" width="16.0078125" customWidth="1"/>
    <col min="6" max="8" width="7.93359375" customWidth="1"/>
    <col min="9" max="9" width="39.953125" customWidth="1"/>
  </cols>
  <sheetData>
    <row r="1" spans="1:11" ht="21.75" customHeight="1" x14ac:dyDescent="0.2">
      <c r="A1" s="1522" t="s">
        <v>4188</v>
      </c>
      <c r="B1" s="1522"/>
      <c r="C1" s="1522"/>
      <c r="D1" s="1522"/>
      <c r="E1" s="1522"/>
      <c r="F1" s="1522"/>
      <c r="G1" s="1522"/>
      <c r="H1" s="1522"/>
      <c r="I1" s="1522"/>
      <c r="K1" s="544" t="s">
        <v>2214</v>
      </c>
    </row>
    <row r="2" spans="1:11" ht="24" customHeight="1" x14ac:dyDescent="0.2">
      <c r="A2" s="1523" t="s">
        <v>4189</v>
      </c>
      <c r="B2" s="1523"/>
      <c r="C2" s="1523"/>
      <c r="D2" s="1523"/>
      <c r="E2" s="1523"/>
      <c r="F2" s="1523"/>
      <c r="G2" s="1523"/>
      <c r="H2" s="1523"/>
      <c r="I2" s="1523"/>
    </row>
    <row r="4" spans="1:11" ht="15.75" customHeight="1" x14ac:dyDescent="0.2">
      <c r="A4" s="545" t="s">
        <v>2276</v>
      </c>
      <c r="B4" s="545" t="s">
        <v>3192</v>
      </c>
      <c r="C4" s="545" t="s">
        <v>3908</v>
      </c>
      <c r="D4" s="545" t="s">
        <v>4190</v>
      </c>
      <c r="E4" s="545" t="s">
        <v>4191</v>
      </c>
      <c r="F4" s="545" t="s">
        <v>3539</v>
      </c>
      <c r="G4" s="545" t="s">
        <v>622</v>
      </c>
      <c r="H4" s="545" t="s">
        <v>619</v>
      </c>
      <c r="I4" s="545" t="s">
        <v>3943</v>
      </c>
    </row>
    <row r="5" spans="1:11" ht="19.5" customHeight="1" x14ac:dyDescent="0.2">
      <c r="A5" s="632">
        <v>1</v>
      </c>
      <c r="B5" s="607" t="s">
        <v>844</v>
      </c>
      <c r="C5" s="612" t="str">
        <f>IFERROR(INDEX({"Aries","Taurus","Gemini","Cancer","Leo","Virgo","Libra","Scorpio","Sagittarius","Capricorn","Aquarius","Pisces"},MOD(MATCH(CALC_D9_Navamsha!$D$4,{"Aries","Taurus","Gemini","Cancer","Leo","Virgo","Libra","Scorpio","Sagittarius","Capricorn","Aquarius","Pisces"},0)+1-2,12)+1),"—")</f>
        <v>Pisces</v>
      </c>
      <c r="D5" s="580" t="str">
        <f>IFERROR(INDEX(REF_Zodiac!$D$7:$O$7,MATCH(C5,REF_Zodiac!$D$3:$O$3,0)),"—")</f>
        <v>Jupiter</v>
      </c>
      <c r="E5" s="576" t="str">
        <f ca="1">IFERROR(_xludf.switch(D5,"Sun",CALC_D9_Navamsha!D$4,"Moon",CALC_D9_Navamsha!D$5,"Mars",CALC_D9_Navamsha!D$6,"Mercury",CALC_D9_Navamsha!D$7,"Jupiter",CALC_D9_Navamsha!D$8,"Venus",CALC_D9_Navamsha!D$9,"Saturn",CALC_D9_Navamsha!D$10,"Rahu",CALC_D9_Navamsha!D$11,"Ketu",CALC_D9_Navamsha!D$12,"—"),"—")</f>
        <v>—</v>
      </c>
      <c r="F5" s="953">
        <f ca="1">IFERROR(MOD(MATCH(E5,{"Aries","Taurus","Gemini","Cancer","Leo","Virgo","Libra","Scorpio","Sagittarius","Capricorn","Aquarius","Pisces"},0)-MATCH(CALC_D9_Navamsha!$D$4,{"Aries","Taurus","Gemini","Cancer","Leo","Virgo","Libra","Scorpio","Sagittarius","Capricorn","Aquarius","Pisces"},0),12)+1,0)</f>
        <v>0</v>
      </c>
      <c r="G5" s="920" t="str">
        <f ca="1">IFERROR(IF(ISNUMBER(MATCH(F5,{1,4,7,10},0)),"Yes","·"),"·")</f>
        <v>·</v>
      </c>
      <c r="H5" s="921" t="str">
        <f ca="1">IFERROR(IF(ISNUMBER(MATCH(F5,{6,8,12},0)),"Yes","·"),"·")</f>
        <v>·</v>
      </c>
      <c r="I5" s="554" t="s">
        <v>4192</v>
      </c>
    </row>
    <row r="6" spans="1:11" ht="19.5" customHeight="1" x14ac:dyDescent="0.2">
      <c r="A6" s="627">
        <v>2</v>
      </c>
      <c r="B6" s="605" t="s">
        <v>1544</v>
      </c>
      <c r="C6" s="610" t="str">
        <f>IFERROR(INDEX({"Aries","Taurus","Gemini","Cancer","Leo","Virgo","Libra","Scorpio","Sagittarius","Capricorn","Aquarius","Pisces"},MOD(MATCH(CALC_D9_Navamsha!$D$4,{"Aries","Taurus","Gemini","Cancer","Leo","Virgo","Libra","Scorpio","Sagittarius","Capricorn","Aquarius","Pisces"},0)+2-2,12)+1),"—")</f>
        <v>Aries</v>
      </c>
      <c r="D6" s="578" t="str">
        <f>IFERROR(INDEX(REF_Zodiac!$D$7:$O$7,MATCH(C6,REF_Zodiac!$D$3:$O$3,0)),"—")</f>
        <v>Mars</v>
      </c>
      <c r="E6" s="574" t="str">
        <f ca="1">IFERROR(_xludf.switch(D6,"Sun",CALC_D9_Navamsha!D$4,"Moon",CALC_D9_Navamsha!D$5,"Mars",CALC_D9_Navamsha!D$6,"Mercury",CALC_D9_Navamsha!D$7,"Jupiter",CALC_D9_Navamsha!D$8,"Venus",CALC_D9_Navamsha!D$9,"Saturn",CALC_D9_Navamsha!D$10,"Rahu",CALC_D9_Navamsha!D$11,"Ketu",CALC_D9_Navamsha!D$12,"—"),"—")</f>
        <v>—</v>
      </c>
      <c r="F6" s="954">
        <f ca="1">IFERROR(MOD(MATCH(E6,{"Aries","Taurus","Gemini","Cancer","Leo","Virgo","Libra","Scorpio","Sagittarius","Capricorn","Aquarius","Pisces"},0)-MATCH(CALC_D9_Navamsha!$D$4,{"Aries","Taurus","Gemini","Cancer","Leo","Virgo","Libra","Scorpio","Sagittarius","Capricorn","Aquarius","Pisces"},0),12)+1,0)</f>
        <v>0</v>
      </c>
      <c r="G6" s="916" t="str">
        <f ca="1">IFERROR(IF(ISNUMBER(MATCH(F6,{1,4,7,10},0)),"Yes","·"),"·")</f>
        <v>·</v>
      </c>
      <c r="H6" s="917" t="str">
        <f ca="1">IFERROR(IF(ISNUMBER(MATCH(F6,{6,8,12},0)),"Yes","·"),"·")</f>
        <v>·</v>
      </c>
      <c r="I6" s="550" t="s">
        <v>4193</v>
      </c>
    </row>
    <row r="7" spans="1:11" ht="19.5" customHeight="1" x14ac:dyDescent="0.2">
      <c r="A7" s="632">
        <v>3</v>
      </c>
      <c r="B7" s="607" t="s">
        <v>847</v>
      </c>
      <c r="C7" s="612" t="str">
        <f>IFERROR(INDEX({"Aries","Taurus","Gemini","Cancer","Leo","Virgo","Libra","Scorpio","Sagittarius","Capricorn","Aquarius","Pisces"},MOD(MATCH(CALC_D9_Navamsha!$D$4,{"Aries","Taurus","Gemini","Cancer","Leo","Virgo","Libra","Scorpio","Sagittarius","Capricorn","Aquarius","Pisces"},0)+3-2,12)+1),"—")</f>
        <v>Taurus</v>
      </c>
      <c r="D7" s="580" t="str">
        <f>IFERROR(INDEX(REF_Zodiac!$D$7:$O$7,MATCH(C7,REF_Zodiac!$D$3:$O$3,0)),"—")</f>
        <v>Venus</v>
      </c>
      <c r="E7" s="576" t="str">
        <f ca="1">IFERROR(_xludf.switch(D7,"Sun",CALC_D9_Navamsha!D$4,"Moon",CALC_D9_Navamsha!D$5,"Mars",CALC_D9_Navamsha!D$6,"Mercury",CALC_D9_Navamsha!D$7,"Jupiter",CALC_D9_Navamsha!D$8,"Venus",CALC_D9_Navamsha!D$9,"Saturn",CALC_D9_Navamsha!D$10,"Rahu",CALC_D9_Navamsha!D$11,"Ketu",CALC_D9_Navamsha!D$12,"—"),"—")</f>
        <v>—</v>
      </c>
      <c r="F7" s="953">
        <f ca="1">IFERROR(MOD(MATCH(E7,{"Aries","Taurus","Gemini","Cancer","Leo","Virgo","Libra","Scorpio","Sagittarius","Capricorn","Aquarius","Pisces"},0)-MATCH(CALC_D9_Navamsha!$D$4,{"Aries","Taurus","Gemini","Cancer","Leo","Virgo","Libra","Scorpio","Sagittarius","Capricorn","Aquarius","Pisces"},0),12)+1,0)</f>
        <v>0</v>
      </c>
      <c r="G7" s="920" t="str">
        <f ca="1">IFERROR(IF(ISNUMBER(MATCH(F7,{1,4,7,10},0)),"Yes","·"),"·")</f>
        <v>·</v>
      </c>
      <c r="H7" s="921" t="str">
        <f ca="1">IFERROR(IF(ISNUMBER(MATCH(F7,{6,8,12},0)),"Yes","·"),"·")</f>
        <v>·</v>
      </c>
      <c r="I7" s="554" t="s">
        <v>4194</v>
      </c>
    </row>
    <row r="8" spans="1:11" ht="19.5" customHeight="1" x14ac:dyDescent="0.2">
      <c r="A8" s="627">
        <v>4</v>
      </c>
      <c r="B8" s="605" t="s">
        <v>842</v>
      </c>
      <c r="C8" s="610" t="str">
        <f>IFERROR(INDEX({"Aries","Taurus","Gemini","Cancer","Leo","Virgo","Libra","Scorpio","Sagittarius","Capricorn","Aquarius","Pisces"},MOD(MATCH(CALC_D9_Navamsha!$D$4,{"Aries","Taurus","Gemini","Cancer","Leo","Virgo","Libra","Scorpio","Sagittarius","Capricorn","Aquarius","Pisces"},0)+4-2,12)+1),"—")</f>
        <v>Gemini</v>
      </c>
      <c r="D8" s="578" t="str">
        <f>IFERROR(INDEX(REF_Zodiac!$D$7:$O$7,MATCH(C8,REF_Zodiac!$D$3:$O$3,0)),"—")</f>
        <v>Mercury</v>
      </c>
      <c r="E8" s="574" t="str">
        <f ca="1">IFERROR(_xludf.switch(D8,"Sun",CALC_D9_Navamsha!D$4,"Moon",CALC_D9_Navamsha!D$5,"Mars",CALC_D9_Navamsha!D$6,"Mercury",CALC_D9_Navamsha!D$7,"Jupiter",CALC_D9_Navamsha!D$8,"Venus",CALC_D9_Navamsha!D$9,"Saturn",CALC_D9_Navamsha!D$10,"Rahu",CALC_D9_Navamsha!D$11,"Ketu",CALC_D9_Navamsha!D$12,"—"),"—")</f>
        <v>—</v>
      </c>
      <c r="F8" s="954">
        <f ca="1">IFERROR(MOD(MATCH(E8,{"Aries","Taurus","Gemini","Cancer","Leo","Virgo","Libra","Scorpio","Sagittarius","Capricorn","Aquarius","Pisces"},0)-MATCH(CALC_D9_Navamsha!$D$4,{"Aries","Taurus","Gemini","Cancer","Leo","Virgo","Libra","Scorpio","Sagittarius","Capricorn","Aquarius","Pisces"},0),12)+1,0)</f>
        <v>0</v>
      </c>
      <c r="G8" s="916" t="str">
        <f ca="1">IFERROR(IF(ISNUMBER(MATCH(F8,{1,4,7,10},0)),"Yes","·"),"·")</f>
        <v>·</v>
      </c>
      <c r="H8" s="917" t="str">
        <f ca="1">IFERROR(IF(ISNUMBER(MATCH(F8,{6,8,12},0)),"Yes","·"),"·")</f>
        <v>·</v>
      </c>
      <c r="I8" s="550" t="s">
        <v>4195</v>
      </c>
    </row>
    <row r="9" spans="1:11" ht="19.5" customHeight="1" x14ac:dyDescent="0.2">
      <c r="A9" s="632">
        <v>5</v>
      </c>
      <c r="B9" s="607" t="s">
        <v>1545</v>
      </c>
      <c r="C9" s="612" t="str">
        <f>IFERROR(INDEX({"Aries","Taurus","Gemini","Cancer","Leo","Virgo","Libra","Scorpio","Sagittarius","Capricorn","Aquarius","Pisces"},MOD(MATCH(CALC_D9_Navamsha!$D$4,{"Aries","Taurus","Gemini","Cancer","Leo","Virgo","Libra","Scorpio","Sagittarius","Capricorn","Aquarius","Pisces"},0)+5-2,12)+1),"—")</f>
        <v>Cancer</v>
      </c>
      <c r="D9" s="580" t="str">
        <f>IFERROR(INDEX(REF_Zodiac!$D$7:$O$7,MATCH(C9,REF_Zodiac!$D$3:$O$3,0)),"—")</f>
        <v>Moon</v>
      </c>
      <c r="E9" s="576" t="str">
        <f ca="1">IFERROR(_xludf.switch(D9,"Sun",CALC_D9_Navamsha!D$4,"Moon",CALC_D9_Navamsha!D$5,"Mars",CALC_D9_Navamsha!D$6,"Mercury",CALC_D9_Navamsha!D$7,"Jupiter",CALC_D9_Navamsha!D$8,"Venus",CALC_D9_Navamsha!D$9,"Saturn",CALC_D9_Navamsha!D$10,"Rahu",CALC_D9_Navamsha!D$11,"Ketu",CALC_D9_Navamsha!D$12,"—"),"—")</f>
        <v>—</v>
      </c>
      <c r="F9" s="953">
        <f ca="1">IFERROR(MOD(MATCH(E9,{"Aries","Taurus","Gemini","Cancer","Leo","Virgo","Libra","Scorpio","Sagittarius","Capricorn","Aquarius","Pisces"},0)-MATCH(CALC_D9_Navamsha!$D$4,{"Aries","Taurus","Gemini","Cancer","Leo","Virgo","Libra","Scorpio","Sagittarius","Capricorn","Aquarius","Pisces"},0),12)+1,0)</f>
        <v>0</v>
      </c>
      <c r="G9" s="920" t="str">
        <f ca="1">IFERROR(IF(ISNUMBER(MATCH(F9,{1,4,7,10},0)),"Yes","·"),"·")</f>
        <v>·</v>
      </c>
      <c r="H9" s="921" t="str">
        <f ca="1">IFERROR(IF(ISNUMBER(MATCH(F9,{6,8,12},0)),"Yes","·"),"·")</f>
        <v>·</v>
      </c>
      <c r="I9" s="554" t="s">
        <v>4196</v>
      </c>
    </row>
    <row r="10" spans="1:11" ht="19.5" customHeight="1" x14ac:dyDescent="0.2">
      <c r="A10" s="627">
        <v>6</v>
      </c>
      <c r="B10" s="605" t="s">
        <v>1546</v>
      </c>
      <c r="C10" s="610" t="str">
        <f>IFERROR(INDEX({"Aries","Taurus","Gemini","Cancer","Leo","Virgo","Libra","Scorpio","Sagittarius","Capricorn","Aquarius","Pisces"},MOD(MATCH(CALC_D9_Navamsha!$D$4,{"Aries","Taurus","Gemini","Cancer","Leo","Virgo","Libra","Scorpio","Sagittarius","Capricorn","Aquarius","Pisces"},0)+6-2,12)+1),"—")</f>
        <v>Leo</v>
      </c>
      <c r="D10" s="578" t="str">
        <f>IFERROR(INDEX(REF_Zodiac!$D$7:$O$7,MATCH(C10,REF_Zodiac!$D$3:$O$3,0)),"—")</f>
        <v>Sun</v>
      </c>
      <c r="E10" s="574" t="str">
        <f ca="1">IFERROR(_xludf.switch(D10,"Sun",CALC_D9_Navamsha!D$4,"Moon",CALC_D9_Navamsha!D$5,"Mars",CALC_D9_Navamsha!D$6,"Mercury",CALC_D9_Navamsha!D$7,"Jupiter",CALC_D9_Navamsha!D$8,"Venus",CALC_D9_Navamsha!D$9,"Saturn",CALC_D9_Navamsha!D$10,"Rahu",CALC_D9_Navamsha!D$11,"Ketu",CALC_D9_Navamsha!D$12,"—"),"—")</f>
        <v>—</v>
      </c>
      <c r="F10" s="954">
        <f ca="1">IFERROR(MOD(MATCH(E10,{"Aries","Taurus","Gemini","Cancer","Leo","Virgo","Libra","Scorpio","Sagittarius","Capricorn","Aquarius","Pisces"},0)-MATCH(CALC_D9_Navamsha!$D$4,{"Aries","Taurus","Gemini","Cancer","Leo","Virgo","Libra","Scorpio","Sagittarius","Capricorn","Aquarius","Pisces"},0),12)+1,0)</f>
        <v>0</v>
      </c>
      <c r="G10" s="916" t="str">
        <f ca="1">IFERROR(IF(ISNUMBER(MATCH(F10,{1,4,7,10},0)),"Yes","·"),"·")</f>
        <v>·</v>
      </c>
      <c r="H10" s="917" t="str">
        <f ca="1">IFERROR(IF(ISNUMBER(MATCH(F10,{6,8,12},0)),"Yes","·"),"·")</f>
        <v>·</v>
      </c>
      <c r="I10" s="550" t="s">
        <v>4197</v>
      </c>
    </row>
    <row r="11" spans="1:11" ht="19.5" customHeight="1" x14ac:dyDescent="0.2">
      <c r="A11" s="632">
        <v>7</v>
      </c>
      <c r="B11" s="607" t="s">
        <v>846</v>
      </c>
      <c r="C11" s="612" t="str">
        <f>IFERROR(INDEX({"Aries","Taurus","Gemini","Cancer","Leo","Virgo","Libra","Scorpio","Sagittarius","Capricorn","Aquarius","Pisces"},MOD(MATCH(CALC_D9_Navamsha!$D$4,{"Aries","Taurus","Gemini","Cancer","Leo","Virgo","Libra","Scorpio","Sagittarius","Capricorn","Aquarius","Pisces"},0)+7-2,12)+1),"—")</f>
        <v>Virgo</v>
      </c>
      <c r="D11" s="580" t="str">
        <f>IFERROR(INDEX(REF_Zodiac!$D$7:$O$7,MATCH(C11,REF_Zodiac!$D$3:$O$3,0)),"—")</f>
        <v>Mercury</v>
      </c>
      <c r="E11" s="576" t="str">
        <f ca="1">IFERROR(_xludf.switch(D11,"Sun",CALC_D9_Navamsha!D$4,"Moon",CALC_D9_Navamsha!D$5,"Mars",CALC_D9_Navamsha!D$6,"Mercury",CALC_D9_Navamsha!D$7,"Jupiter",CALC_D9_Navamsha!D$8,"Venus",CALC_D9_Navamsha!D$9,"Saturn",CALC_D9_Navamsha!D$10,"Rahu",CALC_D9_Navamsha!D$11,"Ketu",CALC_D9_Navamsha!D$12,"—"),"—")</f>
        <v>—</v>
      </c>
      <c r="F11" s="953">
        <f ca="1">IFERROR(MOD(MATCH(E11,{"Aries","Taurus","Gemini","Cancer","Leo","Virgo","Libra","Scorpio","Sagittarius","Capricorn","Aquarius","Pisces"},0)-MATCH(CALC_D9_Navamsha!$D$4,{"Aries","Taurus","Gemini","Cancer","Leo","Virgo","Libra","Scorpio","Sagittarius","Capricorn","Aquarius","Pisces"},0),12)+1,0)</f>
        <v>0</v>
      </c>
      <c r="G11" s="920" t="str">
        <f ca="1">IFERROR(IF(ISNUMBER(MATCH(F11,{1,4,7,10},0)),"Yes","·"),"·")</f>
        <v>·</v>
      </c>
      <c r="H11" s="921" t="str">
        <f ca="1">IFERROR(IF(ISNUMBER(MATCH(F11,{6,8,12},0)),"Yes","·"),"·")</f>
        <v>·</v>
      </c>
      <c r="I11" s="554" t="s">
        <v>4198</v>
      </c>
    </row>
    <row r="12" spans="1:11" ht="19.5" customHeight="1" x14ac:dyDescent="0.2">
      <c r="A12" s="627">
        <v>8</v>
      </c>
      <c r="B12" s="605" t="s">
        <v>1547</v>
      </c>
      <c r="C12" s="610" t="str">
        <f>IFERROR(INDEX({"Aries","Taurus","Gemini","Cancer","Leo","Virgo","Libra","Scorpio","Sagittarius","Capricorn","Aquarius","Pisces"},MOD(MATCH(CALC_D9_Navamsha!$D$4,{"Aries","Taurus","Gemini","Cancer","Leo","Virgo","Libra","Scorpio","Sagittarius","Capricorn","Aquarius","Pisces"},0)+8-2,12)+1),"—")</f>
        <v>Libra</v>
      </c>
      <c r="D12" s="578" t="str">
        <f>IFERROR(INDEX(REF_Zodiac!$D$7:$O$7,MATCH(C12,REF_Zodiac!$D$3:$O$3,0)),"—")</f>
        <v>Venus</v>
      </c>
      <c r="E12" s="574" t="str">
        <f ca="1">IFERROR(_xludf.switch(D12,"Sun",CALC_D9_Navamsha!D$4,"Moon",CALC_D9_Navamsha!D$5,"Mars",CALC_D9_Navamsha!D$6,"Mercury",CALC_D9_Navamsha!D$7,"Jupiter",CALC_D9_Navamsha!D$8,"Venus",CALC_D9_Navamsha!D$9,"Saturn",CALC_D9_Navamsha!D$10,"Rahu",CALC_D9_Navamsha!D$11,"Ketu",CALC_D9_Navamsha!D$12,"—"),"—")</f>
        <v>—</v>
      </c>
      <c r="F12" s="954">
        <f ca="1">IFERROR(MOD(MATCH(E12,{"Aries","Taurus","Gemini","Cancer","Leo","Virgo","Libra","Scorpio","Sagittarius","Capricorn","Aquarius","Pisces"},0)-MATCH(CALC_D9_Navamsha!$D$4,{"Aries","Taurus","Gemini","Cancer","Leo","Virgo","Libra","Scorpio","Sagittarius","Capricorn","Aquarius","Pisces"},0),12)+1,0)</f>
        <v>0</v>
      </c>
      <c r="G12" s="916" t="str">
        <f ca="1">IFERROR(IF(ISNUMBER(MATCH(F12,{1,4,7,10},0)),"Yes","·"),"·")</f>
        <v>·</v>
      </c>
      <c r="H12" s="917" t="str">
        <f ca="1">IFERROR(IF(ISNUMBER(MATCH(F12,{6,8,12},0)),"Yes","·"),"·")</f>
        <v>·</v>
      </c>
      <c r="I12" s="550" t="s">
        <v>4199</v>
      </c>
    </row>
    <row r="13" spans="1:11" ht="19.5" customHeight="1" x14ac:dyDescent="0.2">
      <c r="A13" s="632">
        <v>9</v>
      </c>
      <c r="B13" s="607" t="s">
        <v>848</v>
      </c>
      <c r="C13" s="612" t="str">
        <f>IFERROR(INDEX({"Aries","Taurus","Gemini","Cancer","Leo","Virgo","Libra","Scorpio","Sagittarius","Capricorn","Aquarius","Pisces"},MOD(MATCH(CALC_D9_Navamsha!$D$4,{"Aries","Taurus","Gemini","Cancer","Leo","Virgo","Libra","Scorpio","Sagittarius","Capricorn","Aquarius","Pisces"},0)+9-2,12)+1),"—")</f>
        <v>Scorpio</v>
      </c>
      <c r="D13" s="580" t="str">
        <f>IFERROR(INDEX(REF_Zodiac!$D$7:$O$7,MATCH(C13,REF_Zodiac!$D$3:$O$3,0)),"—")</f>
        <v>Mars</v>
      </c>
      <c r="E13" s="576" t="str">
        <f ca="1">IFERROR(_xludf.switch(D13,"Sun",CALC_D9_Navamsha!D$4,"Moon",CALC_D9_Navamsha!D$5,"Mars",CALC_D9_Navamsha!D$6,"Mercury",CALC_D9_Navamsha!D$7,"Jupiter",CALC_D9_Navamsha!D$8,"Venus",CALC_D9_Navamsha!D$9,"Saturn",CALC_D9_Navamsha!D$10,"Rahu",CALC_D9_Navamsha!D$11,"Ketu",CALC_D9_Navamsha!D$12,"—"),"—")</f>
        <v>—</v>
      </c>
      <c r="F13" s="953">
        <f ca="1">IFERROR(MOD(MATCH(E13,{"Aries","Taurus","Gemini","Cancer","Leo","Virgo","Libra","Scorpio","Sagittarius","Capricorn","Aquarius","Pisces"},0)-MATCH(CALC_D9_Navamsha!$D$4,{"Aries","Taurus","Gemini","Cancer","Leo","Virgo","Libra","Scorpio","Sagittarius","Capricorn","Aquarius","Pisces"},0),12)+1,0)</f>
        <v>0</v>
      </c>
      <c r="G13" s="920" t="str">
        <f ca="1">IFERROR(IF(ISNUMBER(MATCH(F13,{1,4,7,10},0)),"Yes","·"),"·")</f>
        <v>·</v>
      </c>
      <c r="H13" s="921" t="str">
        <f ca="1">IFERROR(IF(ISNUMBER(MATCH(F13,{6,8,12},0)),"Yes","·"),"·")</f>
        <v>·</v>
      </c>
      <c r="I13" s="554" t="s">
        <v>4200</v>
      </c>
    </row>
    <row r="14" spans="1:11" ht="19.5" customHeight="1" x14ac:dyDescent="0.2">
      <c r="A14" s="627">
        <v>10</v>
      </c>
      <c r="B14" s="605" t="s">
        <v>841</v>
      </c>
      <c r="C14" s="610" t="str">
        <f>IFERROR(INDEX({"Aries","Taurus","Gemini","Cancer","Leo","Virgo","Libra","Scorpio","Sagittarius","Capricorn","Aquarius","Pisces"},MOD(MATCH(CALC_D9_Navamsha!$D$4,{"Aries","Taurus","Gemini","Cancer","Leo","Virgo","Libra","Scorpio","Sagittarius","Capricorn","Aquarius","Pisces"},0)+10-2,12)+1),"—")</f>
        <v>Sagittarius</v>
      </c>
      <c r="D14" s="578" t="str">
        <f>IFERROR(INDEX(REF_Zodiac!$D$7:$O$7,MATCH(C14,REF_Zodiac!$D$3:$O$3,0)),"—")</f>
        <v>Jupiter</v>
      </c>
      <c r="E14" s="574" t="str">
        <f ca="1">IFERROR(_xludf.switch(D14,"Sun",CALC_D9_Navamsha!D$4,"Moon",CALC_D9_Navamsha!D$5,"Mars",CALC_D9_Navamsha!D$6,"Mercury",CALC_D9_Navamsha!D$7,"Jupiter",CALC_D9_Navamsha!D$8,"Venus",CALC_D9_Navamsha!D$9,"Saturn",CALC_D9_Navamsha!D$10,"Rahu",CALC_D9_Navamsha!D$11,"Ketu",CALC_D9_Navamsha!D$12,"—"),"—")</f>
        <v>—</v>
      </c>
      <c r="F14" s="954">
        <f ca="1">IFERROR(MOD(MATCH(E14,{"Aries","Taurus","Gemini","Cancer","Leo","Virgo","Libra","Scorpio","Sagittarius","Capricorn","Aquarius","Pisces"},0)-MATCH(CALC_D9_Navamsha!$D$4,{"Aries","Taurus","Gemini","Cancer","Leo","Virgo","Libra","Scorpio","Sagittarius","Capricorn","Aquarius","Pisces"},0),12)+1,0)</f>
        <v>0</v>
      </c>
      <c r="G14" s="916" t="str">
        <f ca="1">IFERROR(IF(ISNUMBER(MATCH(F14,{1,4,7,10},0)),"Yes","·"),"·")</f>
        <v>·</v>
      </c>
      <c r="H14" s="917" t="str">
        <f ca="1">IFERROR(IF(ISNUMBER(MATCH(F14,{6,8,12},0)),"Yes","·"),"·")</f>
        <v>·</v>
      </c>
      <c r="I14" s="550" t="s">
        <v>4201</v>
      </c>
    </row>
    <row r="15" spans="1:11" ht="19.5" customHeight="1" x14ac:dyDescent="0.2">
      <c r="A15" s="632">
        <v>11</v>
      </c>
      <c r="B15" s="607" t="s">
        <v>1548</v>
      </c>
      <c r="C15" s="612" t="str">
        <f>IFERROR(INDEX({"Aries","Taurus","Gemini","Cancer","Leo","Virgo","Libra","Scorpio","Sagittarius","Capricorn","Aquarius","Pisces"},MOD(MATCH(CALC_D9_Navamsha!$D$4,{"Aries","Taurus","Gemini","Cancer","Leo","Virgo","Libra","Scorpio","Sagittarius","Capricorn","Aquarius","Pisces"},0)+11-2,12)+1),"—")</f>
        <v>Capricorn</v>
      </c>
      <c r="D15" s="580" t="str">
        <f>IFERROR(INDEX(REF_Zodiac!$D$7:$O$7,MATCH(C15,REF_Zodiac!$D$3:$O$3,0)),"—")</f>
        <v>Saturn</v>
      </c>
      <c r="E15" s="576" t="str">
        <f ca="1">IFERROR(_xludf.switch(D15,"Sun",CALC_D9_Navamsha!D$4,"Moon",CALC_D9_Navamsha!D$5,"Mars",CALC_D9_Navamsha!D$6,"Mercury",CALC_D9_Navamsha!D$7,"Jupiter",CALC_D9_Navamsha!D$8,"Venus",CALC_D9_Navamsha!D$9,"Saturn",CALC_D9_Navamsha!D$10,"Rahu",CALC_D9_Navamsha!D$11,"Ketu",CALC_D9_Navamsha!D$12,"—"),"—")</f>
        <v>—</v>
      </c>
      <c r="F15" s="953">
        <f ca="1">IFERROR(MOD(MATCH(E15,{"Aries","Taurus","Gemini","Cancer","Leo","Virgo","Libra","Scorpio","Sagittarius","Capricorn","Aquarius","Pisces"},0)-MATCH(CALC_D9_Navamsha!$D$4,{"Aries","Taurus","Gemini","Cancer","Leo","Virgo","Libra","Scorpio","Sagittarius","Capricorn","Aquarius","Pisces"},0),12)+1,0)</f>
        <v>0</v>
      </c>
      <c r="G15" s="920" t="str">
        <f ca="1">IFERROR(IF(ISNUMBER(MATCH(F15,{1,4,7,10},0)),"Yes","·"),"·")</f>
        <v>·</v>
      </c>
      <c r="H15" s="921" t="str">
        <f ca="1">IFERROR(IF(ISNUMBER(MATCH(F15,{6,8,12},0)),"Yes","·"),"·")</f>
        <v>·</v>
      </c>
      <c r="I15" s="554" t="s">
        <v>4202</v>
      </c>
    </row>
    <row r="16" spans="1:11" ht="19.5" customHeight="1" x14ac:dyDescent="0.2">
      <c r="A16" s="627">
        <v>12</v>
      </c>
      <c r="B16" s="605" t="s">
        <v>1549</v>
      </c>
      <c r="C16" s="610" t="str">
        <f>IFERROR(INDEX({"Aries","Taurus","Gemini","Cancer","Leo","Virgo","Libra","Scorpio","Sagittarius","Capricorn","Aquarius","Pisces"},MOD(MATCH(CALC_D9_Navamsha!$D$4,{"Aries","Taurus","Gemini","Cancer","Leo","Virgo","Libra","Scorpio","Sagittarius","Capricorn","Aquarius","Pisces"},0)+12-2,12)+1),"—")</f>
        <v>Aquarius</v>
      </c>
      <c r="D16" s="578" t="str">
        <f>IFERROR(INDEX(REF_Zodiac!$D$7:$O$7,MATCH(C16,REF_Zodiac!$D$3:$O$3,0)),"—")</f>
        <v>Saturn</v>
      </c>
      <c r="E16" s="574" t="str">
        <f ca="1">IFERROR(_xludf.switch(D16,"Sun",CALC_D9_Navamsha!D$4,"Moon",CALC_D9_Navamsha!D$5,"Mars",CALC_D9_Navamsha!D$6,"Mercury",CALC_D9_Navamsha!D$7,"Jupiter",CALC_D9_Navamsha!D$8,"Venus",CALC_D9_Navamsha!D$9,"Saturn",CALC_D9_Navamsha!D$10,"Rahu",CALC_D9_Navamsha!D$11,"Ketu",CALC_D9_Navamsha!D$12,"—"),"—")</f>
        <v>—</v>
      </c>
      <c r="F16" s="954">
        <f ca="1">IFERROR(MOD(MATCH(E16,{"Aries","Taurus","Gemini","Cancer","Leo","Virgo","Libra","Scorpio","Sagittarius","Capricorn","Aquarius","Pisces"},0)-MATCH(CALC_D9_Navamsha!$D$4,{"Aries","Taurus","Gemini","Cancer","Leo","Virgo","Libra","Scorpio","Sagittarius","Capricorn","Aquarius","Pisces"},0),12)+1,0)</f>
        <v>0</v>
      </c>
      <c r="G16" s="916" t="str">
        <f ca="1">IFERROR(IF(ISNUMBER(MATCH(F16,{1,4,7,10},0)),"Yes","·"),"·")</f>
        <v>·</v>
      </c>
      <c r="H16" s="917" t="str">
        <f ca="1">IFERROR(IF(ISNUMBER(MATCH(F16,{6,8,12},0)),"Yes","·"),"·")</f>
        <v>·</v>
      </c>
      <c r="I16" s="550" t="s">
        <v>4203</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6A1B9A"/>
  </sheetPr>
  <dimension ref="A1:K16"/>
  <sheetViews>
    <sheetView zoomScaleNormal="100" workbookViewId="0"/>
  </sheetViews>
  <sheetFormatPr defaultColWidth="8.609375" defaultRowHeight="15" x14ac:dyDescent="0.2"/>
  <cols>
    <col min="1" max="1" width="6.05078125" customWidth="1"/>
    <col min="2" max="2" width="18.0234375" customWidth="1"/>
    <col min="3" max="5" width="16.0078125" customWidth="1"/>
    <col min="6" max="8" width="7.93359375" customWidth="1"/>
    <col min="9" max="9" width="39.953125" customWidth="1"/>
  </cols>
  <sheetData>
    <row r="1" spans="1:11" ht="21.75" customHeight="1" x14ac:dyDescent="0.2">
      <c r="A1" s="1522" t="s">
        <v>4204</v>
      </c>
      <c r="B1" s="1522"/>
      <c r="C1" s="1522"/>
      <c r="D1" s="1522"/>
      <c r="E1" s="1522"/>
      <c r="F1" s="1522"/>
      <c r="G1" s="1522"/>
      <c r="H1" s="1522"/>
      <c r="I1" s="1522"/>
      <c r="K1" s="544" t="s">
        <v>2214</v>
      </c>
    </row>
    <row r="2" spans="1:11" ht="24" customHeight="1" x14ac:dyDescent="0.2">
      <c r="A2" s="1523" t="s">
        <v>4205</v>
      </c>
      <c r="B2" s="1523"/>
      <c r="C2" s="1523"/>
      <c r="D2" s="1523"/>
      <c r="E2" s="1523"/>
      <c r="F2" s="1523"/>
      <c r="G2" s="1523"/>
      <c r="H2" s="1523"/>
      <c r="I2" s="1523"/>
    </row>
    <row r="4" spans="1:11" ht="15.75" customHeight="1" x14ac:dyDescent="0.2">
      <c r="A4" s="545" t="s">
        <v>2276</v>
      </c>
      <c r="B4" s="545" t="s">
        <v>3192</v>
      </c>
      <c r="C4" s="545" t="s">
        <v>3924</v>
      </c>
      <c r="D4" s="545" t="s">
        <v>4206</v>
      </c>
      <c r="E4" s="545" t="s">
        <v>4207</v>
      </c>
      <c r="F4" s="545" t="s">
        <v>3539</v>
      </c>
      <c r="G4" s="545" t="s">
        <v>622</v>
      </c>
      <c r="H4" s="545" t="s">
        <v>619</v>
      </c>
      <c r="I4" s="545" t="s">
        <v>3943</v>
      </c>
    </row>
    <row r="5" spans="1:11" ht="19.5" customHeight="1" x14ac:dyDescent="0.2">
      <c r="A5" s="632">
        <v>1</v>
      </c>
      <c r="B5" s="607" t="s">
        <v>844</v>
      </c>
      <c r="C5" s="612" t="str">
        <f>IFERROR(INDEX({"Aries","Taurus","Gemini","Cancer","Leo","Virgo","Libra","Scorpio","Sagittarius","Capricorn","Aquarius","Pisces"},MOD(MATCH(CALC_DivisionalMap!$E$4,{"Aries","Taurus","Gemini","Cancer","Leo","Virgo","Libra","Scorpio","Sagittarius","Capricorn","Aquarius","Pisces"},0)+1-2,12)+1),"—")</f>
        <v>Aries</v>
      </c>
      <c r="D5" s="580" t="str">
        <f>IFERROR(INDEX(REF_Zodiac!$D$7:$O$7,MATCH(C5,REF_Zodiac!$D$3:$O$3,0)),"—")</f>
        <v>Mars</v>
      </c>
      <c r="E5" s="576" t="str">
        <f ca="1">IFERROR(_xludf.switch(D5,"Sun",CALC_DivisionalMap!E$5,"Moon",CALC_DivisionalMap!E$6,"Mars",CALC_DivisionalMap!E$7,"Mercury",CALC_DivisionalMap!E$8,"Jupiter",CALC_DivisionalMap!E$9,"Venus",CALC_DivisionalMap!E$10,"Saturn",CALC_DivisionalMap!E$11,"Rahu",CALC_DivisionalMap!E$12,"Ketu",CALC_DivisionalMap!E$13,"—","—"),"—")</f>
        <v>—</v>
      </c>
      <c r="F5" s="953">
        <f ca="1">IFERROR(MOD(MATCH(E5,{"Aries","Taurus","Gemini","Cancer","Leo","Virgo","Libra","Scorpio","Sagittarius","Capricorn","Aquarius","Pisces"},0)-MATCH(CALC_DivisionalMap!$E$4,{"Aries","Taurus","Gemini","Cancer","Leo","Virgo","Libra","Scorpio","Sagittarius","Capricorn","Aquarius","Pisces"},0),12)+1,0)</f>
        <v>0</v>
      </c>
      <c r="G5" s="920" t="str">
        <f ca="1">IFERROR(IF(ISNUMBER(MATCH(F5,{1,4,7,10},0)),"Yes","·"),"·")</f>
        <v>·</v>
      </c>
      <c r="H5" s="921" t="str">
        <f ca="1">IFERROR(IF(ISNUMBER(MATCH(F5,{6,8,12},0)),"Yes","·"),"·")</f>
        <v>·</v>
      </c>
      <c r="I5" s="554" t="s">
        <v>4208</v>
      </c>
    </row>
    <row r="6" spans="1:11" ht="19.5" customHeight="1" x14ac:dyDescent="0.2">
      <c r="A6" s="627">
        <v>2</v>
      </c>
      <c r="B6" s="605" t="s">
        <v>1544</v>
      </c>
      <c r="C6" s="610" t="str">
        <f>IFERROR(INDEX({"Aries","Taurus","Gemini","Cancer","Leo","Virgo","Libra","Scorpio","Sagittarius","Capricorn","Aquarius","Pisces"},MOD(MATCH(CALC_DivisionalMap!$E$4,{"Aries","Taurus","Gemini","Cancer","Leo","Virgo","Libra","Scorpio","Sagittarius","Capricorn","Aquarius","Pisces"},0)+2-2,12)+1),"—")</f>
        <v>Taurus</v>
      </c>
      <c r="D6" s="578" t="str">
        <f>IFERROR(INDEX(REF_Zodiac!$D$7:$O$7,MATCH(C6,REF_Zodiac!$D$3:$O$3,0)),"—")</f>
        <v>Venus</v>
      </c>
      <c r="E6" s="574" t="str">
        <f ca="1">IFERROR(_xludf.switch(D6,"Sun",CALC_DivisionalMap!E$5,"Moon",CALC_DivisionalMap!E$6,"Mars",CALC_DivisionalMap!E$7,"Mercury",CALC_DivisionalMap!E$8,"Jupiter",CALC_DivisionalMap!E$9,"Venus",CALC_DivisionalMap!E$10,"Saturn",CALC_DivisionalMap!E$11,"Rahu",CALC_DivisionalMap!E$12,"Ketu",CALC_DivisionalMap!E$13,"—","—"),"—")</f>
        <v>—</v>
      </c>
      <c r="F6" s="954">
        <f ca="1">IFERROR(MOD(MATCH(E6,{"Aries","Taurus","Gemini","Cancer","Leo","Virgo","Libra","Scorpio","Sagittarius","Capricorn","Aquarius","Pisces"},0)-MATCH(CALC_DivisionalMap!$E$4,{"Aries","Taurus","Gemini","Cancer","Leo","Virgo","Libra","Scorpio","Sagittarius","Capricorn","Aquarius","Pisces"},0),12)+1,0)</f>
        <v>0</v>
      </c>
      <c r="G6" s="916" t="str">
        <f ca="1">IFERROR(IF(ISNUMBER(MATCH(F6,{1,4,7,10},0)),"Yes","·"),"·")</f>
        <v>·</v>
      </c>
      <c r="H6" s="917" t="str">
        <f ca="1">IFERROR(IF(ISNUMBER(MATCH(F6,{6,8,12},0)),"Yes","·"),"·")</f>
        <v>·</v>
      </c>
      <c r="I6" s="550" t="s">
        <v>4209</v>
      </c>
    </row>
    <row r="7" spans="1:11" ht="19.5" customHeight="1" x14ac:dyDescent="0.2">
      <c r="A7" s="632">
        <v>3</v>
      </c>
      <c r="B7" s="607" t="s">
        <v>847</v>
      </c>
      <c r="C7" s="612" t="str">
        <f>IFERROR(INDEX({"Aries","Taurus","Gemini","Cancer","Leo","Virgo","Libra","Scorpio","Sagittarius","Capricorn","Aquarius","Pisces"},MOD(MATCH(CALC_DivisionalMap!$E$4,{"Aries","Taurus","Gemini","Cancer","Leo","Virgo","Libra","Scorpio","Sagittarius","Capricorn","Aquarius","Pisces"},0)+3-2,12)+1),"—")</f>
        <v>Gemini</v>
      </c>
      <c r="D7" s="580" t="str">
        <f>IFERROR(INDEX(REF_Zodiac!$D$7:$O$7,MATCH(C7,REF_Zodiac!$D$3:$O$3,0)),"—")</f>
        <v>Mercury</v>
      </c>
      <c r="E7" s="576" t="str">
        <f ca="1">IFERROR(_xludf.switch(D7,"Sun",CALC_DivisionalMap!E$5,"Moon",CALC_DivisionalMap!E$6,"Mars",CALC_DivisionalMap!E$7,"Mercury",CALC_DivisionalMap!E$8,"Jupiter",CALC_DivisionalMap!E$9,"Venus",CALC_DivisionalMap!E$10,"Saturn",CALC_DivisionalMap!E$11,"Rahu",CALC_DivisionalMap!E$12,"Ketu",CALC_DivisionalMap!E$13,"—","—"),"—")</f>
        <v>—</v>
      </c>
      <c r="F7" s="953">
        <f ca="1">IFERROR(MOD(MATCH(E7,{"Aries","Taurus","Gemini","Cancer","Leo","Virgo","Libra","Scorpio","Sagittarius","Capricorn","Aquarius","Pisces"},0)-MATCH(CALC_DivisionalMap!$E$4,{"Aries","Taurus","Gemini","Cancer","Leo","Virgo","Libra","Scorpio","Sagittarius","Capricorn","Aquarius","Pisces"},0),12)+1,0)</f>
        <v>0</v>
      </c>
      <c r="G7" s="920" t="str">
        <f ca="1">IFERROR(IF(ISNUMBER(MATCH(F7,{1,4,7,10},0)),"Yes","·"),"·")</f>
        <v>·</v>
      </c>
      <c r="H7" s="921" t="str">
        <f ca="1">IFERROR(IF(ISNUMBER(MATCH(F7,{6,8,12},0)),"Yes","·"),"·")</f>
        <v>·</v>
      </c>
      <c r="I7" s="554" t="s">
        <v>4210</v>
      </c>
    </row>
    <row r="8" spans="1:11" ht="19.5" customHeight="1" x14ac:dyDescent="0.2">
      <c r="A8" s="627">
        <v>4</v>
      </c>
      <c r="B8" s="605" t="s">
        <v>842</v>
      </c>
      <c r="C8" s="610" t="str">
        <f>IFERROR(INDEX({"Aries","Taurus","Gemini","Cancer","Leo","Virgo","Libra","Scorpio","Sagittarius","Capricorn","Aquarius","Pisces"},MOD(MATCH(CALC_DivisionalMap!$E$4,{"Aries","Taurus","Gemini","Cancer","Leo","Virgo","Libra","Scorpio","Sagittarius","Capricorn","Aquarius","Pisces"},0)+4-2,12)+1),"—")</f>
        <v>Cancer</v>
      </c>
      <c r="D8" s="578" t="str">
        <f>IFERROR(INDEX(REF_Zodiac!$D$7:$O$7,MATCH(C8,REF_Zodiac!$D$3:$O$3,0)),"—")</f>
        <v>Moon</v>
      </c>
      <c r="E8" s="574" t="str">
        <f ca="1">IFERROR(_xludf.switch(D8,"Sun",CALC_DivisionalMap!E$5,"Moon",CALC_DivisionalMap!E$6,"Mars",CALC_DivisionalMap!E$7,"Mercury",CALC_DivisionalMap!E$8,"Jupiter",CALC_DivisionalMap!E$9,"Venus",CALC_DivisionalMap!E$10,"Saturn",CALC_DivisionalMap!E$11,"Rahu",CALC_DivisionalMap!E$12,"Ketu",CALC_DivisionalMap!E$13,"—","—"),"—")</f>
        <v>—</v>
      </c>
      <c r="F8" s="954">
        <f ca="1">IFERROR(MOD(MATCH(E8,{"Aries","Taurus","Gemini","Cancer","Leo","Virgo","Libra","Scorpio","Sagittarius","Capricorn","Aquarius","Pisces"},0)-MATCH(CALC_DivisionalMap!$E$4,{"Aries","Taurus","Gemini","Cancer","Leo","Virgo","Libra","Scorpio","Sagittarius","Capricorn","Aquarius","Pisces"},0),12)+1,0)</f>
        <v>0</v>
      </c>
      <c r="G8" s="916" t="str">
        <f ca="1">IFERROR(IF(ISNUMBER(MATCH(F8,{1,4,7,10},0)),"Yes","·"),"·")</f>
        <v>·</v>
      </c>
      <c r="H8" s="917" t="str">
        <f ca="1">IFERROR(IF(ISNUMBER(MATCH(F8,{6,8,12},0)),"Yes","·"),"·")</f>
        <v>·</v>
      </c>
      <c r="I8" s="550" t="s">
        <v>4211</v>
      </c>
    </row>
    <row r="9" spans="1:11" ht="19.5" customHeight="1" x14ac:dyDescent="0.2">
      <c r="A9" s="632">
        <v>5</v>
      </c>
      <c r="B9" s="607" t="s">
        <v>1545</v>
      </c>
      <c r="C9" s="612" t="str">
        <f>IFERROR(INDEX({"Aries","Taurus","Gemini","Cancer","Leo","Virgo","Libra","Scorpio","Sagittarius","Capricorn","Aquarius","Pisces"},MOD(MATCH(CALC_DivisionalMap!$E$4,{"Aries","Taurus","Gemini","Cancer","Leo","Virgo","Libra","Scorpio","Sagittarius","Capricorn","Aquarius","Pisces"},0)+5-2,12)+1),"—")</f>
        <v>Leo</v>
      </c>
      <c r="D9" s="580" t="str">
        <f>IFERROR(INDEX(REF_Zodiac!$D$7:$O$7,MATCH(C9,REF_Zodiac!$D$3:$O$3,0)),"—")</f>
        <v>Sun</v>
      </c>
      <c r="E9" s="576" t="str">
        <f ca="1">IFERROR(_xludf.switch(D9,"Sun",CALC_DivisionalMap!E$5,"Moon",CALC_DivisionalMap!E$6,"Mars",CALC_DivisionalMap!E$7,"Mercury",CALC_DivisionalMap!E$8,"Jupiter",CALC_DivisionalMap!E$9,"Venus",CALC_DivisionalMap!E$10,"Saturn",CALC_DivisionalMap!E$11,"Rahu",CALC_DivisionalMap!E$12,"Ketu",CALC_DivisionalMap!E$13,"—","—"),"—")</f>
        <v>—</v>
      </c>
      <c r="F9" s="953">
        <f ca="1">IFERROR(MOD(MATCH(E9,{"Aries","Taurus","Gemini","Cancer","Leo","Virgo","Libra","Scorpio","Sagittarius","Capricorn","Aquarius","Pisces"},0)-MATCH(CALC_DivisionalMap!$E$4,{"Aries","Taurus","Gemini","Cancer","Leo","Virgo","Libra","Scorpio","Sagittarius","Capricorn","Aquarius","Pisces"},0),12)+1,0)</f>
        <v>0</v>
      </c>
      <c r="G9" s="920" t="str">
        <f ca="1">IFERROR(IF(ISNUMBER(MATCH(F9,{1,4,7,10},0)),"Yes","·"),"·")</f>
        <v>·</v>
      </c>
      <c r="H9" s="921" t="str">
        <f ca="1">IFERROR(IF(ISNUMBER(MATCH(F9,{6,8,12},0)),"Yes","·"),"·")</f>
        <v>·</v>
      </c>
      <c r="I9" s="554" t="s">
        <v>4212</v>
      </c>
    </row>
    <row r="10" spans="1:11" ht="19.5" customHeight="1" x14ac:dyDescent="0.2">
      <c r="A10" s="627">
        <v>6</v>
      </c>
      <c r="B10" s="605" t="s">
        <v>1546</v>
      </c>
      <c r="C10" s="610" t="str">
        <f>IFERROR(INDEX({"Aries","Taurus","Gemini","Cancer","Leo","Virgo","Libra","Scorpio","Sagittarius","Capricorn","Aquarius","Pisces"},MOD(MATCH(CALC_DivisionalMap!$E$4,{"Aries","Taurus","Gemini","Cancer","Leo","Virgo","Libra","Scorpio","Sagittarius","Capricorn","Aquarius","Pisces"},0)+6-2,12)+1),"—")</f>
        <v>Virgo</v>
      </c>
      <c r="D10" s="578" t="str">
        <f>IFERROR(INDEX(REF_Zodiac!$D$7:$O$7,MATCH(C10,REF_Zodiac!$D$3:$O$3,0)),"—")</f>
        <v>Mercury</v>
      </c>
      <c r="E10" s="574" t="str">
        <f ca="1">IFERROR(_xludf.switch(D10,"Sun",CALC_DivisionalMap!E$5,"Moon",CALC_DivisionalMap!E$6,"Mars",CALC_DivisionalMap!E$7,"Mercury",CALC_DivisionalMap!E$8,"Jupiter",CALC_DivisionalMap!E$9,"Venus",CALC_DivisionalMap!E$10,"Saturn",CALC_DivisionalMap!E$11,"Rahu",CALC_DivisionalMap!E$12,"Ketu",CALC_DivisionalMap!E$13,"—","—"),"—")</f>
        <v>—</v>
      </c>
      <c r="F10" s="954">
        <f ca="1">IFERROR(MOD(MATCH(E10,{"Aries","Taurus","Gemini","Cancer","Leo","Virgo","Libra","Scorpio","Sagittarius","Capricorn","Aquarius","Pisces"},0)-MATCH(CALC_DivisionalMap!$E$4,{"Aries","Taurus","Gemini","Cancer","Leo","Virgo","Libra","Scorpio","Sagittarius","Capricorn","Aquarius","Pisces"},0),12)+1,0)</f>
        <v>0</v>
      </c>
      <c r="G10" s="916" t="str">
        <f ca="1">IFERROR(IF(ISNUMBER(MATCH(F10,{1,4,7,10},0)),"Yes","·"),"·")</f>
        <v>·</v>
      </c>
      <c r="H10" s="917" t="str">
        <f ca="1">IFERROR(IF(ISNUMBER(MATCH(F10,{6,8,12},0)),"Yes","·"),"·")</f>
        <v>·</v>
      </c>
      <c r="I10" s="550" t="s">
        <v>4213</v>
      </c>
    </row>
    <row r="11" spans="1:11" ht="19.5" customHeight="1" x14ac:dyDescent="0.2">
      <c r="A11" s="632">
        <v>7</v>
      </c>
      <c r="B11" s="607" t="s">
        <v>846</v>
      </c>
      <c r="C11" s="612" t="str">
        <f>IFERROR(INDEX({"Aries","Taurus","Gemini","Cancer","Leo","Virgo","Libra","Scorpio","Sagittarius","Capricorn","Aquarius","Pisces"},MOD(MATCH(CALC_DivisionalMap!$E$4,{"Aries","Taurus","Gemini","Cancer","Leo","Virgo","Libra","Scorpio","Sagittarius","Capricorn","Aquarius","Pisces"},0)+7-2,12)+1),"—")</f>
        <v>Libra</v>
      </c>
      <c r="D11" s="580" t="str">
        <f>IFERROR(INDEX(REF_Zodiac!$D$7:$O$7,MATCH(C11,REF_Zodiac!$D$3:$O$3,0)),"—")</f>
        <v>Venus</v>
      </c>
      <c r="E11" s="576" t="str">
        <f ca="1">IFERROR(_xludf.switch(D11,"Sun",CALC_DivisionalMap!E$5,"Moon",CALC_DivisionalMap!E$6,"Mars",CALC_DivisionalMap!E$7,"Mercury",CALC_DivisionalMap!E$8,"Jupiter",CALC_DivisionalMap!E$9,"Venus",CALC_DivisionalMap!E$10,"Saturn",CALC_DivisionalMap!E$11,"Rahu",CALC_DivisionalMap!E$12,"Ketu",CALC_DivisionalMap!E$13,"—","—"),"—")</f>
        <v>—</v>
      </c>
      <c r="F11" s="953">
        <f ca="1">IFERROR(MOD(MATCH(E11,{"Aries","Taurus","Gemini","Cancer","Leo","Virgo","Libra","Scorpio","Sagittarius","Capricorn","Aquarius","Pisces"},0)-MATCH(CALC_DivisionalMap!$E$4,{"Aries","Taurus","Gemini","Cancer","Leo","Virgo","Libra","Scorpio","Sagittarius","Capricorn","Aquarius","Pisces"},0),12)+1,0)</f>
        <v>0</v>
      </c>
      <c r="G11" s="920" t="str">
        <f ca="1">IFERROR(IF(ISNUMBER(MATCH(F11,{1,4,7,10},0)),"Yes","·"),"·")</f>
        <v>·</v>
      </c>
      <c r="H11" s="921" t="str">
        <f ca="1">IFERROR(IF(ISNUMBER(MATCH(F11,{6,8,12},0)),"Yes","·"),"·")</f>
        <v>·</v>
      </c>
      <c r="I11" s="554" t="s">
        <v>4214</v>
      </c>
    </row>
    <row r="12" spans="1:11" ht="19.5" customHeight="1" x14ac:dyDescent="0.2">
      <c r="A12" s="627">
        <v>8</v>
      </c>
      <c r="B12" s="605" t="s">
        <v>1547</v>
      </c>
      <c r="C12" s="610" t="str">
        <f>IFERROR(INDEX({"Aries","Taurus","Gemini","Cancer","Leo","Virgo","Libra","Scorpio","Sagittarius","Capricorn","Aquarius","Pisces"},MOD(MATCH(CALC_DivisionalMap!$E$4,{"Aries","Taurus","Gemini","Cancer","Leo","Virgo","Libra","Scorpio","Sagittarius","Capricorn","Aquarius","Pisces"},0)+8-2,12)+1),"—")</f>
        <v>Scorpio</v>
      </c>
      <c r="D12" s="578" t="str">
        <f>IFERROR(INDEX(REF_Zodiac!$D$7:$O$7,MATCH(C12,REF_Zodiac!$D$3:$O$3,0)),"—")</f>
        <v>Mars</v>
      </c>
      <c r="E12" s="574" t="str">
        <f ca="1">IFERROR(_xludf.switch(D12,"Sun",CALC_DivisionalMap!E$5,"Moon",CALC_DivisionalMap!E$6,"Mars",CALC_DivisionalMap!E$7,"Mercury",CALC_DivisionalMap!E$8,"Jupiter",CALC_DivisionalMap!E$9,"Venus",CALC_DivisionalMap!E$10,"Saturn",CALC_DivisionalMap!E$11,"Rahu",CALC_DivisionalMap!E$12,"Ketu",CALC_DivisionalMap!E$13,"—","—"),"—")</f>
        <v>—</v>
      </c>
      <c r="F12" s="954">
        <f ca="1">IFERROR(MOD(MATCH(E12,{"Aries","Taurus","Gemini","Cancer","Leo","Virgo","Libra","Scorpio","Sagittarius","Capricorn","Aquarius","Pisces"},0)-MATCH(CALC_DivisionalMap!$E$4,{"Aries","Taurus","Gemini","Cancer","Leo","Virgo","Libra","Scorpio","Sagittarius","Capricorn","Aquarius","Pisces"},0),12)+1,0)</f>
        <v>0</v>
      </c>
      <c r="G12" s="916" t="str">
        <f ca="1">IFERROR(IF(ISNUMBER(MATCH(F12,{1,4,7,10},0)),"Yes","·"),"·")</f>
        <v>·</v>
      </c>
      <c r="H12" s="917" t="str">
        <f ca="1">IFERROR(IF(ISNUMBER(MATCH(F12,{6,8,12},0)),"Yes","·"),"·")</f>
        <v>·</v>
      </c>
      <c r="I12" s="550" t="s">
        <v>4215</v>
      </c>
    </row>
    <row r="13" spans="1:11" ht="19.5" customHeight="1" x14ac:dyDescent="0.2">
      <c r="A13" s="632">
        <v>9</v>
      </c>
      <c r="B13" s="607" t="s">
        <v>848</v>
      </c>
      <c r="C13" s="612" t="str">
        <f>IFERROR(INDEX({"Aries","Taurus","Gemini","Cancer","Leo","Virgo","Libra","Scorpio","Sagittarius","Capricorn","Aquarius","Pisces"},MOD(MATCH(CALC_DivisionalMap!$E$4,{"Aries","Taurus","Gemini","Cancer","Leo","Virgo","Libra","Scorpio","Sagittarius","Capricorn","Aquarius","Pisces"},0)+9-2,12)+1),"—")</f>
        <v>Sagittarius</v>
      </c>
      <c r="D13" s="580" t="str">
        <f>IFERROR(INDEX(REF_Zodiac!$D$7:$O$7,MATCH(C13,REF_Zodiac!$D$3:$O$3,0)),"—")</f>
        <v>Jupiter</v>
      </c>
      <c r="E13" s="576" t="str">
        <f ca="1">IFERROR(_xludf.switch(D13,"Sun",CALC_DivisionalMap!E$5,"Moon",CALC_DivisionalMap!E$6,"Mars",CALC_DivisionalMap!E$7,"Mercury",CALC_DivisionalMap!E$8,"Jupiter",CALC_DivisionalMap!E$9,"Venus",CALC_DivisionalMap!E$10,"Saturn",CALC_DivisionalMap!E$11,"Rahu",CALC_DivisionalMap!E$12,"Ketu",CALC_DivisionalMap!E$13,"—","—"),"—")</f>
        <v>—</v>
      </c>
      <c r="F13" s="953">
        <f ca="1">IFERROR(MOD(MATCH(E13,{"Aries","Taurus","Gemini","Cancer","Leo","Virgo","Libra","Scorpio","Sagittarius","Capricorn","Aquarius","Pisces"},0)-MATCH(CALC_DivisionalMap!$E$4,{"Aries","Taurus","Gemini","Cancer","Leo","Virgo","Libra","Scorpio","Sagittarius","Capricorn","Aquarius","Pisces"},0),12)+1,0)</f>
        <v>0</v>
      </c>
      <c r="G13" s="920" t="str">
        <f ca="1">IFERROR(IF(ISNUMBER(MATCH(F13,{1,4,7,10},0)),"Yes","·"),"·")</f>
        <v>·</v>
      </c>
      <c r="H13" s="921" t="str">
        <f ca="1">IFERROR(IF(ISNUMBER(MATCH(F13,{6,8,12},0)),"Yes","·"),"·")</f>
        <v>·</v>
      </c>
      <c r="I13" s="554" t="s">
        <v>4216</v>
      </c>
    </row>
    <row r="14" spans="1:11" ht="19.5" customHeight="1" x14ac:dyDescent="0.2">
      <c r="A14" s="627">
        <v>10</v>
      </c>
      <c r="B14" s="605" t="s">
        <v>841</v>
      </c>
      <c r="C14" s="610" t="str">
        <f>IFERROR(INDEX({"Aries","Taurus","Gemini","Cancer","Leo","Virgo","Libra","Scorpio","Sagittarius","Capricorn","Aquarius","Pisces"},MOD(MATCH(CALC_DivisionalMap!$E$4,{"Aries","Taurus","Gemini","Cancer","Leo","Virgo","Libra","Scorpio","Sagittarius","Capricorn","Aquarius","Pisces"},0)+10-2,12)+1),"—")</f>
        <v>Capricorn</v>
      </c>
      <c r="D14" s="578" t="str">
        <f>IFERROR(INDEX(REF_Zodiac!$D$7:$O$7,MATCH(C14,REF_Zodiac!$D$3:$O$3,0)),"—")</f>
        <v>Saturn</v>
      </c>
      <c r="E14" s="574" t="str">
        <f ca="1">IFERROR(_xludf.switch(D14,"Sun",CALC_DivisionalMap!E$5,"Moon",CALC_DivisionalMap!E$6,"Mars",CALC_DivisionalMap!E$7,"Mercury",CALC_DivisionalMap!E$8,"Jupiter",CALC_DivisionalMap!E$9,"Venus",CALC_DivisionalMap!E$10,"Saturn",CALC_DivisionalMap!E$11,"Rahu",CALC_DivisionalMap!E$12,"Ketu",CALC_DivisionalMap!E$13,"—","—"),"—")</f>
        <v>—</v>
      </c>
      <c r="F14" s="954">
        <f ca="1">IFERROR(MOD(MATCH(E14,{"Aries","Taurus","Gemini","Cancer","Leo","Virgo","Libra","Scorpio","Sagittarius","Capricorn","Aquarius","Pisces"},0)-MATCH(CALC_DivisionalMap!$E$4,{"Aries","Taurus","Gemini","Cancer","Leo","Virgo","Libra","Scorpio","Sagittarius","Capricorn","Aquarius","Pisces"},0),12)+1,0)</f>
        <v>0</v>
      </c>
      <c r="G14" s="916" t="str">
        <f ca="1">IFERROR(IF(ISNUMBER(MATCH(F14,{1,4,7,10},0)),"Yes","·"),"·")</f>
        <v>·</v>
      </c>
      <c r="H14" s="917" t="str">
        <f ca="1">IFERROR(IF(ISNUMBER(MATCH(F14,{6,8,12},0)),"Yes","·"),"·")</f>
        <v>·</v>
      </c>
      <c r="I14" s="550" t="s">
        <v>4217</v>
      </c>
    </row>
    <row r="15" spans="1:11" ht="19.5" customHeight="1" x14ac:dyDescent="0.2">
      <c r="A15" s="632">
        <v>11</v>
      </c>
      <c r="B15" s="607" t="s">
        <v>1548</v>
      </c>
      <c r="C15" s="612" t="str">
        <f>IFERROR(INDEX({"Aries","Taurus","Gemini","Cancer","Leo","Virgo","Libra","Scorpio","Sagittarius","Capricorn","Aquarius","Pisces"},MOD(MATCH(CALC_DivisionalMap!$E$4,{"Aries","Taurus","Gemini","Cancer","Leo","Virgo","Libra","Scorpio","Sagittarius","Capricorn","Aquarius","Pisces"},0)+11-2,12)+1),"—")</f>
        <v>Aquarius</v>
      </c>
      <c r="D15" s="580" t="str">
        <f>IFERROR(INDEX(REF_Zodiac!$D$7:$O$7,MATCH(C15,REF_Zodiac!$D$3:$O$3,0)),"—")</f>
        <v>Saturn</v>
      </c>
      <c r="E15" s="576" t="str">
        <f ca="1">IFERROR(_xludf.switch(D15,"Sun",CALC_DivisionalMap!E$5,"Moon",CALC_DivisionalMap!E$6,"Mars",CALC_DivisionalMap!E$7,"Mercury",CALC_DivisionalMap!E$8,"Jupiter",CALC_DivisionalMap!E$9,"Venus",CALC_DivisionalMap!E$10,"Saturn",CALC_DivisionalMap!E$11,"Rahu",CALC_DivisionalMap!E$12,"Ketu",CALC_DivisionalMap!E$13,"—","—"),"—")</f>
        <v>—</v>
      </c>
      <c r="F15" s="953">
        <f ca="1">IFERROR(MOD(MATCH(E15,{"Aries","Taurus","Gemini","Cancer","Leo","Virgo","Libra","Scorpio","Sagittarius","Capricorn","Aquarius","Pisces"},0)-MATCH(CALC_DivisionalMap!$E$4,{"Aries","Taurus","Gemini","Cancer","Leo","Virgo","Libra","Scorpio","Sagittarius","Capricorn","Aquarius","Pisces"},0),12)+1,0)</f>
        <v>0</v>
      </c>
      <c r="G15" s="920" t="str">
        <f ca="1">IFERROR(IF(ISNUMBER(MATCH(F15,{1,4,7,10},0)),"Yes","·"),"·")</f>
        <v>·</v>
      </c>
      <c r="H15" s="921" t="str">
        <f ca="1">IFERROR(IF(ISNUMBER(MATCH(F15,{6,8,12},0)),"Yes","·"),"·")</f>
        <v>·</v>
      </c>
      <c r="I15" s="554" t="s">
        <v>4218</v>
      </c>
    </row>
    <row r="16" spans="1:11" ht="19.5" customHeight="1" x14ac:dyDescent="0.2">
      <c r="A16" s="627">
        <v>12</v>
      </c>
      <c r="B16" s="605" t="s">
        <v>1549</v>
      </c>
      <c r="C16" s="610" t="str">
        <f>IFERROR(INDEX({"Aries","Taurus","Gemini","Cancer","Leo","Virgo","Libra","Scorpio","Sagittarius","Capricorn","Aquarius","Pisces"},MOD(MATCH(CALC_DivisionalMap!$E$4,{"Aries","Taurus","Gemini","Cancer","Leo","Virgo","Libra","Scorpio","Sagittarius","Capricorn","Aquarius","Pisces"},0)+12-2,12)+1),"—")</f>
        <v>Pisces</v>
      </c>
      <c r="D16" s="578" t="str">
        <f>IFERROR(INDEX(REF_Zodiac!$D$7:$O$7,MATCH(C16,REF_Zodiac!$D$3:$O$3,0)),"—")</f>
        <v>Jupiter</v>
      </c>
      <c r="E16" s="574" t="str">
        <f ca="1">IFERROR(_xludf.switch(D16,"Sun",CALC_DivisionalMap!E$5,"Moon",CALC_DivisionalMap!E$6,"Mars",CALC_DivisionalMap!E$7,"Mercury",CALC_DivisionalMap!E$8,"Jupiter",CALC_DivisionalMap!E$9,"Venus",CALC_DivisionalMap!E$10,"Saturn",CALC_DivisionalMap!E$11,"Rahu",CALC_DivisionalMap!E$12,"Ketu",CALC_DivisionalMap!E$13,"—","—"),"—")</f>
        <v>—</v>
      </c>
      <c r="F16" s="954">
        <f ca="1">IFERROR(MOD(MATCH(E16,{"Aries","Taurus","Gemini","Cancer","Leo","Virgo","Libra","Scorpio","Sagittarius","Capricorn","Aquarius","Pisces"},0)-MATCH(CALC_DivisionalMap!$E$4,{"Aries","Taurus","Gemini","Cancer","Leo","Virgo","Libra","Scorpio","Sagittarius","Capricorn","Aquarius","Pisces"},0),12)+1,0)</f>
        <v>0</v>
      </c>
      <c r="G16" s="916" t="str">
        <f ca="1">IFERROR(IF(ISNUMBER(MATCH(F16,{1,4,7,10},0)),"Yes","·"),"·")</f>
        <v>·</v>
      </c>
      <c r="H16" s="917" t="str">
        <f ca="1">IFERROR(IF(ISNUMBER(MATCH(F16,{6,8,12},0)),"Yes","·"),"·")</f>
        <v>·</v>
      </c>
      <c r="I16" s="550" t="s">
        <v>4219</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6A1B9A"/>
  </sheetPr>
  <dimension ref="A1:K31"/>
  <sheetViews>
    <sheetView zoomScaleNormal="100" workbookViewId="0"/>
  </sheetViews>
  <sheetFormatPr defaultColWidth="8.609375" defaultRowHeight="15" x14ac:dyDescent="0.2"/>
  <cols>
    <col min="1" max="1" width="6.05078125" customWidth="1"/>
    <col min="2" max="3" width="11.97265625" customWidth="1"/>
    <col min="4" max="5" width="13.98828125" customWidth="1"/>
    <col min="6" max="7" width="9.953125" customWidth="1"/>
    <col min="8" max="8" width="13.98828125" customWidth="1"/>
    <col min="9" max="9" width="39.953125" customWidth="1"/>
  </cols>
  <sheetData>
    <row r="1" spans="1:11" ht="21.75" customHeight="1" x14ac:dyDescent="0.2">
      <c r="A1" s="1522" t="s">
        <v>4220</v>
      </c>
      <c r="B1" s="1522"/>
      <c r="C1" s="1522"/>
      <c r="D1" s="1522"/>
      <c r="E1" s="1522"/>
      <c r="F1" s="1522"/>
      <c r="G1" s="1522"/>
      <c r="H1" s="1522"/>
      <c r="I1" s="1522"/>
      <c r="K1" s="601" t="s">
        <v>2214</v>
      </c>
    </row>
    <row r="2" spans="1:11" ht="24" customHeight="1" x14ac:dyDescent="0.2">
      <c r="A2" s="1523" t="s">
        <v>4221</v>
      </c>
      <c r="B2" s="1523"/>
      <c r="C2" s="1523"/>
      <c r="D2" s="1523"/>
      <c r="E2" s="1523"/>
      <c r="F2" s="1523"/>
      <c r="G2" s="1523"/>
      <c r="H2" s="1523"/>
      <c r="I2" s="1523"/>
    </row>
    <row r="4" spans="1:11" ht="18" customHeight="1" x14ac:dyDescent="0.2">
      <c r="A4" s="1524" t="s">
        <v>4222</v>
      </c>
      <c r="B4" s="1524"/>
      <c r="C4" s="1524"/>
      <c r="D4" s="1524"/>
      <c r="E4" s="1524"/>
      <c r="F4" s="1524"/>
      <c r="G4" s="1524"/>
      <c r="H4" s="1524"/>
      <c r="I4" s="1524"/>
    </row>
    <row r="5" spans="1:11" ht="15.75" customHeight="1" x14ac:dyDescent="0.2">
      <c r="A5" s="882" t="s">
        <v>4145</v>
      </c>
      <c r="B5" s="882" t="s">
        <v>4146</v>
      </c>
      <c r="C5" s="882" t="s">
        <v>2280</v>
      </c>
      <c r="D5" s="882"/>
    </row>
    <row r="6" spans="1:11" ht="18" customHeight="1" x14ac:dyDescent="0.2">
      <c r="A6" s="909" t="s">
        <v>4223</v>
      </c>
      <c r="B6" s="610" t="str">
        <f ca="1">IFERROR(CALC_DashaActive!$B$14,"← Enter Dasha dates in INPUT_BirthData")</f>
        <v>Mars</v>
      </c>
      <c r="C6" s="904" t="s">
        <v>4224</v>
      </c>
      <c r="D6" s="904" t="s">
        <v>4225</v>
      </c>
    </row>
    <row r="7" spans="1:11" ht="18" customHeight="1" x14ac:dyDescent="0.2">
      <c r="A7" s="906" t="s">
        <v>4226</v>
      </c>
      <c r="B7" s="955">
        <f ca="1">IFERROR(INDEX(CALC_DashaActive!$C$4:$C$12,MATCH(B6,CALC_DashaActive!$B$4:$B$12,0)),"—")</f>
        <v>45909.067500000005</v>
      </c>
      <c r="C7" s="907" t="s">
        <v>44</v>
      </c>
      <c r="D7" s="907" t="s">
        <v>4227</v>
      </c>
    </row>
    <row r="8" spans="1:11" ht="18" customHeight="1" x14ac:dyDescent="0.2">
      <c r="A8" s="909" t="s">
        <v>4228</v>
      </c>
      <c r="B8" s="956">
        <f ca="1">IFERROR(INDEX(CALC_DashaActive!$D$4:$D$12,MATCH(B6,CALC_DashaActive!$B$4:$B$12,0)),"—")</f>
        <v>48465.817500000005</v>
      </c>
      <c r="C8" s="904" t="s">
        <v>44</v>
      </c>
      <c r="D8" s="904" t="s">
        <v>4229</v>
      </c>
    </row>
    <row r="9" spans="1:11" ht="18" customHeight="1" x14ac:dyDescent="0.2">
      <c r="A9" s="906" t="s">
        <v>4230</v>
      </c>
      <c r="B9" s="612">
        <f ca="1">IFERROR(INDEX({7,20,6,10,7,18,16,19,17},MATCH(B6,{"Ketu","Venus","Sun","Moon","Mars","Rahu","Jupiter","Saturn","Mercury"},0)),0)</f>
        <v>7</v>
      </c>
      <c r="C9" s="907" t="s">
        <v>4231</v>
      </c>
      <c r="D9" s="907" t="s">
        <v>4232</v>
      </c>
    </row>
    <row r="12" spans="1:11" ht="18" customHeight="1" x14ac:dyDescent="0.2">
      <c r="A12" s="1524" t="s">
        <v>4233</v>
      </c>
      <c r="B12" s="1524"/>
      <c r="C12" s="1524"/>
      <c r="D12" s="1524"/>
      <c r="E12" s="1524"/>
      <c r="F12" s="1524"/>
      <c r="G12" s="1524"/>
      <c r="H12" s="1524"/>
      <c r="I12" s="1524"/>
    </row>
    <row r="13" spans="1:11" ht="15.75" customHeight="1" x14ac:dyDescent="0.2">
      <c r="A13" s="545" t="s">
        <v>2475</v>
      </c>
      <c r="B13" s="545" t="s">
        <v>4234</v>
      </c>
      <c r="C13" s="545" t="s">
        <v>4235</v>
      </c>
      <c r="D13" s="545" t="s">
        <v>260</v>
      </c>
      <c r="E13" s="545" t="s">
        <v>261</v>
      </c>
      <c r="F13" s="545" t="s">
        <v>3713</v>
      </c>
      <c r="G13" s="545" t="s">
        <v>4236</v>
      </c>
      <c r="H13" s="545" t="s">
        <v>3715</v>
      </c>
      <c r="I13" s="545" t="s">
        <v>4237</v>
      </c>
    </row>
    <row r="14" spans="1:11" ht="19.5" customHeight="1" x14ac:dyDescent="0.2">
      <c r="A14" s="627">
        <v>1</v>
      </c>
      <c r="B14" s="578" t="str">
        <f ca="1">IFERROR(INDEX({"Ketu","Venus","Sun","Moon","Mars","Rahu","Jupiter","Saturn","Mercury"},MOD(MATCH($B$6,{"Ketu","Venus","Sun","Moon","Mars","Rahu","Jupiter","Saturn","Mercury"},0)+0-1,9)+1),"—")</f>
        <v>Mars</v>
      </c>
      <c r="C14" s="943">
        <f ca="1">IFERROR(INDEX({7,20,6,10,7,18,16,19,17},MOD(MATCH($B$6,{"Ketu","Venus","Sun","Moon","Mars","Rahu","Jupiter","Saturn","Mercury"},0)+0-1,9)+1),0)</f>
        <v>7</v>
      </c>
      <c r="D14" s="957">
        <f ca="1">IFERROR($B$7,"—")</f>
        <v>45909.067500000005</v>
      </c>
      <c r="E14" s="957">
        <f t="shared" ref="E14:E22" ca="1" si="0">IFERROR(D14+C14,"—")</f>
        <v>45916.067500000005</v>
      </c>
      <c r="F14" s="915" t="str">
        <f t="shared" ref="F14:F22" ca="1" si="1">IFERROR(IF(AND(TODAY()&gt;=D14,TODAY()&lt;E14),"▶ ACTIVE","·"),"·")</f>
        <v>·</v>
      </c>
      <c r="G14" s="943" t="str">
        <f t="shared" ref="G14:G22" ca="1" si="2">IFERROR(IF(F14="▶ ACTIVE",ROUND(E14-TODAY(),0)&amp;" days","—"),"—")</f>
        <v>—</v>
      </c>
      <c r="H14" s="549" t="str">
        <f ca="1">IFERROR(IF(B14="—","—","H"&amp;INDEX(CALC_PlanetPositions!$D$7:$D$15,MATCH(B14,{"Sun","Moon","Mars","Mercury","Jupiter","Venus","Saturn","Rahu","Ketu"},0))&amp;" · "&amp;INDEX(CALC_PlanetPositions!$K$7:$K$15,MATCH(B14,{"Sun","Moon","Mars","Mercury","Jupiter","Venus","Saturn","Rahu","Ketu"},0))),"—")</f>
        <v>H67.4562 · Enemy sign</v>
      </c>
      <c r="I14" s="550" t="str">
        <f ca="1">IFERROR(IF(B14="—","—",_xludf.switch(B14,"Sun","Authority · vitality · father · government","Moon","Mind · emotions · public life · mother","Mars","Action · property · siblings · courage","Mercury","Business · communication · intellect","Jupiter","Wisdom · children · dharma · expansion","Venus","Love · luxury · arts · partnerships","Saturn","Karma · discipline · delays · service","Rahu","Ambition · foreign · technology · obsession","Ketu","Spirituality · detachment · past karma","—")),"—")</f>
        <v>—</v>
      </c>
    </row>
    <row r="15" spans="1:11" ht="19.5" customHeight="1" x14ac:dyDescent="0.2">
      <c r="A15" s="632">
        <v>2</v>
      </c>
      <c r="B15" s="580" t="str">
        <f ca="1">IFERROR(INDEX({"Ketu","Venus","Sun","Moon","Mars","Rahu","Jupiter","Saturn","Mercury"},MOD(MATCH($B$6,{"Ketu","Venus","Sun","Moon","Mars","Rahu","Jupiter","Saturn","Mercury"},0)+1-1,9)+1),"—")</f>
        <v>Rahu</v>
      </c>
      <c r="C15" s="946">
        <f ca="1">IFERROR(INDEX({7,20,6,10,7,18,16,19,17},MOD(MATCH($B$6,{"Ketu","Venus","Sun","Moon","Mars","Rahu","Jupiter","Saturn","Mercury"},0)+1-1,9)+1),0)</f>
        <v>18</v>
      </c>
      <c r="D15" s="958">
        <f t="shared" ref="D15:D22" ca="1" si="3">IFERROR(E14,"—")</f>
        <v>45916.067500000005</v>
      </c>
      <c r="E15" s="958">
        <f t="shared" ca="1" si="0"/>
        <v>45934.067500000005</v>
      </c>
      <c r="F15" s="919" t="str">
        <f t="shared" ca="1" si="1"/>
        <v>·</v>
      </c>
      <c r="G15" s="946" t="str">
        <f t="shared" ca="1" si="2"/>
        <v>—</v>
      </c>
      <c r="H15" s="553" t="str">
        <f ca="1">IFERROR(IF(B15="—","—","H"&amp;INDEX(CALC_PlanetPositions!$D$7:$D$15,MATCH(B15,{"Sun","Moon","Mars","Mercury","Jupiter","Venus","Saturn","Rahu","Ketu"},0))&amp;" · "&amp;INDEX(CALC_PlanetPositions!$K$7:$K$15,MATCH(B15,{"Sun","Moon","Mars","Mercury","Jupiter","Venus","Saturn","Rahu","Ketu"},0))),"—")</f>
        <v>H35.0697 · Shadow node</v>
      </c>
      <c r="I15" s="554" t="str">
        <f ca="1">IFERROR(IF(B15="—","—",_xludf.switch(B15,"Sun","Authority · vitality · father · government","Moon","Mind · emotions · public life · mother","Mars","Action · property · siblings · courage","Mercury","Business · communication · intellect","Jupiter","Wisdom · children · dharma · expansion","Venus","Love · luxury · arts · partnerships","Saturn","Karma · discipline · delays · service","Rahu","Ambition · foreign · technology · obsession","Ketu","Spirituality · detachment · past karma","—")),"—")</f>
        <v>—</v>
      </c>
    </row>
    <row r="16" spans="1:11" ht="19.5" customHeight="1" x14ac:dyDescent="0.2">
      <c r="A16" s="627">
        <v>3</v>
      </c>
      <c r="B16" s="578" t="str">
        <f ca="1">IFERROR(INDEX({"Ketu","Venus","Sun","Moon","Mars","Rahu","Jupiter","Saturn","Mercury"},MOD(MATCH($B$6,{"Ketu","Venus","Sun","Moon","Mars","Rahu","Jupiter","Saturn","Mercury"},0)+2-1,9)+1),"—")</f>
        <v>Jupiter</v>
      </c>
      <c r="C16" s="943">
        <f ca="1">IFERROR(INDEX({7,20,6,10,7,18,16,19,17},MOD(MATCH($B$6,{"Ketu","Venus","Sun","Moon","Mars","Rahu","Jupiter","Saturn","Mercury"},0)+2-1,9)+1),0)</f>
        <v>16</v>
      </c>
      <c r="D16" s="957">
        <f t="shared" ca="1" si="3"/>
        <v>45934.067500000005</v>
      </c>
      <c r="E16" s="957">
        <f t="shared" ca="1" si="0"/>
        <v>45950.067500000005</v>
      </c>
      <c r="F16" s="915" t="str">
        <f t="shared" ca="1" si="1"/>
        <v>·</v>
      </c>
      <c r="G16" s="943" t="str">
        <f t="shared" ca="1" si="2"/>
        <v>—</v>
      </c>
      <c r="H16" s="549" t="str">
        <f ca="1">IFERROR(IF(B16="—","—","H"&amp;INDEX(CALC_PlanetPositions!$D$7:$D$15,MATCH(B16,{"Sun","Moon","Mars","Mercury","Jupiter","Venus","Saturn","Rahu","Ketu"},0))&amp;" · "&amp;INDEX(CALC_PlanetPositions!$K$7:$K$15,MATCH(B16,{"Sun","Moon","Mars","Mercury","Jupiter","Venus","Saturn","Rahu","Ketu"},0))),"—")</f>
        <v>H205.8777 · Enemy sign</v>
      </c>
      <c r="I16" s="550" t="str">
        <f ca="1">IFERROR(IF(B16="—","—",_xludf.switch(B16,"Sun","Authority · vitality · father · government","Moon","Mind · emotions · public life · mother","Mars","Action · property · siblings · courage","Mercury","Business · communication · intellect","Jupiter","Wisdom · children · dharma · expansion","Venus","Love · luxury · arts · partnerships","Saturn","Karma · discipline · delays · service","Rahu","Ambition · foreign · technology · obsession","Ketu","Spirituality · detachment · past karma","—")),"—")</f>
        <v>—</v>
      </c>
    </row>
    <row r="17" spans="1:9" ht="19.5" customHeight="1" x14ac:dyDescent="0.2">
      <c r="A17" s="632">
        <v>4</v>
      </c>
      <c r="B17" s="580" t="str">
        <f ca="1">IFERROR(INDEX({"Ketu","Venus","Sun","Moon","Mars","Rahu","Jupiter","Saturn","Mercury"},MOD(MATCH($B$6,{"Ketu","Venus","Sun","Moon","Mars","Rahu","Jupiter","Saturn","Mercury"},0)+3-1,9)+1),"—")</f>
        <v>Saturn</v>
      </c>
      <c r="C17" s="946">
        <f ca="1">IFERROR(INDEX({7,20,6,10,7,18,16,19,17},MOD(MATCH($B$6,{"Ketu","Venus","Sun","Moon","Mars","Rahu","Jupiter","Saturn","Mercury"},0)+3-1,9)+1),0)</f>
        <v>19</v>
      </c>
      <c r="D17" s="958">
        <f t="shared" ca="1" si="3"/>
        <v>45950.067500000005</v>
      </c>
      <c r="E17" s="958">
        <f t="shared" ca="1" si="0"/>
        <v>45969.067500000005</v>
      </c>
      <c r="F17" s="919" t="str">
        <f t="shared" ca="1" si="1"/>
        <v>·</v>
      </c>
      <c r="G17" s="946" t="str">
        <f t="shared" ca="1" si="2"/>
        <v>—</v>
      </c>
      <c r="H17" s="553" t="str">
        <f ca="1">IFERROR(IF(B17="—","—","H"&amp;INDEX(CALC_PlanetPositions!$D$7:$D$15,MATCH(B17,{"Sun","Moon","Mars","Mercury","Jupiter","Venus","Saturn","Rahu","Ketu"},0))&amp;" · "&amp;INDEX(CALC_PlanetPositions!$K$7:$K$15,MATCH(B17,{"Sun","Moon","Mars","Mercury","Jupiter","Venus","Saturn","Rahu","Ketu"},0))),"—")</f>
        <v>H110.473 · Enemy sign</v>
      </c>
      <c r="I17" s="554" t="str">
        <f ca="1">IFERROR(IF(B17="—","—",_xludf.switch(B17,"Sun","Authority · vitality · father · government","Moon","Mind · emotions · public life · mother","Mars","Action · property · siblings · courage","Mercury","Business · communication · intellect","Jupiter","Wisdom · children · dharma · expansion","Venus","Love · luxury · arts · partnerships","Saturn","Karma · discipline · delays · service","Rahu","Ambition · foreign · technology · obsession","Ketu","Spirituality · detachment · past karma","—")),"—")</f>
        <v>—</v>
      </c>
    </row>
    <row r="18" spans="1:9" ht="19.5" customHeight="1" x14ac:dyDescent="0.2">
      <c r="A18" s="627">
        <v>5</v>
      </c>
      <c r="B18" s="578" t="str">
        <f ca="1">IFERROR(INDEX({"Ketu","Venus","Sun","Moon","Mars","Rahu","Jupiter","Saturn","Mercury"},MOD(MATCH($B$6,{"Ketu","Venus","Sun","Moon","Mars","Rahu","Jupiter","Saturn","Mercury"},0)+4-1,9)+1),"—")</f>
        <v>Mercury</v>
      </c>
      <c r="C18" s="943">
        <f ca="1">IFERROR(INDEX({7,20,6,10,7,18,16,19,17},MOD(MATCH($B$6,{"Ketu","Venus","Sun","Moon","Mars","Rahu","Jupiter","Saturn","Mercury"},0)+4-1,9)+1),0)</f>
        <v>17</v>
      </c>
      <c r="D18" s="957">
        <f t="shared" ca="1" si="3"/>
        <v>45969.067500000005</v>
      </c>
      <c r="E18" s="957">
        <f t="shared" ca="1" si="0"/>
        <v>45986.067500000005</v>
      </c>
      <c r="F18" s="915" t="str">
        <f t="shared" ca="1" si="1"/>
        <v>·</v>
      </c>
      <c r="G18" s="943" t="str">
        <f t="shared" ca="1" si="2"/>
        <v>—</v>
      </c>
      <c r="H18" s="549" t="str">
        <f ca="1">IFERROR(IF(B18="—","—","H"&amp;INDEX(CALC_PlanetPositions!$D$7:$D$15,MATCH(B18,{"Sun","Moon","Mars","Mercury","Jupiter","Venus","Saturn","Rahu","Ketu"},0))&amp;" · "&amp;INDEX(CALC_PlanetPositions!$K$7:$K$15,MATCH(B18,{"Sun","Moon","Mars","Mercury","Jupiter","Venus","Saturn","Rahu","Ketu"},0))),"—")</f>
        <v>H103.6743 · Enemy sign</v>
      </c>
      <c r="I18" s="550" t="str">
        <f ca="1">IFERROR(IF(B18="—","—",_xludf.switch(B18,"Sun","Authority · vitality · father · government","Moon","Mind · emotions · public life · mother","Mars","Action · property · siblings · courage","Mercury","Business · communication · intellect","Jupiter","Wisdom · children · dharma · expansion","Venus","Love · luxury · arts · partnerships","Saturn","Karma · discipline · delays · service","Rahu","Ambition · foreign · technology · obsession","Ketu","Spirituality · detachment · past karma","—")),"—")</f>
        <v>—</v>
      </c>
    </row>
    <row r="19" spans="1:9" ht="19.5" customHeight="1" x14ac:dyDescent="0.2">
      <c r="A19" s="632">
        <v>6</v>
      </c>
      <c r="B19" s="580" t="str">
        <f ca="1">IFERROR(INDEX({"Ketu","Venus","Sun","Moon","Mars","Rahu","Jupiter","Saturn","Mercury"},MOD(MATCH($B$6,{"Ketu","Venus","Sun","Moon","Mars","Rahu","Jupiter","Saturn","Mercury"},0)+5-1,9)+1),"—")</f>
        <v>Ketu</v>
      </c>
      <c r="C19" s="946">
        <f ca="1">IFERROR(INDEX({7,20,6,10,7,18,16,19,17},MOD(MATCH($B$6,{"Ketu","Venus","Sun","Moon","Mars","Rahu","Jupiter","Saturn","Mercury"},0)+5-1,9)+1),0)</f>
        <v>7</v>
      </c>
      <c r="D19" s="958">
        <f t="shared" ca="1" si="3"/>
        <v>45986.067500000005</v>
      </c>
      <c r="E19" s="958">
        <f t="shared" ca="1" si="0"/>
        <v>45993.067500000005</v>
      </c>
      <c r="F19" s="919" t="str">
        <f t="shared" ca="1" si="1"/>
        <v>·</v>
      </c>
      <c r="G19" s="946" t="str">
        <f t="shared" ca="1" si="2"/>
        <v>—</v>
      </c>
      <c r="H19" s="553" t="str">
        <f ca="1">IFERROR(IF(B19="—","—","H"&amp;INDEX(CALC_PlanetPositions!$D$7:$D$15,MATCH(B19,{"Sun","Moon","Mars","Mercury","Jupiter","Venus","Saturn","Rahu","Ketu"},0))&amp;" · "&amp;INDEX(CALC_PlanetPositions!$K$7:$K$15,MATCH(B19,{"Sun","Moon","Mars","Mercury","Jupiter","Venus","Saturn","Rahu","Ketu"},0))),"—")</f>
        <v>H215.0697 · Shadow node</v>
      </c>
      <c r="I19" s="554" t="str">
        <f ca="1">IFERROR(IF(B19="—","—",_xludf.switch(B19,"Sun","Authority · vitality · father · government","Moon","Mind · emotions · public life · mother","Mars","Action · property · siblings · courage","Mercury","Business · communication · intellect","Jupiter","Wisdom · children · dharma · expansion","Venus","Love · luxury · arts · partnerships","Saturn","Karma · discipline · delays · service","Rahu","Ambition · foreign · technology · obsession","Ketu","Spirituality · detachment · past karma","—")),"—")</f>
        <v>—</v>
      </c>
    </row>
    <row r="20" spans="1:9" ht="19.5" customHeight="1" x14ac:dyDescent="0.2">
      <c r="A20" s="627">
        <v>7</v>
      </c>
      <c r="B20" s="578" t="str">
        <f ca="1">IFERROR(INDEX({"Ketu","Venus","Sun","Moon","Mars","Rahu","Jupiter","Saturn","Mercury"},MOD(MATCH($B$6,{"Ketu","Venus","Sun","Moon","Mars","Rahu","Jupiter","Saturn","Mercury"},0)+6-1,9)+1),"—")</f>
        <v>Venus</v>
      </c>
      <c r="C20" s="943">
        <f ca="1">IFERROR(INDEX({7,20,6,10,7,18,16,19,17},MOD(MATCH($B$6,{"Ketu","Venus","Sun","Moon","Mars","Rahu","Jupiter","Saturn","Mercury"},0)+6-1,9)+1),0)</f>
        <v>20</v>
      </c>
      <c r="D20" s="957">
        <f t="shared" ca="1" si="3"/>
        <v>45993.067500000005</v>
      </c>
      <c r="E20" s="957">
        <f t="shared" ca="1" si="0"/>
        <v>46013.067500000005</v>
      </c>
      <c r="F20" s="915" t="str">
        <f t="shared" ca="1" si="1"/>
        <v>·</v>
      </c>
      <c r="G20" s="943" t="str">
        <f t="shared" ca="1" si="2"/>
        <v>—</v>
      </c>
      <c r="H20" s="549" t="str">
        <f ca="1">IFERROR(IF(B20="—","—","H"&amp;INDEX(CALC_PlanetPositions!$D$7:$D$15,MATCH(B20,{"Sun","Moon","Mars","Mercury","Jupiter","Venus","Saturn","Rahu","Ketu"},0))&amp;" · "&amp;INDEX(CALC_PlanetPositions!$K$7:$K$15,MATCH(B20,{"Sun","Moon","Mars","Mercury","Jupiter","Venus","Saturn","Rahu","Ketu"},0))),"—")</f>
        <v>H112.5612 · Neutral sign</v>
      </c>
      <c r="I20" s="550" t="str">
        <f ca="1">IFERROR(IF(B20="—","—",_xludf.switch(B20,"Sun","Authority · vitality · father · government","Moon","Mind · emotions · public life · mother","Mars","Action · property · siblings · courage","Mercury","Business · communication · intellect","Jupiter","Wisdom · children · dharma · expansion","Venus","Love · luxury · arts · partnerships","Saturn","Karma · discipline · delays · service","Rahu","Ambition · foreign · technology · obsession","Ketu","Spirituality · detachment · past karma","—")),"—")</f>
        <v>—</v>
      </c>
    </row>
    <row r="21" spans="1:9" ht="19.5" customHeight="1" x14ac:dyDescent="0.2">
      <c r="A21" s="632">
        <v>8</v>
      </c>
      <c r="B21" s="580" t="str">
        <f ca="1">IFERROR(INDEX({"Ketu","Venus","Sun","Moon","Mars","Rahu","Jupiter","Saturn","Mercury"},MOD(MATCH($B$6,{"Ketu","Venus","Sun","Moon","Mars","Rahu","Jupiter","Saturn","Mercury"},0)+7-1,9)+1),"—")</f>
        <v>Sun</v>
      </c>
      <c r="C21" s="946">
        <f ca="1">IFERROR(INDEX({7,20,6,10,7,18,16,19,17},MOD(MATCH($B$6,{"Ketu","Venus","Sun","Moon","Mars","Rahu","Jupiter","Saturn","Mercury"},0)+7-1,9)+1),0)</f>
        <v>6</v>
      </c>
      <c r="D21" s="958">
        <f t="shared" ca="1" si="3"/>
        <v>46013.067500000005</v>
      </c>
      <c r="E21" s="958">
        <f t="shared" ca="1" si="0"/>
        <v>46019.067500000005</v>
      </c>
      <c r="F21" s="919" t="str">
        <f t="shared" ca="1" si="1"/>
        <v>·</v>
      </c>
      <c r="G21" s="946" t="str">
        <f t="shared" ca="1" si="2"/>
        <v>—</v>
      </c>
      <c r="H21" s="553" t="str">
        <f ca="1">IFERROR(IF(B21="—","—","H"&amp;INDEX(CALC_PlanetPositions!$D$7:$D$15,MATCH(B21,{"Sun","Moon","Mars","Mercury","Jupiter","Venus","Saturn","Rahu","Ketu"},0))&amp;" · "&amp;INDEX(CALC_PlanetPositions!$K$7:$K$15,MATCH(B21,{"Sun","Moon","Mars","Mercury","Jupiter","Venus","Saturn","Rahu","Ketu"},0))),"—")</f>
        <v>H117.989 · Friendly sign</v>
      </c>
      <c r="I21" s="554" t="str">
        <f ca="1">IFERROR(IF(B21="—","—",_xludf.switch(B21,"Sun","Authority · vitality · father · government","Moon","Mind · emotions · public life · mother","Mars","Action · property · siblings · courage","Mercury","Business · communication · intellect","Jupiter","Wisdom · children · dharma · expansion","Venus","Love · luxury · arts · partnerships","Saturn","Karma · discipline · delays · service","Rahu","Ambition · foreign · technology · obsession","Ketu","Spirituality · detachment · past karma","—")),"—")</f>
        <v>—</v>
      </c>
    </row>
    <row r="22" spans="1:9" ht="19.5" customHeight="1" x14ac:dyDescent="0.2">
      <c r="A22" s="627">
        <v>9</v>
      </c>
      <c r="B22" s="578" t="str">
        <f ca="1">IFERROR(INDEX({"Ketu","Venus","Sun","Moon","Mars","Rahu","Jupiter","Saturn","Mercury"},MOD(MATCH($B$6,{"Ketu","Venus","Sun","Moon","Mars","Rahu","Jupiter","Saturn","Mercury"},0)+8-1,9)+1),"—")</f>
        <v>Moon</v>
      </c>
      <c r="C22" s="943">
        <f ca="1">IFERROR(INDEX({7,20,6,10,7,18,16,19,17},MOD(MATCH($B$6,{"Ketu","Venus","Sun","Moon","Mars","Rahu","Jupiter","Saturn","Mercury"},0)+8-1,9)+1),0)</f>
        <v>10</v>
      </c>
      <c r="D22" s="957">
        <f t="shared" ca="1" si="3"/>
        <v>46019.067500000005</v>
      </c>
      <c r="E22" s="957">
        <f t="shared" ca="1" si="0"/>
        <v>46029.067500000005</v>
      </c>
      <c r="F22" s="915" t="str">
        <f t="shared" ca="1" si="1"/>
        <v>·</v>
      </c>
      <c r="G22" s="943" t="str">
        <f t="shared" ca="1" si="2"/>
        <v>—</v>
      </c>
      <c r="H22" s="549" t="str">
        <f ca="1">IFERROR(IF(B22="—","—","H"&amp;INDEX(CALC_PlanetPositions!$D$7:$D$15,MATCH(B22,{"Sun","Moon","Mars","Mercury","Jupiter","Venus","Saturn","Rahu","Ketu"},0))&amp;" · "&amp;INDEX(CALC_PlanetPositions!$K$7:$K$15,MATCH(B22,{"Sun","Moon","Mars","Mercury","Jupiter","Venus","Saturn","Rahu","Ketu"},0))),"—")</f>
        <v>H93.9835 · Own sign</v>
      </c>
      <c r="I22" s="550" t="str">
        <f ca="1">IFERROR(IF(B22="—","—",_xludf.switch(B22,"Sun","Authority · vitality · father · government","Moon","Mind · emotions · public life · mother","Mars","Action · property · siblings · courage","Mercury","Business · communication · intellect","Jupiter","Wisdom · children · dharma · expansion","Venus","Love · luxury · arts · partnerships","Saturn","Karma · discipline · delays · service","Rahu","Ambition · foreign · technology · obsession","Ketu","Spirituality · detachment · past karma","—")),"—")</f>
        <v>—</v>
      </c>
    </row>
    <row r="25" spans="1:9" ht="18" customHeight="1" x14ac:dyDescent="0.2">
      <c r="A25" s="1524" t="s">
        <v>4238</v>
      </c>
      <c r="B25" s="1524"/>
      <c r="C25" s="1524"/>
      <c r="D25" s="1524"/>
      <c r="E25" s="1524"/>
      <c r="F25" s="1524"/>
      <c r="G25" s="1524"/>
      <c r="H25" s="1524"/>
      <c r="I25" s="1524"/>
    </row>
    <row r="26" spans="1:9" ht="15.75" customHeight="1" x14ac:dyDescent="0.2">
      <c r="A26" s="882" t="s">
        <v>4145</v>
      </c>
      <c r="B26" s="882" t="s">
        <v>4146</v>
      </c>
      <c r="C26" s="882"/>
      <c r="D26" s="882"/>
      <c r="E26" s="882"/>
      <c r="F26" s="882"/>
      <c r="G26" s="882"/>
      <c r="H26" s="882"/>
      <c r="I26" s="882"/>
    </row>
    <row r="27" spans="1:9" ht="18" customHeight="1" x14ac:dyDescent="0.2">
      <c r="A27" s="909" t="s">
        <v>4239</v>
      </c>
      <c r="B27" s="910" t="str">
        <f ca="1">IFERROR(INDEX(B14:B22,MATCH("▶ ACTIVE",F14:F22,0)),"← Enter Dasha dates first")</f>
        <v>← Enter Dasha dates first</v>
      </c>
      <c r="C27" s="904" t="s">
        <v>4240</v>
      </c>
    </row>
    <row r="28" spans="1:9" ht="18" customHeight="1" x14ac:dyDescent="0.2">
      <c r="A28" s="906" t="s">
        <v>4241</v>
      </c>
      <c r="B28" s="908" t="str">
        <f ca="1">IFERROR(INDEX(E14:E22,MATCH("▶ ACTIVE",F14:F22,0)),"—")</f>
        <v>—</v>
      </c>
      <c r="C28" s="907" t="s">
        <v>4242</v>
      </c>
    </row>
    <row r="29" spans="1:9" ht="18" customHeight="1" x14ac:dyDescent="0.2">
      <c r="A29" s="909" t="s">
        <v>4243</v>
      </c>
      <c r="B29" s="910" t="str">
        <f ca="1">IFERROR(INDEX(G14:G22,MATCH("▶ ACTIVE",F14:F22,0)),"—")</f>
        <v>—</v>
      </c>
      <c r="C29" s="904" t="s">
        <v>4244</v>
      </c>
    </row>
    <row r="30" spans="1:9" ht="18" customHeight="1" x14ac:dyDescent="0.2">
      <c r="A30" s="906" t="s">
        <v>4245</v>
      </c>
      <c r="B30" s="908" t="str">
        <f ca="1">IFERROR(INDEX(H14:H22,MATCH("▶ ACTIVE",F14:F22,0)),"—")</f>
        <v>—</v>
      </c>
      <c r="C30" s="907" t="s">
        <v>4246</v>
      </c>
    </row>
    <row r="31" spans="1:9" ht="18" customHeight="1" x14ac:dyDescent="0.2">
      <c r="A31" s="909" t="s">
        <v>4247</v>
      </c>
      <c r="B31" s="910" t="str">
        <f ca="1">IFERROR(B6&amp;" Mahadasha · "&amp;INDEX(B14:B22,MATCH("▶ ACTIVE",F14:F22,0))&amp;" Antardasha","—")</f>
        <v>—</v>
      </c>
      <c r="C31" s="904" t="s">
        <v>4248</v>
      </c>
    </row>
  </sheetData>
  <mergeCells count="5">
    <mergeCell ref="A1:I1"/>
    <mergeCell ref="A2:I2"/>
    <mergeCell ref="A4:I4"/>
    <mergeCell ref="A12:I12"/>
    <mergeCell ref="A25:I25"/>
  </mergeCells>
  <pageMargins left="0.75" right="0.75" top="1" bottom="1"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6A1B9A"/>
  </sheetPr>
  <dimension ref="A1:J32"/>
  <sheetViews>
    <sheetView zoomScaleNormal="100" workbookViewId="0"/>
  </sheetViews>
  <sheetFormatPr defaultColWidth="8.609375" defaultRowHeight="15" x14ac:dyDescent="0.2"/>
  <cols>
    <col min="1" max="1" width="6.05078125" customWidth="1"/>
    <col min="2" max="2" width="13.98828125" customWidth="1"/>
    <col min="3" max="3" width="9.953125" customWidth="1"/>
    <col min="4" max="5" width="13.98828125" customWidth="1"/>
    <col min="6" max="7" width="9.953125" customWidth="1"/>
    <col min="8" max="8" width="39.953125" customWidth="1"/>
    <col min="9" max="9" width="20.04296875" customWidth="1"/>
    <col min="10" max="10" width="22.05859375" customWidth="1"/>
  </cols>
  <sheetData>
    <row r="1" spans="1:10" ht="21.75" customHeight="1" x14ac:dyDescent="0.2">
      <c r="A1" s="1522" t="s">
        <v>4249</v>
      </c>
      <c r="B1" s="1522"/>
      <c r="C1" s="1522"/>
      <c r="D1" s="1522"/>
      <c r="E1" s="1522"/>
      <c r="F1" s="1522"/>
      <c r="G1" s="1522"/>
      <c r="H1" s="1522"/>
      <c r="J1" s="601" t="s">
        <v>2214</v>
      </c>
    </row>
    <row r="2" spans="1:10" ht="24" customHeight="1" x14ac:dyDescent="0.2">
      <c r="A2" s="1523" t="s">
        <v>4250</v>
      </c>
      <c r="B2" s="1523"/>
      <c r="C2" s="1523"/>
      <c r="D2" s="1523"/>
      <c r="E2" s="1523"/>
      <c r="F2" s="1523"/>
      <c r="G2" s="1523"/>
      <c r="H2" s="1523"/>
    </row>
    <row r="4" spans="1:10" ht="18" customHeight="1" x14ac:dyDescent="0.2">
      <c r="A4" s="1524" t="s">
        <v>4251</v>
      </c>
      <c r="B4" s="1524"/>
      <c r="C4" s="1524"/>
      <c r="D4" s="1524"/>
      <c r="E4" s="1524"/>
      <c r="F4" s="1524"/>
      <c r="G4" s="1524"/>
      <c r="H4" s="1524"/>
    </row>
    <row r="5" spans="1:10" ht="15.75" customHeight="1" x14ac:dyDescent="0.2">
      <c r="A5" s="545" t="s">
        <v>4145</v>
      </c>
      <c r="B5" s="545" t="s">
        <v>4146</v>
      </c>
      <c r="C5" s="545" t="s">
        <v>2280</v>
      </c>
      <c r="D5" s="545" t="s">
        <v>282</v>
      </c>
      <c r="E5" s="545"/>
      <c r="F5" s="545"/>
      <c r="G5" s="545"/>
      <c r="H5" s="545"/>
      <c r="I5" s="882" t="s">
        <v>4252</v>
      </c>
      <c r="J5" s="882" t="s">
        <v>4253</v>
      </c>
    </row>
    <row r="6" spans="1:10" ht="18" customHeight="1" x14ac:dyDescent="0.2">
      <c r="A6" s="909" t="s">
        <v>2679</v>
      </c>
      <c r="B6" s="910" t="str">
        <f>IFERROR(INPUT_Chart!$C$5,"← Enter chart")</f>
        <v>Taurus</v>
      </c>
      <c r="C6" s="904" t="s">
        <v>4254</v>
      </c>
      <c r="D6" s="904" t="s">
        <v>4255</v>
      </c>
    </row>
    <row r="7" spans="1:10" ht="18" customHeight="1" x14ac:dyDescent="0.2">
      <c r="A7" s="906" t="s">
        <v>4256</v>
      </c>
      <c r="B7" s="908">
        <f>IFERROR(MATCH(B6,{"Aries","Taurus","Gemini","Cancer","Leo","Virgo","Libra","Scorpio","Sagittarius","Capricorn","Aquarius","Pisces"},0),0)</f>
        <v>2</v>
      </c>
      <c r="C7" s="907" t="s">
        <v>4257</v>
      </c>
      <c r="D7" s="907" t="s">
        <v>4258</v>
      </c>
    </row>
    <row r="8" spans="1:10" ht="18" customHeight="1" x14ac:dyDescent="0.2">
      <c r="A8" s="909" t="s">
        <v>481</v>
      </c>
      <c r="B8" s="910" t="str">
        <f>IFERROR(IF(MOD(B7,2)=1,"Forward (odd Lagna)","Backward (even Lagna)"),"—")</f>
        <v>Backward (even Lagna)</v>
      </c>
      <c r="C8" s="904" t="s">
        <v>4259</v>
      </c>
      <c r="D8" s="904" t="s">
        <v>4260</v>
      </c>
    </row>
    <row r="9" spans="1:10" ht="18" customHeight="1" x14ac:dyDescent="0.2">
      <c r="A9" s="906" t="s">
        <v>4261</v>
      </c>
      <c r="B9" s="959">
        <f>IFERROR(INPUT_BirthData!$B$5,"← Enter birth data")</f>
        <v>17394</v>
      </c>
      <c r="C9" s="907" t="s">
        <v>4262</v>
      </c>
      <c r="D9" s="907" t="s">
        <v>4263</v>
      </c>
    </row>
    <row r="12" spans="1:10" ht="18" customHeight="1" x14ac:dyDescent="0.2">
      <c r="A12" s="1524" t="s">
        <v>4264</v>
      </c>
      <c r="B12" s="1524"/>
      <c r="C12" s="1524"/>
      <c r="D12" s="1524"/>
      <c r="E12" s="1524"/>
      <c r="F12" s="1524"/>
      <c r="G12" s="1524"/>
      <c r="H12" s="1524"/>
    </row>
    <row r="13" spans="1:10" ht="15.75" customHeight="1" x14ac:dyDescent="0.2">
      <c r="A13" s="545" t="s">
        <v>3718</v>
      </c>
      <c r="B13" s="545" t="s">
        <v>1121</v>
      </c>
      <c r="C13" s="960" t="s">
        <v>4265</v>
      </c>
      <c r="D13" s="545" t="s">
        <v>260</v>
      </c>
      <c r="E13" s="545" t="s">
        <v>261</v>
      </c>
      <c r="F13" s="545" t="s">
        <v>3713</v>
      </c>
      <c r="G13" s="545" t="s">
        <v>3714</v>
      </c>
      <c r="H13" s="545" t="s">
        <v>2334</v>
      </c>
    </row>
    <row r="14" spans="1:10" ht="19.5" customHeight="1" x14ac:dyDescent="0.2">
      <c r="A14" s="627">
        <v>1</v>
      </c>
      <c r="B14" s="578" t="s">
        <v>346</v>
      </c>
      <c r="C14" s="961">
        <f>IFERROR(VLOOKUP(B14,REF_NarayanaDasaRules!$B$6:$G$17,6,0),0)</f>
        <v>4</v>
      </c>
      <c r="D14" s="957">
        <f>IFERROR($B$9,"—")</f>
        <v>17394</v>
      </c>
      <c r="E14" s="957">
        <f t="shared" ref="E14:E25" si="0">IFERROR(D14+C14*365.25,"—")</f>
        <v>18855</v>
      </c>
      <c r="F14" s="915" t="str">
        <f t="shared" ref="F14:F25" ca="1" si="1">IFERROR(IF(AND(TODAY()&gt;=D14,TODAY()&lt;E14),"▶ ACTIVE","·"),"·")</f>
        <v>·</v>
      </c>
      <c r="G14" s="943" t="str">
        <f t="shared" ref="G14:G25" ca="1" si="2">IFERROR(IF(F14="▶ ACTIVE",ROUND((E14-TODAY())/365.25,2),"—"),"—")</f>
        <v>—</v>
      </c>
      <c r="H14" s="550" t="str">
        <f ca="1">IFERROR(_xludf.switch(B14,"Aries","Self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14" s="915" t="str">
        <f>IFERROR(IF(OR(INDEX(CALC_PlanetPositions!$K$7:$K$15,MATCH(INDEX(REF_Zodiac!$D$7:$O$7,MATCH(B14,REF_Zodiac!$D$3:$O$3,0)),{"Sun","Moon","Mars","Mercury","Jupiter","Venus","Saturn","Rahu","Ketu"},0))="Exaltation",INDEX(CALC_PlanetPositions!$K$7:$K$15,MATCH(INDEX(REF_Zodiac!$D$7:$O$7,MATCH(B14,REF_Zodiac!$D$3:$O$3,0)),{"Sun","Moon","Mars","Mercury","Jupiter","Venus","Saturn","Rahu","Ketu"},0))="Deep exalt"),"↺ REVERSED","—"),"—")</f>
        <v>—</v>
      </c>
      <c r="J14" s="610" t="str">
        <f t="shared" ref="J14:J25" si="3">IFERROR(IF(I14="↺ REVERSED",IF($B$8="Forward (odd Lagna)","Backward (reversal)","Forward (reversal)"),$B$8),"—")</f>
        <v>Backward (even Lagna)</v>
      </c>
    </row>
    <row r="15" spans="1:10" ht="19.5" customHeight="1" x14ac:dyDescent="0.2">
      <c r="A15" s="632">
        <v>2</v>
      </c>
      <c r="B15" s="580" t="s">
        <v>345</v>
      </c>
      <c r="C15" s="962">
        <f>IFERROR(VLOOKUP(B15,REF_NarayanaDasaRules!$B$6:$G$17,6,0),0)</f>
        <v>6</v>
      </c>
      <c r="D15" s="958">
        <f t="shared" ref="D15:D25" si="4">IFERROR(E14,"—")</f>
        <v>18855</v>
      </c>
      <c r="E15" s="958">
        <f t="shared" si="0"/>
        <v>21046.5</v>
      </c>
      <c r="F15" s="919" t="str">
        <f t="shared" ca="1" si="1"/>
        <v>·</v>
      </c>
      <c r="G15" s="946" t="str">
        <f t="shared" ca="1" si="2"/>
        <v>—</v>
      </c>
      <c r="H15" s="554" t="str">
        <f ca="1">IFERROR(_xludf.switch(B15,"Aries","Self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15" s="919" t="str">
        <f>IFERROR(IF(OR(INDEX(CALC_PlanetPositions!$K$7:$K$15,MATCH(INDEX(REF_Zodiac!$D$7:$O$7,MATCH(B15,REF_Zodiac!$D$3:$O$3,0)),{"Sun","Moon","Mars","Mercury","Jupiter","Venus","Saturn","Rahu","Ketu"},0))="Exaltation",INDEX(CALC_PlanetPositions!$K$7:$K$15,MATCH(INDEX(REF_Zodiac!$D$7:$O$7,MATCH(B15,REF_Zodiac!$D$3:$O$3,0)),{"Sun","Moon","Mars","Mercury","Jupiter","Venus","Saturn","Rahu","Ketu"},0))="Deep exalt"),"↺ REVERSED","—"),"—")</f>
        <v>—</v>
      </c>
      <c r="J15" s="612" t="str">
        <f t="shared" si="3"/>
        <v>Backward (even Lagna)</v>
      </c>
    </row>
    <row r="16" spans="1:10" ht="19.5" customHeight="1" x14ac:dyDescent="0.2">
      <c r="A16" s="627">
        <v>3</v>
      </c>
      <c r="B16" s="578" t="s">
        <v>323</v>
      </c>
      <c r="C16" s="961">
        <f>IFERROR(VLOOKUP(B16,REF_NarayanaDasaRules!$B$6:$G$17,6,0),0)</f>
        <v>3</v>
      </c>
      <c r="D16" s="957">
        <f t="shared" si="4"/>
        <v>21046.5</v>
      </c>
      <c r="E16" s="957">
        <f t="shared" si="0"/>
        <v>22142.25</v>
      </c>
      <c r="F16" s="915" t="str">
        <f t="shared" ca="1" si="1"/>
        <v>·</v>
      </c>
      <c r="G16" s="943" t="str">
        <f t="shared" ca="1" si="2"/>
        <v>—</v>
      </c>
      <c r="H16" s="550" t="str">
        <f ca="1">IFERROR(_xludf.switch(B16,"Aries","Self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16" s="915" t="str">
        <f>IFERROR(IF(OR(INDEX(CALC_PlanetPositions!$K$7:$K$15,MATCH(INDEX(REF_Zodiac!$D$7:$O$7,MATCH(B16,REF_Zodiac!$D$3:$O$3,0)),{"Sun","Moon","Mars","Mercury","Jupiter","Venus","Saturn","Rahu","Ketu"},0))="Exaltation",INDEX(CALC_PlanetPositions!$K$7:$K$15,MATCH(INDEX(REF_Zodiac!$D$7:$O$7,MATCH(B16,REF_Zodiac!$D$3:$O$3,0)),{"Sun","Moon","Mars","Mercury","Jupiter","Venus","Saturn","Rahu","Ketu"},0))="Deep exalt"),"↺ REVERSED","—"),"—")</f>
        <v>—</v>
      </c>
      <c r="J16" s="610" t="str">
        <f t="shared" si="3"/>
        <v>Backward (even Lagna)</v>
      </c>
    </row>
    <row r="17" spans="1:10" ht="19.5" customHeight="1" x14ac:dyDescent="0.2">
      <c r="A17" s="632">
        <v>4</v>
      </c>
      <c r="B17" s="580" t="s">
        <v>325</v>
      </c>
      <c r="C17" s="962">
        <f>IFERROR(VLOOKUP(B17,REF_NarayanaDasaRules!$B$6:$G$17,6,0),0)</f>
        <v>12</v>
      </c>
      <c r="D17" s="958">
        <f t="shared" si="4"/>
        <v>22142.25</v>
      </c>
      <c r="E17" s="958">
        <f t="shared" si="0"/>
        <v>26525.25</v>
      </c>
      <c r="F17" s="919" t="str">
        <f t="shared" ca="1" si="1"/>
        <v>·</v>
      </c>
      <c r="G17" s="946" t="str">
        <f t="shared" ca="1" si="2"/>
        <v>—</v>
      </c>
      <c r="H17" s="554" t="str">
        <f ca="1">IFERROR(_xludf.switch(B17,"Aries","Self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17" s="919" t="str">
        <f>IFERROR(IF(OR(INDEX(CALC_PlanetPositions!$K$7:$K$15,MATCH(INDEX(REF_Zodiac!$D$7:$O$7,MATCH(B17,REF_Zodiac!$D$3:$O$3,0)),{"Sun","Moon","Mars","Mercury","Jupiter","Venus","Saturn","Rahu","Ketu"},0))="Exaltation",INDEX(CALC_PlanetPositions!$K$7:$K$15,MATCH(INDEX(REF_Zodiac!$D$7:$O$7,MATCH(B17,REF_Zodiac!$D$3:$O$3,0)),{"Sun","Moon","Mars","Mercury","Jupiter","Venus","Saturn","Rahu","Ketu"},0))="Deep exalt"),"↺ REVERSED","—"),"—")</f>
        <v>—</v>
      </c>
      <c r="J17" s="612" t="str">
        <f t="shared" si="3"/>
        <v>Backward (even Lagna)</v>
      </c>
    </row>
    <row r="18" spans="1:10" ht="19.5" customHeight="1" x14ac:dyDescent="0.2">
      <c r="A18" s="627">
        <v>5</v>
      </c>
      <c r="B18" s="578" t="s">
        <v>352</v>
      </c>
      <c r="C18" s="961">
        <f>IFERROR(VLOOKUP(B18,REF_NarayanaDasaRules!$B$6:$G$17,6,0),0)</f>
        <v>7</v>
      </c>
      <c r="D18" s="957">
        <f t="shared" si="4"/>
        <v>26525.25</v>
      </c>
      <c r="E18" s="957">
        <f t="shared" si="0"/>
        <v>29082</v>
      </c>
      <c r="F18" s="915" t="str">
        <f t="shared" ca="1" si="1"/>
        <v>·</v>
      </c>
      <c r="G18" s="943" t="str">
        <f t="shared" ca="1" si="2"/>
        <v>—</v>
      </c>
      <c r="H18" s="550" t="str">
        <f ca="1">IFERROR(_xludf.switch(B18,"Aries","Self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18" s="915" t="str">
        <f>IFERROR(IF(OR(INDEX(CALC_PlanetPositions!$K$7:$K$15,MATCH(INDEX(REF_Zodiac!$D$7:$O$7,MATCH(B18,REF_Zodiac!$D$3:$O$3,0)),{"Sun","Moon","Mars","Mercury","Jupiter","Venus","Saturn","Rahu","Ketu"},0))="Exaltation",INDEX(CALC_PlanetPositions!$K$7:$K$15,MATCH(INDEX(REF_Zodiac!$D$7:$O$7,MATCH(B18,REF_Zodiac!$D$3:$O$3,0)),{"Sun","Moon","Mars","Mercury","Jupiter","Venus","Saturn","Rahu","Ketu"},0))="Deep exalt"),"↺ REVERSED","—"),"—")</f>
        <v>—</v>
      </c>
      <c r="J18" s="610" t="str">
        <f t="shared" si="3"/>
        <v>Backward (even Lagna)</v>
      </c>
    </row>
    <row r="19" spans="1:10" ht="19.5" customHeight="1" x14ac:dyDescent="0.2">
      <c r="A19" s="632">
        <v>6</v>
      </c>
      <c r="B19" s="580" t="s">
        <v>351</v>
      </c>
      <c r="C19" s="962">
        <f>IFERROR(VLOOKUP(B19,REF_NarayanaDasaRules!$B$6:$G$17,6,0),0)</f>
        <v>5</v>
      </c>
      <c r="D19" s="958">
        <f t="shared" si="4"/>
        <v>29082</v>
      </c>
      <c r="E19" s="958">
        <f t="shared" si="0"/>
        <v>30908.25</v>
      </c>
      <c r="F19" s="919" t="str">
        <f t="shared" ca="1" si="1"/>
        <v>·</v>
      </c>
      <c r="G19" s="946" t="str">
        <f t="shared" ca="1" si="2"/>
        <v>—</v>
      </c>
      <c r="H19" s="554" t="str">
        <f ca="1">IFERROR(_xludf.switch(B19,"Aries","Self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19" s="919" t="str">
        <f>IFERROR(IF(OR(INDEX(CALC_PlanetPositions!$K$7:$K$15,MATCH(INDEX(REF_Zodiac!$D$7:$O$7,MATCH(B19,REF_Zodiac!$D$3:$O$3,0)),{"Sun","Moon","Mars","Mercury","Jupiter","Venus","Saturn","Rahu","Ketu"},0))="Exaltation",INDEX(CALC_PlanetPositions!$K$7:$K$15,MATCH(INDEX(REF_Zodiac!$D$7:$O$7,MATCH(B19,REF_Zodiac!$D$3:$O$3,0)),{"Sun","Moon","Mars","Mercury","Jupiter","Venus","Saturn","Rahu","Ketu"},0))="Deep exalt"),"↺ REVERSED","—"),"—")</f>
        <v>—</v>
      </c>
      <c r="J19" s="612" t="str">
        <f t="shared" si="3"/>
        <v>Backward (even Lagna)</v>
      </c>
    </row>
    <row r="20" spans="1:10" ht="19.5" customHeight="1" x14ac:dyDescent="0.2">
      <c r="A20" s="627">
        <v>7</v>
      </c>
      <c r="B20" s="578" t="s">
        <v>350</v>
      </c>
      <c r="C20" s="961">
        <f>IFERROR(VLOOKUP(B20,REF_NarayanaDasaRules!$B$6:$G$17,6,0),0)</f>
        <v>11</v>
      </c>
      <c r="D20" s="957">
        <f t="shared" si="4"/>
        <v>30908.25</v>
      </c>
      <c r="E20" s="957">
        <f t="shared" si="0"/>
        <v>34926</v>
      </c>
      <c r="F20" s="915" t="str">
        <f t="shared" ca="1" si="1"/>
        <v>·</v>
      </c>
      <c r="G20" s="943" t="str">
        <f t="shared" ca="1" si="2"/>
        <v>—</v>
      </c>
      <c r="H20" s="550" t="str">
        <f ca="1">IFERROR(_xludf.switch(B20,"Aries","Self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20" s="915" t="str">
        <f>IFERROR(IF(OR(INDEX(CALC_PlanetPositions!$K$7:$K$15,MATCH(INDEX(REF_Zodiac!$D$7:$O$7,MATCH(B20,REF_Zodiac!$D$3:$O$3,0)),{"Sun","Moon","Mars","Mercury","Jupiter","Venus","Saturn","Rahu","Ketu"},0))="Exaltation",INDEX(CALC_PlanetPositions!$K$7:$K$15,MATCH(INDEX(REF_Zodiac!$D$7:$O$7,MATCH(B20,REF_Zodiac!$D$3:$O$3,0)),{"Sun","Moon","Mars","Mercury","Jupiter","Venus","Saturn","Rahu","Ketu"},0))="Deep exalt"),"↺ REVERSED","—"),"—")</f>
        <v>—</v>
      </c>
      <c r="J20" s="610" t="str">
        <f t="shared" si="3"/>
        <v>Backward (even Lagna)</v>
      </c>
    </row>
    <row r="21" spans="1:10" ht="19.5" customHeight="1" x14ac:dyDescent="0.2">
      <c r="A21" s="632">
        <v>8</v>
      </c>
      <c r="B21" s="580" t="s">
        <v>349</v>
      </c>
      <c r="C21" s="962">
        <f>IFERROR(VLOOKUP(B21,REF_NarayanaDasaRules!$B$6:$G$17,6,0),0)</f>
        <v>1</v>
      </c>
      <c r="D21" s="958">
        <f t="shared" si="4"/>
        <v>34926</v>
      </c>
      <c r="E21" s="958">
        <f t="shared" si="0"/>
        <v>35291.25</v>
      </c>
      <c r="F21" s="919" t="str">
        <f t="shared" ca="1" si="1"/>
        <v>·</v>
      </c>
      <c r="G21" s="946" t="str">
        <f t="shared" ca="1" si="2"/>
        <v>—</v>
      </c>
      <c r="H21" s="554" t="str">
        <f ca="1">IFERROR(_xludf.switch(B21,"Aries","Self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21" s="919" t="str">
        <f>IFERROR(IF(OR(INDEX(CALC_PlanetPositions!$K$7:$K$15,MATCH(INDEX(REF_Zodiac!$D$7:$O$7,MATCH(B21,REF_Zodiac!$D$3:$O$3,0)),{"Sun","Moon","Mars","Mercury","Jupiter","Venus","Saturn","Rahu","Ketu"},0))="Exaltation",INDEX(CALC_PlanetPositions!$K$7:$K$15,MATCH(INDEX(REF_Zodiac!$D$7:$O$7,MATCH(B21,REF_Zodiac!$D$3:$O$3,0)),{"Sun","Moon","Mars","Mercury","Jupiter","Venus","Saturn","Rahu","Ketu"},0))="Deep exalt"),"↺ REVERSED","—"),"—")</f>
        <v>—</v>
      </c>
      <c r="J21" s="612" t="str">
        <f t="shared" si="3"/>
        <v>Backward (even Lagna)</v>
      </c>
    </row>
    <row r="22" spans="1:10" ht="19.5" customHeight="1" x14ac:dyDescent="0.2">
      <c r="A22" s="627">
        <v>9</v>
      </c>
      <c r="B22" s="578" t="s">
        <v>348</v>
      </c>
      <c r="C22" s="961">
        <f>IFERROR(VLOOKUP(B22,REF_NarayanaDasaRules!$B$6:$G$17,6,0),0)</f>
        <v>8</v>
      </c>
      <c r="D22" s="957">
        <f t="shared" si="4"/>
        <v>35291.25</v>
      </c>
      <c r="E22" s="957">
        <f t="shared" si="0"/>
        <v>38213.25</v>
      </c>
      <c r="F22" s="915" t="str">
        <f t="shared" ca="1" si="1"/>
        <v>·</v>
      </c>
      <c r="G22" s="943" t="str">
        <f t="shared" ca="1" si="2"/>
        <v>—</v>
      </c>
      <c r="H22" s="550" t="str">
        <f ca="1">IFERROR(_xludf.switch(B22,"Aries","Self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22" s="915" t="str">
        <f>IFERROR(IF(OR(INDEX(CALC_PlanetPositions!$K$7:$K$15,MATCH(INDEX(REF_Zodiac!$D$7:$O$7,MATCH(B22,REF_Zodiac!$D$3:$O$3,0)),{"Sun","Moon","Mars","Mercury","Jupiter","Venus","Saturn","Rahu","Ketu"},0))="Exaltation",INDEX(CALC_PlanetPositions!$K$7:$K$15,MATCH(INDEX(REF_Zodiac!$D$7:$O$7,MATCH(B22,REF_Zodiac!$D$3:$O$3,0)),{"Sun","Moon","Mars","Mercury","Jupiter","Venus","Saturn","Rahu","Ketu"},0))="Deep exalt"),"↺ REVERSED","—"),"—")</f>
        <v>—</v>
      </c>
      <c r="J22" s="610" t="str">
        <f t="shared" si="3"/>
        <v>Backward (even Lagna)</v>
      </c>
    </row>
    <row r="23" spans="1:10" ht="19.5" customHeight="1" x14ac:dyDescent="0.2">
      <c r="A23" s="632">
        <v>10</v>
      </c>
      <c r="B23" s="580" t="s">
        <v>334</v>
      </c>
      <c r="C23" s="962">
        <f>IFERROR(VLOOKUP(B23,REF_NarayanaDasaRules!$B$6:$G$17,6,0),0)</f>
        <v>9</v>
      </c>
      <c r="D23" s="958">
        <f t="shared" si="4"/>
        <v>38213.25</v>
      </c>
      <c r="E23" s="958">
        <f t="shared" si="0"/>
        <v>41500.5</v>
      </c>
      <c r="F23" s="919" t="str">
        <f t="shared" ca="1" si="1"/>
        <v>·</v>
      </c>
      <c r="G23" s="946" t="str">
        <f t="shared" ca="1" si="2"/>
        <v>—</v>
      </c>
      <c r="H23" s="554" t="str">
        <f ca="1">IFERROR(_xludf.switch(B23,"Aries","Self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23" s="919" t="str">
        <f>IFERROR(IF(OR(INDEX(CALC_PlanetPositions!$K$7:$K$15,MATCH(INDEX(REF_Zodiac!$D$7:$O$7,MATCH(B23,REF_Zodiac!$D$3:$O$3,0)),{"Sun","Moon","Mars","Mercury","Jupiter","Venus","Saturn","Rahu","Ketu"},0))="Exaltation",INDEX(CALC_PlanetPositions!$K$7:$K$15,MATCH(INDEX(REF_Zodiac!$D$7:$O$7,MATCH(B23,REF_Zodiac!$D$3:$O$3,0)),{"Sun","Moon","Mars","Mercury","Jupiter","Venus","Saturn","Rahu","Ketu"},0))="Deep exalt"),"↺ REVERSED","—"),"—")</f>
        <v>—</v>
      </c>
      <c r="J23" s="612" t="str">
        <f t="shared" si="3"/>
        <v>Backward (even Lagna)</v>
      </c>
    </row>
    <row r="24" spans="1:10" ht="19.5" customHeight="1" x14ac:dyDescent="0.2">
      <c r="A24" s="627">
        <v>11</v>
      </c>
      <c r="B24" s="578" t="s">
        <v>347</v>
      </c>
      <c r="C24" s="961">
        <f>IFERROR(VLOOKUP(B24,REF_NarayanaDasaRules!$B$6:$G$17,6,0),0)</f>
        <v>10</v>
      </c>
      <c r="D24" s="957">
        <f t="shared" si="4"/>
        <v>41500.5</v>
      </c>
      <c r="E24" s="957">
        <f t="shared" si="0"/>
        <v>45153</v>
      </c>
      <c r="F24" s="915" t="str">
        <f t="shared" ca="1" si="1"/>
        <v>·</v>
      </c>
      <c r="G24" s="943" t="str">
        <f t="shared" ca="1" si="2"/>
        <v>—</v>
      </c>
      <c r="H24" s="550" t="str">
        <f ca="1">IFERROR(_xludf.switch(B24,"Aries","Self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24" s="915" t="str">
        <f>IFERROR(IF(OR(INDEX(CALC_PlanetPositions!$K$7:$K$15,MATCH(INDEX(REF_Zodiac!$D$7:$O$7,MATCH(B24,REF_Zodiac!$D$3:$O$3,0)),{"Sun","Moon","Mars","Mercury","Jupiter","Venus","Saturn","Rahu","Ketu"},0))="Exaltation",INDEX(CALC_PlanetPositions!$K$7:$K$15,MATCH(INDEX(REF_Zodiac!$D$7:$O$7,MATCH(B24,REF_Zodiac!$D$3:$O$3,0)),{"Sun","Moon","Mars","Mercury","Jupiter","Venus","Saturn","Rahu","Ketu"},0))="Deep exalt"),"↺ REVERSED","—"),"—")</f>
        <v>—</v>
      </c>
      <c r="J24" s="610" t="str">
        <f t="shared" si="3"/>
        <v>Backward (even Lagna)</v>
      </c>
    </row>
    <row r="25" spans="1:10" ht="19.5" customHeight="1" x14ac:dyDescent="0.2">
      <c r="A25" s="632">
        <v>12</v>
      </c>
      <c r="B25" s="580" t="s">
        <v>329</v>
      </c>
      <c r="C25" s="962">
        <f>IFERROR(VLOOKUP(B25,REF_NarayanaDasaRules!$B$6:$G$17,6,0),0)</f>
        <v>2</v>
      </c>
      <c r="D25" s="958">
        <f t="shared" si="4"/>
        <v>45153</v>
      </c>
      <c r="E25" s="958">
        <f t="shared" si="0"/>
        <v>45883.5</v>
      </c>
      <c r="F25" s="919" t="str">
        <f t="shared" ca="1" si="1"/>
        <v>·</v>
      </c>
      <c r="G25" s="946" t="str">
        <f t="shared" ca="1" si="2"/>
        <v>—</v>
      </c>
      <c r="H25" s="554" t="str">
        <f ca="1">IFERROR(_xludf.switch(B25,"Aries","Self · identity · body · initiative · Dharma trikon","Taurus","Wealth · resources · family · stability · Artha","Gemini","Siblings · communication · courage · short travel · Kama","Cancer","Home · mother · emotions · property · Moksha","Leo","Authority · father · vitality · government · Dharma","Virgo","Health · service · debt · conflicts · Artha","Libra","Marriage · partnerships · legal · balance · Kama","Scorpio","Transformation · secrets · longevity · inheritance · Moksha","Sagittarius","Fortune · dharma · higher learning · Dharma trikon","Capricorn","Career · status · discipline · government · Artha","Aquarius","Gains · network · aspirations · elder siblings · Kama","Pisces","Liberation · expenses · foreign · spirituality · Moksha","—"),"—")</f>
        <v>—</v>
      </c>
      <c r="I25" s="919" t="str">
        <f>IFERROR(IF(OR(INDEX(CALC_PlanetPositions!$K$7:$K$15,MATCH(INDEX(REF_Zodiac!$D$7:$O$7,MATCH(B25,REF_Zodiac!$D$3:$O$3,0)),{"Sun","Moon","Mars","Mercury","Jupiter","Venus","Saturn","Rahu","Ketu"},0))="Exaltation",INDEX(CALC_PlanetPositions!$K$7:$K$15,MATCH(INDEX(REF_Zodiac!$D$7:$O$7,MATCH(B25,REF_Zodiac!$D$3:$O$3,0)),{"Sun","Moon","Mars","Mercury","Jupiter","Venus","Saturn","Rahu","Ketu"},0))="Deep exalt"),"↺ REVERSED","—"),"—")</f>
        <v>—</v>
      </c>
      <c r="J25" s="612" t="str">
        <f t="shared" si="3"/>
        <v>Backward (even Lagna)</v>
      </c>
    </row>
    <row r="28" spans="1:10" ht="72" customHeight="1" x14ac:dyDescent="0.2">
      <c r="A28" s="1577" t="s">
        <v>4266</v>
      </c>
      <c r="B28" s="1577"/>
      <c r="C28" s="1577"/>
      <c r="D28" s="1577"/>
      <c r="E28" s="1577"/>
      <c r="F28" s="1577"/>
      <c r="G28" s="1577"/>
      <c r="H28" s="1577"/>
      <c r="I28" s="1577"/>
      <c r="J28" s="1577"/>
    </row>
    <row r="29" spans="1:10" ht="15.75" customHeight="1" x14ac:dyDescent="0.2">
      <c r="A29" s="882" t="s">
        <v>4145</v>
      </c>
      <c r="B29" s="882" t="s">
        <v>4146</v>
      </c>
      <c r="C29" s="882" t="s">
        <v>282</v>
      </c>
      <c r="D29" s="882"/>
      <c r="E29" s="882"/>
      <c r="F29" s="882"/>
      <c r="G29" s="882"/>
      <c r="H29" s="882"/>
    </row>
    <row r="30" spans="1:10" ht="18" customHeight="1" x14ac:dyDescent="0.2">
      <c r="A30" s="909" t="s">
        <v>4267</v>
      </c>
      <c r="B30" s="910" t="str">
        <f ca="1">IFERROR(INDEX(B14:B25,MATCH("▶ ACTIVE",F14:F25,0)),"← Enter birth date first")</f>
        <v>← Enter birth date first</v>
      </c>
      <c r="C30" s="904" t="s">
        <v>4268</v>
      </c>
    </row>
    <row r="31" spans="1:10" ht="18" customHeight="1" x14ac:dyDescent="0.2">
      <c r="A31" s="906" t="s">
        <v>4269</v>
      </c>
      <c r="B31" s="908" t="str">
        <f ca="1">IFERROR(INDEX(E14:E25,MATCH("▶ ACTIVE",F14:F25,0)),"—")</f>
        <v>—</v>
      </c>
      <c r="C31" s="907" t="s">
        <v>4270</v>
      </c>
    </row>
    <row r="32" spans="1:10" ht="18" customHeight="1" x14ac:dyDescent="0.2">
      <c r="A32" s="909" t="s">
        <v>4271</v>
      </c>
      <c r="B32" s="910" t="str">
        <f ca="1">IFERROR(INDEX(REF_Zodiac!$D$7:$O$7,MATCH(B30,REF_Zodiac!$D$3:$O$3,0)),"—")</f>
        <v>—</v>
      </c>
      <c r="C32" s="904" t="s">
        <v>4272</v>
      </c>
    </row>
  </sheetData>
  <mergeCells count="5">
    <mergeCell ref="A1:H1"/>
    <mergeCell ref="A2:H2"/>
    <mergeCell ref="A4:H4"/>
    <mergeCell ref="A12:H12"/>
    <mergeCell ref="A28:J28"/>
  </mergeCells>
  <pageMargins left="0.75" right="0.75" top="1" bottom="1"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6A1B9A"/>
  </sheetPr>
  <dimension ref="A1:M159"/>
  <sheetViews>
    <sheetView zoomScaleNormal="100" workbookViewId="0">
      <pane xSplit="3" ySplit="3" topLeftCell="D4" activePane="bottomRight" state="frozen"/>
      <selection pane="bottomLeft" activeCell="A4" sqref="A4"/>
      <selection pane="topRight" activeCell="D1" sqref="D1"/>
      <selection pane="bottomRight"/>
    </sheetView>
  </sheetViews>
  <sheetFormatPr defaultColWidth="8.609375" defaultRowHeight="15" x14ac:dyDescent="0.2"/>
  <cols>
    <col min="1" max="1" width="13.98828125" customWidth="1"/>
    <col min="2" max="2" width="7.93359375" customWidth="1"/>
    <col min="3" max="3" width="20.04296875" customWidth="1"/>
    <col min="4" max="4" width="7.93359375" customWidth="1"/>
    <col min="5" max="5" width="13.98828125" customWidth="1"/>
    <col min="6" max="6" width="16.0078125" customWidth="1"/>
    <col min="7" max="8" width="13.98828125" customWidth="1"/>
    <col min="9" max="9" width="9.953125" customWidth="1"/>
    <col min="10" max="10" width="13.98828125" customWidth="1"/>
    <col min="11" max="11" width="20.04296875" customWidth="1"/>
  </cols>
  <sheetData>
    <row r="1" spans="1:13" ht="21.75" customHeight="1" x14ac:dyDescent="0.2">
      <c r="A1" s="1530" t="s">
        <v>4273</v>
      </c>
      <c r="B1" s="1530"/>
      <c r="C1" s="1530"/>
      <c r="D1" s="1530"/>
      <c r="E1" s="1530"/>
      <c r="F1" s="1530"/>
      <c r="G1" s="1530"/>
      <c r="H1" s="1530"/>
      <c r="I1" s="1530"/>
      <c r="J1" s="1530"/>
      <c r="K1" s="1530"/>
      <c r="L1" s="1530"/>
      <c r="M1" s="641" t="s">
        <v>2214</v>
      </c>
    </row>
    <row r="2" spans="1:13" ht="15.75" customHeight="1" x14ac:dyDescent="0.2">
      <c r="A2" s="1531" t="s">
        <v>4274</v>
      </c>
      <c r="B2" s="1531"/>
      <c r="C2" s="1531"/>
      <c r="D2" s="1531"/>
      <c r="E2" s="1531"/>
      <c r="F2" s="1531"/>
      <c r="G2" s="1531"/>
      <c r="H2" s="1531"/>
      <c r="I2" s="1531"/>
      <c r="J2" s="1531"/>
      <c r="K2" s="1531"/>
      <c r="L2" s="1531"/>
    </row>
    <row r="3" spans="1:13" ht="15" customHeight="1" x14ac:dyDescent="0.2">
      <c r="A3" s="545" t="s">
        <v>4275</v>
      </c>
      <c r="B3" s="545" t="s">
        <v>4276</v>
      </c>
      <c r="C3" s="545" t="s">
        <v>4277</v>
      </c>
      <c r="D3" s="545" t="s">
        <v>4278</v>
      </c>
      <c r="E3" s="545" t="s">
        <v>4279</v>
      </c>
      <c r="F3" s="545" t="s">
        <v>4280</v>
      </c>
      <c r="G3" s="545" t="s">
        <v>260</v>
      </c>
      <c r="H3" s="545" t="s">
        <v>261</v>
      </c>
      <c r="I3" s="545" t="s">
        <v>3713</v>
      </c>
      <c r="J3" s="545" t="s">
        <v>3714</v>
      </c>
      <c r="K3" s="545" t="s">
        <v>2334</v>
      </c>
      <c r="L3" s="545"/>
    </row>
    <row r="4" spans="1:13" ht="15.75" customHeight="1" x14ac:dyDescent="0.2">
      <c r="A4" s="1578" t="str">
        <f>IFERROR("Maha sign "&amp;CALC_NarayanaDasa!$B$14&amp;" — "&amp;CALC_NarayanaDasa!$C$14&amp;" yrs — Sub-period direction: "&amp;CALC_NarayanaDasa!$J$14,"—")</f>
        <v>Maha sign Taurus — 4 yrs — Sub-period direction: Backward (even Lagna)</v>
      </c>
      <c r="B4" s="1578"/>
      <c r="C4" s="1578"/>
      <c r="D4" s="1578"/>
      <c r="E4" s="1578"/>
      <c r="F4" s="1578"/>
      <c r="G4" s="1578"/>
      <c r="H4" s="1578"/>
      <c r="I4" s="1578"/>
      <c r="J4" s="1578"/>
      <c r="K4" s="1578"/>
    </row>
    <row r="5" spans="1:13" ht="15.75" customHeight="1" x14ac:dyDescent="0.2">
      <c r="A5" s="963" t="str">
        <f>CALC_NarayanaDasa!$B$14</f>
        <v>Taurus</v>
      </c>
      <c r="B5" s="963">
        <f>CALC_NarayanaDasa!$C$14</f>
        <v>4</v>
      </c>
      <c r="C5" s="964" t="str">
        <f>CALC_NarayanaDasa!$J$14</f>
        <v>Backward (even Lagna)</v>
      </c>
      <c r="D5" s="965">
        <v>1</v>
      </c>
      <c r="E5" s="966"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(reversal)"),1,-1)+12,12)+1),"—")</f>
        <v>Aries</v>
      </c>
      <c r="F5" s="967">
        <f>IFERROR(ROUND((IFERROR(VLOOKUP(E5,REF_NarayanaDasaRules!$B$6:$G$17,6,0),0))/78*CALC_NarayanaDasa!$C$14,2),"—")</f>
        <v>0.31</v>
      </c>
      <c r="G5" s="968">
        <f>IFERROR(CALC_NarayanaDasa!$D$14,"—")</f>
        <v>17394</v>
      </c>
      <c r="H5" s="968">
        <f t="shared" ref="H5:H16" si="0">IFERROR(G5+F5*365.25,"—")</f>
        <v>17507.227500000001</v>
      </c>
      <c r="I5" s="560" t="str">
        <f t="shared" ref="I5:I16" ca="1" si="1">IFERROR(IF(AND(TODAY()&gt;=G5,TODAY()&lt;H5),"▶ ACTIVE","·"),"·")</f>
        <v>·</v>
      </c>
      <c r="J5" s="969" t="str">
        <f t="shared" ref="J5:J16" ca="1" si="2">IFERROR(IF(I5="▶ ACTIVE",ROUND((H5-TODAY())/365.25,2),"·"),"·")</f>
        <v>·</v>
      </c>
      <c r="K5" s="645" t="str">
        <f ca="1">IFERROR(_xludf.switch(E5,"Aries","Identity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 spans="1:13" ht="15.75" customHeight="1" x14ac:dyDescent="0.2">
      <c r="A6" s="970" t="str">
        <f>CALC_NarayanaDasa!$B$14</f>
        <v>Taurus</v>
      </c>
      <c r="B6" s="970">
        <f>CALC_NarayanaDasa!$C$14</f>
        <v>4</v>
      </c>
      <c r="C6" s="971" t="str">
        <f>CALC_NarayanaDasa!$J$14</f>
        <v>Backward (even Lagna)</v>
      </c>
      <c r="D6" s="972">
        <v>2</v>
      </c>
      <c r="E6" s="973"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(reversal)"),2,-2)+12,12)+1),"—")</f>
        <v>Pisces</v>
      </c>
      <c r="F6" s="974">
        <f>IFERROR(ROUND((IFERROR(VLOOKUP(E6,REF_NarayanaDasaRules!$B$6:$G$17,6,0),0))/78*CALC_NarayanaDasa!$C$14,2),"—")</f>
        <v>0.15</v>
      </c>
      <c r="G6" s="975">
        <f t="shared" ref="G6:G16" si="3">IFERROR(H5,"—")</f>
        <v>17507.227500000001</v>
      </c>
      <c r="H6" s="975">
        <f t="shared" si="0"/>
        <v>17562.014999999999</v>
      </c>
      <c r="I6" s="976" t="str">
        <f t="shared" ca="1" si="1"/>
        <v>·</v>
      </c>
      <c r="J6" s="977" t="str">
        <f t="shared" ca="1" si="2"/>
        <v>·</v>
      </c>
      <c r="K6" s="651" t="str">
        <f ca="1">IFERROR(_xludf.switch(E6,"Aries","Identity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 spans="1:13" ht="15.75" customHeight="1" x14ac:dyDescent="0.2">
      <c r="A7" s="963" t="str">
        <f>CALC_NarayanaDasa!$B$14</f>
        <v>Taurus</v>
      </c>
      <c r="B7" s="963">
        <f>CALC_NarayanaDasa!$C$14</f>
        <v>4</v>
      </c>
      <c r="C7" s="964" t="str">
        <f>CALC_NarayanaDasa!$J$14</f>
        <v>Backward (even Lagna)</v>
      </c>
      <c r="D7" s="965">
        <v>3</v>
      </c>
      <c r="E7" s="966"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(reversal)"),3,-3)+12,12)+1),"—")</f>
        <v>Aquarius</v>
      </c>
      <c r="F7" s="967">
        <f>IFERROR(ROUND((IFERROR(VLOOKUP(E7,REF_NarayanaDasaRules!$B$6:$G$17,6,0),0))/78*CALC_NarayanaDasa!$C$14,2),"—")</f>
        <v>0.62</v>
      </c>
      <c r="G7" s="968">
        <f t="shared" si="3"/>
        <v>17562.014999999999</v>
      </c>
      <c r="H7" s="968">
        <f t="shared" si="0"/>
        <v>17788.47</v>
      </c>
      <c r="I7" s="560" t="str">
        <f t="shared" ca="1" si="1"/>
        <v>·</v>
      </c>
      <c r="J7" s="969" t="str">
        <f t="shared" ca="1" si="2"/>
        <v>·</v>
      </c>
      <c r="K7" s="645" t="str">
        <f ca="1">IFERROR(_xludf.switch(E7,"Aries","Identity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 spans="1:13" ht="15.75" customHeight="1" x14ac:dyDescent="0.2">
      <c r="A8" s="970" t="str">
        <f>CALC_NarayanaDasa!$B$14</f>
        <v>Taurus</v>
      </c>
      <c r="B8" s="970">
        <f>CALC_NarayanaDasa!$C$14</f>
        <v>4</v>
      </c>
      <c r="C8" s="971" t="str">
        <f>CALC_NarayanaDasa!$J$14</f>
        <v>Backward (even Lagna)</v>
      </c>
      <c r="D8" s="972">
        <v>4</v>
      </c>
      <c r="E8" s="973"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(reversal)"),4,-4)+12,12)+1),"—")</f>
        <v>Capricorn</v>
      </c>
      <c r="F8" s="974">
        <f>IFERROR(ROUND((IFERROR(VLOOKUP(E8,REF_NarayanaDasaRules!$B$6:$G$17,6,0),0))/78*CALC_NarayanaDasa!$C$14,2),"—")</f>
        <v>0.36</v>
      </c>
      <c r="G8" s="975">
        <f t="shared" si="3"/>
        <v>17788.47</v>
      </c>
      <c r="H8" s="975">
        <f t="shared" si="0"/>
        <v>17919.960000000003</v>
      </c>
      <c r="I8" s="976" t="str">
        <f t="shared" ca="1" si="1"/>
        <v>·</v>
      </c>
      <c r="J8" s="977" t="str">
        <f t="shared" ca="1" si="2"/>
        <v>·</v>
      </c>
      <c r="K8" s="651" t="str">
        <f ca="1">IFERROR(_xludf.switch(E8,"Aries","Identity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 spans="1:13" ht="15.75" customHeight="1" x14ac:dyDescent="0.2">
      <c r="A9" s="963" t="str">
        <f>CALC_NarayanaDasa!$B$14</f>
        <v>Taurus</v>
      </c>
      <c r="B9" s="963">
        <f>CALC_NarayanaDasa!$C$14</f>
        <v>4</v>
      </c>
      <c r="C9" s="964" t="str">
        <f>CALC_NarayanaDasa!$J$14</f>
        <v>Backward (even Lagna)</v>
      </c>
      <c r="D9" s="965">
        <v>5</v>
      </c>
      <c r="E9" s="966"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(reversal)"),5,-5)+12,12)+1),"—")</f>
        <v>Sagittarius</v>
      </c>
      <c r="F9" s="967">
        <f>IFERROR(ROUND((IFERROR(VLOOKUP(E9,REF_NarayanaDasaRules!$B$6:$G$17,6,0),0))/78*CALC_NarayanaDasa!$C$14,2),"—")</f>
        <v>0.26</v>
      </c>
      <c r="G9" s="968">
        <f t="shared" si="3"/>
        <v>17919.960000000003</v>
      </c>
      <c r="H9" s="968">
        <f t="shared" si="0"/>
        <v>18014.925000000003</v>
      </c>
      <c r="I9" s="560" t="str">
        <f t="shared" ca="1" si="1"/>
        <v>·</v>
      </c>
      <c r="J9" s="969" t="str">
        <f t="shared" ca="1" si="2"/>
        <v>·</v>
      </c>
      <c r="K9" s="645" t="str">
        <f ca="1">IFERROR(_xludf.switch(E9,"Aries","Identity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 spans="1:13" ht="15.75" customHeight="1" x14ac:dyDescent="0.2">
      <c r="A10" s="970" t="str">
        <f>CALC_NarayanaDasa!$B$14</f>
        <v>Taurus</v>
      </c>
      <c r="B10" s="970">
        <f>CALC_NarayanaDasa!$C$14</f>
        <v>4</v>
      </c>
      <c r="C10" s="971" t="str">
        <f>CALC_NarayanaDasa!$J$14</f>
        <v>Backward (even Lagna)</v>
      </c>
      <c r="D10" s="972">
        <v>6</v>
      </c>
      <c r="E10" s="973"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(reversal)"),6,-6)+12,12)+1),"—")</f>
        <v>Scorpio</v>
      </c>
      <c r="F10" s="974">
        <f>IFERROR(ROUND((IFERROR(VLOOKUP(E10,REF_NarayanaDasaRules!$B$6:$G$17,6,0),0))/78*CALC_NarayanaDasa!$C$14,2),"—")</f>
        <v>0.56000000000000005</v>
      </c>
      <c r="G10" s="975">
        <f t="shared" si="3"/>
        <v>18014.925000000003</v>
      </c>
      <c r="H10" s="975">
        <f t="shared" si="0"/>
        <v>18219.465000000004</v>
      </c>
      <c r="I10" s="976" t="str">
        <f t="shared" ca="1" si="1"/>
        <v>·</v>
      </c>
      <c r="J10" s="977" t="str">
        <f t="shared" ca="1" si="2"/>
        <v>·</v>
      </c>
      <c r="K10" s="651" t="str">
        <f ca="1">IFERROR(_xludf.switch(E10,"Aries","Identity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 spans="1:13" ht="15.75" customHeight="1" x14ac:dyDescent="0.2">
      <c r="A11" s="963" t="str">
        <f>CALC_NarayanaDasa!$B$14</f>
        <v>Taurus</v>
      </c>
      <c r="B11" s="963">
        <f>CALC_NarayanaDasa!$C$14</f>
        <v>4</v>
      </c>
      <c r="C11" s="964" t="str">
        <f>CALC_NarayanaDasa!$J$14</f>
        <v>Backward (even Lagna)</v>
      </c>
      <c r="D11" s="965">
        <v>7</v>
      </c>
      <c r="E11" s="966"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(reversal)"),7,-7)+12,12)+1),"—")</f>
        <v>Libra</v>
      </c>
      <c r="F11" s="967">
        <f>IFERROR(ROUND((IFERROR(VLOOKUP(E11,REF_NarayanaDasaRules!$B$6:$G$17,6,0),0))/78*CALC_NarayanaDasa!$C$14,2),"—")</f>
        <v>0.05</v>
      </c>
      <c r="G11" s="968">
        <f t="shared" si="3"/>
        <v>18219.465000000004</v>
      </c>
      <c r="H11" s="968">
        <f t="shared" si="0"/>
        <v>18237.727500000005</v>
      </c>
      <c r="I11" s="560" t="str">
        <f t="shared" ca="1" si="1"/>
        <v>·</v>
      </c>
      <c r="J11" s="969" t="str">
        <f t="shared" ca="1" si="2"/>
        <v>·</v>
      </c>
      <c r="K11" s="645" t="str">
        <f ca="1">IFERROR(_xludf.switch(E11,"Aries","Identity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 spans="1:13" ht="15.75" customHeight="1" x14ac:dyDescent="0.2">
      <c r="A12" s="970" t="str">
        <f>CALC_NarayanaDasa!$B$14</f>
        <v>Taurus</v>
      </c>
      <c r="B12" s="970">
        <f>CALC_NarayanaDasa!$C$14</f>
        <v>4</v>
      </c>
      <c r="C12" s="971" t="str">
        <f>CALC_NarayanaDasa!$J$14</f>
        <v>Backward (even Lagna)</v>
      </c>
      <c r="D12" s="972">
        <v>8</v>
      </c>
      <c r="E12" s="973"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(reversal)"),8,-8)+12,12)+1),"—")</f>
        <v>Virgo</v>
      </c>
      <c r="F12" s="974">
        <f>IFERROR(ROUND((IFERROR(VLOOKUP(E12,REF_NarayanaDasaRules!$B$6:$G$17,6,0),0))/78*CALC_NarayanaDasa!$C$14,2),"—")</f>
        <v>0.41</v>
      </c>
      <c r="G12" s="975">
        <f t="shared" si="3"/>
        <v>18237.727500000005</v>
      </c>
      <c r="H12" s="975">
        <f t="shared" si="0"/>
        <v>18387.480000000003</v>
      </c>
      <c r="I12" s="976" t="str">
        <f t="shared" ca="1" si="1"/>
        <v>·</v>
      </c>
      <c r="J12" s="977" t="str">
        <f t="shared" ca="1" si="2"/>
        <v>·</v>
      </c>
      <c r="K12" s="651" t="str">
        <f ca="1">IFERROR(_xludf.switch(E12,"Aries","Identity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 spans="1:13" ht="15.75" customHeight="1" x14ac:dyDescent="0.2">
      <c r="A13" s="963" t="str">
        <f>CALC_NarayanaDasa!$B$14</f>
        <v>Taurus</v>
      </c>
      <c r="B13" s="963">
        <f>CALC_NarayanaDasa!$C$14</f>
        <v>4</v>
      </c>
      <c r="C13" s="964" t="str">
        <f>CALC_NarayanaDasa!$J$14</f>
        <v>Backward (even Lagna)</v>
      </c>
      <c r="D13" s="965">
        <v>9</v>
      </c>
      <c r="E13" s="966"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(reversal)"),9,-9)+12,12)+1),"—")</f>
        <v>Leo</v>
      </c>
      <c r="F13" s="967">
        <f>IFERROR(ROUND((IFERROR(VLOOKUP(E13,REF_NarayanaDasaRules!$B$6:$G$17,6,0),0))/78*CALC_NarayanaDasa!$C$14,2),"—")</f>
        <v>0.46</v>
      </c>
      <c r="G13" s="968">
        <f t="shared" si="3"/>
        <v>18387.480000000003</v>
      </c>
      <c r="H13" s="968">
        <f t="shared" si="0"/>
        <v>18555.495000000003</v>
      </c>
      <c r="I13" s="560" t="str">
        <f t="shared" ca="1" si="1"/>
        <v>·</v>
      </c>
      <c r="J13" s="969" t="str">
        <f t="shared" ca="1" si="2"/>
        <v>·</v>
      </c>
      <c r="K13" s="645" t="str">
        <f ca="1">IFERROR(_xludf.switch(E13,"Aries","Identity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 spans="1:13" ht="15.75" customHeight="1" x14ac:dyDescent="0.2">
      <c r="A14" s="970" t="str">
        <f>CALC_NarayanaDasa!$B$14</f>
        <v>Taurus</v>
      </c>
      <c r="B14" s="970">
        <f>CALC_NarayanaDasa!$C$14</f>
        <v>4</v>
      </c>
      <c r="C14" s="971" t="str">
        <f>CALC_NarayanaDasa!$J$14</f>
        <v>Backward (even Lagna)</v>
      </c>
      <c r="D14" s="972">
        <v>10</v>
      </c>
      <c r="E14" s="973"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(reversal)"),10,-10)+12,12)+1),"—")</f>
        <v>Cancer</v>
      </c>
      <c r="F14" s="974">
        <f>IFERROR(ROUND((IFERROR(VLOOKUP(E14,REF_NarayanaDasaRules!$B$6:$G$17,6,0),0))/78*CALC_NarayanaDasa!$C$14,2),"—")</f>
        <v>0.51</v>
      </c>
      <c r="G14" s="975">
        <f t="shared" si="3"/>
        <v>18555.495000000003</v>
      </c>
      <c r="H14" s="975">
        <f t="shared" si="0"/>
        <v>18741.772500000003</v>
      </c>
      <c r="I14" s="976" t="str">
        <f t="shared" ca="1" si="1"/>
        <v>·</v>
      </c>
      <c r="J14" s="977" t="str">
        <f t="shared" ca="1" si="2"/>
        <v>·</v>
      </c>
      <c r="K14" s="651" t="str">
        <f ca="1">IFERROR(_xludf.switch(E14,"Aries","Identity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 spans="1:13" ht="15.75" customHeight="1" x14ac:dyDescent="0.2">
      <c r="A15" s="963" t="str">
        <f>CALC_NarayanaDasa!$B$14</f>
        <v>Taurus</v>
      </c>
      <c r="B15" s="963">
        <f>CALC_NarayanaDasa!$C$14</f>
        <v>4</v>
      </c>
      <c r="C15" s="964" t="str">
        <f>CALC_NarayanaDasa!$J$14</f>
        <v>Backward (even Lagna)</v>
      </c>
      <c r="D15" s="965">
        <v>11</v>
      </c>
      <c r="E15" s="966"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(reversal)"),11,-11)+12,12)+1),"—")</f>
        <v>Gemini</v>
      </c>
      <c r="F15" s="967">
        <f>IFERROR(ROUND((IFERROR(VLOOKUP(E15,REF_NarayanaDasaRules!$B$6:$G$17,6,0),0))/78*CALC_NarayanaDasa!$C$14,2),"—")</f>
        <v>0.1</v>
      </c>
      <c r="G15" s="968">
        <f t="shared" si="3"/>
        <v>18741.772500000003</v>
      </c>
      <c r="H15" s="968">
        <f t="shared" si="0"/>
        <v>18778.297500000004</v>
      </c>
      <c r="I15" s="560" t="str">
        <f t="shared" ca="1" si="1"/>
        <v>·</v>
      </c>
      <c r="J15" s="969" t="str">
        <f t="shared" ca="1" si="2"/>
        <v>·</v>
      </c>
      <c r="K15" s="645" t="str">
        <f ca="1">IFERROR(_xludf.switch(E15,"Aries","Identity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6" spans="1:13" ht="15.75" customHeight="1" x14ac:dyDescent="0.2">
      <c r="A16" s="970" t="str">
        <f>CALC_NarayanaDasa!$B$14</f>
        <v>Taurus</v>
      </c>
      <c r="B16" s="970">
        <f>CALC_NarayanaDasa!$C$14</f>
        <v>4</v>
      </c>
      <c r="C16" s="971" t="str">
        <f>CALC_NarayanaDasa!$J$14</f>
        <v>Backward (even Lagna)</v>
      </c>
      <c r="D16" s="972">
        <v>12</v>
      </c>
      <c r="E16" s="973" t="str">
        <f>IFERROR(INDEX({"Aries","Taurus","Gemini","Cancer","Leo","Virgo","Libra","Scorpio","Sagittarius","Capricorn","Aquarius","Pisces"},MOD(MATCH(CALC_NarayanaDasa!$B$14,{"Aries","Taurus","Gemini","Cancer","Leo","Virgo","Libra","Scorpio","Sagittarius","Capricorn","Aquarius","Pisces"},0)-1+IF(OR(CALC_NarayanaDasa!$J$14="Forward (odd Lagna)",CALC_NarayanaDasa!$J$14="Forward (reversal)"),12,-12)+12,12)+1),"—")</f>
        <v>Taurus</v>
      </c>
      <c r="F16" s="974">
        <f>IFERROR(ROUND((IFERROR(VLOOKUP(E16,REF_NarayanaDasaRules!$B$6:$G$17,6,0),0))/78*CALC_NarayanaDasa!$C$14,2),"—")</f>
        <v>0.21</v>
      </c>
      <c r="G16" s="975">
        <f t="shared" si="3"/>
        <v>18778.297500000004</v>
      </c>
      <c r="H16" s="975">
        <f t="shared" si="0"/>
        <v>18855.000000000004</v>
      </c>
      <c r="I16" s="976" t="str">
        <f t="shared" ca="1" si="1"/>
        <v>·</v>
      </c>
      <c r="J16" s="977" t="str">
        <f t="shared" ca="1" si="2"/>
        <v>·</v>
      </c>
      <c r="K16" s="651" t="str">
        <f ca="1">IFERROR(_xludf.switch(E16,"Aries","Identity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7" spans="1:11" ht="15.75" customHeight="1" x14ac:dyDescent="0.2">
      <c r="A17" s="1578" t="str">
        <f>IFERROR("Maha sign "&amp;CALC_NarayanaDasa!$B$15&amp;" — "&amp;CALC_NarayanaDasa!$C$15&amp;" yrs — Sub-period direction: "&amp;CALC_NarayanaDasa!$J$15,"—")</f>
        <v>Maha sign Aries — 6 yrs — Sub-period direction: Backward (even Lagna)</v>
      </c>
      <c r="B17" s="1578"/>
      <c r="C17" s="1578"/>
      <c r="D17" s="1578"/>
      <c r="E17" s="1578"/>
      <c r="F17" s="1578"/>
      <c r="G17" s="1578"/>
      <c r="H17" s="1578"/>
      <c r="I17" s="1578"/>
      <c r="J17" s="1578"/>
      <c r="K17" s="1578"/>
    </row>
    <row r="18" spans="1:11" ht="15.75" customHeight="1" x14ac:dyDescent="0.2">
      <c r="A18" s="970" t="str">
        <f>CALC_NarayanaDasa!$B$15</f>
        <v>Aries</v>
      </c>
      <c r="B18" s="970">
        <f>CALC_NarayanaDasa!$C$15</f>
        <v>6</v>
      </c>
      <c r="C18" s="971" t="str">
        <f>CALC_NarayanaDasa!$J$15</f>
        <v>Backward (even Lagna)</v>
      </c>
      <c r="D18" s="972">
        <v>1</v>
      </c>
      <c r="E18" s="973"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(reversal)"),1,-1)+12,12)+1),"—")</f>
        <v>Pisces</v>
      </c>
      <c r="F18" s="974">
        <f>IFERROR(ROUND((IFERROR(VLOOKUP(E18,REF_NarayanaDasaRules!$B$6:$G$17,6,0),0))/78*CALC_NarayanaDasa!$C$15,2),"—")</f>
        <v>0.23</v>
      </c>
      <c r="G18" s="975">
        <f>IFERROR(CALC_NarayanaDasa!$D$15,"—")</f>
        <v>18855</v>
      </c>
      <c r="H18" s="975">
        <f t="shared" ref="H18:H29" si="4">IFERROR(G18+F18*365.25,"—")</f>
        <v>18939.0075</v>
      </c>
      <c r="I18" s="976" t="str">
        <f t="shared" ref="I18:I29" ca="1" si="5">IFERROR(IF(AND(TODAY()&gt;=G18,TODAY()&lt;H18),"▶ ACTIVE","·"),"·")</f>
        <v>·</v>
      </c>
      <c r="J18" s="977" t="str">
        <f t="shared" ref="J18:J29" ca="1" si="6">IFERROR(IF(I18="▶ ACTIVE",ROUND((H18-TODAY())/365.25,2),"·"),"·")</f>
        <v>·</v>
      </c>
      <c r="K18" s="651" t="str">
        <f ca="1">IFERROR(_xludf.switch(E18,"Aries","Identity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9" spans="1:11" ht="15.75" customHeight="1" x14ac:dyDescent="0.2">
      <c r="A19" s="963" t="str">
        <f>CALC_NarayanaDasa!$B$15</f>
        <v>Aries</v>
      </c>
      <c r="B19" s="963">
        <f>CALC_NarayanaDasa!$C$15</f>
        <v>6</v>
      </c>
      <c r="C19" s="964" t="str">
        <f>CALC_NarayanaDasa!$J$15</f>
        <v>Backward (even Lagna)</v>
      </c>
      <c r="D19" s="965">
        <v>2</v>
      </c>
      <c r="E19" s="966"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(reversal)"),2,-2)+12,12)+1),"—")</f>
        <v>Aquarius</v>
      </c>
      <c r="F19" s="967">
        <f>IFERROR(ROUND((IFERROR(VLOOKUP(E19,REF_NarayanaDasaRules!$B$6:$G$17,6,0),0))/78*CALC_NarayanaDasa!$C$15,2),"—")</f>
        <v>0.92</v>
      </c>
      <c r="G19" s="968">
        <f t="shared" ref="G19:G29" si="7">IFERROR(H18,"—")</f>
        <v>18939.0075</v>
      </c>
      <c r="H19" s="968">
        <f t="shared" si="4"/>
        <v>19275.037499999999</v>
      </c>
      <c r="I19" s="560" t="str">
        <f t="shared" ca="1" si="5"/>
        <v>·</v>
      </c>
      <c r="J19" s="969" t="str">
        <f t="shared" ca="1" si="6"/>
        <v>·</v>
      </c>
      <c r="K19" s="645" t="str">
        <f ca="1">IFERROR(_xludf.switch(E19,"Aries","Identity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0" spans="1:11" ht="15.75" customHeight="1" x14ac:dyDescent="0.2">
      <c r="A20" s="970" t="str">
        <f>CALC_NarayanaDasa!$B$15</f>
        <v>Aries</v>
      </c>
      <c r="B20" s="970">
        <f>CALC_NarayanaDasa!$C$15</f>
        <v>6</v>
      </c>
      <c r="C20" s="971" t="str">
        <f>CALC_NarayanaDasa!$J$15</f>
        <v>Backward (even Lagna)</v>
      </c>
      <c r="D20" s="972">
        <v>3</v>
      </c>
      <c r="E20" s="973"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(reversal)"),3,-3)+12,12)+1),"—")</f>
        <v>Capricorn</v>
      </c>
      <c r="F20" s="974">
        <f>IFERROR(ROUND((IFERROR(VLOOKUP(E20,REF_NarayanaDasaRules!$B$6:$G$17,6,0),0))/78*CALC_NarayanaDasa!$C$15,2),"—")</f>
        <v>0.54</v>
      </c>
      <c r="G20" s="975">
        <f t="shared" si="7"/>
        <v>19275.037499999999</v>
      </c>
      <c r="H20" s="975">
        <f t="shared" si="4"/>
        <v>19472.272499999999</v>
      </c>
      <c r="I20" s="976" t="str">
        <f t="shared" ca="1" si="5"/>
        <v>·</v>
      </c>
      <c r="J20" s="977" t="str">
        <f t="shared" ca="1" si="6"/>
        <v>·</v>
      </c>
      <c r="K20" s="651" t="str">
        <f ca="1">IFERROR(_xludf.switch(E20,"Aries","Identity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1" spans="1:11" ht="15.75" customHeight="1" x14ac:dyDescent="0.2">
      <c r="A21" s="963" t="str">
        <f>CALC_NarayanaDasa!$B$15</f>
        <v>Aries</v>
      </c>
      <c r="B21" s="963">
        <f>CALC_NarayanaDasa!$C$15</f>
        <v>6</v>
      </c>
      <c r="C21" s="964" t="str">
        <f>CALC_NarayanaDasa!$J$15</f>
        <v>Backward (even Lagna)</v>
      </c>
      <c r="D21" s="965">
        <v>4</v>
      </c>
      <c r="E21" s="966"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(reversal)"),4,-4)+12,12)+1),"—")</f>
        <v>Sagittarius</v>
      </c>
      <c r="F21" s="967">
        <f>IFERROR(ROUND((IFERROR(VLOOKUP(E21,REF_NarayanaDasaRules!$B$6:$G$17,6,0),0))/78*CALC_NarayanaDasa!$C$15,2),"—")</f>
        <v>0.38</v>
      </c>
      <c r="G21" s="968">
        <f t="shared" si="7"/>
        <v>19472.272499999999</v>
      </c>
      <c r="H21" s="968">
        <f t="shared" si="4"/>
        <v>19611.067499999997</v>
      </c>
      <c r="I21" s="560" t="str">
        <f t="shared" ca="1" si="5"/>
        <v>·</v>
      </c>
      <c r="J21" s="969" t="str">
        <f t="shared" ca="1" si="6"/>
        <v>·</v>
      </c>
      <c r="K21" s="645" t="str">
        <f ca="1">IFERROR(_xludf.switch(E21,"Aries","Identity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2" spans="1:11" ht="15.75" customHeight="1" x14ac:dyDescent="0.2">
      <c r="A22" s="970" t="str">
        <f>CALC_NarayanaDasa!$B$15</f>
        <v>Aries</v>
      </c>
      <c r="B22" s="970">
        <f>CALC_NarayanaDasa!$C$15</f>
        <v>6</v>
      </c>
      <c r="C22" s="971" t="str">
        <f>CALC_NarayanaDasa!$J$15</f>
        <v>Backward (even Lagna)</v>
      </c>
      <c r="D22" s="972">
        <v>5</v>
      </c>
      <c r="E22" s="973"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(reversal)"),5,-5)+12,12)+1),"—")</f>
        <v>Scorpio</v>
      </c>
      <c r="F22" s="974">
        <f>IFERROR(ROUND((IFERROR(VLOOKUP(E22,REF_NarayanaDasaRules!$B$6:$G$17,6,0),0))/78*CALC_NarayanaDasa!$C$15,2),"—")</f>
        <v>0.85</v>
      </c>
      <c r="G22" s="975">
        <f t="shared" si="7"/>
        <v>19611.067499999997</v>
      </c>
      <c r="H22" s="975">
        <f t="shared" si="4"/>
        <v>19921.53</v>
      </c>
      <c r="I22" s="976" t="str">
        <f t="shared" ca="1" si="5"/>
        <v>·</v>
      </c>
      <c r="J22" s="977" t="str">
        <f t="shared" ca="1" si="6"/>
        <v>·</v>
      </c>
      <c r="K22" s="651" t="str">
        <f ca="1">IFERROR(_xludf.switch(E22,"Aries","Identity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3" spans="1:11" ht="15.75" customHeight="1" x14ac:dyDescent="0.2">
      <c r="A23" s="963" t="str">
        <f>CALC_NarayanaDasa!$B$15</f>
        <v>Aries</v>
      </c>
      <c r="B23" s="963">
        <f>CALC_NarayanaDasa!$C$15</f>
        <v>6</v>
      </c>
      <c r="C23" s="964" t="str">
        <f>CALC_NarayanaDasa!$J$15</f>
        <v>Backward (even Lagna)</v>
      </c>
      <c r="D23" s="965">
        <v>6</v>
      </c>
      <c r="E23" s="966"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(reversal)"),6,-6)+12,12)+1),"—")</f>
        <v>Libra</v>
      </c>
      <c r="F23" s="967">
        <f>IFERROR(ROUND((IFERROR(VLOOKUP(E23,REF_NarayanaDasaRules!$B$6:$G$17,6,0),0))/78*CALC_NarayanaDasa!$C$15,2),"—")</f>
        <v>0.08</v>
      </c>
      <c r="G23" s="968">
        <f t="shared" si="7"/>
        <v>19921.53</v>
      </c>
      <c r="H23" s="968">
        <f t="shared" si="4"/>
        <v>19950.75</v>
      </c>
      <c r="I23" s="560" t="str">
        <f t="shared" ca="1" si="5"/>
        <v>·</v>
      </c>
      <c r="J23" s="969" t="str">
        <f t="shared" ca="1" si="6"/>
        <v>·</v>
      </c>
      <c r="K23" s="645" t="str">
        <f ca="1">IFERROR(_xludf.switch(E23,"Aries","Identity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4" spans="1:11" ht="15.75" customHeight="1" x14ac:dyDescent="0.2">
      <c r="A24" s="970" t="str">
        <f>CALC_NarayanaDasa!$B$15</f>
        <v>Aries</v>
      </c>
      <c r="B24" s="970">
        <f>CALC_NarayanaDasa!$C$15</f>
        <v>6</v>
      </c>
      <c r="C24" s="971" t="str">
        <f>CALC_NarayanaDasa!$J$15</f>
        <v>Backward (even Lagna)</v>
      </c>
      <c r="D24" s="972">
        <v>7</v>
      </c>
      <c r="E24" s="973"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(reversal)"),7,-7)+12,12)+1),"—")</f>
        <v>Virgo</v>
      </c>
      <c r="F24" s="974">
        <f>IFERROR(ROUND((IFERROR(VLOOKUP(E24,REF_NarayanaDasaRules!$B$6:$G$17,6,0),0))/78*CALC_NarayanaDasa!$C$15,2),"—")</f>
        <v>0.62</v>
      </c>
      <c r="G24" s="975">
        <f t="shared" si="7"/>
        <v>19950.75</v>
      </c>
      <c r="H24" s="975">
        <f t="shared" si="4"/>
        <v>20177.205000000002</v>
      </c>
      <c r="I24" s="976" t="str">
        <f t="shared" ca="1" si="5"/>
        <v>·</v>
      </c>
      <c r="J24" s="977" t="str">
        <f t="shared" ca="1" si="6"/>
        <v>·</v>
      </c>
      <c r="K24" s="651" t="str">
        <f ca="1">IFERROR(_xludf.switch(E24,"Aries","Identity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5" spans="1:11" ht="15.75" customHeight="1" x14ac:dyDescent="0.2">
      <c r="A25" s="963" t="str">
        <f>CALC_NarayanaDasa!$B$15</f>
        <v>Aries</v>
      </c>
      <c r="B25" s="963">
        <f>CALC_NarayanaDasa!$C$15</f>
        <v>6</v>
      </c>
      <c r="C25" s="964" t="str">
        <f>CALC_NarayanaDasa!$J$15</f>
        <v>Backward (even Lagna)</v>
      </c>
      <c r="D25" s="965">
        <v>8</v>
      </c>
      <c r="E25" s="966"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(reversal)"),8,-8)+12,12)+1),"—")</f>
        <v>Leo</v>
      </c>
      <c r="F25" s="967">
        <f>IFERROR(ROUND((IFERROR(VLOOKUP(E25,REF_NarayanaDasaRules!$B$6:$G$17,6,0),0))/78*CALC_NarayanaDasa!$C$15,2),"—")</f>
        <v>0.69</v>
      </c>
      <c r="G25" s="968">
        <f t="shared" si="7"/>
        <v>20177.205000000002</v>
      </c>
      <c r="H25" s="968">
        <f t="shared" si="4"/>
        <v>20429.227500000001</v>
      </c>
      <c r="I25" s="560" t="str">
        <f t="shared" ca="1" si="5"/>
        <v>·</v>
      </c>
      <c r="J25" s="969" t="str">
        <f t="shared" ca="1" si="6"/>
        <v>·</v>
      </c>
      <c r="K25" s="645" t="str">
        <f ca="1">IFERROR(_xludf.switch(E25,"Aries","Identity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6" spans="1:11" ht="15.75" customHeight="1" x14ac:dyDescent="0.2">
      <c r="A26" s="970" t="str">
        <f>CALC_NarayanaDasa!$B$15</f>
        <v>Aries</v>
      </c>
      <c r="B26" s="970">
        <f>CALC_NarayanaDasa!$C$15</f>
        <v>6</v>
      </c>
      <c r="C26" s="971" t="str">
        <f>CALC_NarayanaDasa!$J$15</f>
        <v>Backward (even Lagna)</v>
      </c>
      <c r="D26" s="972">
        <v>9</v>
      </c>
      <c r="E26" s="973"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(reversal)"),9,-9)+12,12)+1),"—")</f>
        <v>Cancer</v>
      </c>
      <c r="F26" s="974">
        <f>IFERROR(ROUND((IFERROR(VLOOKUP(E26,REF_NarayanaDasaRules!$B$6:$G$17,6,0),0))/78*CALC_NarayanaDasa!$C$15,2),"—")</f>
        <v>0.77</v>
      </c>
      <c r="G26" s="975">
        <f t="shared" si="7"/>
        <v>20429.227500000001</v>
      </c>
      <c r="H26" s="975">
        <f t="shared" si="4"/>
        <v>20710.47</v>
      </c>
      <c r="I26" s="976" t="str">
        <f t="shared" ca="1" si="5"/>
        <v>·</v>
      </c>
      <c r="J26" s="977" t="str">
        <f t="shared" ca="1" si="6"/>
        <v>·</v>
      </c>
      <c r="K26" s="651" t="str">
        <f ca="1">IFERROR(_xludf.switch(E26,"Aries","Identity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7" spans="1:11" ht="15.75" customHeight="1" x14ac:dyDescent="0.2">
      <c r="A27" s="963" t="str">
        <f>CALC_NarayanaDasa!$B$15</f>
        <v>Aries</v>
      </c>
      <c r="B27" s="963">
        <f>CALC_NarayanaDasa!$C$15</f>
        <v>6</v>
      </c>
      <c r="C27" s="964" t="str">
        <f>CALC_NarayanaDasa!$J$15</f>
        <v>Backward (even Lagna)</v>
      </c>
      <c r="D27" s="965">
        <v>10</v>
      </c>
      <c r="E27" s="966"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(reversal)"),10,-10)+12,12)+1),"—")</f>
        <v>Gemini</v>
      </c>
      <c r="F27" s="967">
        <f>IFERROR(ROUND((IFERROR(VLOOKUP(E27,REF_NarayanaDasaRules!$B$6:$G$17,6,0),0))/78*CALC_NarayanaDasa!$C$15,2),"—")</f>
        <v>0.15</v>
      </c>
      <c r="G27" s="968">
        <f t="shared" si="7"/>
        <v>20710.47</v>
      </c>
      <c r="H27" s="968">
        <f t="shared" si="4"/>
        <v>20765.2575</v>
      </c>
      <c r="I27" s="560" t="str">
        <f t="shared" ca="1" si="5"/>
        <v>·</v>
      </c>
      <c r="J27" s="969" t="str">
        <f t="shared" ca="1" si="6"/>
        <v>·</v>
      </c>
      <c r="K27" s="645" t="str">
        <f ca="1">IFERROR(_xludf.switch(E27,"Aries","Identity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8" spans="1:11" ht="15.75" customHeight="1" x14ac:dyDescent="0.2">
      <c r="A28" s="970" t="str">
        <f>CALC_NarayanaDasa!$B$15</f>
        <v>Aries</v>
      </c>
      <c r="B28" s="970">
        <f>CALC_NarayanaDasa!$C$15</f>
        <v>6</v>
      </c>
      <c r="C28" s="971" t="str">
        <f>CALC_NarayanaDasa!$J$15</f>
        <v>Backward (even Lagna)</v>
      </c>
      <c r="D28" s="972">
        <v>11</v>
      </c>
      <c r="E28" s="973"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(reversal)"),11,-11)+12,12)+1),"—")</f>
        <v>Taurus</v>
      </c>
      <c r="F28" s="974">
        <f>IFERROR(ROUND((IFERROR(VLOOKUP(E28,REF_NarayanaDasaRules!$B$6:$G$17,6,0),0))/78*CALC_NarayanaDasa!$C$15,2),"—")</f>
        <v>0.31</v>
      </c>
      <c r="G28" s="975">
        <f t="shared" si="7"/>
        <v>20765.2575</v>
      </c>
      <c r="H28" s="975">
        <f t="shared" si="4"/>
        <v>20878.485000000001</v>
      </c>
      <c r="I28" s="976" t="str">
        <f t="shared" ca="1" si="5"/>
        <v>·</v>
      </c>
      <c r="J28" s="977" t="str">
        <f t="shared" ca="1" si="6"/>
        <v>·</v>
      </c>
      <c r="K28" s="651" t="str">
        <f ca="1">IFERROR(_xludf.switch(E28,"Aries","Identity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29" spans="1:11" ht="15.75" customHeight="1" x14ac:dyDescent="0.2">
      <c r="A29" s="963" t="str">
        <f>CALC_NarayanaDasa!$B$15</f>
        <v>Aries</v>
      </c>
      <c r="B29" s="963">
        <f>CALC_NarayanaDasa!$C$15</f>
        <v>6</v>
      </c>
      <c r="C29" s="964" t="str">
        <f>CALC_NarayanaDasa!$J$15</f>
        <v>Backward (even Lagna)</v>
      </c>
      <c r="D29" s="965">
        <v>12</v>
      </c>
      <c r="E29" s="966" t="str">
        <f>IFERROR(INDEX({"Aries","Taurus","Gemini","Cancer","Leo","Virgo","Libra","Scorpio","Sagittarius","Capricorn","Aquarius","Pisces"},MOD(MATCH(CALC_NarayanaDasa!$B$15,{"Aries","Taurus","Gemini","Cancer","Leo","Virgo","Libra","Scorpio","Sagittarius","Capricorn","Aquarius","Pisces"},0)-1+IF(OR(CALC_NarayanaDasa!$J$15="Forward (odd Lagna)",CALC_NarayanaDasa!$J$15="Forward (reversal)"),12,-12)+12,12)+1),"—")</f>
        <v>Aries</v>
      </c>
      <c r="F29" s="967">
        <f>IFERROR(ROUND((IFERROR(VLOOKUP(E29,REF_NarayanaDasaRules!$B$6:$G$17,6,0),0))/78*CALC_NarayanaDasa!$C$15,2),"—")</f>
        <v>0.46</v>
      </c>
      <c r="G29" s="968">
        <f t="shared" si="7"/>
        <v>20878.485000000001</v>
      </c>
      <c r="H29" s="968">
        <f t="shared" si="4"/>
        <v>21046.5</v>
      </c>
      <c r="I29" s="560" t="str">
        <f t="shared" ca="1" si="5"/>
        <v>·</v>
      </c>
      <c r="J29" s="969" t="str">
        <f t="shared" ca="1" si="6"/>
        <v>·</v>
      </c>
      <c r="K29" s="645" t="str">
        <f ca="1">IFERROR(_xludf.switch(E29,"Aries","Identity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30" spans="1:11" ht="15.75" customHeight="1" x14ac:dyDescent="0.2">
      <c r="A30" s="1578" t="str">
        <f>IFERROR("Maha sign "&amp;CALC_NarayanaDasa!$B$16&amp;" — "&amp;CALC_NarayanaDasa!$C$16&amp;" yrs — Sub-period direction: "&amp;CALC_NarayanaDasa!$J$16,"—")</f>
        <v>Maha sign Pisces — 3 yrs — Sub-period direction: Backward (even Lagna)</v>
      </c>
      <c r="B30" s="1578"/>
      <c r="C30" s="1578"/>
      <c r="D30" s="1578"/>
      <c r="E30" s="1578"/>
      <c r="F30" s="1578"/>
      <c r="G30" s="1578"/>
      <c r="H30" s="1578"/>
      <c r="I30" s="1578"/>
      <c r="J30" s="1578"/>
      <c r="K30" s="1578"/>
    </row>
    <row r="31" spans="1:11" ht="15.75" customHeight="1" x14ac:dyDescent="0.2">
      <c r="A31" s="963" t="str">
        <f>CALC_NarayanaDasa!$B$16</f>
        <v>Pisces</v>
      </c>
      <c r="B31" s="963">
        <f>CALC_NarayanaDasa!$C$16</f>
        <v>3</v>
      </c>
      <c r="C31" s="964" t="str">
        <f>CALC_NarayanaDasa!$J$16</f>
        <v>Backward (even Lagna)</v>
      </c>
      <c r="D31" s="965">
        <v>1</v>
      </c>
      <c r="E31" s="966"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(reversal)"),1,-1)+12,12)+1),"—")</f>
        <v>Aquarius</v>
      </c>
      <c r="F31" s="967">
        <f>IFERROR(ROUND((IFERROR(VLOOKUP(E31,REF_NarayanaDasaRules!$B$6:$G$17,6,0),0))/78*CALC_NarayanaDasa!$C$16,2),"—")</f>
        <v>0.46</v>
      </c>
      <c r="G31" s="968">
        <f>IFERROR(CALC_NarayanaDasa!$D$16,"—")</f>
        <v>21046.5</v>
      </c>
      <c r="H31" s="968">
        <f t="shared" ref="H31:H42" si="8">IFERROR(G31+F31*365.25,"—")</f>
        <v>21214.514999999999</v>
      </c>
      <c r="I31" s="560" t="str">
        <f t="shared" ref="I31:I42" ca="1" si="9">IFERROR(IF(AND(TODAY()&gt;=G31,TODAY()&lt;H31),"▶ ACTIVE","·"),"·")</f>
        <v>·</v>
      </c>
      <c r="J31" s="969" t="str">
        <f t="shared" ref="J31:J42" ca="1" si="10">IFERROR(IF(I31="▶ ACTIVE",ROUND((H31-TODAY())/365.25,2),"·"),"·")</f>
        <v>·</v>
      </c>
      <c r="K31" s="645" t="str">
        <f ca="1">IFERROR(_xludf.switch(E31,"Aries","Identity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32" spans="1:11" ht="15.75" customHeight="1" x14ac:dyDescent="0.2">
      <c r="A32" s="970" t="str">
        <f>CALC_NarayanaDasa!$B$16</f>
        <v>Pisces</v>
      </c>
      <c r="B32" s="970">
        <f>CALC_NarayanaDasa!$C$16</f>
        <v>3</v>
      </c>
      <c r="C32" s="971" t="str">
        <f>CALC_NarayanaDasa!$J$16</f>
        <v>Backward (even Lagna)</v>
      </c>
      <c r="D32" s="972">
        <v>2</v>
      </c>
      <c r="E32" s="973"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(reversal)"),2,-2)+12,12)+1),"—")</f>
        <v>Capricorn</v>
      </c>
      <c r="F32" s="974">
        <f>IFERROR(ROUND((IFERROR(VLOOKUP(E32,REF_NarayanaDasaRules!$B$6:$G$17,6,0),0))/78*CALC_NarayanaDasa!$C$16,2),"—")</f>
        <v>0.27</v>
      </c>
      <c r="G32" s="975">
        <f t="shared" ref="G32:G42" si="11">IFERROR(H31,"—")</f>
        <v>21214.514999999999</v>
      </c>
      <c r="H32" s="975">
        <f t="shared" si="8"/>
        <v>21313.1325</v>
      </c>
      <c r="I32" s="976" t="str">
        <f t="shared" ca="1" si="9"/>
        <v>·</v>
      </c>
      <c r="J32" s="977" t="str">
        <f t="shared" ca="1" si="10"/>
        <v>·</v>
      </c>
      <c r="K32" s="651" t="str">
        <f ca="1">IFERROR(_xludf.switch(E32,"Aries","Identity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33" spans="1:11" ht="15.75" customHeight="1" x14ac:dyDescent="0.2">
      <c r="A33" s="963" t="str">
        <f>CALC_NarayanaDasa!$B$16</f>
        <v>Pisces</v>
      </c>
      <c r="B33" s="963">
        <f>CALC_NarayanaDasa!$C$16</f>
        <v>3</v>
      </c>
      <c r="C33" s="964" t="str">
        <f>CALC_NarayanaDasa!$J$16</f>
        <v>Backward (even Lagna)</v>
      </c>
      <c r="D33" s="965">
        <v>3</v>
      </c>
      <c r="E33" s="966"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(reversal)"),3,-3)+12,12)+1),"—")</f>
        <v>Sagittarius</v>
      </c>
      <c r="F33" s="967">
        <f>IFERROR(ROUND((IFERROR(VLOOKUP(E33,REF_NarayanaDasaRules!$B$6:$G$17,6,0),0))/78*CALC_NarayanaDasa!$C$16,2),"—")</f>
        <v>0.19</v>
      </c>
      <c r="G33" s="968">
        <f t="shared" si="11"/>
        <v>21313.1325</v>
      </c>
      <c r="H33" s="968">
        <f t="shared" si="8"/>
        <v>21382.53</v>
      </c>
      <c r="I33" s="560" t="str">
        <f t="shared" ca="1" si="9"/>
        <v>·</v>
      </c>
      <c r="J33" s="969" t="str">
        <f t="shared" ca="1" si="10"/>
        <v>·</v>
      </c>
      <c r="K33" s="645" t="str">
        <f ca="1">IFERROR(_xludf.switch(E33,"Aries","Identity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34" spans="1:11" ht="15.75" customHeight="1" x14ac:dyDescent="0.2">
      <c r="A34" s="970" t="str">
        <f>CALC_NarayanaDasa!$B$16</f>
        <v>Pisces</v>
      </c>
      <c r="B34" s="970">
        <f>CALC_NarayanaDasa!$C$16</f>
        <v>3</v>
      </c>
      <c r="C34" s="971" t="str">
        <f>CALC_NarayanaDasa!$J$16</f>
        <v>Backward (even Lagna)</v>
      </c>
      <c r="D34" s="972">
        <v>4</v>
      </c>
      <c r="E34" s="973"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(reversal)"),4,-4)+12,12)+1),"—")</f>
        <v>Scorpio</v>
      </c>
      <c r="F34" s="974">
        <f>IFERROR(ROUND((IFERROR(VLOOKUP(E34,REF_NarayanaDasaRules!$B$6:$G$17,6,0),0))/78*CALC_NarayanaDasa!$C$16,2),"—")</f>
        <v>0.42</v>
      </c>
      <c r="G34" s="975">
        <f t="shared" si="11"/>
        <v>21382.53</v>
      </c>
      <c r="H34" s="975">
        <f t="shared" si="8"/>
        <v>21535.934999999998</v>
      </c>
      <c r="I34" s="976" t="str">
        <f t="shared" ca="1" si="9"/>
        <v>·</v>
      </c>
      <c r="J34" s="977" t="str">
        <f t="shared" ca="1" si="10"/>
        <v>·</v>
      </c>
      <c r="K34" s="651" t="str">
        <f ca="1">IFERROR(_xludf.switch(E34,"Aries","Identity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35" spans="1:11" ht="15.75" customHeight="1" x14ac:dyDescent="0.2">
      <c r="A35" s="963" t="str">
        <f>CALC_NarayanaDasa!$B$16</f>
        <v>Pisces</v>
      </c>
      <c r="B35" s="963">
        <f>CALC_NarayanaDasa!$C$16</f>
        <v>3</v>
      </c>
      <c r="C35" s="964" t="str">
        <f>CALC_NarayanaDasa!$J$16</f>
        <v>Backward (even Lagna)</v>
      </c>
      <c r="D35" s="965">
        <v>5</v>
      </c>
      <c r="E35" s="966"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(reversal)"),5,-5)+12,12)+1),"—")</f>
        <v>Libra</v>
      </c>
      <c r="F35" s="967">
        <f>IFERROR(ROUND((IFERROR(VLOOKUP(E35,REF_NarayanaDasaRules!$B$6:$G$17,6,0),0))/78*CALC_NarayanaDasa!$C$16,2),"—")</f>
        <v>0.04</v>
      </c>
      <c r="G35" s="968">
        <f t="shared" si="11"/>
        <v>21535.934999999998</v>
      </c>
      <c r="H35" s="968">
        <f t="shared" si="8"/>
        <v>21550.544999999998</v>
      </c>
      <c r="I35" s="560" t="str">
        <f t="shared" ca="1" si="9"/>
        <v>·</v>
      </c>
      <c r="J35" s="969" t="str">
        <f t="shared" ca="1" si="10"/>
        <v>·</v>
      </c>
      <c r="K35" s="645" t="str">
        <f ca="1">IFERROR(_xludf.switch(E35,"Aries","Identity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36" spans="1:11" ht="15.75" customHeight="1" x14ac:dyDescent="0.2">
      <c r="A36" s="970" t="str">
        <f>CALC_NarayanaDasa!$B$16</f>
        <v>Pisces</v>
      </c>
      <c r="B36" s="970">
        <f>CALC_NarayanaDasa!$C$16</f>
        <v>3</v>
      </c>
      <c r="C36" s="971" t="str">
        <f>CALC_NarayanaDasa!$J$16</f>
        <v>Backward (even Lagna)</v>
      </c>
      <c r="D36" s="972">
        <v>6</v>
      </c>
      <c r="E36" s="973"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(reversal)"),6,-6)+12,12)+1),"—")</f>
        <v>Virgo</v>
      </c>
      <c r="F36" s="974">
        <f>IFERROR(ROUND((IFERROR(VLOOKUP(E36,REF_NarayanaDasaRules!$B$6:$G$17,6,0),0))/78*CALC_NarayanaDasa!$C$16,2),"—")</f>
        <v>0.31</v>
      </c>
      <c r="G36" s="975">
        <f t="shared" si="11"/>
        <v>21550.544999999998</v>
      </c>
      <c r="H36" s="975">
        <f t="shared" si="8"/>
        <v>21663.772499999999</v>
      </c>
      <c r="I36" s="976" t="str">
        <f t="shared" ca="1" si="9"/>
        <v>·</v>
      </c>
      <c r="J36" s="977" t="str">
        <f t="shared" ca="1" si="10"/>
        <v>·</v>
      </c>
      <c r="K36" s="651" t="str">
        <f ca="1">IFERROR(_xludf.switch(E36,"Aries","Identity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37" spans="1:11" ht="15.75" customHeight="1" x14ac:dyDescent="0.2">
      <c r="A37" s="963" t="str">
        <f>CALC_NarayanaDasa!$B$16</f>
        <v>Pisces</v>
      </c>
      <c r="B37" s="963">
        <f>CALC_NarayanaDasa!$C$16</f>
        <v>3</v>
      </c>
      <c r="C37" s="964" t="str">
        <f>CALC_NarayanaDasa!$J$16</f>
        <v>Backward (even Lagna)</v>
      </c>
      <c r="D37" s="965">
        <v>7</v>
      </c>
      <c r="E37" s="966"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(reversal)"),7,-7)+12,12)+1),"—")</f>
        <v>Leo</v>
      </c>
      <c r="F37" s="967">
        <f>IFERROR(ROUND((IFERROR(VLOOKUP(E37,REF_NarayanaDasaRules!$B$6:$G$17,6,0),0))/78*CALC_NarayanaDasa!$C$16,2),"—")</f>
        <v>0.35</v>
      </c>
      <c r="G37" s="968">
        <f t="shared" si="11"/>
        <v>21663.772499999999</v>
      </c>
      <c r="H37" s="968">
        <f t="shared" si="8"/>
        <v>21791.61</v>
      </c>
      <c r="I37" s="560" t="str">
        <f t="shared" ca="1" si="9"/>
        <v>·</v>
      </c>
      <c r="J37" s="969" t="str">
        <f t="shared" ca="1" si="10"/>
        <v>·</v>
      </c>
      <c r="K37" s="645" t="str">
        <f ca="1">IFERROR(_xludf.switch(E37,"Aries","Identity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38" spans="1:11" ht="15.75" customHeight="1" x14ac:dyDescent="0.2">
      <c r="A38" s="970" t="str">
        <f>CALC_NarayanaDasa!$B$16</f>
        <v>Pisces</v>
      </c>
      <c r="B38" s="970">
        <f>CALC_NarayanaDasa!$C$16</f>
        <v>3</v>
      </c>
      <c r="C38" s="971" t="str">
        <f>CALC_NarayanaDasa!$J$16</f>
        <v>Backward (even Lagna)</v>
      </c>
      <c r="D38" s="972">
        <v>8</v>
      </c>
      <c r="E38" s="973"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(reversal)"),8,-8)+12,12)+1),"—")</f>
        <v>Cancer</v>
      </c>
      <c r="F38" s="974">
        <f>IFERROR(ROUND((IFERROR(VLOOKUP(E38,REF_NarayanaDasaRules!$B$6:$G$17,6,0),0))/78*CALC_NarayanaDasa!$C$16,2),"—")</f>
        <v>0.38</v>
      </c>
      <c r="G38" s="975">
        <f t="shared" si="11"/>
        <v>21791.61</v>
      </c>
      <c r="H38" s="975">
        <f t="shared" si="8"/>
        <v>21930.404999999999</v>
      </c>
      <c r="I38" s="976" t="str">
        <f t="shared" ca="1" si="9"/>
        <v>·</v>
      </c>
      <c r="J38" s="977" t="str">
        <f t="shared" ca="1" si="10"/>
        <v>·</v>
      </c>
      <c r="K38" s="651" t="str">
        <f ca="1">IFERROR(_xludf.switch(E38,"Aries","Identity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39" spans="1:11" ht="15.75" customHeight="1" x14ac:dyDescent="0.2">
      <c r="A39" s="963" t="str">
        <f>CALC_NarayanaDasa!$B$16</f>
        <v>Pisces</v>
      </c>
      <c r="B39" s="963">
        <f>CALC_NarayanaDasa!$C$16</f>
        <v>3</v>
      </c>
      <c r="C39" s="964" t="str">
        <f>CALC_NarayanaDasa!$J$16</f>
        <v>Backward (even Lagna)</v>
      </c>
      <c r="D39" s="965">
        <v>9</v>
      </c>
      <c r="E39" s="966"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(reversal)"),9,-9)+12,12)+1),"—")</f>
        <v>Gemini</v>
      </c>
      <c r="F39" s="967">
        <f>IFERROR(ROUND((IFERROR(VLOOKUP(E39,REF_NarayanaDasaRules!$B$6:$G$17,6,0),0))/78*CALC_NarayanaDasa!$C$16,2),"—")</f>
        <v>0.08</v>
      </c>
      <c r="G39" s="968">
        <f t="shared" si="11"/>
        <v>21930.404999999999</v>
      </c>
      <c r="H39" s="968">
        <f t="shared" si="8"/>
        <v>21959.625</v>
      </c>
      <c r="I39" s="560" t="str">
        <f t="shared" ca="1" si="9"/>
        <v>·</v>
      </c>
      <c r="J39" s="969" t="str">
        <f t="shared" ca="1" si="10"/>
        <v>·</v>
      </c>
      <c r="K39" s="645" t="str">
        <f ca="1">IFERROR(_xludf.switch(E39,"Aries","Identity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40" spans="1:11" ht="15.75" customHeight="1" x14ac:dyDescent="0.2">
      <c r="A40" s="970" t="str">
        <f>CALC_NarayanaDasa!$B$16</f>
        <v>Pisces</v>
      </c>
      <c r="B40" s="970">
        <f>CALC_NarayanaDasa!$C$16</f>
        <v>3</v>
      </c>
      <c r="C40" s="971" t="str">
        <f>CALC_NarayanaDasa!$J$16</f>
        <v>Backward (even Lagna)</v>
      </c>
      <c r="D40" s="972">
        <v>10</v>
      </c>
      <c r="E40" s="973"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(reversal)"),10,-10)+12,12)+1),"—")</f>
        <v>Taurus</v>
      </c>
      <c r="F40" s="974">
        <f>IFERROR(ROUND((IFERROR(VLOOKUP(E40,REF_NarayanaDasaRules!$B$6:$G$17,6,0),0))/78*CALC_NarayanaDasa!$C$16,2),"—")</f>
        <v>0.15</v>
      </c>
      <c r="G40" s="975">
        <f t="shared" si="11"/>
        <v>21959.625</v>
      </c>
      <c r="H40" s="975">
        <f t="shared" si="8"/>
        <v>22014.412499999999</v>
      </c>
      <c r="I40" s="976" t="str">
        <f t="shared" ca="1" si="9"/>
        <v>·</v>
      </c>
      <c r="J40" s="977" t="str">
        <f t="shared" ca="1" si="10"/>
        <v>·</v>
      </c>
      <c r="K40" s="651" t="str">
        <f ca="1">IFERROR(_xludf.switch(E40,"Aries","Identity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41" spans="1:11" ht="15.75" customHeight="1" x14ac:dyDescent="0.2">
      <c r="A41" s="963" t="str">
        <f>CALC_NarayanaDasa!$B$16</f>
        <v>Pisces</v>
      </c>
      <c r="B41" s="963">
        <f>CALC_NarayanaDasa!$C$16</f>
        <v>3</v>
      </c>
      <c r="C41" s="964" t="str">
        <f>CALC_NarayanaDasa!$J$16</f>
        <v>Backward (even Lagna)</v>
      </c>
      <c r="D41" s="965">
        <v>11</v>
      </c>
      <c r="E41" s="966"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(reversal)"),11,-11)+12,12)+1),"—")</f>
        <v>Aries</v>
      </c>
      <c r="F41" s="967">
        <f>IFERROR(ROUND((IFERROR(VLOOKUP(E41,REF_NarayanaDasaRules!$B$6:$G$17,6,0),0))/78*CALC_NarayanaDasa!$C$16,2),"—")</f>
        <v>0.23</v>
      </c>
      <c r="G41" s="968">
        <f t="shared" si="11"/>
        <v>22014.412499999999</v>
      </c>
      <c r="H41" s="968">
        <f t="shared" si="8"/>
        <v>22098.42</v>
      </c>
      <c r="I41" s="560" t="str">
        <f t="shared" ca="1" si="9"/>
        <v>·</v>
      </c>
      <c r="J41" s="969" t="str">
        <f t="shared" ca="1" si="10"/>
        <v>·</v>
      </c>
      <c r="K41" s="645" t="str">
        <f ca="1">IFERROR(_xludf.switch(E41,"Aries","Identity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42" spans="1:11" ht="15.75" customHeight="1" x14ac:dyDescent="0.2">
      <c r="A42" s="970" t="str">
        <f>CALC_NarayanaDasa!$B$16</f>
        <v>Pisces</v>
      </c>
      <c r="B42" s="970">
        <f>CALC_NarayanaDasa!$C$16</f>
        <v>3</v>
      </c>
      <c r="C42" s="971" t="str">
        <f>CALC_NarayanaDasa!$J$16</f>
        <v>Backward (even Lagna)</v>
      </c>
      <c r="D42" s="972">
        <v>12</v>
      </c>
      <c r="E42" s="973" t="str">
        <f>IFERROR(INDEX({"Aries","Taurus","Gemini","Cancer","Leo","Virgo","Libra","Scorpio","Sagittarius","Capricorn","Aquarius","Pisces"},MOD(MATCH(CALC_NarayanaDasa!$B$16,{"Aries","Taurus","Gemini","Cancer","Leo","Virgo","Libra","Scorpio","Sagittarius","Capricorn","Aquarius","Pisces"},0)-1+IF(OR(CALC_NarayanaDasa!$J$16="Forward (odd Lagna)",CALC_NarayanaDasa!$J$16="Forward (reversal)"),12,-12)+12,12)+1),"—")</f>
        <v>Pisces</v>
      </c>
      <c r="F42" s="974">
        <f>IFERROR(ROUND((IFERROR(VLOOKUP(E42,REF_NarayanaDasaRules!$B$6:$G$17,6,0),0))/78*CALC_NarayanaDasa!$C$16,2),"—")</f>
        <v>0.12</v>
      </c>
      <c r="G42" s="975">
        <f t="shared" si="11"/>
        <v>22098.42</v>
      </c>
      <c r="H42" s="975">
        <f t="shared" si="8"/>
        <v>22142.25</v>
      </c>
      <c r="I42" s="976" t="str">
        <f t="shared" ca="1" si="9"/>
        <v>·</v>
      </c>
      <c r="J42" s="977" t="str">
        <f t="shared" ca="1" si="10"/>
        <v>·</v>
      </c>
      <c r="K42" s="651" t="str">
        <f ca="1">IFERROR(_xludf.switch(E42,"Aries","Identity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43" spans="1:11" ht="15.75" customHeight="1" x14ac:dyDescent="0.2">
      <c r="A43" s="1578" t="str">
        <f>IFERROR("Maha sign "&amp;CALC_NarayanaDasa!$B$17&amp;" — "&amp;CALC_NarayanaDasa!$C$17&amp;" yrs — Sub-period direction: "&amp;CALC_NarayanaDasa!$J$17,"—")</f>
        <v>Maha sign Aquarius — 12 yrs — Sub-period direction: Backward (even Lagna)</v>
      </c>
      <c r="B43" s="1578"/>
      <c r="C43" s="1578"/>
      <c r="D43" s="1578"/>
      <c r="E43" s="1578"/>
      <c r="F43" s="1578"/>
      <c r="G43" s="1578"/>
      <c r="H43" s="1578"/>
      <c r="I43" s="1578"/>
      <c r="J43" s="1578"/>
      <c r="K43" s="1578"/>
    </row>
    <row r="44" spans="1:11" ht="15.75" customHeight="1" x14ac:dyDescent="0.2">
      <c r="A44" s="970" t="str">
        <f>CALC_NarayanaDasa!$B$17</f>
        <v>Aquarius</v>
      </c>
      <c r="B44" s="970">
        <f>CALC_NarayanaDasa!$C$17</f>
        <v>12</v>
      </c>
      <c r="C44" s="971" t="str">
        <f>CALC_NarayanaDasa!$J$17</f>
        <v>Backward (even Lagna)</v>
      </c>
      <c r="D44" s="972">
        <v>1</v>
      </c>
      <c r="E44" s="973"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(reversal)"),1,-1)+12,12)+1),"—")</f>
        <v>Capricorn</v>
      </c>
      <c r="F44" s="974">
        <f>IFERROR(ROUND((IFERROR(VLOOKUP(E44,REF_NarayanaDasaRules!$B$6:$G$17,6,0),0))/78*CALC_NarayanaDasa!$C$17,2),"—")</f>
        <v>1.08</v>
      </c>
      <c r="G44" s="975">
        <f>IFERROR(CALC_NarayanaDasa!$D$17,"—")</f>
        <v>22142.25</v>
      </c>
      <c r="H44" s="975">
        <f t="shared" ref="H44:H55" si="12">IFERROR(G44+F44*365.25,"—")</f>
        <v>22536.720000000001</v>
      </c>
      <c r="I44" s="976" t="str">
        <f t="shared" ref="I44:I55" ca="1" si="13">IFERROR(IF(AND(TODAY()&gt;=G44,TODAY()&lt;H44),"▶ ACTIVE","·"),"·")</f>
        <v>·</v>
      </c>
      <c r="J44" s="977" t="str">
        <f t="shared" ref="J44:J55" ca="1" si="14">IFERROR(IF(I44="▶ ACTIVE",ROUND((H44-TODAY())/365.25,2),"·"),"·")</f>
        <v>·</v>
      </c>
      <c r="K44" s="651" t="str">
        <f ca="1">IFERROR(_xludf.switch(E44,"Aries","Identity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45" spans="1:11" ht="15.75" customHeight="1" x14ac:dyDescent="0.2">
      <c r="A45" s="963" t="str">
        <f>CALC_NarayanaDasa!$B$17</f>
        <v>Aquarius</v>
      </c>
      <c r="B45" s="963">
        <f>CALC_NarayanaDasa!$C$17</f>
        <v>12</v>
      </c>
      <c r="C45" s="964" t="str">
        <f>CALC_NarayanaDasa!$J$17</f>
        <v>Backward (even Lagna)</v>
      </c>
      <c r="D45" s="965">
        <v>2</v>
      </c>
      <c r="E45" s="966"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(reversal)"),2,-2)+12,12)+1),"—")</f>
        <v>Sagittarius</v>
      </c>
      <c r="F45" s="967">
        <f>IFERROR(ROUND((IFERROR(VLOOKUP(E45,REF_NarayanaDasaRules!$B$6:$G$17,6,0),0))/78*CALC_NarayanaDasa!$C$17,2),"—")</f>
        <v>0.77</v>
      </c>
      <c r="G45" s="968">
        <f t="shared" ref="G45:G55" si="15">IFERROR(H44,"—")</f>
        <v>22536.720000000001</v>
      </c>
      <c r="H45" s="968">
        <f t="shared" si="12"/>
        <v>22817.962500000001</v>
      </c>
      <c r="I45" s="560" t="str">
        <f t="shared" ca="1" si="13"/>
        <v>·</v>
      </c>
      <c r="J45" s="969" t="str">
        <f t="shared" ca="1" si="14"/>
        <v>·</v>
      </c>
      <c r="K45" s="645" t="str">
        <f ca="1">IFERROR(_xludf.switch(E45,"Aries","Identity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46" spans="1:11" ht="15.75" customHeight="1" x14ac:dyDescent="0.2">
      <c r="A46" s="970" t="str">
        <f>CALC_NarayanaDasa!$B$17</f>
        <v>Aquarius</v>
      </c>
      <c r="B46" s="970">
        <f>CALC_NarayanaDasa!$C$17</f>
        <v>12</v>
      </c>
      <c r="C46" s="971" t="str">
        <f>CALC_NarayanaDasa!$J$17</f>
        <v>Backward (even Lagna)</v>
      </c>
      <c r="D46" s="972">
        <v>3</v>
      </c>
      <c r="E46" s="973"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(reversal)"),3,-3)+12,12)+1),"—")</f>
        <v>Scorpio</v>
      </c>
      <c r="F46" s="974">
        <f>IFERROR(ROUND((IFERROR(VLOOKUP(E46,REF_NarayanaDasaRules!$B$6:$G$17,6,0),0))/78*CALC_NarayanaDasa!$C$17,2),"—")</f>
        <v>1.69</v>
      </c>
      <c r="G46" s="975">
        <f t="shared" si="15"/>
        <v>22817.962500000001</v>
      </c>
      <c r="H46" s="975">
        <f t="shared" si="12"/>
        <v>23435.235000000001</v>
      </c>
      <c r="I46" s="976" t="str">
        <f t="shared" ca="1" si="13"/>
        <v>·</v>
      </c>
      <c r="J46" s="977" t="str">
        <f t="shared" ca="1" si="14"/>
        <v>·</v>
      </c>
      <c r="K46" s="651" t="str">
        <f ca="1">IFERROR(_xludf.switch(E46,"Aries","Identity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47" spans="1:11" ht="15.75" customHeight="1" x14ac:dyDescent="0.2">
      <c r="A47" s="963" t="str">
        <f>CALC_NarayanaDasa!$B$17</f>
        <v>Aquarius</v>
      </c>
      <c r="B47" s="963">
        <f>CALC_NarayanaDasa!$C$17</f>
        <v>12</v>
      </c>
      <c r="C47" s="964" t="str">
        <f>CALC_NarayanaDasa!$J$17</f>
        <v>Backward (even Lagna)</v>
      </c>
      <c r="D47" s="965">
        <v>4</v>
      </c>
      <c r="E47" s="966"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(reversal)"),4,-4)+12,12)+1),"—")</f>
        <v>Libra</v>
      </c>
      <c r="F47" s="967">
        <f>IFERROR(ROUND((IFERROR(VLOOKUP(E47,REF_NarayanaDasaRules!$B$6:$G$17,6,0),0))/78*CALC_NarayanaDasa!$C$17,2),"—")</f>
        <v>0.15</v>
      </c>
      <c r="G47" s="968">
        <f t="shared" si="15"/>
        <v>23435.235000000001</v>
      </c>
      <c r="H47" s="968">
        <f t="shared" si="12"/>
        <v>23490.022499999999</v>
      </c>
      <c r="I47" s="560" t="str">
        <f t="shared" ca="1" si="13"/>
        <v>·</v>
      </c>
      <c r="J47" s="969" t="str">
        <f t="shared" ca="1" si="14"/>
        <v>·</v>
      </c>
      <c r="K47" s="645" t="str">
        <f ca="1">IFERROR(_xludf.switch(E47,"Aries","Identity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48" spans="1:11" ht="15.75" customHeight="1" x14ac:dyDescent="0.2">
      <c r="A48" s="970" t="str">
        <f>CALC_NarayanaDasa!$B$17</f>
        <v>Aquarius</v>
      </c>
      <c r="B48" s="970">
        <f>CALC_NarayanaDasa!$C$17</f>
        <v>12</v>
      </c>
      <c r="C48" s="971" t="str">
        <f>CALC_NarayanaDasa!$J$17</f>
        <v>Backward (even Lagna)</v>
      </c>
      <c r="D48" s="972">
        <v>5</v>
      </c>
      <c r="E48" s="973"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(reversal)"),5,-5)+12,12)+1),"—")</f>
        <v>Virgo</v>
      </c>
      <c r="F48" s="974">
        <f>IFERROR(ROUND((IFERROR(VLOOKUP(E48,REF_NarayanaDasaRules!$B$6:$G$17,6,0),0))/78*CALC_NarayanaDasa!$C$17,2),"—")</f>
        <v>1.23</v>
      </c>
      <c r="G48" s="975">
        <f t="shared" si="15"/>
        <v>23490.022499999999</v>
      </c>
      <c r="H48" s="975">
        <f t="shared" si="12"/>
        <v>23939.279999999999</v>
      </c>
      <c r="I48" s="976" t="str">
        <f t="shared" ca="1" si="13"/>
        <v>·</v>
      </c>
      <c r="J48" s="977" t="str">
        <f t="shared" ca="1" si="14"/>
        <v>·</v>
      </c>
      <c r="K48" s="651" t="str">
        <f ca="1">IFERROR(_xludf.switch(E48,"Aries","Identity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49" spans="1:11" ht="15.75" customHeight="1" x14ac:dyDescent="0.2">
      <c r="A49" s="963" t="str">
        <f>CALC_NarayanaDasa!$B$17</f>
        <v>Aquarius</v>
      </c>
      <c r="B49" s="963">
        <f>CALC_NarayanaDasa!$C$17</f>
        <v>12</v>
      </c>
      <c r="C49" s="964" t="str">
        <f>CALC_NarayanaDasa!$J$17</f>
        <v>Backward (even Lagna)</v>
      </c>
      <c r="D49" s="965">
        <v>6</v>
      </c>
      <c r="E49" s="966"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(reversal)"),6,-6)+12,12)+1),"—")</f>
        <v>Leo</v>
      </c>
      <c r="F49" s="967">
        <f>IFERROR(ROUND((IFERROR(VLOOKUP(E49,REF_NarayanaDasaRules!$B$6:$G$17,6,0),0))/78*CALC_NarayanaDasa!$C$17,2),"—")</f>
        <v>1.38</v>
      </c>
      <c r="G49" s="968">
        <f t="shared" si="15"/>
        <v>23939.279999999999</v>
      </c>
      <c r="H49" s="968">
        <f t="shared" si="12"/>
        <v>24443.324999999997</v>
      </c>
      <c r="I49" s="560" t="str">
        <f t="shared" ca="1" si="13"/>
        <v>·</v>
      </c>
      <c r="J49" s="969" t="str">
        <f t="shared" ca="1" si="14"/>
        <v>·</v>
      </c>
      <c r="K49" s="645" t="str">
        <f ca="1">IFERROR(_xludf.switch(E49,"Aries","Identity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50" spans="1:11" ht="15.75" customHeight="1" x14ac:dyDescent="0.2">
      <c r="A50" s="970" t="str">
        <f>CALC_NarayanaDasa!$B$17</f>
        <v>Aquarius</v>
      </c>
      <c r="B50" s="970">
        <f>CALC_NarayanaDasa!$C$17</f>
        <v>12</v>
      </c>
      <c r="C50" s="971" t="str">
        <f>CALC_NarayanaDasa!$J$17</f>
        <v>Backward (even Lagna)</v>
      </c>
      <c r="D50" s="972">
        <v>7</v>
      </c>
      <c r="E50" s="973"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(reversal)"),7,-7)+12,12)+1),"—")</f>
        <v>Cancer</v>
      </c>
      <c r="F50" s="974">
        <f>IFERROR(ROUND((IFERROR(VLOOKUP(E50,REF_NarayanaDasaRules!$B$6:$G$17,6,0),0))/78*CALC_NarayanaDasa!$C$17,2),"—")</f>
        <v>1.54</v>
      </c>
      <c r="G50" s="975">
        <f t="shared" si="15"/>
        <v>24443.324999999997</v>
      </c>
      <c r="H50" s="975">
        <f t="shared" si="12"/>
        <v>25005.809999999998</v>
      </c>
      <c r="I50" s="976" t="str">
        <f t="shared" ca="1" si="13"/>
        <v>·</v>
      </c>
      <c r="J50" s="977" t="str">
        <f t="shared" ca="1" si="14"/>
        <v>·</v>
      </c>
      <c r="K50" s="651" t="str">
        <f ca="1">IFERROR(_xludf.switch(E50,"Aries","Identity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51" spans="1:11" ht="15.75" customHeight="1" x14ac:dyDescent="0.2">
      <c r="A51" s="963" t="str">
        <f>CALC_NarayanaDasa!$B$17</f>
        <v>Aquarius</v>
      </c>
      <c r="B51" s="963">
        <f>CALC_NarayanaDasa!$C$17</f>
        <v>12</v>
      </c>
      <c r="C51" s="964" t="str">
        <f>CALC_NarayanaDasa!$J$17</f>
        <v>Backward (even Lagna)</v>
      </c>
      <c r="D51" s="965">
        <v>8</v>
      </c>
      <c r="E51" s="966"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(reversal)"),8,-8)+12,12)+1),"—")</f>
        <v>Gemini</v>
      </c>
      <c r="F51" s="967">
        <f>IFERROR(ROUND((IFERROR(VLOOKUP(E51,REF_NarayanaDasaRules!$B$6:$G$17,6,0),0))/78*CALC_NarayanaDasa!$C$17,2),"—")</f>
        <v>0.31</v>
      </c>
      <c r="G51" s="968">
        <f t="shared" si="15"/>
        <v>25005.809999999998</v>
      </c>
      <c r="H51" s="968">
        <f t="shared" si="12"/>
        <v>25119.037499999999</v>
      </c>
      <c r="I51" s="560" t="str">
        <f t="shared" ca="1" si="13"/>
        <v>·</v>
      </c>
      <c r="J51" s="969" t="str">
        <f t="shared" ca="1" si="14"/>
        <v>·</v>
      </c>
      <c r="K51" s="645" t="str">
        <f ca="1">IFERROR(_xludf.switch(E51,"Aries","Identity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52" spans="1:11" ht="15.75" customHeight="1" x14ac:dyDescent="0.2">
      <c r="A52" s="970" t="str">
        <f>CALC_NarayanaDasa!$B$17</f>
        <v>Aquarius</v>
      </c>
      <c r="B52" s="970">
        <f>CALC_NarayanaDasa!$C$17</f>
        <v>12</v>
      </c>
      <c r="C52" s="971" t="str">
        <f>CALC_NarayanaDasa!$J$17</f>
        <v>Backward (even Lagna)</v>
      </c>
      <c r="D52" s="972">
        <v>9</v>
      </c>
      <c r="E52" s="973"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(reversal)"),9,-9)+12,12)+1),"—")</f>
        <v>Taurus</v>
      </c>
      <c r="F52" s="974">
        <f>IFERROR(ROUND((IFERROR(VLOOKUP(E52,REF_NarayanaDasaRules!$B$6:$G$17,6,0),0))/78*CALC_NarayanaDasa!$C$17,2),"—")</f>
        <v>0.62</v>
      </c>
      <c r="G52" s="975">
        <f t="shared" si="15"/>
        <v>25119.037499999999</v>
      </c>
      <c r="H52" s="975">
        <f t="shared" si="12"/>
        <v>25345.4925</v>
      </c>
      <c r="I52" s="976" t="str">
        <f t="shared" ca="1" si="13"/>
        <v>·</v>
      </c>
      <c r="J52" s="977" t="str">
        <f t="shared" ca="1" si="14"/>
        <v>·</v>
      </c>
      <c r="K52" s="651" t="str">
        <f ca="1">IFERROR(_xludf.switch(E52,"Aries","Identity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53" spans="1:11" ht="15.75" customHeight="1" x14ac:dyDescent="0.2">
      <c r="A53" s="963" t="str">
        <f>CALC_NarayanaDasa!$B$17</f>
        <v>Aquarius</v>
      </c>
      <c r="B53" s="963">
        <f>CALC_NarayanaDasa!$C$17</f>
        <v>12</v>
      </c>
      <c r="C53" s="964" t="str">
        <f>CALC_NarayanaDasa!$J$17</f>
        <v>Backward (even Lagna)</v>
      </c>
      <c r="D53" s="965">
        <v>10</v>
      </c>
      <c r="E53" s="966"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(reversal)"),10,-10)+12,12)+1),"—")</f>
        <v>Aries</v>
      </c>
      <c r="F53" s="967">
        <f>IFERROR(ROUND((IFERROR(VLOOKUP(E53,REF_NarayanaDasaRules!$B$6:$G$17,6,0),0))/78*CALC_NarayanaDasa!$C$17,2),"—")</f>
        <v>0.92</v>
      </c>
      <c r="G53" s="968">
        <f t="shared" si="15"/>
        <v>25345.4925</v>
      </c>
      <c r="H53" s="968">
        <f t="shared" si="12"/>
        <v>25681.522499999999</v>
      </c>
      <c r="I53" s="560" t="str">
        <f t="shared" ca="1" si="13"/>
        <v>·</v>
      </c>
      <c r="J53" s="969" t="str">
        <f t="shared" ca="1" si="14"/>
        <v>·</v>
      </c>
      <c r="K53" s="645" t="str">
        <f ca="1">IFERROR(_xludf.switch(E53,"Aries","Identity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54" spans="1:11" ht="15.75" customHeight="1" x14ac:dyDescent="0.2">
      <c r="A54" s="970" t="str">
        <f>CALC_NarayanaDasa!$B$17</f>
        <v>Aquarius</v>
      </c>
      <c r="B54" s="970">
        <f>CALC_NarayanaDasa!$C$17</f>
        <v>12</v>
      </c>
      <c r="C54" s="971" t="str">
        <f>CALC_NarayanaDasa!$J$17</f>
        <v>Backward (even Lagna)</v>
      </c>
      <c r="D54" s="972">
        <v>11</v>
      </c>
      <c r="E54" s="973"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(reversal)"),11,-11)+12,12)+1),"—")</f>
        <v>Pisces</v>
      </c>
      <c r="F54" s="974">
        <f>IFERROR(ROUND((IFERROR(VLOOKUP(E54,REF_NarayanaDasaRules!$B$6:$G$17,6,0),0))/78*CALC_NarayanaDasa!$C$17,2),"—")</f>
        <v>0.46</v>
      </c>
      <c r="G54" s="975">
        <f t="shared" si="15"/>
        <v>25681.522499999999</v>
      </c>
      <c r="H54" s="975">
        <f t="shared" si="12"/>
        <v>25849.537499999999</v>
      </c>
      <c r="I54" s="976" t="str">
        <f t="shared" ca="1" si="13"/>
        <v>·</v>
      </c>
      <c r="J54" s="977" t="str">
        <f t="shared" ca="1" si="14"/>
        <v>·</v>
      </c>
      <c r="K54" s="651" t="str">
        <f ca="1">IFERROR(_xludf.switch(E54,"Aries","Identity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55" spans="1:11" ht="15.75" customHeight="1" x14ac:dyDescent="0.2">
      <c r="A55" s="963" t="str">
        <f>CALC_NarayanaDasa!$B$17</f>
        <v>Aquarius</v>
      </c>
      <c r="B55" s="963">
        <f>CALC_NarayanaDasa!$C$17</f>
        <v>12</v>
      </c>
      <c r="C55" s="964" t="str">
        <f>CALC_NarayanaDasa!$J$17</f>
        <v>Backward (even Lagna)</v>
      </c>
      <c r="D55" s="965">
        <v>12</v>
      </c>
      <c r="E55" s="966" t="str">
        <f>IFERROR(INDEX({"Aries","Taurus","Gemini","Cancer","Leo","Virgo","Libra","Scorpio","Sagittarius","Capricorn","Aquarius","Pisces"},MOD(MATCH(CALC_NarayanaDasa!$B$17,{"Aries","Taurus","Gemini","Cancer","Leo","Virgo","Libra","Scorpio","Sagittarius","Capricorn","Aquarius","Pisces"},0)-1+IF(OR(CALC_NarayanaDasa!$J$17="Forward (odd Lagna)",CALC_NarayanaDasa!$J$17="Forward (reversal)"),12,-12)+12,12)+1),"—")</f>
        <v>Aquarius</v>
      </c>
      <c r="F55" s="967">
        <f>IFERROR(ROUND((IFERROR(VLOOKUP(E55,REF_NarayanaDasaRules!$B$6:$G$17,6,0),0))/78*CALC_NarayanaDasa!$C$17,2),"—")</f>
        <v>1.85</v>
      </c>
      <c r="G55" s="968">
        <f t="shared" si="15"/>
        <v>25849.537499999999</v>
      </c>
      <c r="H55" s="968">
        <f t="shared" si="12"/>
        <v>26525.25</v>
      </c>
      <c r="I55" s="560" t="str">
        <f t="shared" ca="1" si="13"/>
        <v>·</v>
      </c>
      <c r="J55" s="969" t="str">
        <f t="shared" ca="1" si="14"/>
        <v>·</v>
      </c>
      <c r="K55" s="645" t="str">
        <f ca="1">IFERROR(_xludf.switch(E55,"Aries","Identity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56" spans="1:11" ht="15.75" customHeight="1" x14ac:dyDescent="0.2">
      <c r="A56" s="1578" t="str">
        <f>IFERROR("Maha sign "&amp;CALC_NarayanaDasa!$B$18&amp;" — "&amp;CALC_NarayanaDasa!$C$18&amp;" yrs — Sub-period direction: "&amp;CALC_NarayanaDasa!$J$18,"—")</f>
        <v>Maha sign Capricorn — 7 yrs — Sub-period direction: Backward (even Lagna)</v>
      </c>
      <c r="B56" s="1578"/>
      <c r="C56" s="1578"/>
      <c r="D56" s="1578"/>
      <c r="E56" s="1578"/>
      <c r="F56" s="1578"/>
      <c r="G56" s="1578"/>
      <c r="H56" s="1578"/>
      <c r="I56" s="1578"/>
      <c r="J56" s="1578"/>
      <c r="K56" s="1578"/>
    </row>
    <row r="57" spans="1:11" ht="15.75" customHeight="1" x14ac:dyDescent="0.2">
      <c r="A57" s="963" t="str">
        <f>CALC_NarayanaDasa!$B$18</f>
        <v>Capricorn</v>
      </c>
      <c r="B57" s="963">
        <f>CALC_NarayanaDasa!$C$18</f>
        <v>7</v>
      </c>
      <c r="C57" s="964" t="str">
        <f>CALC_NarayanaDasa!$J$18</f>
        <v>Backward (even Lagna)</v>
      </c>
      <c r="D57" s="965">
        <v>1</v>
      </c>
      <c r="E57" s="966"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(reversal)"),1,-1)+12,12)+1),"—")</f>
        <v>Sagittarius</v>
      </c>
      <c r="F57" s="967">
        <f>IFERROR(ROUND((IFERROR(VLOOKUP(E57,REF_NarayanaDasaRules!$B$6:$G$17,6,0),0))/78*CALC_NarayanaDasa!$C$18,2),"—")</f>
        <v>0.45</v>
      </c>
      <c r="G57" s="968">
        <f>IFERROR(CALC_NarayanaDasa!$D$18,"—")</f>
        <v>26525.25</v>
      </c>
      <c r="H57" s="968">
        <f t="shared" ref="H57:H68" si="16">IFERROR(G57+F57*365.25,"—")</f>
        <v>26689.612499999999</v>
      </c>
      <c r="I57" s="560" t="str">
        <f t="shared" ref="I57:I68" ca="1" si="17">IFERROR(IF(AND(TODAY()&gt;=G57,TODAY()&lt;H57),"▶ ACTIVE","·"),"·")</f>
        <v>·</v>
      </c>
      <c r="J57" s="969" t="str">
        <f t="shared" ref="J57:J68" ca="1" si="18">IFERROR(IF(I57="▶ ACTIVE",ROUND((H57-TODAY())/365.25,2),"·"),"·")</f>
        <v>·</v>
      </c>
      <c r="K57" s="645" t="str">
        <f ca="1">IFERROR(_xludf.switch(E57,"Aries","Identity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58" spans="1:11" ht="15.75" customHeight="1" x14ac:dyDescent="0.2">
      <c r="A58" s="970" t="str">
        <f>CALC_NarayanaDasa!$B$18</f>
        <v>Capricorn</v>
      </c>
      <c r="B58" s="970">
        <f>CALC_NarayanaDasa!$C$18</f>
        <v>7</v>
      </c>
      <c r="C58" s="971" t="str">
        <f>CALC_NarayanaDasa!$J$18</f>
        <v>Backward (even Lagna)</v>
      </c>
      <c r="D58" s="972">
        <v>2</v>
      </c>
      <c r="E58" s="973"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(reversal)"),2,-2)+12,12)+1),"—")</f>
        <v>Scorpio</v>
      </c>
      <c r="F58" s="974">
        <f>IFERROR(ROUND((IFERROR(VLOOKUP(E58,REF_NarayanaDasaRules!$B$6:$G$17,6,0),0))/78*CALC_NarayanaDasa!$C$18,2),"—")</f>
        <v>0.99</v>
      </c>
      <c r="G58" s="975">
        <f t="shared" ref="G58:G68" si="19">IFERROR(H57,"—")</f>
        <v>26689.612499999999</v>
      </c>
      <c r="H58" s="975">
        <f t="shared" si="16"/>
        <v>27051.21</v>
      </c>
      <c r="I58" s="976" t="str">
        <f t="shared" ca="1" si="17"/>
        <v>·</v>
      </c>
      <c r="J58" s="977" t="str">
        <f t="shared" ca="1" si="18"/>
        <v>·</v>
      </c>
      <c r="K58" s="651" t="str">
        <f ca="1">IFERROR(_xludf.switch(E58,"Aries","Identity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59" spans="1:11" ht="15.75" customHeight="1" x14ac:dyDescent="0.2">
      <c r="A59" s="963" t="str">
        <f>CALC_NarayanaDasa!$B$18</f>
        <v>Capricorn</v>
      </c>
      <c r="B59" s="963">
        <f>CALC_NarayanaDasa!$C$18</f>
        <v>7</v>
      </c>
      <c r="C59" s="964" t="str">
        <f>CALC_NarayanaDasa!$J$18</f>
        <v>Backward (even Lagna)</v>
      </c>
      <c r="D59" s="965">
        <v>3</v>
      </c>
      <c r="E59" s="966"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(reversal)"),3,-3)+12,12)+1),"—")</f>
        <v>Libra</v>
      </c>
      <c r="F59" s="967">
        <f>IFERROR(ROUND((IFERROR(VLOOKUP(E59,REF_NarayanaDasaRules!$B$6:$G$17,6,0),0))/78*CALC_NarayanaDasa!$C$18,2),"—")</f>
        <v>0.09</v>
      </c>
      <c r="G59" s="968">
        <f t="shared" si="19"/>
        <v>27051.21</v>
      </c>
      <c r="H59" s="968">
        <f t="shared" si="16"/>
        <v>27084.0825</v>
      </c>
      <c r="I59" s="560" t="str">
        <f t="shared" ca="1" si="17"/>
        <v>·</v>
      </c>
      <c r="J59" s="969" t="str">
        <f t="shared" ca="1" si="18"/>
        <v>·</v>
      </c>
      <c r="K59" s="645" t="str">
        <f ca="1">IFERROR(_xludf.switch(E59,"Aries","Identity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0" spans="1:11" ht="15.75" customHeight="1" x14ac:dyDescent="0.2">
      <c r="A60" s="970" t="str">
        <f>CALC_NarayanaDasa!$B$18</f>
        <v>Capricorn</v>
      </c>
      <c r="B60" s="970">
        <f>CALC_NarayanaDasa!$C$18</f>
        <v>7</v>
      </c>
      <c r="C60" s="971" t="str">
        <f>CALC_NarayanaDasa!$J$18</f>
        <v>Backward (even Lagna)</v>
      </c>
      <c r="D60" s="972">
        <v>4</v>
      </c>
      <c r="E60" s="973"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(reversal)"),4,-4)+12,12)+1),"—")</f>
        <v>Virgo</v>
      </c>
      <c r="F60" s="974">
        <f>IFERROR(ROUND((IFERROR(VLOOKUP(E60,REF_NarayanaDasaRules!$B$6:$G$17,6,0),0))/78*CALC_NarayanaDasa!$C$18,2),"—")</f>
        <v>0.72</v>
      </c>
      <c r="G60" s="975">
        <f t="shared" si="19"/>
        <v>27084.0825</v>
      </c>
      <c r="H60" s="975">
        <f t="shared" si="16"/>
        <v>27347.0625</v>
      </c>
      <c r="I60" s="976" t="str">
        <f t="shared" ca="1" si="17"/>
        <v>·</v>
      </c>
      <c r="J60" s="977" t="str">
        <f t="shared" ca="1" si="18"/>
        <v>·</v>
      </c>
      <c r="K60" s="651" t="str">
        <f ca="1">IFERROR(_xludf.switch(E60,"Aries","Identity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1" spans="1:11" ht="15.75" customHeight="1" x14ac:dyDescent="0.2">
      <c r="A61" s="963" t="str">
        <f>CALC_NarayanaDasa!$B$18</f>
        <v>Capricorn</v>
      </c>
      <c r="B61" s="963">
        <f>CALC_NarayanaDasa!$C$18</f>
        <v>7</v>
      </c>
      <c r="C61" s="964" t="str">
        <f>CALC_NarayanaDasa!$J$18</f>
        <v>Backward (even Lagna)</v>
      </c>
      <c r="D61" s="965">
        <v>5</v>
      </c>
      <c r="E61" s="966"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(reversal)"),5,-5)+12,12)+1),"—")</f>
        <v>Leo</v>
      </c>
      <c r="F61" s="967">
        <f>IFERROR(ROUND((IFERROR(VLOOKUP(E61,REF_NarayanaDasaRules!$B$6:$G$17,6,0),0))/78*CALC_NarayanaDasa!$C$18,2),"—")</f>
        <v>0.81</v>
      </c>
      <c r="G61" s="968">
        <f t="shared" si="19"/>
        <v>27347.0625</v>
      </c>
      <c r="H61" s="968">
        <f t="shared" si="16"/>
        <v>27642.915000000001</v>
      </c>
      <c r="I61" s="560" t="str">
        <f t="shared" ca="1" si="17"/>
        <v>·</v>
      </c>
      <c r="J61" s="969" t="str">
        <f t="shared" ca="1" si="18"/>
        <v>·</v>
      </c>
      <c r="K61" s="645" t="str">
        <f ca="1">IFERROR(_xludf.switch(E61,"Aries","Identity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2" spans="1:11" ht="15.75" customHeight="1" x14ac:dyDescent="0.2">
      <c r="A62" s="970" t="str">
        <f>CALC_NarayanaDasa!$B$18</f>
        <v>Capricorn</v>
      </c>
      <c r="B62" s="970">
        <f>CALC_NarayanaDasa!$C$18</f>
        <v>7</v>
      </c>
      <c r="C62" s="971" t="str">
        <f>CALC_NarayanaDasa!$J$18</f>
        <v>Backward (even Lagna)</v>
      </c>
      <c r="D62" s="972">
        <v>6</v>
      </c>
      <c r="E62" s="973"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(reversal)"),6,-6)+12,12)+1),"—")</f>
        <v>Cancer</v>
      </c>
      <c r="F62" s="974">
        <f>IFERROR(ROUND((IFERROR(VLOOKUP(E62,REF_NarayanaDasaRules!$B$6:$G$17,6,0),0))/78*CALC_NarayanaDasa!$C$18,2),"—")</f>
        <v>0.9</v>
      </c>
      <c r="G62" s="975">
        <f t="shared" si="19"/>
        <v>27642.915000000001</v>
      </c>
      <c r="H62" s="975">
        <f t="shared" si="16"/>
        <v>27971.64</v>
      </c>
      <c r="I62" s="976" t="str">
        <f t="shared" ca="1" si="17"/>
        <v>·</v>
      </c>
      <c r="J62" s="977" t="str">
        <f t="shared" ca="1" si="18"/>
        <v>·</v>
      </c>
      <c r="K62" s="651" t="str">
        <f ca="1">IFERROR(_xludf.switch(E62,"Aries","Identity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3" spans="1:11" ht="15.75" customHeight="1" x14ac:dyDescent="0.2">
      <c r="A63" s="963" t="str">
        <f>CALC_NarayanaDasa!$B$18</f>
        <v>Capricorn</v>
      </c>
      <c r="B63" s="963">
        <f>CALC_NarayanaDasa!$C$18</f>
        <v>7</v>
      </c>
      <c r="C63" s="964" t="str">
        <f>CALC_NarayanaDasa!$J$18</f>
        <v>Backward (even Lagna)</v>
      </c>
      <c r="D63" s="965">
        <v>7</v>
      </c>
      <c r="E63" s="966"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(reversal)"),7,-7)+12,12)+1),"—")</f>
        <v>Gemini</v>
      </c>
      <c r="F63" s="967">
        <f>IFERROR(ROUND((IFERROR(VLOOKUP(E63,REF_NarayanaDasaRules!$B$6:$G$17,6,0),0))/78*CALC_NarayanaDasa!$C$18,2),"—")</f>
        <v>0.18</v>
      </c>
      <c r="G63" s="968">
        <f t="shared" si="19"/>
        <v>27971.64</v>
      </c>
      <c r="H63" s="968">
        <f t="shared" si="16"/>
        <v>28037.384999999998</v>
      </c>
      <c r="I63" s="560" t="str">
        <f t="shared" ca="1" si="17"/>
        <v>·</v>
      </c>
      <c r="J63" s="969" t="str">
        <f t="shared" ca="1" si="18"/>
        <v>·</v>
      </c>
      <c r="K63" s="645" t="str">
        <f ca="1">IFERROR(_xludf.switch(E63,"Aries","Identity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4" spans="1:11" ht="15.75" customHeight="1" x14ac:dyDescent="0.2">
      <c r="A64" s="970" t="str">
        <f>CALC_NarayanaDasa!$B$18</f>
        <v>Capricorn</v>
      </c>
      <c r="B64" s="970">
        <f>CALC_NarayanaDasa!$C$18</f>
        <v>7</v>
      </c>
      <c r="C64" s="971" t="str">
        <f>CALC_NarayanaDasa!$J$18</f>
        <v>Backward (even Lagna)</v>
      </c>
      <c r="D64" s="972">
        <v>8</v>
      </c>
      <c r="E64" s="973"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(reversal)"),8,-8)+12,12)+1),"—")</f>
        <v>Taurus</v>
      </c>
      <c r="F64" s="974">
        <f>IFERROR(ROUND((IFERROR(VLOOKUP(E64,REF_NarayanaDasaRules!$B$6:$G$17,6,0),0))/78*CALC_NarayanaDasa!$C$18,2),"—")</f>
        <v>0.36</v>
      </c>
      <c r="G64" s="975">
        <f t="shared" si="19"/>
        <v>28037.384999999998</v>
      </c>
      <c r="H64" s="975">
        <f t="shared" si="16"/>
        <v>28168.875</v>
      </c>
      <c r="I64" s="976" t="str">
        <f t="shared" ca="1" si="17"/>
        <v>·</v>
      </c>
      <c r="J64" s="977" t="str">
        <f t="shared" ca="1" si="18"/>
        <v>·</v>
      </c>
      <c r="K64" s="651" t="str">
        <f ca="1">IFERROR(_xludf.switch(E64,"Aries","Identity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5" spans="1:11" ht="15.75" customHeight="1" x14ac:dyDescent="0.2">
      <c r="A65" s="963" t="str">
        <f>CALC_NarayanaDasa!$B$18</f>
        <v>Capricorn</v>
      </c>
      <c r="B65" s="963">
        <f>CALC_NarayanaDasa!$C$18</f>
        <v>7</v>
      </c>
      <c r="C65" s="964" t="str">
        <f>CALC_NarayanaDasa!$J$18</f>
        <v>Backward (even Lagna)</v>
      </c>
      <c r="D65" s="965">
        <v>9</v>
      </c>
      <c r="E65" s="966"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(reversal)"),9,-9)+12,12)+1),"—")</f>
        <v>Aries</v>
      </c>
      <c r="F65" s="967">
        <f>IFERROR(ROUND((IFERROR(VLOOKUP(E65,REF_NarayanaDasaRules!$B$6:$G$17,6,0),0))/78*CALC_NarayanaDasa!$C$18,2),"—")</f>
        <v>0.54</v>
      </c>
      <c r="G65" s="968">
        <f t="shared" si="19"/>
        <v>28168.875</v>
      </c>
      <c r="H65" s="968">
        <f t="shared" si="16"/>
        <v>28366.11</v>
      </c>
      <c r="I65" s="560" t="str">
        <f t="shared" ca="1" si="17"/>
        <v>·</v>
      </c>
      <c r="J65" s="969" t="str">
        <f t="shared" ca="1" si="18"/>
        <v>·</v>
      </c>
      <c r="K65" s="645" t="str">
        <f ca="1">IFERROR(_xludf.switch(E65,"Aries","Identity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6" spans="1:11" ht="15.75" customHeight="1" x14ac:dyDescent="0.2">
      <c r="A66" s="970" t="str">
        <f>CALC_NarayanaDasa!$B$18</f>
        <v>Capricorn</v>
      </c>
      <c r="B66" s="970">
        <f>CALC_NarayanaDasa!$C$18</f>
        <v>7</v>
      </c>
      <c r="C66" s="971" t="str">
        <f>CALC_NarayanaDasa!$J$18</f>
        <v>Backward (even Lagna)</v>
      </c>
      <c r="D66" s="972">
        <v>10</v>
      </c>
      <c r="E66" s="973"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(reversal)"),10,-10)+12,12)+1),"—")</f>
        <v>Pisces</v>
      </c>
      <c r="F66" s="974">
        <f>IFERROR(ROUND((IFERROR(VLOOKUP(E66,REF_NarayanaDasaRules!$B$6:$G$17,6,0),0))/78*CALC_NarayanaDasa!$C$18,2),"—")</f>
        <v>0.27</v>
      </c>
      <c r="G66" s="975">
        <f t="shared" si="19"/>
        <v>28366.11</v>
      </c>
      <c r="H66" s="975">
        <f t="shared" si="16"/>
        <v>28464.727500000001</v>
      </c>
      <c r="I66" s="976" t="str">
        <f t="shared" ca="1" si="17"/>
        <v>·</v>
      </c>
      <c r="J66" s="977" t="str">
        <f t="shared" ca="1" si="18"/>
        <v>·</v>
      </c>
      <c r="K66" s="651" t="str">
        <f ca="1">IFERROR(_xludf.switch(E66,"Aries","Identity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7" spans="1:11" ht="15.75" customHeight="1" x14ac:dyDescent="0.2">
      <c r="A67" s="963" t="str">
        <f>CALC_NarayanaDasa!$B$18</f>
        <v>Capricorn</v>
      </c>
      <c r="B67" s="963">
        <f>CALC_NarayanaDasa!$C$18</f>
        <v>7</v>
      </c>
      <c r="C67" s="964" t="str">
        <f>CALC_NarayanaDasa!$J$18</f>
        <v>Backward (even Lagna)</v>
      </c>
      <c r="D67" s="965">
        <v>11</v>
      </c>
      <c r="E67" s="966"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(reversal)"),11,-11)+12,12)+1),"—")</f>
        <v>Aquarius</v>
      </c>
      <c r="F67" s="967">
        <f>IFERROR(ROUND((IFERROR(VLOOKUP(E67,REF_NarayanaDasaRules!$B$6:$G$17,6,0),0))/78*CALC_NarayanaDasa!$C$18,2),"—")</f>
        <v>1.08</v>
      </c>
      <c r="G67" s="968">
        <f t="shared" si="19"/>
        <v>28464.727500000001</v>
      </c>
      <c r="H67" s="968">
        <f t="shared" si="16"/>
        <v>28859.197500000002</v>
      </c>
      <c r="I67" s="560" t="str">
        <f t="shared" ca="1" si="17"/>
        <v>·</v>
      </c>
      <c r="J67" s="969" t="str">
        <f t="shared" ca="1" si="18"/>
        <v>·</v>
      </c>
      <c r="K67" s="645" t="str">
        <f ca="1">IFERROR(_xludf.switch(E67,"Aries","Identity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8" spans="1:11" ht="15.75" customHeight="1" x14ac:dyDescent="0.2">
      <c r="A68" s="970" t="str">
        <f>CALC_NarayanaDasa!$B$18</f>
        <v>Capricorn</v>
      </c>
      <c r="B68" s="970">
        <f>CALC_NarayanaDasa!$C$18</f>
        <v>7</v>
      </c>
      <c r="C68" s="971" t="str">
        <f>CALC_NarayanaDasa!$J$18</f>
        <v>Backward (even Lagna)</v>
      </c>
      <c r="D68" s="972">
        <v>12</v>
      </c>
      <c r="E68" s="973" t="str">
        <f>IFERROR(INDEX({"Aries","Taurus","Gemini","Cancer","Leo","Virgo","Libra","Scorpio","Sagittarius","Capricorn","Aquarius","Pisces"},MOD(MATCH(CALC_NarayanaDasa!$B$18,{"Aries","Taurus","Gemini","Cancer","Leo","Virgo","Libra","Scorpio","Sagittarius","Capricorn","Aquarius","Pisces"},0)-1+IF(OR(CALC_NarayanaDasa!$J$18="Forward (odd Lagna)",CALC_NarayanaDasa!$J$18="Forward (reversal)"),12,-12)+12,12)+1),"—")</f>
        <v>Capricorn</v>
      </c>
      <c r="F68" s="974">
        <f>IFERROR(ROUND((IFERROR(VLOOKUP(E68,REF_NarayanaDasaRules!$B$6:$G$17,6,0),0))/78*CALC_NarayanaDasa!$C$18,2),"—")</f>
        <v>0.63</v>
      </c>
      <c r="G68" s="975">
        <f t="shared" si="19"/>
        <v>28859.197500000002</v>
      </c>
      <c r="H68" s="975">
        <f t="shared" si="16"/>
        <v>29089.305</v>
      </c>
      <c r="I68" s="976" t="str">
        <f t="shared" ca="1" si="17"/>
        <v>·</v>
      </c>
      <c r="J68" s="977" t="str">
        <f t="shared" ca="1" si="18"/>
        <v>·</v>
      </c>
      <c r="K68" s="651" t="str">
        <f ca="1">IFERROR(_xludf.switch(E68,"Aries","Identity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69" spans="1:11" ht="15.75" customHeight="1" x14ac:dyDescent="0.2">
      <c r="A69" s="1578" t="str">
        <f>IFERROR("Maha sign "&amp;CALC_NarayanaDasa!$B$19&amp;" — "&amp;CALC_NarayanaDasa!$C$19&amp;" yrs — Sub-period direction: "&amp;CALC_NarayanaDasa!$J$19,"—")</f>
        <v>Maha sign Sagittarius — 5 yrs — Sub-period direction: Backward (even Lagna)</v>
      </c>
      <c r="B69" s="1578"/>
      <c r="C69" s="1578"/>
      <c r="D69" s="1578"/>
      <c r="E69" s="1578"/>
      <c r="F69" s="1578"/>
      <c r="G69" s="1578"/>
      <c r="H69" s="1578"/>
      <c r="I69" s="1578"/>
      <c r="J69" s="1578"/>
      <c r="K69" s="1578"/>
    </row>
    <row r="70" spans="1:11" ht="15.75" customHeight="1" x14ac:dyDescent="0.2">
      <c r="A70" s="970" t="str">
        <f>CALC_NarayanaDasa!$B$19</f>
        <v>Sagittarius</v>
      </c>
      <c r="B70" s="970">
        <f>CALC_NarayanaDasa!$C$19</f>
        <v>5</v>
      </c>
      <c r="C70" s="971" t="str">
        <f>CALC_NarayanaDasa!$J$19</f>
        <v>Backward (even Lagna)</v>
      </c>
      <c r="D70" s="972">
        <v>1</v>
      </c>
      <c r="E70" s="973"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(reversal)"),1,-1)+12,12)+1),"—")</f>
        <v>Scorpio</v>
      </c>
      <c r="F70" s="974">
        <f>IFERROR(ROUND((IFERROR(VLOOKUP(E70,REF_NarayanaDasaRules!$B$6:$G$17,6,0),0))/78*CALC_NarayanaDasa!$C$19,2),"—")</f>
        <v>0.71</v>
      </c>
      <c r="G70" s="975">
        <f>IFERROR(CALC_NarayanaDasa!$D$19,"—")</f>
        <v>29082</v>
      </c>
      <c r="H70" s="975">
        <f t="shared" ref="H70:H81" si="20">IFERROR(G70+F70*365.25,"—")</f>
        <v>29341.327499999999</v>
      </c>
      <c r="I70" s="976" t="str">
        <f t="shared" ref="I70:I81" ca="1" si="21">IFERROR(IF(AND(TODAY()&gt;=G70,TODAY()&lt;H70),"▶ ACTIVE","·"),"·")</f>
        <v>·</v>
      </c>
      <c r="J70" s="977" t="str">
        <f t="shared" ref="J70:J81" ca="1" si="22">IFERROR(IF(I70="▶ ACTIVE",ROUND((H70-TODAY())/365.25,2),"·"),"·")</f>
        <v>·</v>
      </c>
      <c r="K70" s="651" t="str">
        <f ca="1">IFERROR(_xludf.switch(E70,"Aries","Identity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1" spans="1:11" ht="15.75" customHeight="1" x14ac:dyDescent="0.2">
      <c r="A71" s="963" t="str">
        <f>CALC_NarayanaDasa!$B$19</f>
        <v>Sagittarius</v>
      </c>
      <c r="B71" s="963">
        <f>CALC_NarayanaDasa!$C$19</f>
        <v>5</v>
      </c>
      <c r="C71" s="964" t="str">
        <f>CALC_NarayanaDasa!$J$19</f>
        <v>Backward (even Lagna)</v>
      </c>
      <c r="D71" s="965">
        <v>2</v>
      </c>
      <c r="E71" s="966"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(reversal)"),2,-2)+12,12)+1),"—")</f>
        <v>Libra</v>
      </c>
      <c r="F71" s="967">
        <f>IFERROR(ROUND((IFERROR(VLOOKUP(E71,REF_NarayanaDasaRules!$B$6:$G$17,6,0),0))/78*CALC_NarayanaDasa!$C$19,2),"—")</f>
        <v>0.06</v>
      </c>
      <c r="G71" s="968">
        <f t="shared" ref="G71:G81" si="23">IFERROR(H70,"—")</f>
        <v>29341.327499999999</v>
      </c>
      <c r="H71" s="968">
        <f t="shared" si="20"/>
        <v>29363.2425</v>
      </c>
      <c r="I71" s="560" t="str">
        <f t="shared" ca="1" si="21"/>
        <v>·</v>
      </c>
      <c r="J71" s="969" t="str">
        <f t="shared" ca="1" si="22"/>
        <v>·</v>
      </c>
      <c r="K71" s="645" t="str">
        <f ca="1">IFERROR(_xludf.switch(E71,"Aries","Identity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2" spans="1:11" ht="15.75" customHeight="1" x14ac:dyDescent="0.2">
      <c r="A72" s="970" t="str">
        <f>CALC_NarayanaDasa!$B$19</f>
        <v>Sagittarius</v>
      </c>
      <c r="B72" s="970">
        <f>CALC_NarayanaDasa!$C$19</f>
        <v>5</v>
      </c>
      <c r="C72" s="971" t="str">
        <f>CALC_NarayanaDasa!$J$19</f>
        <v>Backward (even Lagna)</v>
      </c>
      <c r="D72" s="972">
        <v>3</v>
      </c>
      <c r="E72" s="973"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(reversal)"),3,-3)+12,12)+1),"—")</f>
        <v>Virgo</v>
      </c>
      <c r="F72" s="974">
        <f>IFERROR(ROUND((IFERROR(VLOOKUP(E72,REF_NarayanaDasaRules!$B$6:$G$17,6,0),0))/78*CALC_NarayanaDasa!$C$19,2),"—")</f>
        <v>0.51</v>
      </c>
      <c r="G72" s="975">
        <f t="shared" si="23"/>
        <v>29363.2425</v>
      </c>
      <c r="H72" s="975">
        <f t="shared" si="20"/>
        <v>29549.52</v>
      </c>
      <c r="I72" s="976" t="str">
        <f t="shared" ca="1" si="21"/>
        <v>·</v>
      </c>
      <c r="J72" s="977" t="str">
        <f t="shared" ca="1" si="22"/>
        <v>·</v>
      </c>
      <c r="K72" s="651" t="str">
        <f ca="1">IFERROR(_xludf.switch(E72,"Aries","Identity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3" spans="1:11" ht="15.75" customHeight="1" x14ac:dyDescent="0.2">
      <c r="A73" s="963" t="str">
        <f>CALC_NarayanaDasa!$B$19</f>
        <v>Sagittarius</v>
      </c>
      <c r="B73" s="963">
        <f>CALC_NarayanaDasa!$C$19</f>
        <v>5</v>
      </c>
      <c r="C73" s="964" t="str">
        <f>CALC_NarayanaDasa!$J$19</f>
        <v>Backward (even Lagna)</v>
      </c>
      <c r="D73" s="965">
        <v>4</v>
      </c>
      <c r="E73" s="966"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(reversal)"),4,-4)+12,12)+1),"—")</f>
        <v>Leo</v>
      </c>
      <c r="F73" s="967">
        <f>IFERROR(ROUND((IFERROR(VLOOKUP(E73,REF_NarayanaDasaRules!$B$6:$G$17,6,0),0))/78*CALC_NarayanaDasa!$C$19,2),"—")</f>
        <v>0.57999999999999996</v>
      </c>
      <c r="G73" s="968">
        <f t="shared" si="23"/>
        <v>29549.52</v>
      </c>
      <c r="H73" s="968">
        <f t="shared" si="20"/>
        <v>29761.365000000002</v>
      </c>
      <c r="I73" s="560" t="str">
        <f t="shared" ca="1" si="21"/>
        <v>·</v>
      </c>
      <c r="J73" s="969" t="str">
        <f t="shared" ca="1" si="22"/>
        <v>·</v>
      </c>
      <c r="K73" s="645" t="str">
        <f ca="1">IFERROR(_xludf.switch(E73,"Aries","Identity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4" spans="1:11" ht="15.75" customHeight="1" x14ac:dyDescent="0.2">
      <c r="A74" s="970" t="str">
        <f>CALC_NarayanaDasa!$B$19</f>
        <v>Sagittarius</v>
      </c>
      <c r="B74" s="970">
        <f>CALC_NarayanaDasa!$C$19</f>
        <v>5</v>
      </c>
      <c r="C74" s="971" t="str">
        <f>CALC_NarayanaDasa!$J$19</f>
        <v>Backward (even Lagna)</v>
      </c>
      <c r="D74" s="972">
        <v>5</v>
      </c>
      <c r="E74" s="973"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(reversal)"),5,-5)+12,12)+1),"—")</f>
        <v>Cancer</v>
      </c>
      <c r="F74" s="974">
        <f>IFERROR(ROUND((IFERROR(VLOOKUP(E74,REF_NarayanaDasaRules!$B$6:$G$17,6,0),0))/78*CALC_NarayanaDasa!$C$19,2),"—")</f>
        <v>0.64</v>
      </c>
      <c r="G74" s="975">
        <f t="shared" si="23"/>
        <v>29761.365000000002</v>
      </c>
      <c r="H74" s="975">
        <f t="shared" si="20"/>
        <v>29995.125</v>
      </c>
      <c r="I74" s="976" t="str">
        <f t="shared" ca="1" si="21"/>
        <v>·</v>
      </c>
      <c r="J74" s="977" t="str">
        <f t="shared" ca="1" si="22"/>
        <v>·</v>
      </c>
      <c r="K74" s="651" t="str">
        <f ca="1">IFERROR(_xludf.switch(E74,"Aries","Identity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5" spans="1:11" ht="15.75" customHeight="1" x14ac:dyDescent="0.2">
      <c r="A75" s="963" t="str">
        <f>CALC_NarayanaDasa!$B$19</f>
        <v>Sagittarius</v>
      </c>
      <c r="B75" s="963">
        <f>CALC_NarayanaDasa!$C$19</f>
        <v>5</v>
      </c>
      <c r="C75" s="964" t="str">
        <f>CALC_NarayanaDasa!$J$19</f>
        <v>Backward (even Lagna)</v>
      </c>
      <c r="D75" s="965">
        <v>6</v>
      </c>
      <c r="E75" s="966"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(reversal)"),6,-6)+12,12)+1),"—")</f>
        <v>Gemini</v>
      </c>
      <c r="F75" s="967">
        <f>IFERROR(ROUND((IFERROR(VLOOKUP(E75,REF_NarayanaDasaRules!$B$6:$G$17,6,0),0))/78*CALC_NarayanaDasa!$C$19,2),"—")</f>
        <v>0.13</v>
      </c>
      <c r="G75" s="968">
        <f t="shared" si="23"/>
        <v>29995.125</v>
      </c>
      <c r="H75" s="968">
        <f t="shared" si="20"/>
        <v>30042.607499999998</v>
      </c>
      <c r="I75" s="560" t="str">
        <f t="shared" ca="1" si="21"/>
        <v>·</v>
      </c>
      <c r="J75" s="969" t="str">
        <f t="shared" ca="1" si="22"/>
        <v>·</v>
      </c>
      <c r="K75" s="645" t="str">
        <f ca="1">IFERROR(_xludf.switch(E75,"Aries","Identity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6" spans="1:11" ht="15.75" customHeight="1" x14ac:dyDescent="0.2">
      <c r="A76" s="970" t="str">
        <f>CALC_NarayanaDasa!$B$19</f>
        <v>Sagittarius</v>
      </c>
      <c r="B76" s="970">
        <f>CALC_NarayanaDasa!$C$19</f>
        <v>5</v>
      </c>
      <c r="C76" s="971" t="str">
        <f>CALC_NarayanaDasa!$J$19</f>
        <v>Backward (even Lagna)</v>
      </c>
      <c r="D76" s="972">
        <v>7</v>
      </c>
      <c r="E76" s="973"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(reversal)"),7,-7)+12,12)+1),"—")</f>
        <v>Taurus</v>
      </c>
      <c r="F76" s="974">
        <f>IFERROR(ROUND((IFERROR(VLOOKUP(E76,REF_NarayanaDasaRules!$B$6:$G$17,6,0),0))/78*CALC_NarayanaDasa!$C$19,2),"—")</f>
        <v>0.26</v>
      </c>
      <c r="G76" s="975">
        <f t="shared" si="23"/>
        <v>30042.607499999998</v>
      </c>
      <c r="H76" s="975">
        <f t="shared" si="20"/>
        <v>30137.572499999998</v>
      </c>
      <c r="I76" s="976" t="str">
        <f t="shared" ca="1" si="21"/>
        <v>·</v>
      </c>
      <c r="J76" s="977" t="str">
        <f t="shared" ca="1" si="22"/>
        <v>·</v>
      </c>
      <c r="K76" s="651" t="str">
        <f ca="1">IFERROR(_xludf.switch(E76,"Aries","Identity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7" spans="1:11" ht="15.75" customHeight="1" x14ac:dyDescent="0.2">
      <c r="A77" s="963" t="str">
        <f>CALC_NarayanaDasa!$B$19</f>
        <v>Sagittarius</v>
      </c>
      <c r="B77" s="963">
        <f>CALC_NarayanaDasa!$C$19</f>
        <v>5</v>
      </c>
      <c r="C77" s="964" t="str">
        <f>CALC_NarayanaDasa!$J$19</f>
        <v>Backward (even Lagna)</v>
      </c>
      <c r="D77" s="965">
        <v>8</v>
      </c>
      <c r="E77" s="966"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(reversal)"),8,-8)+12,12)+1),"—")</f>
        <v>Aries</v>
      </c>
      <c r="F77" s="967">
        <f>IFERROR(ROUND((IFERROR(VLOOKUP(E77,REF_NarayanaDasaRules!$B$6:$G$17,6,0),0))/78*CALC_NarayanaDasa!$C$19,2),"—")</f>
        <v>0.38</v>
      </c>
      <c r="G77" s="968">
        <f t="shared" si="23"/>
        <v>30137.572499999998</v>
      </c>
      <c r="H77" s="968">
        <f t="shared" si="20"/>
        <v>30276.367499999997</v>
      </c>
      <c r="I77" s="560" t="str">
        <f t="shared" ca="1" si="21"/>
        <v>·</v>
      </c>
      <c r="J77" s="969" t="str">
        <f t="shared" ca="1" si="22"/>
        <v>·</v>
      </c>
      <c r="K77" s="645" t="str">
        <f ca="1">IFERROR(_xludf.switch(E77,"Aries","Identity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8" spans="1:11" ht="15.75" customHeight="1" x14ac:dyDescent="0.2">
      <c r="A78" s="970" t="str">
        <f>CALC_NarayanaDasa!$B$19</f>
        <v>Sagittarius</v>
      </c>
      <c r="B78" s="970">
        <f>CALC_NarayanaDasa!$C$19</f>
        <v>5</v>
      </c>
      <c r="C78" s="971" t="str">
        <f>CALC_NarayanaDasa!$J$19</f>
        <v>Backward (even Lagna)</v>
      </c>
      <c r="D78" s="972">
        <v>9</v>
      </c>
      <c r="E78" s="973"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(reversal)"),9,-9)+12,12)+1),"—")</f>
        <v>Pisces</v>
      </c>
      <c r="F78" s="974">
        <f>IFERROR(ROUND((IFERROR(VLOOKUP(E78,REF_NarayanaDasaRules!$B$6:$G$17,6,0),0))/78*CALC_NarayanaDasa!$C$19,2),"—")</f>
        <v>0.19</v>
      </c>
      <c r="G78" s="975">
        <f t="shared" si="23"/>
        <v>30276.367499999997</v>
      </c>
      <c r="H78" s="975">
        <f t="shared" si="20"/>
        <v>30345.764999999996</v>
      </c>
      <c r="I78" s="976" t="str">
        <f t="shared" ca="1" si="21"/>
        <v>·</v>
      </c>
      <c r="J78" s="977" t="str">
        <f t="shared" ca="1" si="22"/>
        <v>·</v>
      </c>
      <c r="K78" s="651" t="str">
        <f ca="1">IFERROR(_xludf.switch(E78,"Aries","Identity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79" spans="1:11" ht="15.75" customHeight="1" x14ac:dyDescent="0.2">
      <c r="A79" s="963" t="str">
        <f>CALC_NarayanaDasa!$B$19</f>
        <v>Sagittarius</v>
      </c>
      <c r="B79" s="963">
        <f>CALC_NarayanaDasa!$C$19</f>
        <v>5</v>
      </c>
      <c r="C79" s="964" t="str">
        <f>CALC_NarayanaDasa!$J$19</f>
        <v>Backward (even Lagna)</v>
      </c>
      <c r="D79" s="965">
        <v>10</v>
      </c>
      <c r="E79" s="966"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(reversal)"),10,-10)+12,12)+1),"—")</f>
        <v>Aquarius</v>
      </c>
      <c r="F79" s="967">
        <f>IFERROR(ROUND((IFERROR(VLOOKUP(E79,REF_NarayanaDasaRules!$B$6:$G$17,6,0),0))/78*CALC_NarayanaDasa!$C$19,2),"—")</f>
        <v>0.77</v>
      </c>
      <c r="G79" s="968">
        <f t="shared" si="23"/>
        <v>30345.764999999996</v>
      </c>
      <c r="H79" s="968">
        <f t="shared" si="20"/>
        <v>30627.007499999996</v>
      </c>
      <c r="I79" s="560" t="str">
        <f t="shared" ca="1" si="21"/>
        <v>·</v>
      </c>
      <c r="J79" s="969" t="str">
        <f t="shared" ca="1" si="22"/>
        <v>·</v>
      </c>
      <c r="K79" s="645" t="str">
        <f ca="1">IFERROR(_xludf.switch(E79,"Aries","Identity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0" spans="1:11" ht="15.75" customHeight="1" x14ac:dyDescent="0.2">
      <c r="A80" s="970" t="str">
        <f>CALC_NarayanaDasa!$B$19</f>
        <v>Sagittarius</v>
      </c>
      <c r="B80" s="970">
        <f>CALC_NarayanaDasa!$C$19</f>
        <v>5</v>
      </c>
      <c r="C80" s="971" t="str">
        <f>CALC_NarayanaDasa!$J$19</f>
        <v>Backward (even Lagna)</v>
      </c>
      <c r="D80" s="972">
        <v>11</v>
      </c>
      <c r="E80" s="973"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(reversal)"),11,-11)+12,12)+1),"—")</f>
        <v>Capricorn</v>
      </c>
      <c r="F80" s="974">
        <f>IFERROR(ROUND((IFERROR(VLOOKUP(E80,REF_NarayanaDasaRules!$B$6:$G$17,6,0),0))/78*CALC_NarayanaDasa!$C$19,2),"—")</f>
        <v>0.45</v>
      </c>
      <c r="G80" s="975">
        <f t="shared" si="23"/>
        <v>30627.007499999996</v>
      </c>
      <c r="H80" s="975">
        <f t="shared" si="20"/>
        <v>30791.369999999995</v>
      </c>
      <c r="I80" s="976" t="str">
        <f t="shared" ca="1" si="21"/>
        <v>·</v>
      </c>
      <c r="J80" s="977" t="str">
        <f t="shared" ca="1" si="22"/>
        <v>·</v>
      </c>
      <c r="K80" s="651" t="str">
        <f ca="1">IFERROR(_xludf.switch(E80,"Aries","Identity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1" spans="1:11" ht="15.75" customHeight="1" x14ac:dyDescent="0.2">
      <c r="A81" s="963" t="str">
        <f>CALC_NarayanaDasa!$B$19</f>
        <v>Sagittarius</v>
      </c>
      <c r="B81" s="963">
        <f>CALC_NarayanaDasa!$C$19</f>
        <v>5</v>
      </c>
      <c r="C81" s="964" t="str">
        <f>CALC_NarayanaDasa!$J$19</f>
        <v>Backward (even Lagna)</v>
      </c>
      <c r="D81" s="965">
        <v>12</v>
      </c>
      <c r="E81" s="966" t="str">
        <f>IFERROR(INDEX({"Aries","Taurus","Gemini","Cancer","Leo","Virgo","Libra","Scorpio","Sagittarius","Capricorn","Aquarius","Pisces"},MOD(MATCH(CALC_NarayanaDasa!$B$19,{"Aries","Taurus","Gemini","Cancer","Leo","Virgo","Libra","Scorpio","Sagittarius","Capricorn","Aquarius","Pisces"},0)-1+IF(OR(CALC_NarayanaDasa!$J$19="Forward (odd Lagna)",CALC_NarayanaDasa!$J$19="Forward (reversal)"),12,-12)+12,12)+1),"—")</f>
        <v>Sagittarius</v>
      </c>
      <c r="F81" s="967">
        <f>IFERROR(ROUND((IFERROR(VLOOKUP(E81,REF_NarayanaDasaRules!$B$6:$G$17,6,0),0))/78*CALC_NarayanaDasa!$C$19,2),"—")</f>
        <v>0.32</v>
      </c>
      <c r="G81" s="968">
        <f t="shared" si="23"/>
        <v>30791.369999999995</v>
      </c>
      <c r="H81" s="968">
        <f t="shared" si="20"/>
        <v>30908.249999999996</v>
      </c>
      <c r="I81" s="560" t="str">
        <f t="shared" ca="1" si="21"/>
        <v>·</v>
      </c>
      <c r="J81" s="969" t="str">
        <f t="shared" ca="1" si="22"/>
        <v>·</v>
      </c>
      <c r="K81" s="645" t="str">
        <f ca="1">IFERROR(_xludf.switch(E81,"Aries","Identity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2" spans="1:11" ht="15.75" customHeight="1" x14ac:dyDescent="0.2">
      <c r="A82" s="1578" t="str">
        <f>IFERROR("Maha sign "&amp;CALC_NarayanaDasa!$B$20&amp;" — "&amp;CALC_NarayanaDasa!$C$20&amp;" yrs — Sub-period direction: "&amp;CALC_NarayanaDasa!$J$20,"—")</f>
        <v>Maha sign Scorpio — 11 yrs — Sub-period direction: Backward (even Lagna)</v>
      </c>
      <c r="B82" s="1578"/>
      <c r="C82" s="1578"/>
      <c r="D82" s="1578"/>
      <c r="E82" s="1578"/>
      <c r="F82" s="1578"/>
      <c r="G82" s="1578"/>
      <c r="H82" s="1578"/>
      <c r="I82" s="1578"/>
      <c r="J82" s="1578"/>
      <c r="K82" s="1578"/>
    </row>
    <row r="83" spans="1:11" ht="15.75" customHeight="1" x14ac:dyDescent="0.2">
      <c r="A83" s="963" t="str">
        <f>CALC_NarayanaDasa!$B$20</f>
        <v>Scorpio</v>
      </c>
      <c r="B83" s="963">
        <f>CALC_NarayanaDasa!$C$20</f>
        <v>11</v>
      </c>
      <c r="C83" s="964" t="str">
        <f>CALC_NarayanaDasa!$J$20</f>
        <v>Backward (even Lagna)</v>
      </c>
      <c r="D83" s="965">
        <v>1</v>
      </c>
      <c r="E83" s="966"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(reversal)"),1,-1)+12,12)+1),"—")</f>
        <v>Libra</v>
      </c>
      <c r="F83" s="967">
        <f>IFERROR(ROUND((IFERROR(VLOOKUP(E83,REF_NarayanaDasaRules!$B$6:$G$17,6,0),0))/78*CALC_NarayanaDasa!$C$20,2),"—")</f>
        <v>0.14000000000000001</v>
      </c>
      <c r="G83" s="968">
        <f>IFERROR(CALC_NarayanaDasa!$D$20,"—")</f>
        <v>30908.25</v>
      </c>
      <c r="H83" s="968">
        <f t="shared" ref="H83:H94" si="24">IFERROR(G83+F83*365.25,"—")</f>
        <v>30959.384999999998</v>
      </c>
      <c r="I83" s="560" t="str">
        <f t="shared" ref="I83:I94" ca="1" si="25">IFERROR(IF(AND(TODAY()&gt;=G83,TODAY()&lt;H83),"▶ ACTIVE","·"),"·")</f>
        <v>·</v>
      </c>
      <c r="J83" s="969" t="str">
        <f t="shared" ref="J83:J94" ca="1" si="26">IFERROR(IF(I83="▶ ACTIVE",ROUND((H83-TODAY())/365.25,2),"·"),"·")</f>
        <v>·</v>
      </c>
      <c r="K83" s="645" t="str">
        <f ca="1">IFERROR(_xludf.switch(E83,"Aries","Identity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4" spans="1:11" ht="15.75" customHeight="1" x14ac:dyDescent="0.2">
      <c r="A84" s="970" t="str">
        <f>CALC_NarayanaDasa!$B$20</f>
        <v>Scorpio</v>
      </c>
      <c r="B84" s="970">
        <f>CALC_NarayanaDasa!$C$20</f>
        <v>11</v>
      </c>
      <c r="C84" s="971" t="str">
        <f>CALC_NarayanaDasa!$J$20</f>
        <v>Backward (even Lagna)</v>
      </c>
      <c r="D84" s="972">
        <v>2</v>
      </c>
      <c r="E84" s="973"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(reversal)"),2,-2)+12,12)+1),"—")</f>
        <v>Virgo</v>
      </c>
      <c r="F84" s="974">
        <f>IFERROR(ROUND((IFERROR(VLOOKUP(E84,REF_NarayanaDasaRules!$B$6:$G$17,6,0),0))/78*CALC_NarayanaDasa!$C$20,2),"—")</f>
        <v>1.1299999999999999</v>
      </c>
      <c r="G84" s="975">
        <f t="shared" ref="G84:G94" si="27">IFERROR(H83,"—")</f>
        <v>30959.384999999998</v>
      </c>
      <c r="H84" s="975">
        <f t="shared" si="24"/>
        <v>31372.117499999997</v>
      </c>
      <c r="I84" s="976" t="str">
        <f t="shared" ca="1" si="25"/>
        <v>·</v>
      </c>
      <c r="J84" s="977" t="str">
        <f t="shared" ca="1" si="26"/>
        <v>·</v>
      </c>
      <c r="K84" s="651" t="str">
        <f ca="1">IFERROR(_xludf.switch(E84,"Aries","Identity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5" spans="1:11" ht="15.75" customHeight="1" x14ac:dyDescent="0.2">
      <c r="A85" s="963" t="str">
        <f>CALC_NarayanaDasa!$B$20</f>
        <v>Scorpio</v>
      </c>
      <c r="B85" s="963">
        <f>CALC_NarayanaDasa!$C$20</f>
        <v>11</v>
      </c>
      <c r="C85" s="964" t="str">
        <f>CALC_NarayanaDasa!$J$20</f>
        <v>Backward (even Lagna)</v>
      </c>
      <c r="D85" s="965">
        <v>3</v>
      </c>
      <c r="E85" s="966"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(reversal)"),3,-3)+12,12)+1),"—")</f>
        <v>Leo</v>
      </c>
      <c r="F85" s="967">
        <f>IFERROR(ROUND((IFERROR(VLOOKUP(E85,REF_NarayanaDasaRules!$B$6:$G$17,6,0),0))/78*CALC_NarayanaDasa!$C$20,2),"—")</f>
        <v>1.27</v>
      </c>
      <c r="G85" s="968">
        <f t="shared" si="27"/>
        <v>31372.117499999997</v>
      </c>
      <c r="H85" s="968">
        <f t="shared" si="24"/>
        <v>31835.984999999997</v>
      </c>
      <c r="I85" s="560" t="str">
        <f t="shared" ca="1" si="25"/>
        <v>·</v>
      </c>
      <c r="J85" s="969" t="str">
        <f t="shared" ca="1" si="26"/>
        <v>·</v>
      </c>
      <c r="K85" s="645" t="str">
        <f ca="1">IFERROR(_xludf.switch(E85,"Aries","Identity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6" spans="1:11" ht="15.75" customHeight="1" x14ac:dyDescent="0.2">
      <c r="A86" s="970" t="str">
        <f>CALC_NarayanaDasa!$B$20</f>
        <v>Scorpio</v>
      </c>
      <c r="B86" s="970">
        <f>CALC_NarayanaDasa!$C$20</f>
        <v>11</v>
      </c>
      <c r="C86" s="971" t="str">
        <f>CALC_NarayanaDasa!$J$20</f>
        <v>Backward (even Lagna)</v>
      </c>
      <c r="D86" s="972">
        <v>4</v>
      </c>
      <c r="E86" s="973"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(reversal)"),4,-4)+12,12)+1),"—")</f>
        <v>Cancer</v>
      </c>
      <c r="F86" s="974">
        <f>IFERROR(ROUND((IFERROR(VLOOKUP(E86,REF_NarayanaDasaRules!$B$6:$G$17,6,0),0))/78*CALC_NarayanaDasa!$C$20,2),"—")</f>
        <v>1.41</v>
      </c>
      <c r="G86" s="975">
        <f t="shared" si="27"/>
        <v>31835.984999999997</v>
      </c>
      <c r="H86" s="975">
        <f t="shared" si="24"/>
        <v>32350.987499999996</v>
      </c>
      <c r="I86" s="976" t="str">
        <f t="shared" ca="1" si="25"/>
        <v>·</v>
      </c>
      <c r="J86" s="977" t="str">
        <f t="shared" ca="1" si="26"/>
        <v>·</v>
      </c>
      <c r="K86" s="651" t="str">
        <f ca="1">IFERROR(_xludf.switch(E86,"Aries","Identity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7" spans="1:11" ht="15.75" customHeight="1" x14ac:dyDescent="0.2">
      <c r="A87" s="963" t="str">
        <f>CALC_NarayanaDasa!$B$20</f>
        <v>Scorpio</v>
      </c>
      <c r="B87" s="963">
        <f>CALC_NarayanaDasa!$C$20</f>
        <v>11</v>
      </c>
      <c r="C87" s="964" t="str">
        <f>CALC_NarayanaDasa!$J$20</f>
        <v>Backward (even Lagna)</v>
      </c>
      <c r="D87" s="965">
        <v>5</v>
      </c>
      <c r="E87" s="966"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(reversal)"),5,-5)+12,12)+1),"—")</f>
        <v>Gemini</v>
      </c>
      <c r="F87" s="967">
        <f>IFERROR(ROUND((IFERROR(VLOOKUP(E87,REF_NarayanaDasaRules!$B$6:$G$17,6,0),0))/78*CALC_NarayanaDasa!$C$20,2),"—")</f>
        <v>0.28000000000000003</v>
      </c>
      <c r="G87" s="968">
        <f t="shared" si="27"/>
        <v>32350.987499999996</v>
      </c>
      <c r="H87" s="968">
        <f t="shared" si="24"/>
        <v>32453.257499999996</v>
      </c>
      <c r="I87" s="560" t="str">
        <f t="shared" ca="1" si="25"/>
        <v>·</v>
      </c>
      <c r="J87" s="969" t="str">
        <f t="shared" ca="1" si="26"/>
        <v>·</v>
      </c>
      <c r="K87" s="645" t="str">
        <f ca="1">IFERROR(_xludf.switch(E87,"Aries","Identity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8" spans="1:11" ht="15.75" customHeight="1" x14ac:dyDescent="0.2">
      <c r="A88" s="970" t="str">
        <f>CALC_NarayanaDasa!$B$20</f>
        <v>Scorpio</v>
      </c>
      <c r="B88" s="970">
        <f>CALC_NarayanaDasa!$C$20</f>
        <v>11</v>
      </c>
      <c r="C88" s="971" t="str">
        <f>CALC_NarayanaDasa!$J$20</f>
        <v>Backward (even Lagna)</v>
      </c>
      <c r="D88" s="972">
        <v>6</v>
      </c>
      <c r="E88" s="973"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(reversal)"),6,-6)+12,12)+1),"—")</f>
        <v>Taurus</v>
      </c>
      <c r="F88" s="974">
        <f>IFERROR(ROUND((IFERROR(VLOOKUP(E88,REF_NarayanaDasaRules!$B$6:$G$17,6,0),0))/78*CALC_NarayanaDasa!$C$20,2),"—")</f>
        <v>0.56000000000000005</v>
      </c>
      <c r="G88" s="975">
        <f t="shared" si="27"/>
        <v>32453.257499999996</v>
      </c>
      <c r="H88" s="975">
        <f t="shared" si="24"/>
        <v>32657.797499999997</v>
      </c>
      <c r="I88" s="976" t="str">
        <f t="shared" ca="1" si="25"/>
        <v>·</v>
      </c>
      <c r="J88" s="977" t="str">
        <f t="shared" ca="1" si="26"/>
        <v>·</v>
      </c>
      <c r="K88" s="651" t="str">
        <f ca="1">IFERROR(_xludf.switch(E88,"Aries","Identity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89" spans="1:11" ht="15.75" customHeight="1" x14ac:dyDescent="0.2">
      <c r="A89" s="963" t="str">
        <f>CALC_NarayanaDasa!$B$20</f>
        <v>Scorpio</v>
      </c>
      <c r="B89" s="963">
        <f>CALC_NarayanaDasa!$C$20</f>
        <v>11</v>
      </c>
      <c r="C89" s="964" t="str">
        <f>CALC_NarayanaDasa!$J$20</f>
        <v>Backward (even Lagna)</v>
      </c>
      <c r="D89" s="965">
        <v>7</v>
      </c>
      <c r="E89" s="966"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(reversal)"),7,-7)+12,12)+1),"—")</f>
        <v>Aries</v>
      </c>
      <c r="F89" s="967">
        <f>IFERROR(ROUND((IFERROR(VLOOKUP(E89,REF_NarayanaDasaRules!$B$6:$G$17,6,0),0))/78*CALC_NarayanaDasa!$C$20,2),"—")</f>
        <v>0.85</v>
      </c>
      <c r="G89" s="968">
        <f t="shared" si="27"/>
        <v>32657.797499999997</v>
      </c>
      <c r="H89" s="968">
        <f t="shared" si="24"/>
        <v>32968.259999999995</v>
      </c>
      <c r="I89" s="560" t="str">
        <f t="shared" ca="1" si="25"/>
        <v>·</v>
      </c>
      <c r="J89" s="969" t="str">
        <f t="shared" ca="1" si="26"/>
        <v>·</v>
      </c>
      <c r="K89" s="645" t="str">
        <f ca="1">IFERROR(_xludf.switch(E89,"Aries","Identity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0" spans="1:11" ht="15.75" customHeight="1" x14ac:dyDescent="0.2">
      <c r="A90" s="970" t="str">
        <f>CALC_NarayanaDasa!$B$20</f>
        <v>Scorpio</v>
      </c>
      <c r="B90" s="970">
        <f>CALC_NarayanaDasa!$C$20</f>
        <v>11</v>
      </c>
      <c r="C90" s="971" t="str">
        <f>CALC_NarayanaDasa!$J$20</f>
        <v>Backward (even Lagna)</v>
      </c>
      <c r="D90" s="972">
        <v>8</v>
      </c>
      <c r="E90" s="973"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(reversal)"),8,-8)+12,12)+1),"—")</f>
        <v>Pisces</v>
      </c>
      <c r="F90" s="974">
        <f>IFERROR(ROUND((IFERROR(VLOOKUP(E90,REF_NarayanaDasaRules!$B$6:$G$17,6,0),0))/78*CALC_NarayanaDasa!$C$20,2),"—")</f>
        <v>0.42</v>
      </c>
      <c r="G90" s="975">
        <f t="shared" si="27"/>
        <v>32968.259999999995</v>
      </c>
      <c r="H90" s="975">
        <f t="shared" si="24"/>
        <v>33121.664999999994</v>
      </c>
      <c r="I90" s="976" t="str">
        <f t="shared" ca="1" si="25"/>
        <v>·</v>
      </c>
      <c r="J90" s="977" t="str">
        <f t="shared" ca="1" si="26"/>
        <v>·</v>
      </c>
      <c r="K90" s="651" t="str">
        <f ca="1">IFERROR(_xludf.switch(E90,"Aries","Identity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1" spans="1:11" ht="15.75" customHeight="1" x14ac:dyDescent="0.2">
      <c r="A91" s="963" t="str">
        <f>CALC_NarayanaDasa!$B$20</f>
        <v>Scorpio</v>
      </c>
      <c r="B91" s="963">
        <f>CALC_NarayanaDasa!$C$20</f>
        <v>11</v>
      </c>
      <c r="C91" s="964" t="str">
        <f>CALC_NarayanaDasa!$J$20</f>
        <v>Backward (even Lagna)</v>
      </c>
      <c r="D91" s="965">
        <v>9</v>
      </c>
      <c r="E91" s="966"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(reversal)"),9,-9)+12,12)+1),"—")</f>
        <v>Aquarius</v>
      </c>
      <c r="F91" s="967">
        <f>IFERROR(ROUND((IFERROR(VLOOKUP(E91,REF_NarayanaDasaRules!$B$6:$G$17,6,0),0))/78*CALC_NarayanaDasa!$C$20,2),"—")</f>
        <v>1.69</v>
      </c>
      <c r="G91" s="968">
        <f t="shared" si="27"/>
        <v>33121.664999999994</v>
      </c>
      <c r="H91" s="968">
        <f t="shared" si="24"/>
        <v>33738.937499999993</v>
      </c>
      <c r="I91" s="560" t="str">
        <f t="shared" ca="1" si="25"/>
        <v>·</v>
      </c>
      <c r="J91" s="969" t="str">
        <f t="shared" ca="1" si="26"/>
        <v>·</v>
      </c>
      <c r="K91" s="645" t="str">
        <f ca="1">IFERROR(_xludf.switch(E91,"Aries","Identity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2" spans="1:11" ht="15.75" customHeight="1" x14ac:dyDescent="0.2">
      <c r="A92" s="970" t="str">
        <f>CALC_NarayanaDasa!$B$20</f>
        <v>Scorpio</v>
      </c>
      <c r="B92" s="970">
        <f>CALC_NarayanaDasa!$C$20</f>
        <v>11</v>
      </c>
      <c r="C92" s="971" t="str">
        <f>CALC_NarayanaDasa!$J$20</f>
        <v>Backward (even Lagna)</v>
      </c>
      <c r="D92" s="972">
        <v>10</v>
      </c>
      <c r="E92" s="973"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(reversal)"),10,-10)+12,12)+1),"—")</f>
        <v>Capricorn</v>
      </c>
      <c r="F92" s="974">
        <f>IFERROR(ROUND((IFERROR(VLOOKUP(E92,REF_NarayanaDasaRules!$B$6:$G$17,6,0),0))/78*CALC_NarayanaDasa!$C$20,2),"—")</f>
        <v>0.99</v>
      </c>
      <c r="G92" s="975">
        <f t="shared" si="27"/>
        <v>33738.937499999993</v>
      </c>
      <c r="H92" s="975">
        <f t="shared" si="24"/>
        <v>34100.534999999996</v>
      </c>
      <c r="I92" s="976" t="str">
        <f t="shared" ca="1" si="25"/>
        <v>·</v>
      </c>
      <c r="J92" s="977" t="str">
        <f t="shared" ca="1" si="26"/>
        <v>·</v>
      </c>
      <c r="K92" s="651" t="str">
        <f ca="1">IFERROR(_xludf.switch(E92,"Aries","Identity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3" spans="1:11" ht="15.75" customHeight="1" x14ac:dyDescent="0.2">
      <c r="A93" s="963" t="str">
        <f>CALC_NarayanaDasa!$B$20</f>
        <v>Scorpio</v>
      </c>
      <c r="B93" s="963">
        <f>CALC_NarayanaDasa!$C$20</f>
        <v>11</v>
      </c>
      <c r="C93" s="964" t="str">
        <f>CALC_NarayanaDasa!$J$20</f>
        <v>Backward (even Lagna)</v>
      </c>
      <c r="D93" s="965">
        <v>11</v>
      </c>
      <c r="E93" s="966"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(reversal)"),11,-11)+12,12)+1),"—")</f>
        <v>Sagittarius</v>
      </c>
      <c r="F93" s="967">
        <f>IFERROR(ROUND((IFERROR(VLOOKUP(E93,REF_NarayanaDasaRules!$B$6:$G$17,6,0),0))/78*CALC_NarayanaDasa!$C$20,2),"—")</f>
        <v>0.71</v>
      </c>
      <c r="G93" s="968">
        <f t="shared" si="27"/>
        <v>34100.534999999996</v>
      </c>
      <c r="H93" s="968">
        <f t="shared" si="24"/>
        <v>34359.862499999996</v>
      </c>
      <c r="I93" s="560" t="str">
        <f t="shared" ca="1" si="25"/>
        <v>·</v>
      </c>
      <c r="J93" s="969" t="str">
        <f t="shared" ca="1" si="26"/>
        <v>·</v>
      </c>
      <c r="K93" s="645" t="str">
        <f ca="1">IFERROR(_xludf.switch(E93,"Aries","Identity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4" spans="1:11" ht="15.75" customHeight="1" x14ac:dyDescent="0.2">
      <c r="A94" s="970" t="str">
        <f>CALC_NarayanaDasa!$B$20</f>
        <v>Scorpio</v>
      </c>
      <c r="B94" s="970">
        <f>CALC_NarayanaDasa!$C$20</f>
        <v>11</v>
      </c>
      <c r="C94" s="971" t="str">
        <f>CALC_NarayanaDasa!$J$20</f>
        <v>Backward (even Lagna)</v>
      </c>
      <c r="D94" s="972">
        <v>12</v>
      </c>
      <c r="E94" s="973" t="str">
        <f>IFERROR(INDEX({"Aries","Taurus","Gemini","Cancer","Leo","Virgo","Libra","Scorpio","Sagittarius","Capricorn","Aquarius","Pisces"},MOD(MATCH(CALC_NarayanaDasa!$B$20,{"Aries","Taurus","Gemini","Cancer","Leo","Virgo","Libra","Scorpio","Sagittarius","Capricorn","Aquarius","Pisces"},0)-1+IF(OR(CALC_NarayanaDasa!$J$20="Forward (odd Lagna)",CALC_NarayanaDasa!$J$20="Forward (reversal)"),12,-12)+12,12)+1),"—")</f>
        <v>Scorpio</v>
      </c>
      <c r="F94" s="974">
        <f>IFERROR(ROUND((IFERROR(VLOOKUP(E94,REF_NarayanaDasaRules!$B$6:$G$17,6,0),0))/78*CALC_NarayanaDasa!$C$20,2),"—")</f>
        <v>1.55</v>
      </c>
      <c r="G94" s="975">
        <f t="shared" si="27"/>
        <v>34359.862499999996</v>
      </c>
      <c r="H94" s="975">
        <f t="shared" si="24"/>
        <v>34925.999999999993</v>
      </c>
      <c r="I94" s="976" t="str">
        <f t="shared" ca="1" si="25"/>
        <v>·</v>
      </c>
      <c r="J94" s="977" t="str">
        <f t="shared" ca="1" si="26"/>
        <v>·</v>
      </c>
      <c r="K94" s="651" t="str">
        <f ca="1">IFERROR(_xludf.switch(E94,"Aries","Identity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5" spans="1:11" ht="15.75" customHeight="1" x14ac:dyDescent="0.2">
      <c r="A95" s="1578" t="str">
        <f>IFERROR("Maha sign "&amp;CALC_NarayanaDasa!$B$21&amp;" — "&amp;CALC_NarayanaDasa!$C$21&amp;" yrs — Sub-period direction: "&amp;CALC_NarayanaDasa!$J$21,"—")</f>
        <v>Maha sign Libra — 1 yrs — Sub-period direction: Backward (even Lagna)</v>
      </c>
      <c r="B95" s="1578"/>
      <c r="C95" s="1578"/>
      <c r="D95" s="1578"/>
      <c r="E95" s="1578"/>
      <c r="F95" s="1578"/>
      <c r="G95" s="1578"/>
      <c r="H95" s="1578"/>
      <c r="I95" s="1578"/>
      <c r="J95" s="1578"/>
      <c r="K95" s="1578"/>
    </row>
    <row r="96" spans="1:11" ht="15.75" customHeight="1" x14ac:dyDescent="0.2">
      <c r="A96" s="970" t="str">
        <f>CALC_NarayanaDasa!$B$21</f>
        <v>Libra</v>
      </c>
      <c r="B96" s="970">
        <f>CALC_NarayanaDasa!$C$21</f>
        <v>1</v>
      </c>
      <c r="C96" s="971" t="str">
        <f>CALC_NarayanaDasa!$J$21</f>
        <v>Backward (even Lagna)</v>
      </c>
      <c r="D96" s="972">
        <v>1</v>
      </c>
      <c r="E96" s="973"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(reversal)"),1,-1)+12,12)+1),"—")</f>
        <v>Virgo</v>
      </c>
      <c r="F96" s="974">
        <f>IFERROR(ROUND((IFERROR(VLOOKUP(E96,REF_NarayanaDasaRules!$B$6:$G$17,6,0),0))/78*CALC_NarayanaDasa!$C$21,2),"—")</f>
        <v>0.1</v>
      </c>
      <c r="G96" s="975">
        <f>IFERROR(CALC_NarayanaDasa!$D$21,"—")</f>
        <v>34926</v>
      </c>
      <c r="H96" s="975">
        <f t="shared" ref="H96:H107" si="28">IFERROR(G96+F96*365.25,"—")</f>
        <v>34962.525000000001</v>
      </c>
      <c r="I96" s="976" t="str">
        <f t="shared" ref="I96:I107" ca="1" si="29">IFERROR(IF(AND(TODAY()&gt;=G96,TODAY()&lt;H96),"▶ ACTIVE","·"),"·")</f>
        <v>·</v>
      </c>
      <c r="J96" s="977" t="str">
        <f t="shared" ref="J96:J107" ca="1" si="30">IFERROR(IF(I96="▶ ACTIVE",ROUND((H96-TODAY())/365.25,2),"·"),"·")</f>
        <v>·</v>
      </c>
      <c r="K96" s="651" t="str">
        <f ca="1">IFERROR(_xludf.switch(E96,"Aries","Identity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7" spans="1:11" ht="15.75" customHeight="1" x14ac:dyDescent="0.2">
      <c r="A97" s="963" t="str">
        <f>CALC_NarayanaDasa!$B$21</f>
        <v>Libra</v>
      </c>
      <c r="B97" s="963">
        <f>CALC_NarayanaDasa!$C$21</f>
        <v>1</v>
      </c>
      <c r="C97" s="964" t="str">
        <f>CALC_NarayanaDasa!$J$21</f>
        <v>Backward (even Lagna)</v>
      </c>
      <c r="D97" s="965">
        <v>2</v>
      </c>
      <c r="E97" s="966"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(reversal)"),2,-2)+12,12)+1),"—")</f>
        <v>Leo</v>
      </c>
      <c r="F97" s="967">
        <f>IFERROR(ROUND((IFERROR(VLOOKUP(E97,REF_NarayanaDasaRules!$B$6:$G$17,6,0),0))/78*CALC_NarayanaDasa!$C$21,2),"—")</f>
        <v>0.12</v>
      </c>
      <c r="G97" s="968">
        <f t="shared" ref="G97:G107" si="31">IFERROR(H96,"—")</f>
        <v>34962.525000000001</v>
      </c>
      <c r="H97" s="968">
        <f t="shared" si="28"/>
        <v>35006.355000000003</v>
      </c>
      <c r="I97" s="560" t="str">
        <f t="shared" ca="1" si="29"/>
        <v>·</v>
      </c>
      <c r="J97" s="969" t="str">
        <f t="shared" ca="1" si="30"/>
        <v>·</v>
      </c>
      <c r="K97" s="645" t="str">
        <f ca="1">IFERROR(_xludf.switch(E97,"Aries","Identity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8" spans="1:11" ht="15.75" customHeight="1" x14ac:dyDescent="0.2">
      <c r="A98" s="970" t="str">
        <f>CALC_NarayanaDasa!$B$21</f>
        <v>Libra</v>
      </c>
      <c r="B98" s="970">
        <f>CALC_NarayanaDasa!$C$21</f>
        <v>1</v>
      </c>
      <c r="C98" s="971" t="str">
        <f>CALC_NarayanaDasa!$J$21</f>
        <v>Backward (even Lagna)</v>
      </c>
      <c r="D98" s="972">
        <v>3</v>
      </c>
      <c r="E98" s="973"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(reversal)"),3,-3)+12,12)+1),"—")</f>
        <v>Cancer</v>
      </c>
      <c r="F98" s="974">
        <f>IFERROR(ROUND((IFERROR(VLOOKUP(E98,REF_NarayanaDasaRules!$B$6:$G$17,6,0),0))/78*CALC_NarayanaDasa!$C$21,2),"—")</f>
        <v>0.13</v>
      </c>
      <c r="G98" s="975">
        <f t="shared" si="31"/>
        <v>35006.355000000003</v>
      </c>
      <c r="H98" s="975">
        <f t="shared" si="28"/>
        <v>35053.837500000001</v>
      </c>
      <c r="I98" s="976" t="str">
        <f t="shared" ca="1" si="29"/>
        <v>·</v>
      </c>
      <c r="J98" s="977" t="str">
        <f t="shared" ca="1" si="30"/>
        <v>·</v>
      </c>
      <c r="K98" s="651" t="str">
        <f ca="1">IFERROR(_xludf.switch(E98,"Aries","Identity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99" spans="1:11" ht="15.75" customHeight="1" x14ac:dyDescent="0.2">
      <c r="A99" s="963" t="str">
        <f>CALC_NarayanaDasa!$B$21</f>
        <v>Libra</v>
      </c>
      <c r="B99" s="963">
        <f>CALC_NarayanaDasa!$C$21</f>
        <v>1</v>
      </c>
      <c r="C99" s="964" t="str">
        <f>CALC_NarayanaDasa!$J$21</f>
        <v>Backward (even Lagna)</v>
      </c>
      <c r="D99" s="965">
        <v>4</v>
      </c>
      <c r="E99" s="966"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(reversal)"),4,-4)+12,12)+1),"—")</f>
        <v>Gemini</v>
      </c>
      <c r="F99" s="967">
        <f>IFERROR(ROUND((IFERROR(VLOOKUP(E99,REF_NarayanaDasaRules!$B$6:$G$17,6,0),0))/78*CALC_NarayanaDasa!$C$21,2),"—")</f>
        <v>0.03</v>
      </c>
      <c r="G99" s="968">
        <f t="shared" si="31"/>
        <v>35053.837500000001</v>
      </c>
      <c r="H99" s="968">
        <f t="shared" si="28"/>
        <v>35064.794999999998</v>
      </c>
      <c r="I99" s="560" t="str">
        <f t="shared" ca="1" si="29"/>
        <v>·</v>
      </c>
      <c r="J99" s="969" t="str">
        <f t="shared" ca="1" si="30"/>
        <v>·</v>
      </c>
      <c r="K99" s="645" t="str">
        <f ca="1">IFERROR(_xludf.switch(E99,"Aries","Identity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0" spans="1:11" ht="15.75" customHeight="1" x14ac:dyDescent="0.2">
      <c r="A100" s="970" t="str">
        <f>CALC_NarayanaDasa!$B$21</f>
        <v>Libra</v>
      </c>
      <c r="B100" s="970">
        <f>CALC_NarayanaDasa!$C$21</f>
        <v>1</v>
      </c>
      <c r="C100" s="971" t="str">
        <f>CALC_NarayanaDasa!$J$21</f>
        <v>Backward (even Lagna)</v>
      </c>
      <c r="D100" s="972">
        <v>5</v>
      </c>
      <c r="E100" s="973"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(reversal)"),5,-5)+12,12)+1),"—")</f>
        <v>Taurus</v>
      </c>
      <c r="F100" s="974">
        <f>IFERROR(ROUND((IFERROR(VLOOKUP(E100,REF_NarayanaDasaRules!$B$6:$G$17,6,0),0))/78*CALC_NarayanaDasa!$C$21,2),"—")</f>
        <v>0.05</v>
      </c>
      <c r="G100" s="975">
        <f t="shared" si="31"/>
        <v>35064.794999999998</v>
      </c>
      <c r="H100" s="975">
        <f t="shared" si="28"/>
        <v>35083.057499999995</v>
      </c>
      <c r="I100" s="976" t="str">
        <f t="shared" ca="1" si="29"/>
        <v>·</v>
      </c>
      <c r="J100" s="977" t="str">
        <f t="shared" ca="1" si="30"/>
        <v>·</v>
      </c>
      <c r="K100" s="651" t="str">
        <f ca="1">IFERROR(_xludf.switch(E100,"Aries","Identity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1" spans="1:11" ht="15.75" customHeight="1" x14ac:dyDescent="0.2">
      <c r="A101" s="963" t="str">
        <f>CALC_NarayanaDasa!$B$21</f>
        <v>Libra</v>
      </c>
      <c r="B101" s="963">
        <f>CALC_NarayanaDasa!$C$21</f>
        <v>1</v>
      </c>
      <c r="C101" s="964" t="str">
        <f>CALC_NarayanaDasa!$J$21</f>
        <v>Backward (even Lagna)</v>
      </c>
      <c r="D101" s="965">
        <v>6</v>
      </c>
      <c r="E101" s="966"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(reversal)"),6,-6)+12,12)+1),"—")</f>
        <v>Aries</v>
      </c>
      <c r="F101" s="967">
        <f>IFERROR(ROUND((IFERROR(VLOOKUP(E101,REF_NarayanaDasaRules!$B$6:$G$17,6,0),0))/78*CALC_NarayanaDasa!$C$21,2),"—")</f>
        <v>0.08</v>
      </c>
      <c r="G101" s="968">
        <f t="shared" si="31"/>
        <v>35083.057499999995</v>
      </c>
      <c r="H101" s="968">
        <f t="shared" si="28"/>
        <v>35112.277499999997</v>
      </c>
      <c r="I101" s="560" t="str">
        <f t="shared" ca="1" si="29"/>
        <v>·</v>
      </c>
      <c r="J101" s="969" t="str">
        <f t="shared" ca="1" si="30"/>
        <v>·</v>
      </c>
      <c r="K101" s="645" t="str">
        <f ca="1">IFERROR(_xludf.switch(E101,"Aries","Identity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2" spans="1:11" ht="15.75" customHeight="1" x14ac:dyDescent="0.2">
      <c r="A102" s="970" t="str">
        <f>CALC_NarayanaDasa!$B$21</f>
        <v>Libra</v>
      </c>
      <c r="B102" s="970">
        <f>CALC_NarayanaDasa!$C$21</f>
        <v>1</v>
      </c>
      <c r="C102" s="971" t="str">
        <f>CALC_NarayanaDasa!$J$21</f>
        <v>Backward (even Lagna)</v>
      </c>
      <c r="D102" s="972">
        <v>7</v>
      </c>
      <c r="E102" s="973"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(reversal)"),7,-7)+12,12)+1),"—")</f>
        <v>Pisces</v>
      </c>
      <c r="F102" s="974">
        <f>IFERROR(ROUND((IFERROR(VLOOKUP(E102,REF_NarayanaDasaRules!$B$6:$G$17,6,0),0))/78*CALC_NarayanaDasa!$C$21,2),"—")</f>
        <v>0.04</v>
      </c>
      <c r="G102" s="975">
        <f t="shared" si="31"/>
        <v>35112.277499999997</v>
      </c>
      <c r="H102" s="975">
        <f t="shared" si="28"/>
        <v>35126.887499999997</v>
      </c>
      <c r="I102" s="976" t="str">
        <f t="shared" ca="1" si="29"/>
        <v>·</v>
      </c>
      <c r="J102" s="977" t="str">
        <f t="shared" ca="1" si="30"/>
        <v>·</v>
      </c>
      <c r="K102" s="651" t="str">
        <f ca="1">IFERROR(_xludf.switch(E102,"Aries","Identity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3" spans="1:11" ht="15.75" customHeight="1" x14ac:dyDescent="0.2">
      <c r="A103" s="963" t="str">
        <f>CALC_NarayanaDasa!$B$21</f>
        <v>Libra</v>
      </c>
      <c r="B103" s="963">
        <f>CALC_NarayanaDasa!$C$21</f>
        <v>1</v>
      </c>
      <c r="C103" s="964" t="str">
        <f>CALC_NarayanaDasa!$J$21</f>
        <v>Backward (even Lagna)</v>
      </c>
      <c r="D103" s="965">
        <v>8</v>
      </c>
      <c r="E103" s="966"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(reversal)"),8,-8)+12,12)+1),"—")</f>
        <v>Aquarius</v>
      </c>
      <c r="F103" s="967">
        <f>IFERROR(ROUND((IFERROR(VLOOKUP(E103,REF_NarayanaDasaRules!$B$6:$G$17,6,0),0))/78*CALC_NarayanaDasa!$C$21,2),"—")</f>
        <v>0.15</v>
      </c>
      <c r="G103" s="968">
        <f t="shared" si="31"/>
        <v>35126.887499999997</v>
      </c>
      <c r="H103" s="968">
        <f t="shared" si="28"/>
        <v>35181.674999999996</v>
      </c>
      <c r="I103" s="560" t="str">
        <f t="shared" ca="1" si="29"/>
        <v>·</v>
      </c>
      <c r="J103" s="969" t="str">
        <f t="shared" ca="1" si="30"/>
        <v>·</v>
      </c>
      <c r="K103" s="645" t="str">
        <f ca="1">IFERROR(_xludf.switch(E103,"Aries","Identity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4" spans="1:11" ht="15.75" customHeight="1" x14ac:dyDescent="0.2">
      <c r="A104" s="970" t="str">
        <f>CALC_NarayanaDasa!$B$21</f>
        <v>Libra</v>
      </c>
      <c r="B104" s="970">
        <f>CALC_NarayanaDasa!$C$21</f>
        <v>1</v>
      </c>
      <c r="C104" s="971" t="str">
        <f>CALC_NarayanaDasa!$J$21</f>
        <v>Backward (even Lagna)</v>
      </c>
      <c r="D104" s="972">
        <v>9</v>
      </c>
      <c r="E104" s="973"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(reversal)"),9,-9)+12,12)+1),"—")</f>
        <v>Capricorn</v>
      </c>
      <c r="F104" s="974">
        <f>IFERROR(ROUND((IFERROR(VLOOKUP(E104,REF_NarayanaDasaRules!$B$6:$G$17,6,0),0))/78*CALC_NarayanaDasa!$C$21,2),"—")</f>
        <v>0.09</v>
      </c>
      <c r="G104" s="975">
        <f t="shared" si="31"/>
        <v>35181.674999999996</v>
      </c>
      <c r="H104" s="975">
        <f t="shared" si="28"/>
        <v>35214.547499999993</v>
      </c>
      <c r="I104" s="976" t="str">
        <f t="shared" ca="1" si="29"/>
        <v>·</v>
      </c>
      <c r="J104" s="977" t="str">
        <f t="shared" ca="1" si="30"/>
        <v>·</v>
      </c>
      <c r="K104" s="651" t="str">
        <f ca="1">IFERROR(_xludf.switch(E104,"Aries","Identity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5" spans="1:11" ht="15.75" customHeight="1" x14ac:dyDescent="0.2">
      <c r="A105" s="963" t="str">
        <f>CALC_NarayanaDasa!$B$21</f>
        <v>Libra</v>
      </c>
      <c r="B105" s="963">
        <f>CALC_NarayanaDasa!$C$21</f>
        <v>1</v>
      </c>
      <c r="C105" s="964" t="str">
        <f>CALC_NarayanaDasa!$J$21</f>
        <v>Backward (even Lagna)</v>
      </c>
      <c r="D105" s="965">
        <v>10</v>
      </c>
      <c r="E105" s="966"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(reversal)"),10,-10)+12,12)+1),"—")</f>
        <v>Sagittarius</v>
      </c>
      <c r="F105" s="967">
        <f>IFERROR(ROUND((IFERROR(VLOOKUP(E105,REF_NarayanaDasaRules!$B$6:$G$17,6,0),0))/78*CALC_NarayanaDasa!$C$21,2),"—")</f>
        <v>0.06</v>
      </c>
      <c r="G105" s="968">
        <f t="shared" si="31"/>
        <v>35214.547499999993</v>
      </c>
      <c r="H105" s="968">
        <f t="shared" si="28"/>
        <v>35236.462499999994</v>
      </c>
      <c r="I105" s="560" t="str">
        <f t="shared" ca="1" si="29"/>
        <v>·</v>
      </c>
      <c r="J105" s="969" t="str">
        <f t="shared" ca="1" si="30"/>
        <v>·</v>
      </c>
      <c r="K105" s="645" t="str">
        <f ca="1">IFERROR(_xludf.switch(E105,"Aries","Identity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6" spans="1:11" ht="15.75" customHeight="1" x14ac:dyDescent="0.2">
      <c r="A106" s="970" t="str">
        <f>CALC_NarayanaDasa!$B$21</f>
        <v>Libra</v>
      </c>
      <c r="B106" s="970">
        <f>CALC_NarayanaDasa!$C$21</f>
        <v>1</v>
      </c>
      <c r="C106" s="971" t="str">
        <f>CALC_NarayanaDasa!$J$21</f>
        <v>Backward (even Lagna)</v>
      </c>
      <c r="D106" s="972">
        <v>11</v>
      </c>
      <c r="E106" s="973"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(reversal)"),11,-11)+12,12)+1),"—")</f>
        <v>Scorpio</v>
      </c>
      <c r="F106" s="974">
        <f>IFERROR(ROUND((IFERROR(VLOOKUP(E106,REF_NarayanaDasaRules!$B$6:$G$17,6,0),0))/78*CALC_NarayanaDasa!$C$21,2),"—")</f>
        <v>0.14000000000000001</v>
      </c>
      <c r="G106" s="975">
        <f t="shared" si="31"/>
        <v>35236.462499999994</v>
      </c>
      <c r="H106" s="975">
        <f t="shared" si="28"/>
        <v>35287.597499999996</v>
      </c>
      <c r="I106" s="976" t="str">
        <f t="shared" ca="1" si="29"/>
        <v>·</v>
      </c>
      <c r="J106" s="977" t="str">
        <f t="shared" ca="1" si="30"/>
        <v>·</v>
      </c>
      <c r="K106" s="651" t="str">
        <f ca="1">IFERROR(_xludf.switch(E106,"Aries","Identity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7" spans="1:11" ht="15.75" customHeight="1" x14ac:dyDescent="0.2">
      <c r="A107" s="963" t="str">
        <f>CALC_NarayanaDasa!$B$21</f>
        <v>Libra</v>
      </c>
      <c r="B107" s="963">
        <f>CALC_NarayanaDasa!$C$21</f>
        <v>1</v>
      </c>
      <c r="C107" s="964" t="str">
        <f>CALC_NarayanaDasa!$J$21</f>
        <v>Backward (even Lagna)</v>
      </c>
      <c r="D107" s="965">
        <v>12</v>
      </c>
      <c r="E107" s="966" t="str">
        <f>IFERROR(INDEX({"Aries","Taurus","Gemini","Cancer","Leo","Virgo","Libra","Scorpio","Sagittarius","Capricorn","Aquarius","Pisces"},MOD(MATCH(CALC_NarayanaDasa!$B$21,{"Aries","Taurus","Gemini","Cancer","Leo","Virgo","Libra","Scorpio","Sagittarius","Capricorn","Aquarius","Pisces"},0)-1+IF(OR(CALC_NarayanaDasa!$J$21="Forward (odd Lagna)",CALC_NarayanaDasa!$J$21="Forward (reversal)"),12,-12)+12,12)+1),"—")</f>
        <v>Libra</v>
      </c>
      <c r="F107" s="967">
        <f>IFERROR(ROUND((IFERROR(VLOOKUP(E107,REF_NarayanaDasaRules!$B$6:$G$17,6,0),0))/78*CALC_NarayanaDasa!$C$21,2),"—")</f>
        <v>0.01</v>
      </c>
      <c r="G107" s="968">
        <f t="shared" si="31"/>
        <v>35287.597499999996</v>
      </c>
      <c r="H107" s="968">
        <f t="shared" si="28"/>
        <v>35291.249999999993</v>
      </c>
      <c r="I107" s="560" t="str">
        <f t="shared" ca="1" si="29"/>
        <v>·</v>
      </c>
      <c r="J107" s="969" t="str">
        <f t="shared" ca="1" si="30"/>
        <v>·</v>
      </c>
      <c r="K107" s="645" t="str">
        <f ca="1">IFERROR(_xludf.switch(E107,"Aries","Identity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08" spans="1:11" ht="15.75" customHeight="1" x14ac:dyDescent="0.2">
      <c r="A108" s="1578" t="str">
        <f>IFERROR("Maha sign "&amp;CALC_NarayanaDasa!$B$22&amp;" — "&amp;CALC_NarayanaDasa!$C$22&amp;" yrs — Sub-period direction: "&amp;CALC_NarayanaDasa!$J$22,"—")</f>
        <v>Maha sign Virgo — 8 yrs — Sub-period direction: Backward (even Lagna)</v>
      </c>
      <c r="B108" s="1578"/>
      <c r="C108" s="1578"/>
      <c r="D108" s="1578"/>
      <c r="E108" s="1578"/>
      <c r="F108" s="1578"/>
      <c r="G108" s="1578"/>
      <c r="H108" s="1578"/>
      <c r="I108" s="1578"/>
      <c r="J108" s="1578"/>
      <c r="K108" s="1578"/>
    </row>
    <row r="109" spans="1:11" ht="15.75" customHeight="1" x14ac:dyDescent="0.2">
      <c r="A109" s="963" t="str">
        <f>CALC_NarayanaDasa!$B$22</f>
        <v>Virgo</v>
      </c>
      <c r="B109" s="963">
        <f>CALC_NarayanaDasa!$C$22</f>
        <v>8</v>
      </c>
      <c r="C109" s="964" t="str">
        <f>CALC_NarayanaDasa!$J$22</f>
        <v>Backward (even Lagna)</v>
      </c>
      <c r="D109" s="965">
        <v>1</v>
      </c>
      <c r="E109" s="966"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(reversal)"),1,-1)+12,12)+1),"—")</f>
        <v>Leo</v>
      </c>
      <c r="F109" s="967">
        <f>IFERROR(ROUND((IFERROR(VLOOKUP(E109,REF_NarayanaDasaRules!$B$6:$G$17,6,0),0))/78*CALC_NarayanaDasa!$C$22,2),"—")</f>
        <v>0.92</v>
      </c>
      <c r="G109" s="968">
        <f>IFERROR(CALC_NarayanaDasa!$D$22,"—")</f>
        <v>35291.25</v>
      </c>
      <c r="H109" s="968">
        <f t="shared" ref="H109:H120" si="32">IFERROR(G109+F109*365.25,"—")</f>
        <v>35627.279999999999</v>
      </c>
      <c r="I109" s="560" t="str">
        <f t="shared" ref="I109:I120" ca="1" si="33">IFERROR(IF(AND(TODAY()&gt;=G109,TODAY()&lt;H109),"▶ ACTIVE","·"),"·")</f>
        <v>·</v>
      </c>
      <c r="J109" s="969" t="str">
        <f t="shared" ref="J109:J120" ca="1" si="34">IFERROR(IF(I109="▶ ACTIVE",ROUND((H109-TODAY())/365.25,2),"·"),"·")</f>
        <v>·</v>
      </c>
      <c r="K109" s="645" t="str">
        <f ca="1">IFERROR(_xludf.switch(E109,"Aries","Identity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0" spans="1:11" ht="15.75" customHeight="1" x14ac:dyDescent="0.2">
      <c r="A110" s="970" t="str">
        <f>CALC_NarayanaDasa!$B$22</f>
        <v>Virgo</v>
      </c>
      <c r="B110" s="970">
        <f>CALC_NarayanaDasa!$C$22</f>
        <v>8</v>
      </c>
      <c r="C110" s="971" t="str">
        <f>CALC_NarayanaDasa!$J$22</f>
        <v>Backward (even Lagna)</v>
      </c>
      <c r="D110" s="972">
        <v>2</v>
      </c>
      <c r="E110" s="973"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(reversal)"),2,-2)+12,12)+1),"—")</f>
        <v>Cancer</v>
      </c>
      <c r="F110" s="974">
        <f>IFERROR(ROUND((IFERROR(VLOOKUP(E110,REF_NarayanaDasaRules!$B$6:$G$17,6,0),0))/78*CALC_NarayanaDasa!$C$22,2),"—")</f>
        <v>1.03</v>
      </c>
      <c r="G110" s="975">
        <f t="shared" ref="G110:G120" si="35">IFERROR(H109,"—")</f>
        <v>35627.279999999999</v>
      </c>
      <c r="H110" s="975">
        <f t="shared" si="32"/>
        <v>36003.487499999996</v>
      </c>
      <c r="I110" s="976" t="str">
        <f t="shared" ca="1" si="33"/>
        <v>·</v>
      </c>
      <c r="J110" s="977" t="str">
        <f t="shared" ca="1" si="34"/>
        <v>·</v>
      </c>
      <c r="K110" s="651" t="str">
        <f ca="1">IFERROR(_xludf.switch(E110,"Aries","Identity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1" spans="1:11" ht="15.75" customHeight="1" x14ac:dyDescent="0.2">
      <c r="A111" s="963" t="str">
        <f>CALC_NarayanaDasa!$B$22</f>
        <v>Virgo</v>
      </c>
      <c r="B111" s="963">
        <f>CALC_NarayanaDasa!$C$22</f>
        <v>8</v>
      </c>
      <c r="C111" s="964" t="str">
        <f>CALC_NarayanaDasa!$J$22</f>
        <v>Backward (even Lagna)</v>
      </c>
      <c r="D111" s="965">
        <v>3</v>
      </c>
      <c r="E111" s="966"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(reversal)"),3,-3)+12,12)+1),"—")</f>
        <v>Gemini</v>
      </c>
      <c r="F111" s="967">
        <f>IFERROR(ROUND((IFERROR(VLOOKUP(E111,REF_NarayanaDasaRules!$B$6:$G$17,6,0),0))/78*CALC_NarayanaDasa!$C$22,2),"—")</f>
        <v>0.21</v>
      </c>
      <c r="G111" s="968">
        <f t="shared" si="35"/>
        <v>36003.487499999996</v>
      </c>
      <c r="H111" s="968">
        <f t="shared" si="32"/>
        <v>36080.189999999995</v>
      </c>
      <c r="I111" s="560" t="str">
        <f t="shared" ca="1" si="33"/>
        <v>·</v>
      </c>
      <c r="J111" s="969" t="str">
        <f t="shared" ca="1" si="34"/>
        <v>·</v>
      </c>
      <c r="K111" s="645" t="str">
        <f ca="1">IFERROR(_xludf.switch(E111,"Aries","Identity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2" spans="1:11" ht="15.75" customHeight="1" x14ac:dyDescent="0.2">
      <c r="A112" s="970" t="str">
        <f>CALC_NarayanaDasa!$B$22</f>
        <v>Virgo</v>
      </c>
      <c r="B112" s="970">
        <f>CALC_NarayanaDasa!$C$22</f>
        <v>8</v>
      </c>
      <c r="C112" s="971" t="str">
        <f>CALC_NarayanaDasa!$J$22</f>
        <v>Backward (even Lagna)</v>
      </c>
      <c r="D112" s="972">
        <v>4</v>
      </c>
      <c r="E112" s="973"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(reversal)"),4,-4)+12,12)+1),"—")</f>
        <v>Taurus</v>
      </c>
      <c r="F112" s="974">
        <f>IFERROR(ROUND((IFERROR(VLOOKUP(E112,REF_NarayanaDasaRules!$B$6:$G$17,6,0),0))/78*CALC_NarayanaDasa!$C$22,2),"—")</f>
        <v>0.41</v>
      </c>
      <c r="G112" s="975">
        <f t="shared" si="35"/>
        <v>36080.189999999995</v>
      </c>
      <c r="H112" s="975">
        <f t="shared" si="32"/>
        <v>36229.942499999997</v>
      </c>
      <c r="I112" s="976" t="str">
        <f t="shared" ca="1" si="33"/>
        <v>·</v>
      </c>
      <c r="J112" s="977" t="str">
        <f t="shared" ca="1" si="34"/>
        <v>·</v>
      </c>
      <c r="K112" s="651" t="str">
        <f ca="1">IFERROR(_xludf.switch(E112,"Aries","Identity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3" spans="1:11" ht="15.75" customHeight="1" x14ac:dyDescent="0.2">
      <c r="A113" s="963" t="str">
        <f>CALC_NarayanaDasa!$B$22</f>
        <v>Virgo</v>
      </c>
      <c r="B113" s="963">
        <f>CALC_NarayanaDasa!$C$22</f>
        <v>8</v>
      </c>
      <c r="C113" s="964" t="str">
        <f>CALC_NarayanaDasa!$J$22</f>
        <v>Backward (even Lagna)</v>
      </c>
      <c r="D113" s="965">
        <v>5</v>
      </c>
      <c r="E113" s="966"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(reversal)"),5,-5)+12,12)+1),"—")</f>
        <v>Aries</v>
      </c>
      <c r="F113" s="967">
        <f>IFERROR(ROUND((IFERROR(VLOOKUP(E113,REF_NarayanaDasaRules!$B$6:$G$17,6,0),0))/78*CALC_NarayanaDasa!$C$22,2),"—")</f>
        <v>0.62</v>
      </c>
      <c r="G113" s="968">
        <f t="shared" si="35"/>
        <v>36229.942499999997</v>
      </c>
      <c r="H113" s="968">
        <f t="shared" si="32"/>
        <v>36456.397499999999</v>
      </c>
      <c r="I113" s="560" t="str">
        <f t="shared" ca="1" si="33"/>
        <v>·</v>
      </c>
      <c r="J113" s="969" t="str">
        <f t="shared" ca="1" si="34"/>
        <v>·</v>
      </c>
      <c r="K113" s="645" t="str">
        <f ca="1">IFERROR(_xludf.switch(E113,"Aries","Identity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4" spans="1:11" ht="15.75" customHeight="1" x14ac:dyDescent="0.2">
      <c r="A114" s="970" t="str">
        <f>CALC_NarayanaDasa!$B$22</f>
        <v>Virgo</v>
      </c>
      <c r="B114" s="970">
        <f>CALC_NarayanaDasa!$C$22</f>
        <v>8</v>
      </c>
      <c r="C114" s="971" t="str">
        <f>CALC_NarayanaDasa!$J$22</f>
        <v>Backward (even Lagna)</v>
      </c>
      <c r="D114" s="972">
        <v>6</v>
      </c>
      <c r="E114" s="973"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(reversal)"),6,-6)+12,12)+1),"—")</f>
        <v>Pisces</v>
      </c>
      <c r="F114" s="974">
        <f>IFERROR(ROUND((IFERROR(VLOOKUP(E114,REF_NarayanaDasaRules!$B$6:$G$17,6,0),0))/78*CALC_NarayanaDasa!$C$22,2),"—")</f>
        <v>0.31</v>
      </c>
      <c r="G114" s="975">
        <f t="shared" si="35"/>
        <v>36456.397499999999</v>
      </c>
      <c r="H114" s="975">
        <f t="shared" si="32"/>
        <v>36569.625</v>
      </c>
      <c r="I114" s="976" t="str">
        <f t="shared" ca="1" si="33"/>
        <v>·</v>
      </c>
      <c r="J114" s="977" t="str">
        <f t="shared" ca="1" si="34"/>
        <v>·</v>
      </c>
      <c r="K114" s="651" t="str">
        <f ca="1">IFERROR(_xludf.switch(E114,"Aries","Identity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5" spans="1:11" ht="15.75" customHeight="1" x14ac:dyDescent="0.2">
      <c r="A115" s="963" t="str">
        <f>CALC_NarayanaDasa!$B$22</f>
        <v>Virgo</v>
      </c>
      <c r="B115" s="963">
        <f>CALC_NarayanaDasa!$C$22</f>
        <v>8</v>
      </c>
      <c r="C115" s="964" t="str">
        <f>CALC_NarayanaDasa!$J$22</f>
        <v>Backward (even Lagna)</v>
      </c>
      <c r="D115" s="965">
        <v>7</v>
      </c>
      <c r="E115" s="966"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(reversal)"),7,-7)+12,12)+1),"—")</f>
        <v>Aquarius</v>
      </c>
      <c r="F115" s="967">
        <f>IFERROR(ROUND((IFERROR(VLOOKUP(E115,REF_NarayanaDasaRules!$B$6:$G$17,6,0),0))/78*CALC_NarayanaDasa!$C$22,2),"—")</f>
        <v>1.23</v>
      </c>
      <c r="G115" s="968">
        <f t="shared" si="35"/>
        <v>36569.625</v>
      </c>
      <c r="H115" s="968">
        <f t="shared" si="32"/>
        <v>37018.8825</v>
      </c>
      <c r="I115" s="560" t="str">
        <f t="shared" ca="1" si="33"/>
        <v>·</v>
      </c>
      <c r="J115" s="969" t="str">
        <f t="shared" ca="1" si="34"/>
        <v>·</v>
      </c>
      <c r="K115" s="645" t="str">
        <f ca="1">IFERROR(_xludf.switch(E115,"Aries","Identity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6" spans="1:11" ht="15.75" customHeight="1" x14ac:dyDescent="0.2">
      <c r="A116" s="970" t="str">
        <f>CALC_NarayanaDasa!$B$22</f>
        <v>Virgo</v>
      </c>
      <c r="B116" s="970">
        <f>CALC_NarayanaDasa!$C$22</f>
        <v>8</v>
      </c>
      <c r="C116" s="971" t="str">
        <f>CALC_NarayanaDasa!$J$22</f>
        <v>Backward (even Lagna)</v>
      </c>
      <c r="D116" s="972">
        <v>8</v>
      </c>
      <c r="E116" s="973"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(reversal)"),8,-8)+12,12)+1),"—")</f>
        <v>Capricorn</v>
      </c>
      <c r="F116" s="974">
        <f>IFERROR(ROUND((IFERROR(VLOOKUP(E116,REF_NarayanaDasaRules!$B$6:$G$17,6,0),0))/78*CALC_NarayanaDasa!$C$22,2),"—")</f>
        <v>0.72</v>
      </c>
      <c r="G116" s="975">
        <f t="shared" si="35"/>
        <v>37018.8825</v>
      </c>
      <c r="H116" s="975">
        <f t="shared" si="32"/>
        <v>37281.862500000003</v>
      </c>
      <c r="I116" s="976" t="str">
        <f t="shared" ca="1" si="33"/>
        <v>·</v>
      </c>
      <c r="J116" s="977" t="str">
        <f t="shared" ca="1" si="34"/>
        <v>·</v>
      </c>
      <c r="K116" s="651" t="str">
        <f ca="1">IFERROR(_xludf.switch(E116,"Aries","Identity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7" spans="1:11" ht="15.75" customHeight="1" x14ac:dyDescent="0.2">
      <c r="A117" s="963" t="str">
        <f>CALC_NarayanaDasa!$B$22</f>
        <v>Virgo</v>
      </c>
      <c r="B117" s="963">
        <f>CALC_NarayanaDasa!$C$22</f>
        <v>8</v>
      </c>
      <c r="C117" s="964" t="str">
        <f>CALC_NarayanaDasa!$J$22</f>
        <v>Backward (even Lagna)</v>
      </c>
      <c r="D117" s="965">
        <v>9</v>
      </c>
      <c r="E117" s="966"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(reversal)"),9,-9)+12,12)+1),"—")</f>
        <v>Sagittarius</v>
      </c>
      <c r="F117" s="967">
        <f>IFERROR(ROUND((IFERROR(VLOOKUP(E117,REF_NarayanaDasaRules!$B$6:$G$17,6,0),0))/78*CALC_NarayanaDasa!$C$22,2),"—")</f>
        <v>0.51</v>
      </c>
      <c r="G117" s="968">
        <f t="shared" si="35"/>
        <v>37281.862500000003</v>
      </c>
      <c r="H117" s="968">
        <f t="shared" si="32"/>
        <v>37468.14</v>
      </c>
      <c r="I117" s="560" t="str">
        <f t="shared" ca="1" si="33"/>
        <v>·</v>
      </c>
      <c r="J117" s="969" t="str">
        <f t="shared" ca="1" si="34"/>
        <v>·</v>
      </c>
      <c r="K117" s="645" t="str">
        <f ca="1">IFERROR(_xludf.switch(E117,"Aries","Identity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8" spans="1:11" ht="15.75" customHeight="1" x14ac:dyDescent="0.2">
      <c r="A118" s="970" t="str">
        <f>CALC_NarayanaDasa!$B$22</f>
        <v>Virgo</v>
      </c>
      <c r="B118" s="970">
        <f>CALC_NarayanaDasa!$C$22</f>
        <v>8</v>
      </c>
      <c r="C118" s="971" t="str">
        <f>CALC_NarayanaDasa!$J$22</f>
        <v>Backward (even Lagna)</v>
      </c>
      <c r="D118" s="972">
        <v>10</v>
      </c>
      <c r="E118" s="973"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(reversal)"),10,-10)+12,12)+1),"—")</f>
        <v>Scorpio</v>
      </c>
      <c r="F118" s="974">
        <f>IFERROR(ROUND((IFERROR(VLOOKUP(E118,REF_NarayanaDasaRules!$B$6:$G$17,6,0),0))/78*CALC_NarayanaDasa!$C$22,2),"—")</f>
        <v>1.1299999999999999</v>
      </c>
      <c r="G118" s="975">
        <f t="shared" si="35"/>
        <v>37468.14</v>
      </c>
      <c r="H118" s="975">
        <f t="shared" si="32"/>
        <v>37880.872499999998</v>
      </c>
      <c r="I118" s="976" t="str">
        <f t="shared" ca="1" si="33"/>
        <v>·</v>
      </c>
      <c r="J118" s="977" t="str">
        <f t="shared" ca="1" si="34"/>
        <v>·</v>
      </c>
      <c r="K118" s="651" t="str">
        <f ca="1">IFERROR(_xludf.switch(E118,"Aries","Identity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19" spans="1:11" ht="15.75" customHeight="1" x14ac:dyDescent="0.2">
      <c r="A119" s="963" t="str">
        <f>CALC_NarayanaDasa!$B$22</f>
        <v>Virgo</v>
      </c>
      <c r="B119" s="963">
        <f>CALC_NarayanaDasa!$C$22</f>
        <v>8</v>
      </c>
      <c r="C119" s="964" t="str">
        <f>CALC_NarayanaDasa!$J$22</f>
        <v>Backward (even Lagna)</v>
      </c>
      <c r="D119" s="965">
        <v>11</v>
      </c>
      <c r="E119" s="966"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(reversal)"),11,-11)+12,12)+1),"—")</f>
        <v>Libra</v>
      </c>
      <c r="F119" s="967">
        <f>IFERROR(ROUND((IFERROR(VLOOKUP(E119,REF_NarayanaDasaRules!$B$6:$G$17,6,0),0))/78*CALC_NarayanaDasa!$C$22,2),"—")</f>
        <v>0.1</v>
      </c>
      <c r="G119" s="968">
        <f t="shared" si="35"/>
        <v>37880.872499999998</v>
      </c>
      <c r="H119" s="968">
        <f t="shared" si="32"/>
        <v>37917.397499999999</v>
      </c>
      <c r="I119" s="560" t="str">
        <f t="shared" ca="1" si="33"/>
        <v>·</v>
      </c>
      <c r="J119" s="969" t="str">
        <f t="shared" ca="1" si="34"/>
        <v>·</v>
      </c>
      <c r="K119" s="645" t="str">
        <f ca="1">IFERROR(_xludf.switch(E119,"Aries","Identity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0" spans="1:11" ht="15.75" customHeight="1" x14ac:dyDescent="0.2">
      <c r="A120" s="970" t="str">
        <f>CALC_NarayanaDasa!$B$22</f>
        <v>Virgo</v>
      </c>
      <c r="B120" s="970">
        <f>CALC_NarayanaDasa!$C$22</f>
        <v>8</v>
      </c>
      <c r="C120" s="971" t="str">
        <f>CALC_NarayanaDasa!$J$22</f>
        <v>Backward (even Lagna)</v>
      </c>
      <c r="D120" s="972">
        <v>12</v>
      </c>
      <c r="E120" s="973" t="str">
        <f>IFERROR(INDEX({"Aries","Taurus","Gemini","Cancer","Leo","Virgo","Libra","Scorpio","Sagittarius","Capricorn","Aquarius","Pisces"},MOD(MATCH(CALC_NarayanaDasa!$B$22,{"Aries","Taurus","Gemini","Cancer","Leo","Virgo","Libra","Scorpio","Sagittarius","Capricorn","Aquarius","Pisces"},0)-1+IF(OR(CALC_NarayanaDasa!$J$22="Forward (odd Lagna)",CALC_NarayanaDasa!$J$22="Forward (reversal)"),12,-12)+12,12)+1),"—")</f>
        <v>Virgo</v>
      </c>
      <c r="F120" s="974">
        <f>IFERROR(ROUND((IFERROR(VLOOKUP(E120,REF_NarayanaDasaRules!$B$6:$G$17,6,0),0))/78*CALC_NarayanaDasa!$C$22,2),"—")</f>
        <v>0.82</v>
      </c>
      <c r="G120" s="975">
        <f t="shared" si="35"/>
        <v>37917.397499999999</v>
      </c>
      <c r="H120" s="975">
        <f t="shared" si="32"/>
        <v>38216.902499999997</v>
      </c>
      <c r="I120" s="976" t="str">
        <f t="shared" ca="1" si="33"/>
        <v>·</v>
      </c>
      <c r="J120" s="977" t="str">
        <f t="shared" ca="1" si="34"/>
        <v>·</v>
      </c>
      <c r="K120" s="651" t="str">
        <f ca="1">IFERROR(_xludf.switch(E120,"Aries","Identity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1" spans="1:11" ht="15.75" customHeight="1" x14ac:dyDescent="0.2">
      <c r="A121" s="1578" t="str">
        <f>IFERROR("Maha sign "&amp;CALC_NarayanaDasa!$B$23&amp;" — "&amp;CALC_NarayanaDasa!$C$23&amp;" yrs — Sub-period direction: "&amp;CALC_NarayanaDasa!$J$23,"—")</f>
        <v>Maha sign Leo — 9 yrs — Sub-period direction: Backward (even Lagna)</v>
      </c>
      <c r="B121" s="1578"/>
      <c r="C121" s="1578"/>
      <c r="D121" s="1578"/>
      <c r="E121" s="1578"/>
      <c r="F121" s="1578"/>
      <c r="G121" s="1578"/>
      <c r="H121" s="1578"/>
      <c r="I121" s="1578"/>
      <c r="J121" s="1578"/>
      <c r="K121" s="1578"/>
    </row>
    <row r="122" spans="1:11" ht="15.75" customHeight="1" x14ac:dyDescent="0.2">
      <c r="A122" s="970" t="str">
        <f>CALC_NarayanaDasa!$B$23</f>
        <v>Leo</v>
      </c>
      <c r="B122" s="970">
        <f>CALC_NarayanaDasa!$C$23</f>
        <v>9</v>
      </c>
      <c r="C122" s="971" t="str">
        <f>CALC_NarayanaDasa!$J$23</f>
        <v>Backward (even Lagna)</v>
      </c>
      <c r="D122" s="972">
        <v>1</v>
      </c>
      <c r="E122" s="973"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(reversal)"),1,-1)+12,12)+1),"—")</f>
        <v>Cancer</v>
      </c>
      <c r="F122" s="974">
        <f>IFERROR(ROUND((IFERROR(VLOOKUP(E122,REF_NarayanaDasaRules!$B$6:$G$17,6,0),0))/78*CALC_NarayanaDasa!$C$23,2),"—")</f>
        <v>1.1499999999999999</v>
      </c>
      <c r="G122" s="975">
        <f>IFERROR(CALC_NarayanaDasa!$D$23,"—")</f>
        <v>38213.25</v>
      </c>
      <c r="H122" s="975">
        <f t="shared" ref="H122:H133" si="36">IFERROR(G122+F122*365.25,"—")</f>
        <v>38633.287499999999</v>
      </c>
      <c r="I122" s="976" t="str">
        <f t="shared" ref="I122:I133" ca="1" si="37">IFERROR(IF(AND(TODAY()&gt;=G122,TODAY()&lt;H122),"▶ ACTIVE","·"),"·")</f>
        <v>·</v>
      </c>
      <c r="J122" s="977" t="str">
        <f t="shared" ref="J122:J133" ca="1" si="38">IFERROR(IF(I122="▶ ACTIVE",ROUND((H122-TODAY())/365.25,2),"·"),"·")</f>
        <v>·</v>
      </c>
      <c r="K122" s="651" t="str">
        <f ca="1">IFERROR(_xludf.switch(E122,"Aries","Identity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3" spans="1:11" ht="15.75" customHeight="1" x14ac:dyDescent="0.2">
      <c r="A123" s="963" t="str">
        <f>CALC_NarayanaDasa!$B$23</f>
        <v>Leo</v>
      </c>
      <c r="B123" s="963">
        <f>CALC_NarayanaDasa!$C$23</f>
        <v>9</v>
      </c>
      <c r="C123" s="964" t="str">
        <f>CALC_NarayanaDasa!$J$23</f>
        <v>Backward (even Lagna)</v>
      </c>
      <c r="D123" s="965">
        <v>2</v>
      </c>
      <c r="E123" s="966"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(reversal)"),2,-2)+12,12)+1),"—")</f>
        <v>Gemini</v>
      </c>
      <c r="F123" s="967">
        <f>IFERROR(ROUND((IFERROR(VLOOKUP(E123,REF_NarayanaDasaRules!$B$6:$G$17,6,0),0))/78*CALC_NarayanaDasa!$C$23,2),"—")</f>
        <v>0.23</v>
      </c>
      <c r="G123" s="968">
        <f t="shared" ref="G123:G133" si="39">IFERROR(H122,"—")</f>
        <v>38633.287499999999</v>
      </c>
      <c r="H123" s="968">
        <f t="shared" si="36"/>
        <v>38717.294999999998</v>
      </c>
      <c r="I123" s="560" t="str">
        <f t="shared" ca="1" si="37"/>
        <v>·</v>
      </c>
      <c r="J123" s="969" t="str">
        <f t="shared" ca="1" si="38"/>
        <v>·</v>
      </c>
      <c r="K123" s="645" t="str">
        <f ca="1">IFERROR(_xludf.switch(E123,"Aries","Identity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4" spans="1:11" ht="15.75" customHeight="1" x14ac:dyDescent="0.2">
      <c r="A124" s="970" t="str">
        <f>CALC_NarayanaDasa!$B$23</f>
        <v>Leo</v>
      </c>
      <c r="B124" s="970">
        <f>CALC_NarayanaDasa!$C$23</f>
        <v>9</v>
      </c>
      <c r="C124" s="971" t="str">
        <f>CALC_NarayanaDasa!$J$23</f>
        <v>Backward (even Lagna)</v>
      </c>
      <c r="D124" s="972">
        <v>3</v>
      </c>
      <c r="E124" s="973"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(reversal)"),3,-3)+12,12)+1),"—")</f>
        <v>Taurus</v>
      </c>
      <c r="F124" s="974">
        <f>IFERROR(ROUND((IFERROR(VLOOKUP(E124,REF_NarayanaDasaRules!$B$6:$G$17,6,0),0))/78*CALC_NarayanaDasa!$C$23,2),"—")</f>
        <v>0.46</v>
      </c>
      <c r="G124" s="975">
        <f t="shared" si="39"/>
        <v>38717.294999999998</v>
      </c>
      <c r="H124" s="975">
        <f t="shared" si="36"/>
        <v>38885.31</v>
      </c>
      <c r="I124" s="976" t="str">
        <f t="shared" ca="1" si="37"/>
        <v>·</v>
      </c>
      <c r="J124" s="977" t="str">
        <f t="shared" ca="1" si="38"/>
        <v>·</v>
      </c>
      <c r="K124" s="651" t="str">
        <f ca="1">IFERROR(_xludf.switch(E124,"Aries","Identity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5" spans="1:11" ht="15.75" customHeight="1" x14ac:dyDescent="0.2">
      <c r="A125" s="963" t="str">
        <f>CALC_NarayanaDasa!$B$23</f>
        <v>Leo</v>
      </c>
      <c r="B125" s="963">
        <f>CALC_NarayanaDasa!$C$23</f>
        <v>9</v>
      </c>
      <c r="C125" s="964" t="str">
        <f>CALC_NarayanaDasa!$J$23</f>
        <v>Backward (even Lagna)</v>
      </c>
      <c r="D125" s="965">
        <v>4</v>
      </c>
      <c r="E125" s="966"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(reversal)"),4,-4)+12,12)+1),"—")</f>
        <v>Aries</v>
      </c>
      <c r="F125" s="967">
        <f>IFERROR(ROUND((IFERROR(VLOOKUP(E125,REF_NarayanaDasaRules!$B$6:$G$17,6,0),0))/78*CALC_NarayanaDasa!$C$23,2),"—")</f>
        <v>0.69</v>
      </c>
      <c r="G125" s="968">
        <f t="shared" si="39"/>
        <v>38885.31</v>
      </c>
      <c r="H125" s="968">
        <f t="shared" si="36"/>
        <v>39137.332499999997</v>
      </c>
      <c r="I125" s="560" t="str">
        <f t="shared" ca="1" si="37"/>
        <v>·</v>
      </c>
      <c r="J125" s="969" t="str">
        <f t="shared" ca="1" si="38"/>
        <v>·</v>
      </c>
      <c r="K125" s="645" t="str">
        <f ca="1">IFERROR(_xludf.switch(E125,"Aries","Identity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6" spans="1:11" ht="15.75" customHeight="1" x14ac:dyDescent="0.2">
      <c r="A126" s="970" t="str">
        <f>CALC_NarayanaDasa!$B$23</f>
        <v>Leo</v>
      </c>
      <c r="B126" s="970">
        <f>CALC_NarayanaDasa!$C$23</f>
        <v>9</v>
      </c>
      <c r="C126" s="971" t="str">
        <f>CALC_NarayanaDasa!$J$23</f>
        <v>Backward (even Lagna)</v>
      </c>
      <c r="D126" s="972">
        <v>5</v>
      </c>
      <c r="E126" s="973"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(reversal)"),5,-5)+12,12)+1),"—")</f>
        <v>Pisces</v>
      </c>
      <c r="F126" s="974">
        <f>IFERROR(ROUND((IFERROR(VLOOKUP(E126,REF_NarayanaDasaRules!$B$6:$G$17,6,0),0))/78*CALC_NarayanaDasa!$C$23,2),"—")</f>
        <v>0.35</v>
      </c>
      <c r="G126" s="975">
        <f t="shared" si="39"/>
        <v>39137.332499999997</v>
      </c>
      <c r="H126" s="975">
        <f t="shared" si="36"/>
        <v>39265.17</v>
      </c>
      <c r="I126" s="976" t="str">
        <f t="shared" ca="1" si="37"/>
        <v>·</v>
      </c>
      <c r="J126" s="977" t="str">
        <f t="shared" ca="1" si="38"/>
        <v>·</v>
      </c>
      <c r="K126" s="651" t="str">
        <f ca="1">IFERROR(_xludf.switch(E126,"Aries","Identity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7" spans="1:11" ht="15.75" customHeight="1" x14ac:dyDescent="0.2">
      <c r="A127" s="963" t="str">
        <f>CALC_NarayanaDasa!$B$23</f>
        <v>Leo</v>
      </c>
      <c r="B127" s="963">
        <f>CALC_NarayanaDasa!$C$23</f>
        <v>9</v>
      </c>
      <c r="C127" s="964" t="str">
        <f>CALC_NarayanaDasa!$J$23</f>
        <v>Backward (even Lagna)</v>
      </c>
      <c r="D127" s="965">
        <v>6</v>
      </c>
      <c r="E127" s="966"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(reversal)"),6,-6)+12,12)+1),"—")</f>
        <v>Aquarius</v>
      </c>
      <c r="F127" s="967">
        <f>IFERROR(ROUND((IFERROR(VLOOKUP(E127,REF_NarayanaDasaRules!$B$6:$G$17,6,0),0))/78*CALC_NarayanaDasa!$C$23,2),"—")</f>
        <v>1.38</v>
      </c>
      <c r="G127" s="968">
        <f t="shared" si="39"/>
        <v>39265.17</v>
      </c>
      <c r="H127" s="968">
        <f t="shared" si="36"/>
        <v>39769.214999999997</v>
      </c>
      <c r="I127" s="560" t="str">
        <f t="shared" ca="1" si="37"/>
        <v>·</v>
      </c>
      <c r="J127" s="969" t="str">
        <f t="shared" ca="1" si="38"/>
        <v>·</v>
      </c>
      <c r="K127" s="645" t="str">
        <f ca="1">IFERROR(_xludf.switch(E127,"Aries","Identity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8" spans="1:11" ht="15.75" customHeight="1" x14ac:dyDescent="0.2">
      <c r="A128" s="970" t="str">
        <f>CALC_NarayanaDasa!$B$23</f>
        <v>Leo</v>
      </c>
      <c r="B128" s="970">
        <f>CALC_NarayanaDasa!$C$23</f>
        <v>9</v>
      </c>
      <c r="C128" s="971" t="str">
        <f>CALC_NarayanaDasa!$J$23</f>
        <v>Backward (even Lagna)</v>
      </c>
      <c r="D128" s="972">
        <v>7</v>
      </c>
      <c r="E128" s="973"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(reversal)"),7,-7)+12,12)+1),"—")</f>
        <v>Capricorn</v>
      </c>
      <c r="F128" s="974">
        <f>IFERROR(ROUND((IFERROR(VLOOKUP(E128,REF_NarayanaDasaRules!$B$6:$G$17,6,0),0))/78*CALC_NarayanaDasa!$C$23,2),"—")</f>
        <v>0.81</v>
      </c>
      <c r="G128" s="975">
        <f t="shared" si="39"/>
        <v>39769.214999999997</v>
      </c>
      <c r="H128" s="975">
        <f t="shared" si="36"/>
        <v>40065.067499999997</v>
      </c>
      <c r="I128" s="976" t="str">
        <f t="shared" ca="1" si="37"/>
        <v>·</v>
      </c>
      <c r="J128" s="977" t="str">
        <f t="shared" ca="1" si="38"/>
        <v>·</v>
      </c>
      <c r="K128" s="651" t="str">
        <f ca="1">IFERROR(_xludf.switch(E128,"Aries","Identity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29" spans="1:11" ht="15.75" customHeight="1" x14ac:dyDescent="0.2">
      <c r="A129" s="963" t="str">
        <f>CALC_NarayanaDasa!$B$23</f>
        <v>Leo</v>
      </c>
      <c r="B129" s="963">
        <f>CALC_NarayanaDasa!$C$23</f>
        <v>9</v>
      </c>
      <c r="C129" s="964" t="str">
        <f>CALC_NarayanaDasa!$J$23</f>
        <v>Backward (even Lagna)</v>
      </c>
      <c r="D129" s="965">
        <v>8</v>
      </c>
      <c r="E129" s="966"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(reversal)"),8,-8)+12,12)+1),"—")</f>
        <v>Sagittarius</v>
      </c>
      <c r="F129" s="967">
        <f>IFERROR(ROUND((IFERROR(VLOOKUP(E129,REF_NarayanaDasaRules!$B$6:$G$17,6,0),0))/78*CALC_NarayanaDasa!$C$23,2),"—")</f>
        <v>0.57999999999999996</v>
      </c>
      <c r="G129" s="968">
        <f t="shared" si="39"/>
        <v>40065.067499999997</v>
      </c>
      <c r="H129" s="968">
        <f t="shared" si="36"/>
        <v>40276.912499999999</v>
      </c>
      <c r="I129" s="560" t="str">
        <f t="shared" ca="1" si="37"/>
        <v>·</v>
      </c>
      <c r="J129" s="969" t="str">
        <f t="shared" ca="1" si="38"/>
        <v>·</v>
      </c>
      <c r="K129" s="645" t="str">
        <f ca="1">IFERROR(_xludf.switch(E129,"Aries","Identity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0" spans="1:11" ht="15.75" customHeight="1" x14ac:dyDescent="0.2">
      <c r="A130" s="970" t="str">
        <f>CALC_NarayanaDasa!$B$23</f>
        <v>Leo</v>
      </c>
      <c r="B130" s="970">
        <f>CALC_NarayanaDasa!$C$23</f>
        <v>9</v>
      </c>
      <c r="C130" s="971" t="str">
        <f>CALC_NarayanaDasa!$J$23</f>
        <v>Backward (even Lagna)</v>
      </c>
      <c r="D130" s="972">
        <v>9</v>
      </c>
      <c r="E130" s="973"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(reversal)"),9,-9)+12,12)+1),"—")</f>
        <v>Scorpio</v>
      </c>
      <c r="F130" s="974">
        <f>IFERROR(ROUND((IFERROR(VLOOKUP(E130,REF_NarayanaDasaRules!$B$6:$G$17,6,0),0))/78*CALC_NarayanaDasa!$C$23,2),"—")</f>
        <v>1.27</v>
      </c>
      <c r="G130" s="975">
        <f t="shared" si="39"/>
        <v>40276.912499999999</v>
      </c>
      <c r="H130" s="975">
        <f t="shared" si="36"/>
        <v>40740.78</v>
      </c>
      <c r="I130" s="976" t="str">
        <f t="shared" ca="1" si="37"/>
        <v>·</v>
      </c>
      <c r="J130" s="977" t="str">
        <f t="shared" ca="1" si="38"/>
        <v>·</v>
      </c>
      <c r="K130" s="651" t="str">
        <f ca="1">IFERROR(_xludf.switch(E130,"Aries","Identity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1" spans="1:11" ht="15.75" customHeight="1" x14ac:dyDescent="0.2">
      <c r="A131" s="963" t="str">
        <f>CALC_NarayanaDasa!$B$23</f>
        <v>Leo</v>
      </c>
      <c r="B131" s="963">
        <f>CALC_NarayanaDasa!$C$23</f>
        <v>9</v>
      </c>
      <c r="C131" s="964" t="str">
        <f>CALC_NarayanaDasa!$J$23</f>
        <v>Backward (even Lagna)</v>
      </c>
      <c r="D131" s="965">
        <v>10</v>
      </c>
      <c r="E131" s="966"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(reversal)"),10,-10)+12,12)+1),"—")</f>
        <v>Libra</v>
      </c>
      <c r="F131" s="967">
        <f>IFERROR(ROUND((IFERROR(VLOOKUP(E131,REF_NarayanaDasaRules!$B$6:$G$17,6,0),0))/78*CALC_NarayanaDasa!$C$23,2),"—")</f>
        <v>0.12</v>
      </c>
      <c r="G131" s="968">
        <f t="shared" si="39"/>
        <v>40740.78</v>
      </c>
      <c r="H131" s="968">
        <f t="shared" si="36"/>
        <v>40784.61</v>
      </c>
      <c r="I131" s="560" t="str">
        <f t="shared" ca="1" si="37"/>
        <v>·</v>
      </c>
      <c r="J131" s="969" t="str">
        <f t="shared" ca="1" si="38"/>
        <v>·</v>
      </c>
      <c r="K131" s="645" t="str">
        <f ca="1">IFERROR(_xludf.switch(E131,"Aries","Identity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2" spans="1:11" ht="15.75" customHeight="1" x14ac:dyDescent="0.2">
      <c r="A132" s="970" t="str">
        <f>CALC_NarayanaDasa!$B$23</f>
        <v>Leo</v>
      </c>
      <c r="B132" s="970">
        <f>CALC_NarayanaDasa!$C$23</f>
        <v>9</v>
      </c>
      <c r="C132" s="971" t="str">
        <f>CALC_NarayanaDasa!$J$23</f>
        <v>Backward (even Lagna)</v>
      </c>
      <c r="D132" s="972">
        <v>11</v>
      </c>
      <c r="E132" s="973"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(reversal)"),11,-11)+12,12)+1),"—")</f>
        <v>Virgo</v>
      </c>
      <c r="F132" s="974">
        <f>IFERROR(ROUND((IFERROR(VLOOKUP(E132,REF_NarayanaDasaRules!$B$6:$G$17,6,0),0))/78*CALC_NarayanaDasa!$C$23,2),"—")</f>
        <v>0.92</v>
      </c>
      <c r="G132" s="975">
        <f t="shared" si="39"/>
        <v>40784.61</v>
      </c>
      <c r="H132" s="975">
        <f t="shared" si="36"/>
        <v>41120.639999999999</v>
      </c>
      <c r="I132" s="976" t="str">
        <f t="shared" ca="1" si="37"/>
        <v>·</v>
      </c>
      <c r="J132" s="977" t="str">
        <f t="shared" ca="1" si="38"/>
        <v>·</v>
      </c>
      <c r="K132" s="651" t="str">
        <f ca="1">IFERROR(_xludf.switch(E132,"Aries","Identity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3" spans="1:11" ht="15.75" customHeight="1" x14ac:dyDescent="0.2">
      <c r="A133" s="963" t="str">
        <f>CALC_NarayanaDasa!$B$23</f>
        <v>Leo</v>
      </c>
      <c r="B133" s="963">
        <f>CALC_NarayanaDasa!$C$23</f>
        <v>9</v>
      </c>
      <c r="C133" s="964" t="str">
        <f>CALC_NarayanaDasa!$J$23</f>
        <v>Backward (even Lagna)</v>
      </c>
      <c r="D133" s="965">
        <v>12</v>
      </c>
      <c r="E133" s="966" t="str">
        <f>IFERROR(INDEX({"Aries","Taurus","Gemini","Cancer","Leo","Virgo","Libra","Scorpio","Sagittarius","Capricorn","Aquarius","Pisces"},MOD(MATCH(CALC_NarayanaDasa!$B$23,{"Aries","Taurus","Gemini","Cancer","Leo","Virgo","Libra","Scorpio","Sagittarius","Capricorn","Aquarius","Pisces"},0)-1+IF(OR(CALC_NarayanaDasa!$J$23="Forward (odd Lagna)",CALC_NarayanaDasa!$J$23="Forward (reversal)"),12,-12)+12,12)+1),"—")</f>
        <v>Leo</v>
      </c>
      <c r="F133" s="967">
        <f>IFERROR(ROUND((IFERROR(VLOOKUP(E133,REF_NarayanaDasaRules!$B$6:$G$17,6,0),0))/78*CALC_NarayanaDasa!$C$23,2),"—")</f>
        <v>1.04</v>
      </c>
      <c r="G133" s="968">
        <f t="shared" si="39"/>
        <v>41120.639999999999</v>
      </c>
      <c r="H133" s="968">
        <f t="shared" si="36"/>
        <v>41500.5</v>
      </c>
      <c r="I133" s="560" t="str">
        <f t="shared" ca="1" si="37"/>
        <v>·</v>
      </c>
      <c r="J133" s="969" t="str">
        <f t="shared" ca="1" si="38"/>
        <v>·</v>
      </c>
      <c r="K133" s="645" t="str">
        <f ca="1">IFERROR(_xludf.switch(E133,"Aries","Identity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4" spans="1:11" ht="15.75" customHeight="1" x14ac:dyDescent="0.2">
      <c r="A134" s="1578" t="str">
        <f>IFERROR("Maha sign "&amp;CALC_NarayanaDasa!$B$24&amp;" — "&amp;CALC_NarayanaDasa!$C$24&amp;" yrs — Sub-period direction: "&amp;CALC_NarayanaDasa!$J$24,"—")</f>
        <v>Maha sign Cancer — 10 yrs — Sub-period direction: Backward (even Lagna)</v>
      </c>
      <c r="B134" s="1578"/>
      <c r="C134" s="1578"/>
      <c r="D134" s="1578"/>
      <c r="E134" s="1578"/>
      <c r="F134" s="1578"/>
      <c r="G134" s="1578"/>
      <c r="H134" s="1578"/>
      <c r="I134" s="1578"/>
      <c r="J134" s="1578"/>
      <c r="K134" s="1578"/>
    </row>
    <row r="135" spans="1:11" ht="15.75" customHeight="1" x14ac:dyDescent="0.2">
      <c r="A135" s="963" t="str">
        <f>CALC_NarayanaDasa!$B$24</f>
        <v>Cancer</v>
      </c>
      <c r="B135" s="963">
        <f>CALC_NarayanaDasa!$C$24</f>
        <v>10</v>
      </c>
      <c r="C135" s="964" t="str">
        <f>CALC_NarayanaDasa!$J$24</f>
        <v>Backward (even Lagna)</v>
      </c>
      <c r="D135" s="965">
        <v>1</v>
      </c>
      <c r="E135" s="966"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(reversal)"),1,-1)+12,12)+1),"—")</f>
        <v>Gemini</v>
      </c>
      <c r="F135" s="967">
        <f>IFERROR(ROUND((IFERROR(VLOOKUP(E135,REF_NarayanaDasaRules!$B$6:$G$17,6,0),0))/78*CALC_NarayanaDasa!$C$24,2),"—")</f>
        <v>0.26</v>
      </c>
      <c r="G135" s="968">
        <f>IFERROR(CALC_NarayanaDasa!$D$24,"—")</f>
        <v>41500.5</v>
      </c>
      <c r="H135" s="968">
        <f t="shared" ref="H135:H146" si="40">IFERROR(G135+F135*365.25,"—")</f>
        <v>41595.464999999997</v>
      </c>
      <c r="I135" s="560" t="str">
        <f t="shared" ref="I135:I146" ca="1" si="41">IFERROR(IF(AND(TODAY()&gt;=G135,TODAY()&lt;H135),"▶ ACTIVE","·"),"·")</f>
        <v>·</v>
      </c>
      <c r="J135" s="969" t="str">
        <f t="shared" ref="J135:J146" ca="1" si="42">IFERROR(IF(I135="▶ ACTIVE",ROUND((H135-TODAY())/365.25,2),"·"),"·")</f>
        <v>·</v>
      </c>
      <c r="K135" s="645" t="str">
        <f ca="1">IFERROR(_xludf.switch(E135,"Aries","Identity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6" spans="1:11" ht="15.75" customHeight="1" x14ac:dyDescent="0.2">
      <c r="A136" s="970" t="str">
        <f>CALC_NarayanaDasa!$B$24</f>
        <v>Cancer</v>
      </c>
      <c r="B136" s="970">
        <f>CALC_NarayanaDasa!$C$24</f>
        <v>10</v>
      </c>
      <c r="C136" s="971" t="str">
        <f>CALC_NarayanaDasa!$J$24</f>
        <v>Backward (even Lagna)</v>
      </c>
      <c r="D136" s="972">
        <v>2</v>
      </c>
      <c r="E136" s="973"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(reversal)"),2,-2)+12,12)+1),"—")</f>
        <v>Taurus</v>
      </c>
      <c r="F136" s="974">
        <f>IFERROR(ROUND((IFERROR(VLOOKUP(E136,REF_NarayanaDasaRules!$B$6:$G$17,6,0),0))/78*CALC_NarayanaDasa!$C$24,2),"—")</f>
        <v>0.51</v>
      </c>
      <c r="G136" s="975">
        <f t="shared" ref="G136:G146" si="43">IFERROR(H135,"—")</f>
        <v>41595.464999999997</v>
      </c>
      <c r="H136" s="975">
        <f t="shared" si="40"/>
        <v>41781.742499999993</v>
      </c>
      <c r="I136" s="976" t="str">
        <f t="shared" ca="1" si="41"/>
        <v>·</v>
      </c>
      <c r="J136" s="977" t="str">
        <f t="shared" ca="1" si="42"/>
        <v>·</v>
      </c>
      <c r="K136" s="651" t="str">
        <f ca="1">IFERROR(_xludf.switch(E136,"Aries","Identity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7" spans="1:11" ht="15.75" customHeight="1" x14ac:dyDescent="0.2">
      <c r="A137" s="963" t="str">
        <f>CALC_NarayanaDasa!$B$24</f>
        <v>Cancer</v>
      </c>
      <c r="B137" s="963">
        <f>CALC_NarayanaDasa!$C$24</f>
        <v>10</v>
      </c>
      <c r="C137" s="964" t="str">
        <f>CALC_NarayanaDasa!$J$24</f>
        <v>Backward (even Lagna)</v>
      </c>
      <c r="D137" s="965">
        <v>3</v>
      </c>
      <c r="E137" s="966"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(reversal)"),3,-3)+12,12)+1),"—")</f>
        <v>Aries</v>
      </c>
      <c r="F137" s="967">
        <f>IFERROR(ROUND((IFERROR(VLOOKUP(E137,REF_NarayanaDasaRules!$B$6:$G$17,6,0),0))/78*CALC_NarayanaDasa!$C$24,2),"—")</f>
        <v>0.77</v>
      </c>
      <c r="G137" s="968">
        <f t="shared" si="43"/>
        <v>41781.742499999993</v>
      </c>
      <c r="H137" s="968">
        <f t="shared" si="40"/>
        <v>42062.984999999993</v>
      </c>
      <c r="I137" s="560" t="str">
        <f t="shared" ca="1" si="41"/>
        <v>·</v>
      </c>
      <c r="J137" s="969" t="str">
        <f t="shared" ca="1" si="42"/>
        <v>·</v>
      </c>
      <c r="K137" s="645" t="str">
        <f ca="1">IFERROR(_xludf.switch(E137,"Aries","Identity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8" spans="1:11" ht="15.75" customHeight="1" x14ac:dyDescent="0.2">
      <c r="A138" s="970" t="str">
        <f>CALC_NarayanaDasa!$B$24</f>
        <v>Cancer</v>
      </c>
      <c r="B138" s="970">
        <f>CALC_NarayanaDasa!$C$24</f>
        <v>10</v>
      </c>
      <c r="C138" s="971" t="str">
        <f>CALC_NarayanaDasa!$J$24</f>
        <v>Backward (even Lagna)</v>
      </c>
      <c r="D138" s="972">
        <v>4</v>
      </c>
      <c r="E138" s="973"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(reversal)"),4,-4)+12,12)+1),"—")</f>
        <v>Pisces</v>
      </c>
      <c r="F138" s="974">
        <f>IFERROR(ROUND((IFERROR(VLOOKUP(E138,REF_NarayanaDasaRules!$B$6:$G$17,6,0),0))/78*CALC_NarayanaDasa!$C$24,2),"—")</f>
        <v>0.38</v>
      </c>
      <c r="G138" s="975">
        <f t="shared" si="43"/>
        <v>42062.984999999993</v>
      </c>
      <c r="H138" s="975">
        <f t="shared" si="40"/>
        <v>42201.779999999992</v>
      </c>
      <c r="I138" s="976" t="str">
        <f t="shared" ca="1" si="41"/>
        <v>·</v>
      </c>
      <c r="J138" s="977" t="str">
        <f t="shared" ca="1" si="42"/>
        <v>·</v>
      </c>
      <c r="K138" s="651" t="str">
        <f ca="1">IFERROR(_xludf.switch(E138,"Aries","Identity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39" spans="1:11" ht="15.75" customHeight="1" x14ac:dyDescent="0.2">
      <c r="A139" s="963" t="str">
        <f>CALC_NarayanaDasa!$B$24</f>
        <v>Cancer</v>
      </c>
      <c r="B139" s="963">
        <f>CALC_NarayanaDasa!$C$24</f>
        <v>10</v>
      </c>
      <c r="C139" s="964" t="str">
        <f>CALC_NarayanaDasa!$J$24</f>
        <v>Backward (even Lagna)</v>
      </c>
      <c r="D139" s="965">
        <v>5</v>
      </c>
      <c r="E139" s="966"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(reversal)"),5,-5)+12,12)+1),"—")</f>
        <v>Aquarius</v>
      </c>
      <c r="F139" s="967">
        <f>IFERROR(ROUND((IFERROR(VLOOKUP(E139,REF_NarayanaDasaRules!$B$6:$G$17,6,0),0))/78*CALC_NarayanaDasa!$C$24,2),"—")</f>
        <v>1.54</v>
      </c>
      <c r="G139" s="968">
        <f t="shared" si="43"/>
        <v>42201.779999999992</v>
      </c>
      <c r="H139" s="968">
        <f t="shared" si="40"/>
        <v>42764.264999999992</v>
      </c>
      <c r="I139" s="560" t="str">
        <f t="shared" ca="1" si="41"/>
        <v>·</v>
      </c>
      <c r="J139" s="969" t="str">
        <f t="shared" ca="1" si="42"/>
        <v>·</v>
      </c>
      <c r="K139" s="645" t="str">
        <f ca="1">IFERROR(_xludf.switch(E139,"Aries","Identity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0" spans="1:11" ht="15.75" customHeight="1" x14ac:dyDescent="0.2">
      <c r="A140" s="970" t="str">
        <f>CALC_NarayanaDasa!$B$24</f>
        <v>Cancer</v>
      </c>
      <c r="B140" s="970">
        <f>CALC_NarayanaDasa!$C$24</f>
        <v>10</v>
      </c>
      <c r="C140" s="971" t="str">
        <f>CALC_NarayanaDasa!$J$24</f>
        <v>Backward (even Lagna)</v>
      </c>
      <c r="D140" s="972">
        <v>6</v>
      </c>
      <c r="E140" s="973"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(reversal)"),6,-6)+12,12)+1),"—")</f>
        <v>Capricorn</v>
      </c>
      <c r="F140" s="974">
        <f>IFERROR(ROUND((IFERROR(VLOOKUP(E140,REF_NarayanaDasaRules!$B$6:$G$17,6,0),0))/78*CALC_NarayanaDasa!$C$24,2),"—")</f>
        <v>0.9</v>
      </c>
      <c r="G140" s="975">
        <f t="shared" si="43"/>
        <v>42764.264999999992</v>
      </c>
      <c r="H140" s="975">
        <f t="shared" si="40"/>
        <v>43092.989999999991</v>
      </c>
      <c r="I140" s="976" t="str">
        <f t="shared" ca="1" si="41"/>
        <v>·</v>
      </c>
      <c r="J140" s="977" t="str">
        <f t="shared" ca="1" si="42"/>
        <v>·</v>
      </c>
      <c r="K140" s="651" t="str">
        <f ca="1">IFERROR(_xludf.switch(E140,"Aries","Identity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1" spans="1:11" ht="15.75" customHeight="1" x14ac:dyDescent="0.2">
      <c r="A141" s="963" t="str">
        <f>CALC_NarayanaDasa!$B$24</f>
        <v>Cancer</v>
      </c>
      <c r="B141" s="963">
        <f>CALC_NarayanaDasa!$C$24</f>
        <v>10</v>
      </c>
      <c r="C141" s="964" t="str">
        <f>CALC_NarayanaDasa!$J$24</f>
        <v>Backward (even Lagna)</v>
      </c>
      <c r="D141" s="965">
        <v>7</v>
      </c>
      <c r="E141" s="966"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(reversal)"),7,-7)+12,12)+1),"—")</f>
        <v>Sagittarius</v>
      </c>
      <c r="F141" s="967">
        <f>IFERROR(ROUND((IFERROR(VLOOKUP(E141,REF_NarayanaDasaRules!$B$6:$G$17,6,0),0))/78*CALC_NarayanaDasa!$C$24,2),"—")</f>
        <v>0.64</v>
      </c>
      <c r="G141" s="968">
        <f t="shared" si="43"/>
        <v>43092.989999999991</v>
      </c>
      <c r="H141" s="968">
        <f t="shared" si="40"/>
        <v>43326.749999999993</v>
      </c>
      <c r="I141" s="560" t="str">
        <f t="shared" ca="1" si="41"/>
        <v>·</v>
      </c>
      <c r="J141" s="969" t="str">
        <f t="shared" ca="1" si="42"/>
        <v>·</v>
      </c>
      <c r="K141" s="645" t="str">
        <f ca="1">IFERROR(_xludf.switch(E141,"Aries","Identity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2" spans="1:11" ht="15.75" customHeight="1" x14ac:dyDescent="0.2">
      <c r="A142" s="970" t="str">
        <f>CALC_NarayanaDasa!$B$24</f>
        <v>Cancer</v>
      </c>
      <c r="B142" s="970">
        <f>CALC_NarayanaDasa!$C$24</f>
        <v>10</v>
      </c>
      <c r="C142" s="971" t="str">
        <f>CALC_NarayanaDasa!$J$24</f>
        <v>Backward (even Lagna)</v>
      </c>
      <c r="D142" s="972">
        <v>8</v>
      </c>
      <c r="E142" s="973"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(reversal)"),8,-8)+12,12)+1),"—")</f>
        <v>Scorpio</v>
      </c>
      <c r="F142" s="974">
        <f>IFERROR(ROUND((IFERROR(VLOOKUP(E142,REF_NarayanaDasaRules!$B$6:$G$17,6,0),0))/78*CALC_NarayanaDasa!$C$24,2),"—")</f>
        <v>1.41</v>
      </c>
      <c r="G142" s="975">
        <f t="shared" si="43"/>
        <v>43326.749999999993</v>
      </c>
      <c r="H142" s="975">
        <f t="shared" si="40"/>
        <v>43841.752499999995</v>
      </c>
      <c r="I142" s="976" t="str">
        <f t="shared" ca="1" si="41"/>
        <v>·</v>
      </c>
      <c r="J142" s="977" t="str">
        <f t="shared" ca="1" si="42"/>
        <v>·</v>
      </c>
      <c r="K142" s="651" t="str">
        <f ca="1">IFERROR(_xludf.switch(E142,"Aries","Identity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3" spans="1:11" ht="15.75" customHeight="1" x14ac:dyDescent="0.2">
      <c r="A143" s="963" t="str">
        <f>CALC_NarayanaDasa!$B$24</f>
        <v>Cancer</v>
      </c>
      <c r="B143" s="963">
        <f>CALC_NarayanaDasa!$C$24</f>
        <v>10</v>
      </c>
      <c r="C143" s="964" t="str">
        <f>CALC_NarayanaDasa!$J$24</f>
        <v>Backward (even Lagna)</v>
      </c>
      <c r="D143" s="965">
        <v>9</v>
      </c>
      <c r="E143" s="966"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(reversal)"),9,-9)+12,12)+1),"—")</f>
        <v>Libra</v>
      </c>
      <c r="F143" s="967">
        <f>IFERROR(ROUND((IFERROR(VLOOKUP(E143,REF_NarayanaDasaRules!$B$6:$G$17,6,0),0))/78*CALC_NarayanaDasa!$C$24,2),"—")</f>
        <v>0.13</v>
      </c>
      <c r="G143" s="968">
        <f t="shared" si="43"/>
        <v>43841.752499999995</v>
      </c>
      <c r="H143" s="968">
        <f t="shared" si="40"/>
        <v>43889.234999999993</v>
      </c>
      <c r="I143" s="560" t="str">
        <f t="shared" ca="1" si="41"/>
        <v>·</v>
      </c>
      <c r="J143" s="969" t="str">
        <f t="shared" ca="1" si="42"/>
        <v>·</v>
      </c>
      <c r="K143" s="645" t="str">
        <f ca="1">IFERROR(_xludf.switch(E143,"Aries","Identity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4" spans="1:11" ht="15.75" customHeight="1" x14ac:dyDescent="0.2">
      <c r="A144" s="970" t="str">
        <f>CALC_NarayanaDasa!$B$24</f>
        <v>Cancer</v>
      </c>
      <c r="B144" s="970">
        <f>CALC_NarayanaDasa!$C$24</f>
        <v>10</v>
      </c>
      <c r="C144" s="971" t="str">
        <f>CALC_NarayanaDasa!$J$24</f>
        <v>Backward (even Lagna)</v>
      </c>
      <c r="D144" s="972">
        <v>10</v>
      </c>
      <c r="E144" s="973"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(reversal)"),10,-10)+12,12)+1),"—")</f>
        <v>Virgo</v>
      </c>
      <c r="F144" s="974">
        <f>IFERROR(ROUND((IFERROR(VLOOKUP(E144,REF_NarayanaDasaRules!$B$6:$G$17,6,0),0))/78*CALC_NarayanaDasa!$C$24,2),"—")</f>
        <v>1.03</v>
      </c>
      <c r="G144" s="975">
        <f t="shared" si="43"/>
        <v>43889.234999999993</v>
      </c>
      <c r="H144" s="975">
        <f t="shared" si="40"/>
        <v>44265.44249999999</v>
      </c>
      <c r="I144" s="976" t="str">
        <f t="shared" ca="1" si="41"/>
        <v>·</v>
      </c>
      <c r="J144" s="977" t="str">
        <f t="shared" ca="1" si="42"/>
        <v>·</v>
      </c>
      <c r="K144" s="651" t="str">
        <f ca="1">IFERROR(_xludf.switch(E144,"Aries","Identity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5" spans="1:11" ht="15.75" customHeight="1" x14ac:dyDescent="0.2">
      <c r="A145" s="963" t="str">
        <f>CALC_NarayanaDasa!$B$24</f>
        <v>Cancer</v>
      </c>
      <c r="B145" s="963">
        <f>CALC_NarayanaDasa!$C$24</f>
        <v>10</v>
      </c>
      <c r="C145" s="964" t="str">
        <f>CALC_NarayanaDasa!$J$24</f>
        <v>Backward (even Lagna)</v>
      </c>
      <c r="D145" s="965">
        <v>11</v>
      </c>
      <c r="E145" s="966"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(reversal)"),11,-11)+12,12)+1),"—")</f>
        <v>Leo</v>
      </c>
      <c r="F145" s="967">
        <f>IFERROR(ROUND((IFERROR(VLOOKUP(E145,REF_NarayanaDasaRules!$B$6:$G$17,6,0),0))/78*CALC_NarayanaDasa!$C$24,2),"—")</f>
        <v>1.1499999999999999</v>
      </c>
      <c r="G145" s="968">
        <f t="shared" si="43"/>
        <v>44265.44249999999</v>
      </c>
      <c r="H145" s="968">
        <f t="shared" si="40"/>
        <v>44685.479999999989</v>
      </c>
      <c r="I145" s="560" t="str">
        <f t="shared" ca="1" si="41"/>
        <v>·</v>
      </c>
      <c r="J145" s="969" t="str">
        <f t="shared" ca="1" si="42"/>
        <v>·</v>
      </c>
      <c r="K145" s="645" t="str">
        <f ca="1">IFERROR(_xludf.switch(E145,"Aries","Identity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6" spans="1:11" ht="15.75" customHeight="1" x14ac:dyDescent="0.2">
      <c r="A146" s="970" t="str">
        <f>CALC_NarayanaDasa!$B$24</f>
        <v>Cancer</v>
      </c>
      <c r="B146" s="970">
        <f>CALC_NarayanaDasa!$C$24</f>
        <v>10</v>
      </c>
      <c r="C146" s="971" t="str">
        <f>CALC_NarayanaDasa!$J$24</f>
        <v>Backward (even Lagna)</v>
      </c>
      <c r="D146" s="972">
        <v>12</v>
      </c>
      <c r="E146" s="973" t="str">
        <f>IFERROR(INDEX({"Aries","Taurus","Gemini","Cancer","Leo","Virgo","Libra","Scorpio","Sagittarius","Capricorn","Aquarius","Pisces"},MOD(MATCH(CALC_NarayanaDasa!$B$24,{"Aries","Taurus","Gemini","Cancer","Leo","Virgo","Libra","Scorpio","Sagittarius","Capricorn","Aquarius","Pisces"},0)-1+IF(OR(CALC_NarayanaDasa!$J$24="Forward (odd Lagna)",CALC_NarayanaDasa!$J$24="Forward (reversal)"),12,-12)+12,12)+1),"—")</f>
        <v>Cancer</v>
      </c>
      <c r="F146" s="974">
        <f>IFERROR(ROUND((IFERROR(VLOOKUP(E146,REF_NarayanaDasaRules!$B$6:$G$17,6,0),0))/78*CALC_NarayanaDasa!$C$24,2),"—")</f>
        <v>1.28</v>
      </c>
      <c r="G146" s="975">
        <f t="shared" si="43"/>
        <v>44685.479999999989</v>
      </c>
      <c r="H146" s="975">
        <f t="shared" si="40"/>
        <v>45152.999999999985</v>
      </c>
      <c r="I146" s="976" t="str">
        <f t="shared" ca="1" si="41"/>
        <v>·</v>
      </c>
      <c r="J146" s="977" t="str">
        <f t="shared" ca="1" si="42"/>
        <v>·</v>
      </c>
      <c r="K146" s="651" t="str">
        <f ca="1">IFERROR(_xludf.switch(E146,"Aries","Identity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7" spans="1:11" ht="15.75" customHeight="1" x14ac:dyDescent="0.2">
      <c r="A147" s="1578" t="str">
        <f>IFERROR("Maha sign "&amp;CALC_NarayanaDasa!$B$25&amp;" — "&amp;CALC_NarayanaDasa!$C$25&amp;" yrs — Sub-period direction: "&amp;CALC_NarayanaDasa!$J$25,"—")</f>
        <v>Maha sign Gemini — 2 yrs — Sub-period direction: Backward (even Lagna)</v>
      </c>
      <c r="B147" s="1578"/>
      <c r="C147" s="1578"/>
      <c r="D147" s="1578"/>
      <c r="E147" s="1578"/>
      <c r="F147" s="1578"/>
      <c r="G147" s="1578"/>
      <c r="H147" s="1578"/>
      <c r="I147" s="1578"/>
      <c r="J147" s="1578"/>
      <c r="K147" s="1578"/>
    </row>
    <row r="148" spans="1:11" ht="15.75" customHeight="1" x14ac:dyDescent="0.2">
      <c r="A148" s="970" t="str">
        <f>CALC_NarayanaDasa!$B$25</f>
        <v>Gemini</v>
      </c>
      <c r="B148" s="970">
        <f>CALC_NarayanaDasa!$C$25</f>
        <v>2</v>
      </c>
      <c r="C148" s="971" t="str">
        <f>CALC_NarayanaDasa!$J$25</f>
        <v>Backward (even Lagna)</v>
      </c>
      <c r="D148" s="972">
        <v>1</v>
      </c>
      <c r="E148" s="973"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(reversal)"),1,-1)+12,12)+1),"—")</f>
        <v>Taurus</v>
      </c>
      <c r="F148" s="974">
        <f>IFERROR(ROUND((IFERROR(VLOOKUP(E148,REF_NarayanaDasaRules!$B$6:$G$17,6,0),0))/78*CALC_NarayanaDasa!$C$25,2),"—")</f>
        <v>0.1</v>
      </c>
      <c r="G148" s="975">
        <f>IFERROR(CALC_NarayanaDasa!$D$25,"—")</f>
        <v>45153</v>
      </c>
      <c r="H148" s="975">
        <f t="shared" ref="H148:H159" si="44">IFERROR(G148+F148*365.25,"—")</f>
        <v>45189.525000000001</v>
      </c>
      <c r="I148" s="976" t="str">
        <f t="shared" ref="I148:I159" ca="1" si="45">IFERROR(IF(AND(TODAY()&gt;=G148,TODAY()&lt;H148),"▶ ACTIVE","·"),"·")</f>
        <v>·</v>
      </c>
      <c r="J148" s="977" t="str">
        <f t="shared" ref="J148:J159" ca="1" si="46">IFERROR(IF(I148="▶ ACTIVE",ROUND((H148-TODAY())/365.25,2),"·"),"·")</f>
        <v>·</v>
      </c>
      <c r="K148" s="651" t="str">
        <f ca="1">IFERROR(_xludf.switch(E148,"Aries","Identity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49" spans="1:11" ht="15.75" customHeight="1" x14ac:dyDescent="0.2">
      <c r="A149" s="963" t="str">
        <f>CALC_NarayanaDasa!$B$25</f>
        <v>Gemini</v>
      </c>
      <c r="B149" s="963">
        <f>CALC_NarayanaDasa!$C$25</f>
        <v>2</v>
      </c>
      <c r="C149" s="964" t="str">
        <f>CALC_NarayanaDasa!$J$25</f>
        <v>Backward (even Lagna)</v>
      </c>
      <c r="D149" s="965">
        <v>2</v>
      </c>
      <c r="E149" s="966"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(reversal)"),2,-2)+12,12)+1),"—")</f>
        <v>Aries</v>
      </c>
      <c r="F149" s="967">
        <f>IFERROR(ROUND((IFERROR(VLOOKUP(E149,REF_NarayanaDasaRules!$B$6:$G$17,6,0),0))/78*CALC_NarayanaDasa!$C$25,2),"—")</f>
        <v>0.15</v>
      </c>
      <c r="G149" s="968">
        <f t="shared" ref="G149:G159" si="47">IFERROR(H148,"—")</f>
        <v>45189.525000000001</v>
      </c>
      <c r="H149" s="968">
        <f t="shared" si="44"/>
        <v>45244.3125</v>
      </c>
      <c r="I149" s="560" t="str">
        <f t="shared" ca="1" si="45"/>
        <v>·</v>
      </c>
      <c r="J149" s="969" t="str">
        <f t="shared" ca="1" si="46"/>
        <v>·</v>
      </c>
      <c r="K149" s="645" t="str">
        <f ca="1">IFERROR(_xludf.switch(E149,"Aries","Identity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0" spans="1:11" ht="15.75" customHeight="1" x14ac:dyDescent="0.2">
      <c r="A150" s="970" t="str">
        <f>CALC_NarayanaDasa!$B$25</f>
        <v>Gemini</v>
      </c>
      <c r="B150" s="970">
        <f>CALC_NarayanaDasa!$C$25</f>
        <v>2</v>
      </c>
      <c r="C150" s="971" t="str">
        <f>CALC_NarayanaDasa!$J$25</f>
        <v>Backward (even Lagna)</v>
      </c>
      <c r="D150" s="972">
        <v>3</v>
      </c>
      <c r="E150" s="973"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(reversal)"),3,-3)+12,12)+1),"—")</f>
        <v>Pisces</v>
      </c>
      <c r="F150" s="974">
        <f>IFERROR(ROUND((IFERROR(VLOOKUP(E150,REF_NarayanaDasaRules!$B$6:$G$17,6,0),0))/78*CALC_NarayanaDasa!$C$25,2),"—")</f>
        <v>0.08</v>
      </c>
      <c r="G150" s="975">
        <f t="shared" si="47"/>
        <v>45244.3125</v>
      </c>
      <c r="H150" s="975">
        <f t="shared" si="44"/>
        <v>45273.532500000001</v>
      </c>
      <c r="I150" s="976" t="str">
        <f t="shared" ca="1" si="45"/>
        <v>·</v>
      </c>
      <c r="J150" s="977" t="str">
        <f t="shared" ca="1" si="46"/>
        <v>·</v>
      </c>
      <c r="K150" s="651" t="str">
        <f ca="1">IFERROR(_xludf.switch(E150,"Aries","Identity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1" spans="1:11" ht="15.75" customHeight="1" x14ac:dyDescent="0.2">
      <c r="A151" s="963" t="str">
        <f>CALC_NarayanaDasa!$B$25</f>
        <v>Gemini</v>
      </c>
      <c r="B151" s="963">
        <f>CALC_NarayanaDasa!$C$25</f>
        <v>2</v>
      </c>
      <c r="C151" s="964" t="str">
        <f>CALC_NarayanaDasa!$J$25</f>
        <v>Backward (even Lagna)</v>
      </c>
      <c r="D151" s="965">
        <v>4</v>
      </c>
      <c r="E151" s="966"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(reversal)"),4,-4)+12,12)+1),"—")</f>
        <v>Aquarius</v>
      </c>
      <c r="F151" s="967">
        <f>IFERROR(ROUND((IFERROR(VLOOKUP(E151,REF_NarayanaDasaRules!$B$6:$G$17,6,0),0))/78*CALC_NarayanaDasa!$C$25,2),"—")</f>
        <v>0.31</v>
      </c>
      <c r="G151" s="968">
        <f t="shared" si="47"/>
        <v>45273.532500000001</v>
      </c>
      <c r="H151" s="968">
        <f t="shared" si="44"/>
        <v>45386.76</v>
      </c>
      <c r="I151" s="560" t="str">
        <f t="shared" ca="1" si="45"/>
        <v>·</v>
      </c>
      <c r="J151" s="969" t="str">
        <f t="shared" ca="1" si="46"/>
        <v>·</v>
      </c>
      <c r="K151" s="645" t="str">
        <f ca="1">IFERROR(_xludf.switch(E151,"Aries","Identity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2" spans="1:11" ht="15.75" customHeight="1" x14ac:dyDescent="0.2">
      <c r="A152" s="970" t="str">
        <f>CALC_NarayanaDasa!$B$25</f>
        <v>Gemini</v>
      </c>
      <c r="B152" s="970">
        <f>CALC_NarayanaDasa!$C$25</f>
        <v>2</v>
      </c>
      <c r="C152" s="971" t="str">
        <f>CALC_NarayanaDasa!$J$25</f>
        <v>Backward (even Lagna)</v>
      </c>
      <c r="D152" s="972">
        <v>5</v>
      </c>
      <c r="E152" s="973"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(reversal)"),5,-5)+12,12)+1),"—")</f>
        <v>Capricorn</v>
      </c>
      <c r="F152" s="974">
        <f>IFERROR(ROUND((IFERROR(VLOOKUP(E152,REF_NarayanaDasaRules!$B$6:$G$17,6,0),0))/78*CALC_NarayanaDasa!$C$25,2),"—")</f>
        <v>0.18</v>
      </c>
      <c r="G152" s="975">
        <f t="shared" si="47"/>
        <v>45386.76</v>
      </c>
      <c r="H152" s="975">
        <f t="shared" si="44"/>
        <v>45452.505000000005</v>
      </c>
      <c r="I152" s="976" t="str">
        <f t="shared" ca="1" si="45"/>
        <v>·</v>
      </c>
      <c r="J152" s="977" t="str">
        <f t="shared" ca="1" si="46"/>
        <v>·</v>
      </c>
      <c r="K152" s="651" t="str">
        <f ca="1">IFERROR(_xludf.switch(E152,"Aries","Identity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3" spans="1:11" ht="15.75" customHeight="1" x14ac:dyDescent="0.2">
      <c r="A153" s="963" t="str">
        <f>CALC_NarayanaDasa!$B$25</f>
        <v>Gemini</v>
      </c>
      <c r="B153" s="963">
        <f>CALC_NarayanaDasa!$C$25</f>
        <v>2</v>
      </c>
      <c r="C153" s="964" t="str">
        <f>CALC_NarayanaDasa!$J$25</f>
        <v>Backward (even Lagna)</v>
      </c>
      <c r="D153" s="965">
        <v>6</v>
      </c>
      <c r="E153" s="966"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(reversal)"),6,-6)+12,12)+1),"—")</f>
        <v>Sagittarius</v>
      </c>
      <c r="F153" s="967">
        <f>IFERROR(ROUND((IFERROR(VLOOKUP(E153,REF_NarayanaDasaRules!$B$6:$G$17,6,0),0))/78*CALC_NarayanaDasa!$C$25,2),"—")</f>
        <v>0.13</v>
      </c>
      <c r="G153" s="968">
        <f t="shared" si="47"/>
        <v>45452.505000000005</v>
      </c>
      <c r="H153" s="968">
        <f t="shared" si="44"/>
        <v>45499.987500000003</v>
      </c>
      <c r="I153" s="560" t="str">
        <f t="shared" ca="1" si="45"/>
        <v>·</v>
      </c>
      <c r="J153" s="969" t="str">
        <f t="shared" ca="1" si="46"/>
        <v>·</v>
      </c>
      <c r="K153" s="645" t="str">
        <f ca="1">IFERROR(_xludf.switch(E153,"Aries","Identity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4" spans="1:11" ht="15.75" customHeight="1" x14ac:dyDescent="0.2">
      <c r="A154" s="970" t="str">
        <f>CALC_NarayanaDasa!$B$25</f>
        <v>Gemini</v>
      </c>
      <c r="B154" s="970">
        <f>CALC_NarayanaDasa!$C$25</f>
        <v>2</v>
      </c>
      <c r="C154" s="971" t="str">
        <f>CALC_NarayanaDasa!$J$25</f>
        <v>Backward (even Lagna)</v>
      </c>
      <c r="D154" s="972">
        <v>7</v>
      </c>
      <c r="E154" s="973"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(reversal)"),7,-7)+12,12)+1),"—")</f>
        <v>Scorpio</v>
      </c>
      <c r="F154" s="974">
        <f>IFERROR(ROUND((IFERROR(VLOOKUP(E154,REF_NarayanaDasaRules!$B$6:$G$17,6,0),0))/78*CALC_NarayanaDasa!$C$25,2),"—")</f>
        <v>0.28000000000000003</v>
      </c>
      <c r="G154" s="975">
        <f t="shared" si="47"/>
        <v>45499.987500000003</v>
      </c>
      <c r="H154" s="975">
        <f t="shared" si="44"/>
        <v>45602.2575</v>
      </c>
      <c r="I154" s="976" t="str">
        <f t="shared" ca="1" si="45"/>
        <v>·</v>
      </c>
      <c r="J154" s="977" t="str">
        <f t="shared" ca="1" si="46"/>
        <v>·</v>
      </c>
      <c r="K154" s="651" t="str">
        <f ca="1">IFERROR(_xludf.switch(E154,"Aries","Identity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5" spans="1:11" ht="15.75" customHeight="1" x14ac:dyDescent="0.2">
      <c r="A155" s="963" t="str">
        <f>CALC_NarayanaDasa!$B$25</f>
        <v>Gemini</v>
      </c>
      <c r="B155" s="963">
        <f>CALC_NarayanaDasa!$C$25</f>
        <v>2</v>
      </c>
      <c r="C155" s="964" t="str">
        <f>CALC_NarayanaDasa!$J$25</f>
        <v>Backward (even Lagna)</v>
      </c>
      <c r="D155" s="965">
        <v>8</v>
      </c>
      <c r="E155" s="966"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(reversal)"),8,-8)+12,12)+1),"—")</f>
        <v>Libra</v>
      </c>
      <c r="F155" s="967">
        <f>IFERROR(ROUND((IFERROR(VLOOKUP(E155,REF_NarayanaDasaRules!$B$6:$G$17,6,0),0))/78*CALC_NarayanaDasa!$C$25,2),"—")</f>
        <v>0.03</v>
      </c>
      <c r="G155" s="968">
        <f t="shared" si="47"/>
        <v>45602.2575</v>
      </c>
      <c r="H155" s="968">
        <f t="shared" si="44"/>
        <v>45613.214999999997</v>
      </c>
      <c r="I155" s="560" t="str">
        <f t="shared" ca="1" si="45"/>
        <v>·</v>
      </c>
      <c r="J155" s="969" t="str">
        <f t="shared" ca="1" si="46"/>
        <v>·</v>
      </c>
      <c r="K155" s="645" t="str">
        <f ca="1">IFERROR(_xludf.switch(E155,"Aries","Identity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6" spans="1:11" ht="15.75" customHeight="1" x14ac:dyDescent="0.2">
      <c r="A156" s="970" t="str">
        <f>CALC_NarayanaDasa!$B$25</f>
        <v>Gemini</v>
      </c>
      <c r="B156" s="970">
        <f>CALC_NarayanaDasa!$C$25</f>
        <v>2</v>
      </c>
      <c r="C156" s="971" t="str">
        <f>CALC_NarayanaDasa!$J$25</f>
        <v>Backward (even Lagna)</v>
      </c>
      <c r="D156" s="972">
        <v>9</v>
      </c>
      <c r="E156" s="973"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(reversal)"),9,-9)+12,12)+1),"—")</f>
        <v>Virgo</v>
      </c>
      <c r="F156" s="974">
        <f>IFERROR(ROUND((IFERROR(VLOOKUP(E156,REF_NarayanaDasaRules!$B$6:$G$17,6,0),0))/78*CALC_NarayanaDasa!$C$25,2),"—")</f>
        <v>0.21</v>
      </c>
      <c r="G156" s="975">
        <f t="shared" si="47"/>
        <v>45613.214999999997</v>
      </c>
      <c r="H156" s="975">
        <f t="shared" si="44"/>
        <v>45689.917499999996</v>
      </c>
      <c r="I156" s="976" t="str">
        <f t="shared" ca="1" si="45"/>
        <v>·</v>
      </c>
      <c r="J156" s="977" t="str">
        <f t="shared" ca="1" si="46"/>
        <v>·</v>
      </c>
      <c r="K156" s="651" t="str">
        <f ca="1">IFERROR(_xludf.switch(E156,"Aries","Identity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7" spans="1:11" ht="15.75" customHeight="1" x14ac:dyDescent="0.2">
      <c r="A157" s="963" t="str">
        <f>CALC_NarayanaDasa!$B$25</f>
        <v>Gemini</v>
      </c>
      <c r="B157" s="963">
        <f>CALC_NarayanaDasa!$C$25</f>
        <v>2</v>
      </c>
      <c r="C157" s="964" t="str">
        <f>CALC_NarayanaDasa!$J$25</f>
        <v>Backward (even Lagna)</v>
      </c>
      <c r="D157" s="965">
        <v>10</v>
      </c>
      <c r="E157" s="966"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(reversal)"),10,-10)+12,12)+1),"—")</f>
        <v>Leo</v>
      </c>
      <c r="F157" s="967">
        <f>IFERROR(ROUND((IFERROR(VLOOKUP(E157,REF_NarayanaDasaRules!$B$6:$G$17,6,0),0))/78*CALC_NarayanaDasa!$C$25,2),"—")</f>
        <v>0.23</v>
      </c>
      <c r="G157" s="968">
        <f t="shared" si="47"/>
        <v>45689.917499999996</v>
      </c>
      <c r="H157" s="968">
        <f t="shared" si="44"/>
        <v>45773.924999999996</v>
      </c>
      <c r="I157" s="560" t="str">
        <f t="shared" ca="1" si="45"/>
        <v>·</v>
      </c>
      <c r="J157" s="969" t="str">
        <f t="shared" ca="1" si="46"/>
        <v>·</v>
      </c>
      <c r="K157" s="645" t="str">
        <f ca="1">IFERROR(_xludf.switch(E157,"Aries","Identity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8" spans="1:11" ht="15.75" customHeight="1" x14ac:dyDescent="0.2">
      <c r="A158" s="970" t="str">
        <f>CALC_NarayanaDasa!$B$25</f>
        <v>Gemini</v>
      </c>
      <c r="B158" s="970">
        <f>CALC_NarayanaDasa!$C$25</f>
        <v>2</v>
      </c>
      <c r="C158" s="971" t="str">
        <f>CALC_NarayanaDasa!$J$25</f>
        <v>Backward (even Lagna)</v>
      </c>
      <c r="D158" s="972">
        <v>11</v>
      </c>
      <c r="E158" s="973"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(reversal)"),11,-11)+12,12)+1),"—")</f>
        <v>Cancer</v>
      </c>
      <c r="F158" s="974">
        <f>IFERROR(ROUND((IFERROR(VLOOKUP(E158,REF_NarayanaDasaRules!$B$6:$G$17,6,0),0))/78*CALC_NarayanaDasa!$C$25,2),"—")</f>
        <v>0.26</v>
      </c>
      <c r="G158" s="975">
        <f t="shared" si="47"/>
        <v>45773.924999999996</v>
      </c>
      <c r="H158" s="975">
        <f t="shared" si="44"/>
        <v>45868.889999999992</v>
      </c>
      <c r="I158" s="976" t="str">
        <f t="shared" ca="1" si="45"/>
        <v>·</v>
      </c>
      <c r="J158" s="977" t="str">
        <f t="shared" ca="1" si="46"/>
        <v>·</v>
      </c>
      <c r="K158" s="651" t="str">
        <f ca="1">IFERROR(_xludf.switch(E158,"Aries","Identity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row r="159" spans="1:11" ht="15.75" customHeight="1" x14ac:dyDescent="0.2">
      <c r="A159" s="963" t="str">
        <f>CALC_NarayanaDasa!$B$25</f>
        <v>Gemini</v>
      </c>
      <c r="B159" s="963">
        <f>CALC_NarayanaDasa!$C$25</f>
        <v>2</v>
      </c>
      <c r="C159" s="964" t="str">
        <f>CALC_NarayanaDasa!$J$25</f>
        <v>Backward (even Lagna)</v>
      </c>
      <c r="D159" s="965">
        <v>12</v>
      </c>
      <c r="E159" s="966" t="str">
        <f>IFERROR(INDEX({"Aries","Taurus","Gemini","Cancer","Leo","Virgo","Libra","Scorpio","Sagittarius","Capricorn","Aquarius","Pisces"},MOD(MATCH(CALC_NarayanaDasa!$B$25,{"Aries","Taurus","Gemini","Cancer","Leo","Virgo","Libra","Scorpio","Sagittarius","Capricorn","Aquarius","Pisces"},0)-1+IF(OR(CALC_NarayanaDasa!$J$25="Forward (odd Lagna)",CALC_NarayanaDasa!$J$25="Forward (reversal)"),12,-12)+12,12)+1),"—")</f>
        <v>Gemini</v>
      </c>
      <c r="F159" s="967">
        <f>IFERROR(ROUND((IFERROR(VLOOKUP(E159,REF_NarayanaDasaRules!$B$6:$G$17,6,0),0))/78*CALC_NarayanaDasa!$C$25,2),"—")</f>
        <v>0.05</v>
      </c>
      <c r="G159" s="968">
        <f t="shared" si="47"/>
        <v>45868.889999999992</v>
      </c>
      <c r="H159" s="968">
        <f t="shared" si="44"/>
        <v>45887.152499999989</v>
      </c>
      <c r="I159" s="560" t="str">
        <f t="shared" ca="1" si="45"/>
        <v>·</v>
      </c>
      <c r="J159" s="969" t="str">
        <f t="shared" ca="1" si="46"/>
        <v>·</v>
      </c>
      <c r="K159" s="645" t="str">
        <f ca="1">IFERROR(_xludf.switch(E159,"Aries","Identity · initiative","Taurus","Wealth · stability","Gemini","Communication · skills","Cancer","Mind · home · nurturing","Leo","Ego · creativity · fame","Virgo","Health · service · debt","Libra","Partnerships · justice","Scorpio","Transformation · depth","Sagittarius","Fortune · philosophy","Capricorn","Career · authority","Aquarius","Gains · networks","Pisces","Liberation · retreat","—"),"—")</f>
        <v>—</v>
      </c>
    </row>
  </sheetData>
  <mergeCells count="14">
    <mergeCell ref="A108:K108"/>
    <mergeCell ref="A121:K121"/>
    <mergeCell ref="A134:K134"/>
    <mergeCell ref="A147:K147"/>
    <mergeCell ref="A43:K43"/>
    <mergeCell ref="A56:K56"/>
    <mergeCell ref="A69:K69"/>
    <mergeCell ref="A82:K82"/>
    <mergeCell ref="A95:K95"/>
    <mergeCell ref="A1:L1"/>
    <mergeCell ref="A2:L2"/>
    <mergeCell ref="A4:K4"/>
    <mergeCell ref="A17:K17"/>
    <mergeCell ref="A30:K30"/>
  </mergeCells>
  <pageMargins left="0.75" right="0.75" top="1" bottom="1"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6A1B9A"/>
  </sheetPr>
  <dimension ref="A1:H31"/>
  <sheetViews>
    <sheetView zoomScaleNormal="100" workbookViewId="0"/>
  </sheetViews>
  <sheetFormatPr defaultColWidth="8.609375" defaultRowHeight="15" x14ac:dyDescent="0.2"/>
  <cols>
    <col min="1" max="1" width="20.04296875" customWidth="1"/>
    <col min="2" max="3" width="18.0234375" customWidth="1"/>
    <col min="4" max="5" width="9.953125" customWidth="1"/>
    <col min="6" max="6" width="39.953125" customWidth="1"/>
  </cols>
  <sheetData>
    <row r="1" spans="1:8" ht="21.75" customHeight="1" x14ac:dyDescent="0.2">
      <c r="A1" s="1522" t="s">
        <v>4281</v>
      </c>
      <c r="B1" s="1522"/>
      <c r="C1" s="1522"/>
      <c r="D1" s="1522"/>
      <c r="E1" s="1522"/>
      <c r="F1" s="1522"/>
      <c r="H1" s="601" t="s">
        <v>2214</v>
      </c>
    </row>
    <row r="2" spans="1:8" ht="48" customHeight="1" x14ac:dyDescent="0.2">
      <c r="A2" s="1580" t="s">
        <v>4282</v>
      </c>
      <c r="B2" s="1580"/>
      <c r="C2" s="1580"/>
      <c r="D2" s="1580"/>
      <c r="E2" s="1580"/>
      <c r="F2" s="1580"/>
    </row>
    <row r="4" spans="1:8" ht="18" customHeight="1" x14ac:dyDescent="0.2">
      <c r="A4" s="1524" t="s">
        <v>4283</v>
      </c>
      <c r="B4" s="1524"/>
      <c r="C4" s="1524"/>
      <c r="D4" s="1524"/>
      <c r="E4" s="1524"/>
      <c r="F4" s="1524"/>
    </row>
    <row r="5" spans="1:8" ht="15.75" customHeight="1" x14ac:dyDescent="0.2">
      <c r="A5" s="545" t="s">
        <v>4145</v>
      </c>
      <c r="B5" s="545" t="s">
        <v>4284</v>
      </c>
      <c r="C5" s="545" t="s">
        <v>4285</v>
      </c>
      <c r="D5" s="545" t="s">
        <v>4286</v>
      </c>
      <c r="E5" s="545" t="s">
        <v>4287</v>
      </c>
      <c r="F5" s="545" t="s">
        <v>282</v>
      </c>
    </row>
    <row r="6" spans="1:8" ht="18" customHeight="1" x14ac:dyDescent="0.2">
      <c r="A6" s="909" t="s">
        <v>4288</v>
      </c>
      <c r="B6" s="936" t="str">
        <f>IFERROR(INDEX(REF_Nakshatra!$B$6:$B$32,MATCH(INPUT_BirthData!$B$25,REF_Nakshatra!$B$6:$B$32,0)),"← auto")</f>
        <v>Pushya</v>
      </c>
      <c r="C6" s="912" t="s">
        <v>203</v>
      </c>
      <c r="F6" s="904" t="s">
        <v>4289</v>
      </c>
    </row>
    <row r="7" spans="1:8" ht="18" customHeight="1" x14ac:dyDescent="0.2">
      <c r="A7" s="906" t="s">
        <v>4290</v>
      </c>
      <c r="B7" s="938" t="str">
        <f>IFERROR(INPUT_Chart!$C$7,"← enter chart")</f>
        <v>Cancer</v>
      </c>
      <c r="C7" s="912" t="s">
        <v>203</v>
      </c>
      <c r="F7" s="907" t="s">
        <v>4291</v>
      </c>
    </row>
    <row r="8" spans="1:8" ht="18" customHeight="1" x14ac:dyDescent="0.2">
      <c r="A8" s="909" t="s">
        <v>4292</v>
      </c>
      <c r="B8" s="936" t="str">
        <f>IFERROR(INPUT_Chart!$C$5,"← enter chart")</f>
        <v>Taurus</v>
      </c>
      <c r="C8" s="912" t="s">
        <v>203</v>
      </c>
      <c r="F8" s="904" t="s">
        <v>4293</v>
      </c>
    </row>
    <row r="9" spans="1:8" ht="18" customHeight="1" x14ac:dyDescent="0.2">
      <c r="A9" s="906" t="s">
        <v>4294</v>
      </c>
      <c r="B9" s="938" t="s">
        <v>4295</v>
      </c>
      <c r="C9" s="912" t="s">
        <v>203</v>
      </c>
      <c r="F9" s="907" t="s">
        <v>4296</v>
      </c>
    </row>
    <row r="12" spans="1:8" ht="18" customHeight="1" x14ac:dyDescent="0.2">
      <c r="A12" s="1524" t="s">
        <v>4297</v>
      </c>
      <c r="B12" s="1524"/>
      <c r="C12" s="1524"/>
      <c r="D12" s="1524"/>
      <c r="E12" s="1524"/>
      <c r="F12" s="1524"/>
    </row>
    <row r="13" spans="1:8" ht="15.75" customHeight="1" x14ac:dyDescent="0.2">
      <c r="A13" s="545" t="s">
        <v>4298</v>
      </c>
      <c r="B13" s="545" t="s">
        <v>4299</v>
      </c>
      <c r="C13" s="545" t="s">
        <v>4300</v>
      </c>
      <c r="D13" s="545" t="s">
        <v>4301</v>
      </c>
      <c r="E13" s="545" t="s">
        <v>4286</v>
      </c>
      <c r="F13" s="545" t="s">
        <v>4287</v>
      </c>
    </row>
    <row r="14" spans="1:8" ht="19.5" customHeight="1" x14ac:dyDescent="0.2">
      <c r="A14" s="909" t="s">
        <v>4302</v>
      </c>
      <c r="B14" s="936" t="s">
        <v>4303</v>
      </c>
      <c r="C14" s="978" t="str">
        <f>IFERROR(INDEX(REF_Nakshatra!$AC$6:$AC$32,MATCH(INDEX(REF_Nakshatra!$B$6:$B$32,MATCH(INPUT_BirthData!$B$25,REF_Nakshatra!$B$6:$B$32,0)),REF_Nakshatra!$B$6:$B$32,0)),"—")</f>
        <v>Kshatriya</v>
      </c>
      <c r="D14" s="979" t="str">
        <f>IFERROR(INDEX(REF_Nakshatra!$AC$6:$AC$32,MATCH(C6,REF_Nakshatra!$B$6:$B$32,0)),"—")</f>
        <v>—</v>
      </c>
      <c r="E14" s="903">
        <v>1</v>
      </c>
      <c r="F14" s="980">
        <f>IFERROR(IF((IF(IFERROR(INDEX(REF_Nakshatra!$AC$6:$AC$32,MATCH(INDEX(REF_Nakshatra!$B$6:$B$32,MATCH(INPUT_BirthData!$B$25,REF_Nakshatra!$B$6:$B$32,0)),REF_Nakshatra!$B$6:$B$32,0)),"—")="Brahmin",4,IF(IFERROR(INDEX(REF_Nakshatra!$AC$6:$AC$32,MATCH(INDEX(REF_Nakshatra!$B$6:$B$32,MATCH(INPUT_BirthData!$B$25,REF_Nakshatra!$B$6:$B$32,0)),REF_Nakshatra!$B$6:$B$32,0)),"—")="Kshatriya",3,IF(IFERROR(INDEX(REF_Nakshatra!$AC$6:$AC$32,MATCH(INDEX(REF_Nakshatra!$B$6:$B$32,MATCH(INPUT_BirthData!$B$25,REF_Nakshatra!$B$6:$B$32,0)),REF_Nakshatra!$B$6:$B$32,0)),"—")="Vaishya",2,1))))&gt;=(IF(IFERROR(INDEX(REF_Nakshatra!$AC$6:$AC$32,MATCH(C6,REF_Nakshatra!$B$6:$B$32,0)),"—")="Brahmin",4,IF(IFERROR(INDEX(REF_Nakshatra!$AC$6:$AC$32,MATCH(C6,REF_Nakshatra!$B$6:$B$32,0)),"—")="Kshatriya",3,IF(IFERROR(INDEX(REF_Nakshatra!$AC$6:$AC$32,MATCH(C6,REF_Nakshatra!$B$6:$B$32,0)),"—")="Vaishya",2,1)))),1,0),0)</f>
        <v>1</v>
      </c>
    </row>
    <row r="15" spans="1:8" ht="19.5" customHeight="1" x14ac:dyDescent="0.2">
      <c r="A15" s="906" t="s">
        <v>4304</v>
      </c>
      <c r="B15" s="938" t="s">
        <v>4305</v>
      </c>
      <c r="C15" s="981" t="str">
        <f>INPUT_Chart!$C$7</f>
        <v>Cancer</v>
      </c>
      <c r="D15" s="982" t="str">
        <f>C7</f>
        <v>← Enter</v>
      </c>
      <c r="E15" s="911">
        <v>2</v>
      </c>
      <c r="F15" s="983">
        <f>IFERROR(IF((IF(IFERROR(INDEX(REF_Nakshatra!$AC$6:$AC$32,MATCH(INDEX(REF_Nakshatra!$B$6:$B$32,MATCH(INPUT_BirthData!$B$25,REF_Nakshatra!$B$6:$B$32,0)),REF_Nakshatra!$B$6:$B$32,0)),"—")="Brahmin",4,IF(IFERROR(INDEX(REF_Nakshatra!$AC$6:$AC$32,MATCH(INDEX(REF_Nakshatra!$B$6:$B$32,MATCH(INPUT_BirthData!$B$25,REF_Nakshatra!$B$6:$B$32,0)),REF_Nakshatra!$B$6:$B$32,0)),"—")="Kshatriya",3,IF(IFERROR(INDEX(REF_Nakshatra!$AC$6:$AC$32,MATCH(INDEX(REF_Nakshatra!$B$6:$B$32,MATCH(INPUT_BirthData!$B$25,REF_Nakshatra!$B$6:$B$32,0)),REF_Nakshatra!$B$6:$B$32,0)),"—")="Vaishya",2,1))))&gt;=(IF(IFERROR(INDEX(REF_Nakshatra!$AC$6:$AC$32,MATCH(C7,REF_Nakshatra!$B$6:$B$32,0)),"—")="Brahmin",4,IF(IFERROR(INDEX(REF_Nakshatra!$AC$6:$AC$32,MATCH(C7,REF_Nakshatra!$B$6:$B$32,0)),"—")="Kshatriya",3,IF(IFERROR(INDEX(REF_Nakshatra!$AC$6:$AC$32,MATCH(C7,REF_Nakshatra!$B$6:$B$32,0)),"—")="Vaishya",2,1)))),1,0),0)</f>
        <v>1</v>
      </c>
    </row>
    <row r="16" spans="1:8" ht="19.5" customHeight="1" x14ac:dyDescent="0.2">
      <c r="A16" s="909" t="s">
        <v>4306</v>
      </c>
      <c r="B16" s="936" t="s">
        <v>4307</v>
      </c>
      <c r="C16" s="978" t="str">
        <f>IFERROR(INDEX(REF_Nakshatra!$B$6:$B$32,MATCH(INPUT_BirthData!$B$25,REF_Nakshatra!$B$6:$B$32,0)),"—")</f>
        <v>Pushya</v>
      </c>
      <c r="D16" s="979" t="str">
        <f>C6</f>
        <v>← Enter</v>
      </c>
      <c r="E16" s="903">
        <v>3</v>
      </c>
      <c r="F16" s="980">
        <f>IFERROR(IF((IF(IFERROR(INDEX(REF_Nakshatra!$AC$6:$AC$32,MATCH(INDEX(REF_Nakshatra!$B$6:$B$32,MATCH(INPUT_BirthData!$B$25,REF_Nakshatra!$B$6:$B$32,0)),REF_Nakshatra!$B$6:$B$32,0)),"—")="Brahmin",4,IF(IFERROR(INDEX(REF_Nakshatra!$AC$6:$AC$32,MATCH(INDEX(REF_Nakshatra!$B$6:$B$32,MATCH(INPUT_BirthData!$B$25,REF_Nakshatra!$B$6:$B$32,0)),REF_Nakshatra!$B$6:$B$32,0)),"—")="Kshatriya",3,IF(IFERROR(INDEX(REF_Nakshatra!$AC$6:$AC$32,MATCH(INDEX(REF_Nakshatra!$B$6:$B$32,MATCH(INPUT_BirthData!$B$25,REF_Nakshatra!$B$6:$B$32,0)),REF_Nakshatra!$B$6:$B$32,0)),"—")="Vaishya",2,1))))&gt;=(IF(IFERROR(INDEX(REF_Nakshatra!$AC$6:$AC$32,MATCH(C8,REF_Nakshatra!$B$6:$B$32,0)),"—")="Brahmin",4,IF(IFERROR(INDEX(REF_Nakshatra!$AC$6:$AC$32,MATCH(C8,REF_Nakshatra!$B$6:$B$32,0)),"—")="Kshatriya",3,IF(IFERROR(INDEX(REF_Nakshatra!$AC$6:$AC$32,MATCH(C8,REF_Nakshatra!$B$6:$B$32,0)),"—")="Vaishya",2,1)))),1,0),0)</f>
        <v>1</v>
      </c>
    </row>
    <row r="17" spans="1:6" ht="19.5" customHeight="1" x14ac:dyDescent="0.2">
      <c r="A17" s="906" t="s">
        <v>4308</v>
      </c>
      <c r="B17" s="938" t="s">
        <v>4309</v>
      </c>
      <c r="C17" s="981" t="str">
        <f>IFERROR(INDEX(REF_Nakshatra!$AF$6:$AF$32,MATCH(INDEX(REF_Nakshatra!$B$6:$B$32,MATCH(INPUT_BirthData!$B$25,REF_Nakshatra!$B$6:$B$32,0)),REF_Nakshatra!$B$6:$B$32,0)),"—")</f>
        <v>Sheep</v>
      </c>
      <c r="D17" s="982" t="str">
        <f>IFERROR(INDEX(REF_Nakshatra!$AF$6:$AF$32,MATCH(C6,REF_Nakshatra!$B$6:$B$32,0)),"—")</f>
        <v>—</v>
      </c>
      <c r="E17" s="911">
        <v>4</v>
      </c>
      <c r="F17" s="983">
        <f>IFERROR(IF((IF(IFERROR(INDEX(REF_Nakshatra!$AC$6:$AC$32,MATCH(INDEX(REF_Nakshatra!$B$6:$B$32,MATCH(INPUT_BirthData!$B$25,REF_Nakshatra!$B$6:$B$32,0)),REF_Nakshatra!$B$6:$B$32,0)),"—")="Brahmin",4,IF(IFERROR(INDEX(REF_Nakshatra!$AC$6:$AC$32,MATCH(INDEX(REF_Nakshatra!$B$6:$B$32,MATCH(INPUT_BirthData!$B$25,REF_Nakshatra!$B$6:$B$32,0)),REF_Nakshatra!$B$6:$B$32,0)),"—")="Kshatriya",3,IF(IFERROR(INDEX(REF_Nakshatra!$AC$6:$AC$32,MATCH(INDEX(REF_Nakshatra!$B$6:$B$32,MATCH(INPUT_BirthData!$B$25,REF_Nakshatra!$B$6:$B$32,0)),REF_Nakshatra!$B$6:$B$32,0)),"—")="Vaishya",2,1))))&gt;=(IF(IFERROR(INDEX(REF_Nakshatra!$AC$6:$AC$32,MATCH(C9,REF_Nakshatra!$B$6:$B$32,0)),"—")="Brahmin",4,IF(IFERROR(INDEX(REF_Nakshatra!$AC$6:$AC$32,MATCH(C9,REF_Nakshatra!$B$6:$B$32,0)),"—")="Kshatriya",3,IF(IFERROR(INDEX(REF_Nakshatra!$AC$6:$AC$32,MATCH(C9,REF_Nakshatra!$B$6:$B$32,0)),"—")="Vaishya",2,1)))),1,0),0)</f>
        <v>1</v>
      </c>
    </row>
    <row r="18" spans="1:6" ht="19.5" customHeight="1" x14ac:dyDescent="0.2">
      <c r="A18" s="909" t="s">
        <v>4310</v>
      </c>
      <c r="B18" s="936" t="s">
        <v>4311</v>
      </c>
      <c r="C18" s="978" t="str">
        <f>IFERROR(INDEX(REF_Zodiac!$D$7:$O$7,MATCH(INPUT_Chart!$C$7,REF_Zodiac!$D$3:$O$3,0)),"—")</f>
        <v>Moon</v>
      </c>
      <c r="D18" s="979" t="str">
        <f>IFERROR(INDEX(REF_Zodiac!$D$7:$O$7,MATCH(C7,REF_Zodiac!$D$3:$O$3,0)),"—")</f>
        <v>—</v>
      </c>
      <c r="E18" s="903">
        <v>5</v>
      </c>
      <c r="F18" s="980">
        <f>IFERROR(IF((IF(IFERROR(INDEX(REF_Nakshatra!$AC$6:$AC$32,MATCH(INDEX(REF_Nakshatra!$B$6:$B$32,MATCH(INPUT_BirthData!$B$25,REF_Nakshatra!$B$6:$B$32,0)),REF_Nakshatra!$B$6:$B$32,0)),"—")="Brahmin",4,IF(IFERROR(INDEX(REF_Nakshatra!$AC$6:$AC$32,MATCH(INDEX(REF_Nakshatra!$B$6:$B$32,MATCH(INPUT_BirthData!$B$25,REF_Nakshatra!$B$6:$B$32,0)),REF_Nakshatra!$B$6:$B$32,0)),"—")="Kshatriya",3,IF(IFERROR(INDEX(REF_Nakshatra!$AC$6:$AC$32,MATCH(INDEX(REF_Nakshatra!$B$6:$B$32,MATCH(INPUT_BirthData!$B$25,REF_Nakshatra!$B$6:$B$32,0)),REF_Nakshatra!$B$6:$B$32,0)),"—")="Vaishya",2,1))))&gt;=(IF(IFERROR(INDEX(REF_Nakshatra!$AC$6:$AC$32,MATCH(C10,REF_Nakshatra!$B$6:$B$32,0)),"—")="Brahmin",4,IF(IFERROR(INDEX(REF_Nakshatra!$AC$6:$AC$32,MATCH(C10,REF_Nakshatra!$B$6:$B$32,0)),"—")="Kshatriya",3,IF(IFERROR(INDEX(REF_Nakshatra!$AC$6:$AC$32,MATCH(C10,REF_Nakshatra!$B$6:$B$32,0)),"—")="Vaishya",2,1)))),1,0),0)</f>
        <v>1</v>
      </c>
    </row>
    <row r="19" spans="1:6" ht="19.5" customHeight="1" x14ac:dyDescent="0.2">
      <c r="A19" s="906" t="s">
        <v>4312</v>
      </c>
      <c r="B19" s="938" t="s">
        <v>4313</v>
      </c>
      <c r="C19" s="981" t="str">
        <f>IFERROR(INDEX(REF_Nakshatra!$AB$6:$AB$32,MATCH(INDEX(REF_Nakshatra!$B$6:$B$32,MATCH(INPUT_BirthData!$B$25,REF_Nakshatra!$B$6:$B$32,0)),REF_Nakshatra!$B$6:$B$32,0)),"—")</f>
        <v>Deva</v>
      </c>
      <c r="D19" s="982" t="str">
        <f>IFERROR(INDEX(REF_Nakshatra!$AB$6:$AB$32,MATCH(C6,REF_Nakshatra!$B$6:$B$32,0)),"—")</f>
        <v>—</v>
      </c>
      <c r="E19" s="911">
        <v>6</v>
      </c>
      <c r="F19" s="983">
        <f>IFERROR(IF((IF(IFERROR(INDEX(REF_Nakshatra!$AC$6:$AC$32,MATCH(INDEX(REF_Nakshatra!$B$6:$B$32,MATCH(INPUT_BirthData!$B$25,REF_Nakshatra!$B$6:$B$32,0)),REF_Nakshatra!$B$6:$B$32,0)),"—")="Brahmin",4,IF(IFERROR(INDEX(REF_Nakshatra!$AC$6:$AC$32,MATCH(INDEX(REF_Nakshatra!$B$6:$B$32,MATCH(INPUT_BirthData!$B$25,REF_Nakshatra!$B$6:$B$32,0)),REF_Nakshatra!$B$6:$B$32,0)),"—")="Kshatriya",3,IF(IFERROR(INDEX(REF_Nakshatra!$AC$6:$AC$32,MATCH(INDEX(REF_Nakshatra!$B$6:$B$32,MATCH(INPUT_BirthData!$B$25,REF_Nakshatra!$B$6:$B$32,0)),REF_Nakshatra!$B$6:$B$32,0)),"—")="Vaishya",2,1))))&gt;=(IF(IFERROR(INDEX(REF_Nakshatra!$AC$6:$AC$32,MATCH(C11,REF_Nakshatra!$B$6:$B$32,0)),"—")="Brahmin",4,IF(IFERROR(INDEX(REF_Nakshatra!$AC$6:$AC$32,MATCH(C11,REF_Nakshatra!$B$6:$B$32,0)),"—")="Kshatriya",3,IF(IFERROR(INDEX(REF_Nakshatra!$AC$6:$AC$32,MATCH(C11,REF_Nakshatra!$B$6:$B$32,0)),"—")="Vaishya",2,1)))),1,0),0)</f>
        <v>1</v>
      </c>
    </row>
    <row r="20" spans="1:6" ht="19.5" customHeight="1" x14ac:dyDescent="0.2">
      <c r="A20" s="909" t="s">
        <v>4314</v>
      </c>
      <c r="B20" s="936" t="s">
        <v>4315</v>
      </c>
      <c r="C20" s="978" t="str">
        <f>INPUT_Chart!$C$7</f>
        <v>Cancer</v>
      </c>
      <c r="D20" s="979" t="str">
        <f>C7</f>
        <v>← Enter</v>
      </c>
      <c r="E20" s="903">
        <v>7</v>
      </c>
      <c r="F20" s="980">
        <f>IFERROR(IF((IF(IFERROR(INDEX(REF_Nakshatra!$AC$6:$AC$32,MATCH(INDEX(REF_Nakshatra!$B$6:$B$32,MATCH(INPUT_BirthData!$B$25,REF_Nakshatra!$B$6:$B$32,0)),REF_Nakshatra!$B$6:$B$32,0)),"—")="Brahmin",4,IF(IFERROR(INDEX(REF_Nakshatra!$AC$6:$AC$32,MATCH(INDEX(REF_Nakshatra!$B$6:$B$32,MATCH(INPUT_BirthData!$B$25,REF_Nakshatra!$B$6:$B$32,0)),REF_Nakshatra!$B$6:$B$32,0)),"—")="Kshatriya",3,IF(IFERROR(INDEX(REF_Nakshatra!$AC$6:$AC$32,MATCH(INDEX(REF_Nakshatra!$B$6:$B$32,MATCH(INPUT_BirthData!$B$25,REF_Nakshatra!$B$6:$B$32,0)),REF_Nakshatra!$B$6:$B$32,0)),"—")="Vaishya",2,1))))&gt;=(IF(IFERROR(INDEX(REF_Nakshatra!$AC$6:$AC$32,MATCH(C12,REF_Nakshatra!$B$6:$B$32,0)),"—")="Brahmin",4,IF(IFERROR(INDEX(REF_Nakshatra!$AC$6:$AC$32,MATCH(C12,REF_Nakshatra!$B$6:$B$32,0)),"—")="Kshatriya",3,IF(IFERROR(INDEX(REF_Nakshatra!$AC$6:$AC$32,MATCH(C12,REF_Nakshatra!$B$6:$B$32,0)),"—")="Vaishya",2,1)))),1,0),0)</f>
        <v>1</v>
      </c>
    </row>
    <row r="21" spans="1:6" ht="19.5" customHeight="1" x14ac:dyDescent="0.2">
      <c r="A21" s="906" t="s">
        <v>4316</v>
      </c>
      <c r="B21" s="938" t="s">
        <v>4317</v>
      </c>
      <c r="C21" s="981" t="str">
        <f>IFERROR(INDEX(REF_Nakshatra!$B$6:$B$32,MATCH(INPUT_BirthData!$B$25,REF_Nakshatra!$B$6:$B$32,0)),"—")</f>
        <v>Pushya</v>
      </c>
      <c r="D21" s="982" t="str">
        <f>C6</f>
        <v>← Enter</v>
      </c>
      <c r="E21" s="911">
        <v>8</v>
      </c>
      <c r="F21" s="908">
        <f>IFERROR(IF((IF(IFERROR(INDEX(REF_Nakshatra!$AC$6:$AC$32,MATCH(INDEX(REF_Nakshatra!$B$6:$B$32,MATCH(INPUT_BirthData!$B$25,REF_Nakshatra!$B$6:$B$32,0)),REF_Nakshatra!$B$6:$B$32,0)),"—")="Brahmin",4,IF(IFERROR(INDEX(REF_Nakshatra!$AC$6:$AC$32,MATCH(INDEX(REF_Nakshatra!$B$6:$B$32,MATCH(INPUT_BirthData!$B$25,REF_Nakshatra!$B$6:$B$32,0)),REF_Nakshatra!$B$6:$B$32,0)),"—")="Kshatriya",3,IF(IFERROR(INDEX(REF_Nakshatra!$AC$6:$AC$32,MATCH(INDEX(REF_Nakshatra!$B$6:$B$32,MATCH(INPUT_BirthData!$B$25,REF_Nakshatra!$B$6:$B$32,0)),REF_Nakshatra!$B$6:$B$32,0)),"—")="Vaishya",2,1))))&gt;=(IF(IFERROR(INDEX(REF_Nakshatra!$AC$6:$AC$32,MATCH(C13,REF_Nakshatra!$B$6:$B$32,0)),"—")="Brahmin",4,IF(IFERROR(INDEX(REF_Nakshatra!$AC$6:$AC$32,MATCH(C13,REF_Nakshatra!$B$6:$B$32,0)),"—")="Kshatriya",3,IF(IFERROR(INDEX(REF_Nakshatra!$AC$6:$AC$32,MATCH(C13,REF_Nakshatra!$B$6:$B$32,0)),"—")="Vaishya",2,1)))),1,0),0)</f>
        <v>1</v>
      </c>
    </row>
    <row r="22" spans="1:6" ht="19.5" customHeight="1" x14ac:dyDescent="0.2">
      <c r="A22" s="984" t="s">
        <v>4318</v>
      </c>
      <c r="E22" s="985">
        <v>36</v>
      </c>
      <c r="F22" s="984">
        <f>IFERROR(SUM(F14:F21),0)</f>
        <v>8</v>
      </c>
    </row>
    <row r="23" spans="1:6" ht="15" customHeight="1" x14ac:dyDescent="0.2">
      <c r="A23" s="598" t="s">
        <v>4</v>
      </c>
      <c r="F23" s="986" t="str">
        <f>IFERROR(IF(F22&gt;=32,"★★ Excellent (32+)",IF(F22&gt;=24,"★ Good (24+)",IF(F22&gt;=18,"~ Acceptable (18+)","⚠ Challenging (&lt;18)"))),"—")</f>
        <v>⚠ Challenging (&lt;18)</v>
      </c>
    </row>
    <row r="24" spans="1:6" ht="18" customHeight="1" x14ac:dyDescent="0.2">
      <c r="A24" s="1524" t="s">
        <v>4319</v>
      </c>
      <c r="B24" s="1524"/>
      <c r="C24" s="1524"/>
      <c r="D24" s="1524"/>
      <c r="E24" s="1524"/>
      <c r="F24" s="1524"/>
    </row>
    <row r="25" spans="1:6" ht="15.75" customHeight="1" x14ac:dyDescent="0.2">
      <c r="A25" s="909" t="s">
        <v>4320</v>
      </c>
      <c r="B25" s="910" t="s">
        <v>4321</v>
      </c>
      <c r="C25" s="987" t="s">
        <v>4322</v>
      </c>
    </row>
    <row r="26" spans="1:6" ht="15.75" customHeight="1" x14ac:dyDescent="0.2">
      <c r="A26" s="906" t="s">
        <v>4323</v>
      </c>
      <c r="B26" s="908" t="s">
        <v>4324</v>
      </c>
      <c r="C26" s="988" t="s">
        <v>4325</v>
      </c>
    </row>
    <row r="27" spans="1:6" ht="15.75" customHeight="1" x14ac:dyDescent="0.2">
      <c r="A27" s="909" t="s">
        <v>4326</v>
      </c>
      <c r="B27" s="910" t="s">
        <v>4327</v>
      </c>
      <c r="C27" s="987" t="s">
        <v>4328</v>
      </c>
    </row>
    <row r="28" spans="1:6" ht="15.75" customHeight="1" x14ac:dyDescent="0.2">
      <c r="A28" s="906" t="s">
        <v>4329</v>
      </c>
      <c r="B28" s="908" t="s">
        <v>4330</v>
      </c>
      <c r="C28" s="988" t="s">
        <v>4331</v>
      </c>
    </row>
    <row r="30" spans="1:6" ht="18" customHeight="1" x14ac:dyDescent="0.2">
      <c r="A30" s="1524" t="s">
        <v>4332</v>
      </c>
      <c r="B30" s="1524"/>
      <c r="C30" s="1524"/>
      <c r="D30" s="1524"/>
      <c r="E30" s="1524"/>
      <c r="F30" s="1524"/>
    </row>
    <row r="31" spans="1:6" ht="79.5" customHeight="1" x14ac:dyDescent="0.2">
      <c r="A31" s="1579" t="s">
        <v>4333</v>
      </c>
      <c r="B31" s="1579"/>
      <c r="C31" s="1579"/>
      <c r="D31" s="1579"/>
      <c r="E31" s="1579"/>
      <c r="F31" s="1579"/>
    </row>
  </sheetData>
  <mergeCells count="7">
    <mergeCell ref="A30:F30"/>
    <mergeCell ref="A31:F31"/>
    <mergeCell ref="A1:F1"/>
    <mergeCell ref="A2:F2"/>
    <mergeCell ref="A4:F4"/>
    <mergeCell ref="A12:F12"/>
    <mergeCell ref="A24:F24"/>
  </mergeCells>
  <pageMargins left="0.75" right="0.75" top="1" bottom="1"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6A1B9A"/>
  </sheetPr>
  <dimension ref="A1:J15"/>
  <sheetViews>
    <sheetView zoomScaleNormal="100" workbookViewId="0"/>
  </sheetViews>
  <sheetFormatPr defaultColWidth="8.609375" defaultRowHeight="15" x14ac:dyDescent="0.2"/>
  <cols>
    <col min="1" max="1" width="11.97265625" customWidth="1"/>
    <col min="2" max="2" width="13.98828125" customWidth="1"/>
    <col min="3" max="4" width="11.97265625" customWidth="1"/>
    <col min="5" max="5" width="16.0078125" customWidth="1"/>
    <col min="6" max="6" width="13.98828125" customWidth="1"/>
    <col min="7" max="7" width="16.0078125" customWidth="1"/>
    <col min="8" max="8" width="39.953125" customWidth="1"/>
  </cols>
  <sheetData>
    <row r="1" spans="1:10" ht="21.75" customHeight="1" x14ac:dyDescent="0.2">
      <c r="A1" s="1522" t="s">
        <v>4334</v>
      </c>
      <c r="B1" s="1522"/>
      <c r="C1" s="1522"/>
      <c r="D1" s="1522"/>
      <c r="E1" s="1522"/>
      <c r="F1" s="1522"/>
      <c r="G1" s="1522"/>
      <c r="H1" s="1522"/>
      <c r="J1" s="601" t="s">
        <v>2214</v>
      </c>
    </row>
    <row r="2" spans="1:10" ht="24" customHeight="1" x14ac:dyDescent="0.2">
      <c r="A2" s="1523" t="s">
        <v>4335</v>
      </c>
      <c r="B2" s="1523"/>
      <c r="C2" s="1523"/>
      <c r="D2" s="1523"/>
      <c r="E2" s="1523"/>
      <c r="F2" s="1523"/>
      <c r="G2" s="1523"/>
      <c r="H2" s="1523"/>
    </row>
    <row r="4" spans="1:10" ht="15.75" customHeight="1" x14ac:dyDescent="0.2">
      <c r="A4" s="545" t="s">
        <v>319</v>
      </c>
      <c r="B4" s="545" t="s">
        <v>4336</v>
      </c>
      <c r="C4" s="545" t="s">
        <v>4337</v>
      </c>
      <c r="D4" s="545" t="s">
        <v>4338</v>
      </c>
      <c r="E4" s="545" t="s">
        <v>4339</v>
      </c>
      <c r="F4" s="545" t="s">
        <v>4340</v>
      </c>
      <c r="G4" s="545" t="s">
        <v>2709</v>
      </c>
      <c r="H4" s="545" t="s">
        <v>4341</v>
      </c>
    </row>
    <row r="5" spans="1:10" ht="19.5" customHeight="1" x14ac:dyDescent="0.2">
      <c r="A5" s="578" t="s">
        <v>266</v>
      </c>
      <c r="B5" s="574" t="str">
        <f>IFERROR(CALC_PlanetPositions!$B$7,"—")</f>
        <v>Cancer</v>
      </c>
      <c r="C5" s="989">
        <f>IFERROR(CALC_PlanetPositions!$C$7,0)</f>
        <v>27.989000000000004</v>
      </c>
      <c r="D5" s="627">
        <f>IFERROR(IF(MOD(MATCH(B5,{"Aries","Taurus","Gemini","Cancer","Leo","Virgo","Libra","Scorpio","Sagittarius","Capricorn","Aquarius","Pisces"},0),2)=1,INT(MOD(CALC_PlanetLongitudes!$D$8,30)/0.5)+1,61-(INT(MOD(CALC_PlanetLongitudes!$D$8,30)/0.5)+1)),0)</f>
        <v>5</v>
      </c>
      <c r="E5" s="610" t="str">
        <f>IFERROR(IF(MOD(MATCH(B5,{"Aries","Taurus","Gemini","Cancer","Leo","Virgo","Libra","Scorpio","Sagittarius","Capricorn","Aquarius","Pisces"},0),2)=1,INDEX({"Aries","Taurus","Gemini","Cancer","Leo","Virgo","Libra","Scorpio","Sagittarius","Capricorn","Aquarius","Pisces"},MOD(D5-1,12)+1),INDEX({"Aries","Taurus","Gemini","Cancer","Leo","Virgo","Libra","Scorpio","Sagittarius","Capricorn","Aquarius","Pisces"},MOD(10+D5-1,12)+1)),"—")</f>
        <v>Gemini</v>
      </c>
      <c r="F5" s="578" t="str">
        <f>IFERROR(INDEX(REF_D60SignMap!$C$6:$C$65,D5),"—")</f>
        <v>Yaksha</v>
      </c>
      <c r="G5" s="915" t="str">
        <f>IFERROR(INDEX(REF_D60SignMap!$D$6:$D$65,D5),"—")</f>
        <v>Neutral</v>
      </c>
      <c r="H5" s="990" t="str">
        <f>IFERROR(IF(OR(INPUT_BirthData!$E$24="SwissEph",INPUT_BirthData!$E$24="API"),"★ ±0.001° (pyswisseph — fully reliable)","⚠ Manual entry — verify boundary planets"), "Enter via swiss_eph_engine.py")</f>
        <v>★ ±0.001° (pyswisseph — fully reliable)</v>
      </c>
    </row>
    <row r="6" spans="1:10" ht="19.5" customHeight="1" x14ac:dyDescent="0.2">
      <c r="A6" s="580" t="s">
        <v>267</v>
      </c>
      <c r="B6" s="576" t="str">
        <f>IFERROR(CALC_PlanetPositions!$B$8,"—")</f>
        <v>Cancer</v>
      </c>
      <c r="C6" s="991">
        <f>IFERROR(CALC_PlanetPositions!$C$8,0)</f>
        <v>3.9835000000000065</v>
      </c>
      <c r="D6" s="632">
        <f>IFERROR(IF(MOD(MATCH(B6,{"Aries","Taurus","Gemini","Cancer","Leo","Virgo","Libra","Scorpio","Sagittarius","Capricorn","Aquarius","Pisces"},0),2)=1,INT(MOD(CALC_PlanetLongitudes!$D$9,30)/0.5)+1,61-(INT(MOD(CALC_PlanetLongitudes!$D$9,30)/0.5)+1)),0)</f>
        <v>53</v>
      </c>
      <c r="E6" s="612" t="str">
        <f>IFERROR(IF(MOD(MATCH(B6,{"Aries","Taurus","Gemini","Cancer","Leo","Virgo","Libra","Scorpio","Sagittarius","Capricorn","Aquarius","Pisces"},0),2)=1,INDEX({"Aries","Taurus","Gemini","Cancer","Leo","Virgo","Libra","Scorpio","Sagittarius","Capricorn","Aquarius","Pisces"},MOD(D6-1,12)+1),INDEX({"Aries","Taurus","Gemini","Cancer","Leo","Virgo","Libra","Scorpio","Sagittarius","Capricorn","Aquarius","Pisces"},MOD(10+D6-1,12)+1)),"—")</f>
        <v>Gemini</v>
      </c>
      <c r="F6" s="580" t="str">
        <f>IFERROR(INDEX(REF_D60SignMap!$C$6:$C$65,D6),"—")</f>
        <v>Sarpa</v>
      </c>
      <c r="G6" s="919" t="str">
        <f>IFERROR(INDEX(REF_D60SignMap!$D$6:$D$65,D6),"—")</f>
        <v>Malefic</v>
      </c>
      <c r="H6" s="992" t="str">
        <f>IFERROR(IF(OR(INPUT_BirthData!$E$24="SwissEph",INPUT_BirthData!$E$24="API"),"★ ±0.001° (pyswisseph — fully reliable)","⚠ Manual entry — verify boundary planets"), "Enter via swiss_eph_engine.py")</f>
        <v>★ ±0.001° (pyswisseph — fully reliable)</v>
      </c>
    </row>
    <row r="7" spans="1:10" ht="19.5" customHeight="1" x14ac:dyDescent="0.2">
      <c r="A7" s="578" t="s">
        <v>268</v>
      </c>
      <c r="B7" s="574" t="str">
        <f>IFERROR(CALC_PlanetPositions!$B$9,"—")</f>
        <v>Gemini</v>
      </c>
      <c r="C7" s="989">
        <f>IFERROR(CALC_PlanetPositions!$C$9,0)</f>
        <v>7.4561999999999955</v>
      </c>
      <c r="D7" s="627">
        <f>IFERROR(IF(MOD(MATCH(B7,{"Aries","Taurus","Gemini","Cancer","Leo","Virgo","Libra","Scorpio","Sagittarius","Capricorn","Aquarius","Pisces"},0),2)=1,INT(MOD(CALC_PlanetLongitudes!$D$10,30)/0.5)+1,61-(INT(MOD(CALC_PlanetLongitudes!$D$10,30)/0.5)+1)),0)</f>
        <v>15</v>
      </c>
      <c r="E7" s="610" t="str">
        <f>IFERROR(IF(MOD(MATCH(B7,{"Aries","Taurus","Gemini","Cancer","Leo","Virgo","Libra","Scorpio","Sagittarius","Capricorn","Aquarius","Pisces"},0),2)=1,INDEX({"Aries","Taurus","Gemini","Cancer","Leo","Virgo","Libra","Scorpio","Sagittarius","Capricorn","Aquarius","Pisces"},MOD(D7-1,12)+1),INDEX({"Aries","Taurus","Gemini","Cancer","Leo","Virgo","Libra","Scorpio","Sagittarius","Capricorn","Aquarius","Pisces"},MOD(10+D7-1,12)+1)),"—")</f>
        <v>Gemini</v>
      </c>
      <c r="F7" s="578" t="str">
        <f>IFERROR(INDEX(REF_D60SignMap!$C$6:$C$65,D7),"—")</f>
        <v>Kaala</v>
      </c>
      <c r="G7" s="915" t="str">
        <f>IFERROR(INDEX(REF_D60SignMap!$D$6:$D$65,D7),"—")</f>
        <v>Malefic</v>
      </c>
      <c r="H7" s="993" t="str">
        <f>IFERROR(IF(OR(INPUT_BirthData!$E$24="SwissEph",INPUT_BirthData!$E$24="API"),"★ ±0.001° (pyswisseph — fully reliable)","⚠ Manual entry — verify boundary planets"), "Enter via swiss_eph_engine.py")</f>
        <v>★ ±0.001° (pyswisseph — fully reliable)</v>
      </c>
    </row>
    <row r="8" spans="1:10" ht="19.5" customHeight="1" x14ac:dyDescent="0.2">
      <c r="A8" s="580" t="s">
        <v>269</v>
      </c>
      <c r="B8" s="576" t="str">
        <f>IFERROR(CALC_PlanetPositions!$B$10,"—")</f>
        <v>Cancer</v>
      </c>
      <c r="C8" s="991">
        <f>IFERROR(CALC_PlanetPositions!$C$10,0)</f>
        <v>13.674300000000002</v>
      </c>
      <c r="D8" s="632">
        <f>IFERROR(IF(MOD(MATCH(B8,{"Aries","Taurus","Gemini","Cancer","Leo","Virgo","Libra","Scorpio","Sagittarius","Capricorn","Aquarius","Pisces"},0),2)=1,INT(MOD(CALC_PlanetLongitudes!$D$11,30)/0.5)+1,61-(INT(MOD(CALC_PlanetLongitudes!$D$11,30)/0.5)+1)),0)</f>
        <v>33</v>
      </c>
      <c r="E8" s="612" t="str">
        <f>IFERROR(IF(MOD(MATCH(B8,{"Aries","Taurus","Gemini","Cancer","Leo","Virgo","Libra","Scorpio","Sagittarius","Capricorn","Aquarius","Pisces"},0),2)=1,INDEX({"Aries","Taurus","Gemini","Cancer","Leo","Virgo","Libra","Scorpio","Sagittarius","Capricorn","Aquarius","Pisces"},MOD(D8-1,12)+1),INDEX({"Aries","Taurus","Gemini","Cancer","Leo","Virgo","Libra","Scorpio","Sagittarius","Capricorn","Aquarius","Pisces"},MOD(10+D8-1,12)+1)),"—")</f>
        <v>Libra</v>
      </c>
      <c r="F8" s="580" t="str">
        <f>IFERROR(INDEX(REF_D60SignMap!$C$6:$C$65,D8),"—")</f>
        <v>Kantaka</v>
      </c>
      <c r="G8" s="919" t="str">
        <f>IFERROR(INDEX(REF_D60SignMap!$D$6:$D$65,D8),"—")</f>
        <v>Malefic</v>
      </c>
      <c r="H8" s="994" t="str">
        <f>IFERROR(IF(OR(INPUT_BirthData!$E$24="SwissEph",INPUT_BirthData!$E$24="API"),"★ ±0.001° (pyswisseph — fully reliable)","⚠ Manual entry — verify boundary planets"), "Enter via swiss_eph_engine.py")</f>
        <v>★ ±0.001° (pyswisseph — fully reliable)</v>
      </c>
    </row>
    <row r="9" spans="1:10" ht="19.5" customHeight="1" x14ac:dyDescent="0.2">
      <c r="A9" s="578" t="s">
        <v>270</v>
      </c>
      <c r="B9" s="574" t="str">
        <f>IFERROR(CALC_PlanetPositions!$B$11,"—")</f>
        <v>Libra</v>
      </c>
      <c r="C9" s="989">
        <f>IFERROR(CALC_PlanetPositions!$C$11,0)</f>
        <v>25.877700000000004</v>
      </c>
      <c r="D9" s="627">
        <f>IFERROR(IF(MOD(MATCH(B9,{"Aries","Taurus","Gemini","Cancer","Leo","Virgo","Libra","Scorpio","Sagittarius","Capricorn","Aquarius","Pisces"},0),2)=1,INT(MOD(CALC_PlanetLongitudes!$D$12,30)/0.5)+1,61-(INT(MOD(CALC_PlanetLongitudes!$D$12,30)/0.5)+1)),0)</f>
        <v>52</v>
      </c>
      <c r="E9" s="610" t="str">
        <f>IFERROR(IF(MOD(MATCH(B9,{"Aries","Taurus","Gemini","Cancer","Leo","Virgo","Libra","Scorpio","Sagittarius","Capricorn","Aquarius","Pisces"},0),2)=1,INDEX({"Aries","Taurus","Gemini","Cancer","Leo","Virgo","Libra","Scorpio","Sagittarius","Capricorn","Aquarius","Pisces"},MOD(D9-1,12)+1),INDEX({"Aries","Taurus","Gemini","Cancer","Leo","Virgo","Libra","Scorpio","Sagittarius","Capricorn","Aquarius","Pisces"},MOD(10+D9-1,12)+1)),"—")</f>
        <v>Cancer</v>
      </c>
      <c r="F9" s="578" t="str">
        <f>IFERROR(INDEX(REF_D60SignMap!$C$6:$C$65,D9),"—")</f>
        <v>Kalinasa</v>
      </c>
      <c r="G9" s="915" t="str">
        <f>IFERROR(INDEX(REF_D60SignMap!$D$6:$D$65,D9),"—")</f>
        <v>Malefic</v>
      </c>
      <c r="H9" s="993" t="str">
        <f>IFERROR(IF(OR(INPUT_BirthData!$E$24="SwissEph",INPUT_BirthData!$E$24="API"),"★ ±0.001° (pyswisseph — fully reliable)","⚠ Manual entry — verify boundary planets"), "Enter via swiss_eph_engine.py")</f>
        <v>★ ±0.001° (pyswisseph — fully reliable)</v>
      </c>
    </row>
    <row r="10" spans="1:10" ht="19.5" customHeight="1" x14ac:dyDescent="0.2">
      <c r="A10" s="580" t="s">
        <v>271</v>
      </c>
      <c r="B10" s="576" t="str">
        <f>IFERROR(CALC_PlanetPositions!$B$12,"—")</f>
        <v>Cancer</v>
      </c>
      <c r="C10" s="991">
        <f>IFERROR(CALC_PlanetPositions!$C$12,0)</f>
        <v>22.561199999999999</v>
      </c>
      <c r="D10" s="632">
        <f>IFERROR(IF(MOD(MATCH(B10,{"Aries","Taurus","Gemini","Cancer","Leo","Virgo","Libra","Scorpio","Sagittarius","Capricorn","Aquarius","Pisces"},0),2)=1,INT(MOD(CALC_PlanetLongitudes!$D$13,30)/0.5)+1,61-(INT(MOD(CALC_PlanetLongitudes!$D$13,30)/0.5)+1)),0)</f>
        <v>15</v>
      </c>
      <c r="E10" s="612" t="str">
        <f>IFERROR(IF(MOD(MATCH(B10,{"Aries","Taurus","Gemini","Cancer","Leo","Virgo","Libra","Scorpio","Sagittarius","Capricorn","Aquarius","Pisces"},0),2)=1,INDEX({"Aries","Taurus","Gemini","Cancer","Leo","Virgo","Libra","Scorpio","Sagittarius","Capricorn","Aquarius","Pisces"},MOD(D10-1,12)+1),INDEX({"Aries","Taurus","Gemini","Cancer","Leo","Virgo","Libra","Scorpio","Sagittarius","Capricorn","Aquarius","Pisces"},MOD(10+D10-1,12)+1)),"—")</f>
        <v>Aries</v>
      </c>
      <c r="F10" s="580" t="str">
        <f>IFERROR(INDEX(REF_D60SignMap!$C$6:$C$65,D10),"—")</f>
        <v>Kaala</v>
      </c>
      <c r="G10" s="919" t="str">
        <f>IFERROR(INDEX(REF_D60SignMap!$D$6:$D$65,D10),"—")</f>
        <v>Malefic</v>
      </c>
      <c r="H10" s="994" t="str">
        <f>IFERROR(IF(OR(INPUT_BirthData!$E$24="SwissEph",INPUT_BirthData!$E$24="API"),"★ ±0.001° (pyswisseph — fully reliable)","⚠ Manual entry — verify boundary planets"), "Enter via swiss_eph_engine.py")</f>
        <v>★ ±0.001° (pyswisseph — fully reliable)</v>
      </c>
    </row>
    <row r="11" spans="1:10" ht="19.5" customHeight="1" x14ac:dyDescent="0.2">
      <c r="A11" s="578" t="s">
        <v>272</v>
      </c>
      <c r="B11" s="574" t="str">
        <f>IFERROR(CALC_PlanetPositions!$B$13,"—")</f>
        <v>Cancer</v>
      </c>
      <c r="C11" s="989">
        <f>IFERROR(CALC_PlanetPositions!$C$13,0)</f>
        <v>20.472999999999999</v>
      </c>
      <c r="D11" s="627">
        <f>IFERROR(IF(MOD(MATCH(B11,{"Aries","Taurus","Gemini","Cancer","Leo","Virgo","Libra","Scorpio","Sagittarius","Capricorn","Aquarius","Pisces"},0),2)=1,INT(MOD(CALC_PlanetLongitudes!$D$14,30)/0.5)+1,61-(INT(MOD(CALC_PlanetLongitudes!$D$14,30)/0.5)+1)),0)</f>
        <v>20</v>
      </c>
      <c r="E11" s="610" t="str">
        <f>IFERROR(IF(MOD(MATCH(B11,{"Aries","Taurus","Gemini","Cancer","Leo","Virgo","Libra","Scorpio","Sagittarius","Capricorn","Aquarius","Pisces"},0),2)=1,INDEX({"Aries","Taurus","Gemini","Cancer","Leo","Virgo","Libra","Scorpio","Sagittarius","Capricorn","Aquarius","Pisces"},MOD(D11-1,12)+1),INDEX({"Aries","Taurus","Gemini","Cancer","Leo","Virgo","Libra","Scorpio","Sagittarius","Capricorn","Aquarius","Pisces"},MOD(10+D11-1,12)+1)),"—")</f>
        <v>Virgo</v>
      </c>
      <c r="F11" s="578" t="str">
        <f>IFERROR(INDEX(REF_D60SignMap!$C$6:$C$65,D11),"—")</f>
        <v>Komal</v>
      </c>
      <c r="G11" s="915" t="str">
        <f>IFERROR(INDEX(REF_D60SignMap!$D$6:$D$65,D11),"—")</f>
        <v>Benefic</v>
      </c>
      <c r="H11" s="993" t="str">
        <f>IFERROR(IF(OR(INPUT_BirthData!$E$24="SwissEph",INPUT_BirthData!$E$24="API"),"★ ±0.001° (pyswisseph — fully reliable)","⚠ Manual entry — verify boundary planets"), "Enter via swiss_eph_engine.py")</f>
        <v>★ ±0.001° (pyswisseph — fully reliable)</v>
      </c>
    </row>
    <row r="12" spans="1:10" ht="19.5" customHeight="1" x14ac:dyDescent="0.2">
      <c r="A12" s="580" t="s">
        <v>265</v>
      </c>
      <c r="B12" s="576" t="str">
        <f>IFERROR(INPUT_Chart!$C$5,"—")</f>
        <v>Taurus</v>
      </c>
      <c r="C12" s="991">
        <f>IFERROR(INPUT_Chart!$D$5,0)</f>
        <v>7.7286000000000001</v>
      </c>
      <c r="D12" s="632">
        <f>IFERROR(IF(MOD(MATCH(B12,{"Aries","Taurus","Gemini","Cancer","Leo","Virgo","Libra","Scorpio","Sagittarius","Capricorn","Aquarius","Pisces"},0),2)=1,INT(MOD(CALC_PlanetLongitudes!$D$7,30)/0.5)+1,61-(INT(MOD(CALC_PlanetLongitudes!$D$7,30)/0.5)+1)),0)</f>
        <v>45</v>
      </c>
      <c r="E12" s="612" t="str">
        <f>IFERROR(IF(MOD(MATCH(B12,{"Aries","Taurus","Gemini","Cancer","Leo","Virgo","Libra","Scorpio","Sagittarius","Capricorn","Aquarius","Pisces"},0),2)=1,INDEX({"Aries","Taurus","Gemini","Cancer","Leo","Virgo","Libra","Scorpio","Sagittarius","Capricorn","Aquarius","Pisces"},MOD(D12-1,12)+1),INDEX({"Aries","Taurus","Gemini","Cancer","Leo","Virgo","Libra","Scorpio","Sagittarius","Capricorn","Aquarius","Pisces"},MOD(10+D12-1,12)+1)),"—")</f>
        <v>Libra</v>
      </c>
      <c r="F12" s="580" t="str">
        <f>IFERROR(INDEX(REF_D60SignMap!$C$6:$C$65,D12),"—")</f>
        <v>Praveena</v>
      </c>
      <c r="G12" s="919" t="str">
        <f>IFERROR(INDEX(REF_D60SignMap!$D$6:$D$65,D12),"—")</f>
        <v>Benefic</v>
      </c>
      <c r="H12" s="992" t="str">
        <f>IFERROR(IF(OR(INPUT_BirthData!$E$24="SwissEph",INPUT_BirthData!$E$24="API"),"★ ±0.001° (pyswisseph — fully reliable)","⚠ Manual entry — verify boundary planets"), "Enter via swiss_eph_engine.py")</f>
        <v>★ ±0.001° (pyswisseph — fully reliable)</v>
      </c>
    </row>
    <row r="14" spans="1:10" ht="15" customHeight="1" x14ac:dyDescent="0.2">
      <c r="A14" s="589" t="s">
        <v>4342</v>
      </c>
    </row>
    <row r="15" spans="1:10" ht="36" customHeight="1" x14ac:dyDescent="0.2">
      <c r="A15" s="1524"/>
      <c r="B15" s="1524"/>
      <c r="C15" s="1524"/>
      <c r="D15" s="1524"/>
      <c r="E15" s="1524"/>
      <c r="F15" s="1524"/>
      <c r="G15" s="1524"/>
      <c r="H15" s="1524"/>
    </row>
  </sheetData>
  <mergeCells count="3">
    <mergeCell ref="A1:H1"/>
    <mergeCell ref="A2:H2"/>
    <mergeCell ref="A15:H15"/>
  </mergeCells>
  <pageMargins left="0.75" right="0.75" top="1" bottom="1"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6A1B9A"/>
  </sheetPr>
  <dimension ref="A1:I21"/>
  <sheetViews>
    <sheetView zoomScaleNormal="100" workbookViewId="0"/>
  </sheetViews>
  <sheetFormatPr defaultColWidth="8.609375" defaultRowHeight="15" x14ac:dyDescent="0.2"/>
  <cols>
    <col min="1" max="1" width="16.0078125" customWidth="1"/>
    <col min="2" max="6" width="13.98828125" customWidth="1"/>
    <col min="7" max="7" width="39.953125" customWidth="1"/>
  </cols>
  <sheetData>
    <row r="1" spans="1:9" ht="21.75" customHeight="1" x14ac:dyDescent="0.2">
      <c r="A1" s="1522" t="s">
        <v>4343</v>
      </c>
      <c r="B1" s="1522"/>
      <c r="C1" s="1522"/>
      <c r="D1" s="1522"/>
      <c r="E1" s="1522"/>
      <c r="F1" s="1522"/>
      <c r="G1" s="1522"/>
      <c r="I1" s="601" t="s">
        <v>2214</v>
      </c>
    </row>
    <row r="2" spans="1:9" ht="79.5" customHeight="1" x14ac:dyDescent="0.2">
      <c r="A2" s="1581" t="s">
        <v>4344</v>
      </c>
      <c r="B2" s="1581"/>
      <c r="C2" s="1581"/>
      <c r="D2" s="1581"/>
      <c r="E2" s="1581"/>
      <c r="F2" s="1581"/>
      <c r="G2" s="1581"/>
    </row>
    <row r="4" spans="1:9" ht="18" customHeight="1" x14ac:dyDescent="0.2">
      <c r="A4" s="1524" t="s">
        <v>4345</v>
      </c>
      <c r="B4" s="1524"/>
      <c r="C4" s="1524"/>
      <c r="D4" s="1524"/>
      <c r="E4" s="1524"/>
      <c r="F4" s="1524"/>
      <c r="G4" s="1524"/>
    </row>
    <row r="5" spans="1:9" ht="15.75" customHeight="1" x14ac:dyDescent="0.2">
      <c r="A5" s="545" t="s">
        <v>319</v>
      </c>
      <c r="B5" s="545" t="s">
        <v>4346</v>
      </c>
      <c r="C5" s="545" t="s">
        <v>4347</v>
      </c>
      <c r="D5" s="545" t="s">
        <v>4348</v>
      </c>
      <c r="E5" s="545" t="s">
        <v>4349</v>
      </c>
      <c r="F5" s="545" t="s">
        <v>4350</v>
      </c>
      <c r="G5" s="545" t="s">
        <v>4351</v>
      </c>
    </row>
    <row r="6" spans="1:9" ht="27.75" customHeight="1" x14ac:dyDescent="0.2">
      <c r="A6" s="909" t="s">
        <v>265</v>
      </c>
      <c r="B6" s="904" t="s">
        <v>4352</v>
      </c>
      <c r="C6" s="995" t="s">
        <v>3423</v>
      </c>
      <c r="D6" s="910" t="s">
        <v>4353</v>
      </c>
      <c r="E6" s="909" t="s">
        <v>4354</v>
      </c>
      <c r="F6" s="996" t="s">
        <v>4355</v>
      </c>
      <c r="G6" s="550" t="s">
        <v>4356</v>
      </c>
    </row>
    <row r="7" spans="1:9" ht="27.75" customHeight="1" x14ac:dyDescent="0.2">
      <c r="A7" s="906" t="s">
        <v>266</v>
      </c>
      <c r="B7" s="907" t="s">
        <v>4357</v>
      </c>
      <c r="C7" s="997" t="s">
        <v>3425</v>
      </c>
      <c r="D7" s="908" t="s">
        <v>4358</v>
      </c>
      <c r="E7" s="906" t="s">
        <v>4359</v>
      </c>
      <c r="F7" s="998" t="s">
        <v>4360</v>
      </c>
      <c r="G7" s="554" t="s">
        <v>4361</v>
      </c>
    </row>
    <row r="8" spans="1:9" ht="27.75" customHeight="1" x14ac:dyDescent="0.2">
      <c r="A8" s="909" t="s">
        <v>267</v>
      </c>
      <c r="B8" s="904" t="s">
        <v>4362</v>
      </c>
      <c r="C8" s="999" t="s">
        <v>3427</v>
      </c>
      <c r="D8" s="910" t="s">
        <v>4353</v>
      </c>
      <c r="E8" s="909" t="s">
        <v>4363</v>
      </c>
      <c r="F8" s="996" t="s">
        <v>4364</v>
      </c>
      <c r="G8" s="550" t="s">
        <v>4365</v>
      </c>
    </row>
    <row r="9" spans="1:9" ht="27.75" customHeight="1" x14ac:dyDescent="0.2">
      <c r="A9" s="906" t="s">
        <v>268</v>
      </c>
      <c r="B9" s="907" t="s">
        <v>4357</v>
      </c>
      <c r="C9" s="1000" t="s">
        <v>3429</v>
      </c>
      <c r="D9" s="908" t="s">
        <v>4366</v>
      </c>
      <c r="E9" s="906" t="s">
        <v>4363</v>
      </c>
      <c r="F9" s="998" t="s">
        <v>4367</v>
      </c>
      <c r="G9" s="554" t="s">
        <v>4368</v>
      </c>
    </row>
    <row r="10" spans="1:9" ht="27.75" customHeight="1" x14ac:dyDescent="0.2">
      <c r="A10" s="909" t="s">
        <v>269</v>
      </c>
      <c r="B10" s="904" t="s">
        <v>4357</v>
      </c>
      <c r="C10" s="995" t="s">
        <v>3431</v>
      </c>
      <c r="D10" s="910" t="s">
        <v>4366</v>
      </c>
      <c r="E10" s="909" t="s">
        <v>4369</v>
      </c>
      <c r="F10" s="996" t="s">
        <v>4370</v>
      </c>
      <c r="G10" s="550" t="s">
        <v>4371</v>
      </c>
    </row>
    <row r="11" spans="1:9" ht="27.75" customHeight="1" x14ac:dyDescent="0.2">
      <c r="A11" s="906" t="s">
        <v>270</v>
      </c>
      <c r="B11" s="907" t="s">
        <v>4357</v>
      </c>
      <c r="C11" s="1000" t="s">
        <v>3423</v>
      </c>
      <c r="D11" s="908" t="s">
        <v>4366</v>
      </c>
      <c r="E11" s="906" t="s">
        <v>4372</v>
      </c>
      <c r="F11" s="998" t="s">
        <v>4373</v>
      </c>
      <c r="G11" s="554" t="s">
        <v>4374</v>
      </c>
    </row>
    <row r="12" spans="1:9" ht="27.75" customHeight="1" x14ac:dyDescent="0.2">
      <c r="A12" s="909" t="s">
        <v>271</v>
      </c>
      <c r="B12" s="904" t="s">
        <v>4357</v>
      </c>
      <c r="C12" s="995" t="s">
        <v>3431</v>
      </c>
      <c r="D12" s="910" t="s">
        <v>4366</v>
      </c>
      <c r="E12" s="909" t="s">
        <v>4369</v>
      </c>
      <c r="F12" s="996" t="s">
        <v>4375</v>
      </c>
      <c r="G12" s="550" t="s">
        <v>4376</v>
      </c>
    </row>
    <row r="13" spans="1:9" ht="27.75" customHeight="1" x14ac:dyDescent="0.2">
      <c r="A13" s="906" t="s">
        <v>272</v>
      </c>
      <c r="B13" s="907" t="s">
        <v>4357</v>
      </c>
      <c r="C13" s="1000" t="s">
        <v>3423</v>
      </c>
      <c r="D13" s="908" t="s">
        <v>4366</v>
      </c>
      <c r="E13" s="906" t="s">
        <v>4372</v>
      </c>
      <c r="F13" s="998" t="s">
        <v>4377</v>
      </c>
      <c r="G13" s="554" t="s">
        <v>4378</v>
      </c>
    </row>
    <row r="14" spans="1:9" ht="27.75" customHeight="1" x14ac:dyDescent="0.2">
      <c r="A14" s="909" t="s">
        <v>4379</v>
      </c>
      <c r="B14" s="904" t="s">
        <v>4380</v>
      </c>
      <c r="C14" s="995" t="s">
        <v>3423</v>
      </c>
      <c r="D14" s="910" t="s">
        <v>4381</v>
      </c>
      <c r="E14" s="909" t="s">
        <v>4382</v>
      </c>
      <c r="F14" s="996" t="s">
        <v>4383</v>
      </c>
      <c r="G14" s="550" t="s">
        <v>4384</v>
      </c>
    </row>
    <row r="17" spans="1:7" ht="18" customHeight="1" x14ac:dyDescent="0.2">
      <c r="A17" s="1524" t="s">
        <v>4385</v>
      </c>
      <c r="B17" s="1524"/>
      <c r="C17" s="1524"/>
      <c r="D17" s="1524"/>
      <c r="E17" s="1524"/>
      <c r="F17" s="1524"/>
      <c r="G17" s="1524"/>
    </row>
    <row r="18" spans="1:7" ht="339.75" customHeight="1" x14ac:dyDescent="0.2">
      <c r="A18" s="1582" t="s">
        <v>4386</v>
      </c>
      <c r="B18" s="1582"/>
      <c r="C18" s="1582"/>
      <c r="D18" s="1582"/>
      <c r="E18" s="1582"/>
      <c r="F18" s="1582"/>
      <c r="G18" s="1582"/>
    </row>
    <row r="20" spans="1:7" ht="34.5" customHeight="1" x14ac:dyDescent="0.2">
      <c r="A20" s="616" t="s">
        <v>4387</v>
      </c>
    </row>
    <row r="21" spans="1:7" ht="79.5" customHeight="1" x14ac:dyDescent="0.2">
      <c r="A21" s="1001" t="s">
        <v>4388</v>
      </c>
      <c r="B21" s="617" t="s">
        <v>4389</v>
      </c>
    </row>
  </sheetData>
  <mergeCells count="5">
    <mergeCell ref="A1:G1"/>
    <mergeCell ref="A2:G2"/>
    <mergeCell ref="A4:G4"/>
    <mergeCell ref="A17:G17"/>
    <mergeCell ref="A18:G18"/>
  </mergeCells>
  <pageMargins left="0.75" right="0.75" top="1" bottom="1" header="0.511811023622047" footer="0.511811023622047"/>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20"/>
  <sheetViews>
    <sheetView zoomScaleNormal="100" workbookViewId="0"/>
  </sheetViews>
  <sheetFormatPr defaultColWidth="8.609375" defaultRowHeight="15" x14ac:dyDescent="0.2"/>
  <sheetData>
    <row r="1" spans="1:9" ht="15" customHeight="1" x14ac:dyDescent="0.2">
      <c r="A1" s="1002" t="s">
        <v>4390</v>
      </c>
    </row>
    <row r="2" spans="1:9" ht="30" customHeight="1" x14ac:dyDescent="0.2">
      <c r="A2" t="s">
        <v>4391</v>
      </c>
    </row>
    <row r="4" spans="1:9" ht="15" customHeight="1" x14ac:dyDescent="0.2">
      <c r="A4" s="1003" t="s">
        <v>319</v>
      </c>
      <c r="B4" s="1003" t="s">
        <v>4392</v>
      </c>
      <c r="C4" s="1003" t="s">
        <v>1121</v>
      </c>
      <c r="D4" s="1003" t="s">
        <v>4393</v>
      </c>
      <c r="E4" s="1003" t="s">
        <v>4394</v>
      </c>
      <c r="F4" s="1003" t="s">
        <v>3663</v>
      </c>
      <c r="G4" s="1003" t="s">
        <v>4395</v>
      </c>
      <c r="H4" s="1003" t="s">
        <v>4396</v>
      </c>
      <c r="I4" s="1003" t="s">
        <v>282</v>
      </c>
    </row>
    <row r="5" spans="1:9" ht="15" customHeight="1" x14ac:dyDescent="0.2">
      <c r="A5" t="s">
        <v>265</v>
      </c>
      <c r="B5">
        <v>37.7286</v>
      </c>
      <c r="C5" t="s">
        <v>346</v>
      </c>
      <c r="D5">
        <v>7.7286000000000001</v>
      </c>
      <c r="E5" t="s">
        <v>2410</v>
      </c>
      <c r="F5" t="s">
        <v>4397</v>
      </c>
      <c r="G5" t="s">
        <v>1248</v>
      </c>
      <c r="H5" t="s">
        <v>4366</v>
      </c>
    </row>
    <row r="6" spans="1:9" ht="15" customHeight="1" x14ac:dyDescent="0.2">
      <c r="A6" t="s">
        <v>266</v>
      </c>
      <c r="B6">
        <v>117.989</v>
      </c>
      <c r="C6" t="s">
        <v>347</v>
      </c>
      <c r="D6">
        <v>27.989000000000001</v>
      </c>
      <c r="E6">
        <v>0.96089599999999997</v>
      </c>
      <c r="F6" t="s">
        <v>4397</v>
      </c>
      <c r="G6" t="s">
        <v>1325</v>
      </c>
      <c r="H6" t="s">
        <v>4366</v>
      </c>
      <c r="I6" t="s">
        <v>4398</v>
      </c>
    </row>
    <row r="7" spans="1:9" ht="15" customHeight="1" x14ac:dyDescent="0.2">
      <c r="A7" t="s">
        <v>267</v>
      </c>
      <c r="B7">
        <v>93.983500000000006</v>
      </c>
      <c r="C7" t="s">
        <v>347</v>
      </c>
      <c r="D7">
        <v>3.9834999999999998</v>
      </c>
      <c r="E7">
        <v>15.086582</v>
      </c>
      <c r="F7" t="s">
        <v>4397</v>
      </c>
      <c r="G7" t="s">
        <v>1315</v>
      </c>
      <c r="H7" t="s">
        <v>4366</v>
      </c>
      <c r="I7" t="s">
        <v>4399</v>
      </c>
    </row>
    <row r="8" spans="1:9" ht="15" customHeight="1" x14ac:dyDescent="0.2">
      <c r="A8" t="s">
        <v>268</v>
      </c>
      <c r="B8">
        <v>67.456199999999995</v>
      </c>
      <c r="C8" t="s">
        <v>329</v>
      </c>
      <c r="D8">
        <v>7.4561999999999999</v>
      </c>
      <c r="E8">
        <v>0.65773099999999995</v>
      </c>
      <c r="F8" t="s">
        <v>4397</v>
      </c>
      <c r="G8" t="s">
        <v>1289</v>
      </c>
      <c r="H8" t="s">
        <v>4366</v>
      </c>
    </row>
    <row r="9" spans="1:9" ht="15" customHeight="1" x14ac:dyDescent="0.2">
      <c r="A9" t="s">
        <v>269</v>
      </c>
      <c r="B9">
        <v>103.6743</v>
      </c>
      <c r="C9" t="s">
        <v>347</v>
      </c>
      <c r="D9">
        <v>13.674300000000001</v>
      </c>
      <c r="E9">
        <v>1.8047629999999999</v>
      </c>
      <c r="F9" t="s">
        <v>4397</v>
      </c>
      <c r="G9" t="s">
        <v>1315</v>
      </c>
      <c r="H9" t="s">
        <v>4366</v>
      </c>
    </row>
    <row r="10" spans="1:9" ht="15" customHeight="1" x14ac:dyDescent="0.2">
      <c r="A10" t="s">
        <v>270</v>
      </c>
      <c r="B10">
        <v>205.8777</v>
      </c>
      <c r="C10" t="s">
        <v>349</v>
      </c>
      <c r="D10">
        <v>25.877700000000001</v>
      </c>
      <c r="E10">
        <v>8.5349999999999995E-2</v>
      </c>
      <c r="F10" t="s">
        <v>4397</v>
      </c>
      <c r="G10" t="s">
        <v>1406</v>
      </c>
      <c r="H10" t="s">
        <v>4366</v>
      </c>
    </row>
    <row r="11" spans="1:9" ht="15" customHeight="1" x14ac:dyDescent="0.2">
      <c r="A11" t="s">
        <v>271</v>
      </c>
      <c r="B11">
        <v>112.5612</v>
      </c>
      <c r="C11" t="s">
        <v>347</v>
      </c>
      <c r="D11">
        <v>22.561199999999999</v>
      </c>
      <c r="E11">
        <v>1.2350369999999999</v>
      </c>
      <c r="F11" t="s">
        <v>4397</v>
      </c>
      <c r="G11" t="s">
        <v>1325</v>
      </c>
      <c r="H11" t="s">
        <v>4366</v>
      </c>
    </row>
    <row r="12" spans="1:9" ht="15" customHeight="1" x14ac:dyDescent="0.2">
      <c r="A12" t="s">
        <v>272</v>
      </c>
      <c r="B12">
        <v>110.473</v>
      </c>
      <c r="C12" t="s">
        <v>347</v>
      </c>
      <c r="D12">
        <v>20.472999999999999</v>
      </c>
      <c r="E12">
        <v>0.127808</v>
      </c>
      <c r="F12" t="s">
        <v>4397</v>
      </c>
      <c r="G12" t="s">
        <v>1325</v>
      </c>
      <c r="H12" t="s">
        <v>4366</v>
      </c>
    </row>
    <row r="13" spans="1:9" ht="15" customHeight="1" x14ac:dyDescent="0.2">
      <c r="A13" t="s">
        <v>273</v>
      </c>
      <c r="B13">
        <v>35.069699999999997</v>
      </c>
      <c r="C13" t="s">
        <v>346</v>
      </c>
      <c r="D13">
        <v>5.0697000000000001</v>
      </c>
      <c r="E13">
        <v>-5.2991999999999997E-2</v>
      </c>
      <c r="F13" t="s">
        <v>3678</v>
      </c>
      <c r="G13" t="s">
        <v>1248</v>
      </c>
      <c r="H13" t="s">
        <v>4400</v>
      </c>
    </row>
    <row r="14" spans="1:9" ht="15" customHeight="1" x14ac:dyDescent="0.2">
      <c r="A14" t="s">
        <v>274</v>
      </c>
      <c r="B14">
        <v>215.06970000000001</v>
      </c>
      <c r="C14" t="s">
        <v>350</v>
      </c>
      <c r="D14">
        <v>5.0697000000000001</v>
      </c>
      <c r="E14" t="s">
        <v>2410</v>
      </c>
      <c r="F14" t="s">
        <v>3678</v>
      </c>
      <c r="G14" t="s">
        <v>1417</v>
      </c>
      <c r="H14" t="s">
        <v>4400</v>
      </c>
    </row>
    <row r="16" spans="1:9" ht="15" customHeight="1" x14ac:dyDescent="0.2">
      <c r="A16" s="1004" t="s">
        <v>4401</v>
      </c>
    </row>
    <row r="17" spans="1:2" ht="15" customHeight="1" x14ac:dyDescent="0.2">
      <c r="A17" t="s">
        <v>4402</v>
      </c>
      <c r="B17">
        <v>23.125451000000002</v>
      </c>
    </row>
    <row r="18" spans="1:2" ht="15" customHeight="1" x14ac:dyDescent="0.2">
      <c r="A18" t="s">
        <v>4403</v>
      </c>
      <c r="B18" t="s">
        <v>4404</v>
      </c>
    </row>
    <row r="19" spans="1:2" ht="15" customHeight="1" x14ac:dyDescent="0.2">
      <c r="A19" t="s">
        <v>4405</v>
      </c>
      <c r="B19">
        <v>23.125385999999999</v>
      </c>
    </row>
    <row r="20" spans="1:2" ht="15" customHeight="1" x14ac:dyDescent="0.2">
      <c r="A20" t="s">
        <v>4406</v>
      </c>
      <c r="B20">
        <v>6.4999999999999994E-5</v>
      </c>
    </row>
  </sheetData>
  <pageMargins left="0.75" right="0.75" top="1" bottom="1" header="0.511811023622047" footer="0.511811023622047"/>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6A1B9A"/>
  </sheetPr>
  <dimension ref="A1:K17"/>
  <sheetViews>
    <sheetView zoomScaleNormal="100" workbookViewId="0"/>
  </sheetViews>
  <sheetFormatPr defaultColWidth="8.609375" defaultRowHeight="15" x14ac:dyDescent="0.2"/>
  <cols>
    <col min="1" max="1" width="6.05078125" customWidth="1"/>
    <col min="2" max="2" width="16.0078125" customWidth="1"/>
    <col min="3" max="8" width="11.97265625" customWidth="1"/>
    <col min="9" max="9" width="39.953125" customWidth="1"/>
  </cols>
  <sheetData>
    <row r="1" spans="1:11" ht="21.75" customHeight="1" x14ac:dyDescent="0.2">
      <c r="A1" s="1583" t="s">
        <v>4407</v>
      </c>
      <c r="B1" s="1583"/>
      <c r="C1" s="1583"/>
      <c r="D1" s="1583"/>
      <c r="E1" s="1583"/>
      <c r="F1" s="1583"/>
      <c r="G1" s="1583"/>
      <c r="H1" s="1583"/>
      <c r="I1" s="1583"/>
      <c r="K1" s="601" t="s">
        <v>2214</v>
      </c>
    </row>
    <row r="2" spans="1:11" ht="24" customHeight="1" x14ac:dyDescent="0.2">
      <c r="A2" s="1523" t="s">
        <v>4408</v>
      </c>
      <c r="B2" s="1523"/>
      <c r="C2" s="1523"/>
      <c r="D2" s="1523"/>
      <c r="E2" s="1523"/>
      <c r="F2" s="1523"/>
      <c r="G2" s="1523"/>
      <c r="H2" s="1523"/>
      <c r="I2" s="1523"/>
    </row>
    <row r="4" spans="1:11" ht="18" customHeight="1" x14ac:dyDescent="0.2">
      <c r="A4" s="1524" t="s">
        <v>4409</v>
      </c>
      <c r="B4" s="1524"/>
      <c r="C4" s="1524"/>
      <c r="D4" s="1524"/>
      <c r="E4" s="1524"/>
      <c r="F4" s="1524"/>
      <c r="G4" s="1524"/>
      <c r="H4" s="1524"/>
      <c r="I4" s="1524"/>
    </row>
    <row r="5" spans="1:11" ht="15.75" customHeight="1" x14ac:dyDescent="0.2">
      <c r="A5" s="545" t="s">
        <v>2276</v>
      </c>
      <c r="B5" s="545" t="s">
        <v>4410</v>
      </c>
      <c r="C5" s="545" t="s">
        <v>4411</v>
      </c>
      <c r="D5" s="545" t="s">
        <v>4412</v>
      </c>
      <c r="E5" s="545" t="s">
        <v>4413</v>
      </c>
      <c r="F5" s="545" t="s">
        <v>4414</v>
      </c>
      <c r="G5" s="545" t="s">
        <v>4415</v>
      </c>
      <c r="H5" s="1005" t="s">
        <v>4416</v>
      </c>
      <c r="I5" s="1005" t="s">
        <v>2045</v>
      </c>
    </row>
    <row r="6" spans="1:11" ht="19.5" customHeight="1" x14ac:dyDescent="0.2">
      <c r="A6" s="632">
        <v>1</v>
      </c>
      <c r="B6" s="586" t="str">
        <f>IFERROR(IF(AND(SCORE_H1_Self!$C$9&gt;0,SCORE_H1_Self!$C$20&lt;0),"Mixed Promise","·"),"·")</f>
        <v>·</v>
      </c>
      <c r="C6" s="586" t="str">
        <f>IFERROR(IF(AND(SCORE_H1_Self!$C$9&gt;0,SCORE_H1_Self!$C$27&lt;0),"Mixed Promise","·"),"·")</f>
        <v>·</v>
      </c>
      <c r="D6" s="586" t="str">
        <f>IFERROR(IF(AND(SCORE_H1_Self!$C$6&gt;0,SCORE_H1_Self!$C$15&lt;0),"Mixed Promise","·"),"·")</f>
        <v>·</v>
      </c>
      <c r="E6" s="586" t="str">
        <f>IFERROR(IF(AND(SCORE_H1_Self!$C$15&lt;0,SCORE_H1_Self!$C$18&lt;0),"Amplified -","·"),"·")</f>
        <v>·</v>
      </c>
      <c r="F6" s="586" t="str">
        <f>IFERROR(IF(AND(SCORE_H1_Self!$C$17&lt;0,SCORE_H1_Self!$C$22&lt;0),"Amplified -","·"),"·")</f>
        <v>·</v>
      </c>
      <c r="G6" s="586" t="str">
        <f>IFERROR(IF(AND(SCORE_H1_Self!$C$9&gt;0,SCORE_H1_Self!$C$10&gt;0),"Amplified +","·"),"·")</f>
        <v>·</v>
      </c>
      <c r="H6" s="1006">
        <f>IFERROR(ROUND(IF(AND(SCORE_H1_Self!$C$9&gt;0,SCORE_H1_Self!$C$6&gt;0),0.5,0)+IF(AND(SCORE_H1_Self!$C$9&gt;0,SCORE_H1_Self!$C$29&gt;0),0.5,0)+IF(AND(SCORE_H1_Self!$C$9&gt;0,SCORE_H1_Self!$C$28&gt;0),0.5,0)+IF(AND(SCORE_H1_Self!$C$11&gt;0,SCORE_H1_Self!$C$6&gt;0),0.25,0)+IF(AND(SCORE_H1_Self!$C$6&gt;0,SCORE_H1_Self!$C$13&gt;0),0.25,0)+IF(AND(SCORE_H1_Self!$C$9&gt;0,SCORE_H1_Self!$C$20&lt;0),-0.25,0)+IF(AND(SCORE_H1_Self!$C$9&gt;0,SCORE_H1_Self!$C$27&lt;0),-0.5,0)+IF(AND(SCORE_H1_Self!$C$6&gt;0,SCORE_H1_Self!$C$15&lt;0),-0.5,0)+IF(AND(SCORE_H1_Self!$C$11&gt;0,SCORE_H1_Self!$C$21&lt;0),-0.25,0)+IF(AND(SCORE_H1_Self!$C$9&gt;0,SCORE_H1_Self!$C$23&lt;0),-0.25,0)+IF(AND(SCORE_H1_Self!$C$11&gt;0,SCORE_H1_Self!$C$17&lt;0),-0.25,0)+IF(AND(SCORE_H1_Self!$C$7&gt;0,SCORE_H1_Self!$C$16&lt;0),-0.5,0)+IF(AND(SCORE_H1_Self!$C$25&gt;0,SCORE_H1_Self!$C$9&gt;0),0.25,0)+IF(AND(SCORE_H1_Self!$C$9&gt;0,SCORE_H1_Self!$C$10&gt;0),0.5,0)+IF(AND(SCORE_H1_Self!$C$15&lt;0,SCORE_H1_Self!$C$18&lt;0),-0.5,0)+IF(AND(SCORE_H1_Self!$C$17&lt;0,SCORE_H1_Self!$C$22&lt;0),-1,0)+IF(AND(SCORE_H1_Self!$C$6&gt;0,SCORE_H1_Self!$C$11&gt;0),0.5,0)+IF(AND(SCORE_H1_Self!$C$9&gt;0,SCORE_H1_Self!$C$11&gt;0),0.25,0)+IF(AND(SCORE_H1_Self!$C$15&lt;0,SCORE_H1_Self!$C$17&lt;0),-0.5,0)+IF(AND(SCORE_H1_Self!$C$20&lt;0,SCORE_H1_Self!$C$22&lt;0),-1,0)+IF(AND(SCORE_H1_Self!$C$7&gt;0,SCORE_H1_Self!$C$12&gt;0),0.25,0)+IF(AND(SCORE_H1_Self!$C$16&lt;0,SCORE_H1_Self!$C$21&lt;0),-0.5,0),2),0)</f>
        <v>-0.75</v>
      </c>
      <c r="I6" s="1007" t="str">
        <f>IFERROR(IF(H6&gt;0.4,"✓ Amplified positive",IF(H6&gt;0,"~ Mild boost",IF(H6&lt;-0.4,"⚠ Amplified negative",IF(H6&lt;0,"~ Mild drag","· No interaction")))),"")</f>
        <v>⚠ Amplified negative</v>
      </c>
    </row>
    <row r="7" spans="1:11" ht="19.5" customHeight="1" x14ac:dyDescent="0.2">
      <c r="A7" s="627">
        <v>2</v>
      </c>
      <c r="B7" s="584" t="str">
        <f>IFERROR(IF(AND(SCORE_H2_Wealth!$C$9&gt;0,SCORE_H2_Wealth!$C$20&lt;0),"Mixed Promise","·"),"·")</f>
        <v>·</v>
      </c>
      <c r="C7" s="584" t="str">
        <f>IFERROR(IF(AND(SCORE_H2_Wealth!$C$9&gt;0,SCORE_H2_Wealth!$C$27&lt;0),"Mixed Promise","·"),"·")</f>
        <v>·</v>
      </c>
      <c r="D7" s="584" t="str">
        <f>IFERROR(IF(AND(SCORE_H2_Wealth!$C$6&gt;0,SCORE_H2_Wealth!$C$15&lt;0),"Mixed Promise","·"),"·")</f>
        <v>·</v>
      </c>
      <c r="E7" s="584" t="str">
        <f>IFERROR(IF(AND(SCORE_H2_Wealth!$C$15&lt;0,SCORE_H2_Wealth!$C$18&lt;0),"Amplified -","·"),"·")</f>
        <v>Amplified -</v>
      </c>
      <c r="F7" s="584" t="str">
        <f>IFERROR(IF(AND(SCORE_H2_Wealth!$C$17&lt;0,SCORE_H2_Wealth!$C$22&lt;0),"Amplified -","·"),"·")</f>
        <v>·</v>
      </c>
      <c r="G7" s="584" t="str">
        <f>IFERROR(IF(AND(SCORE_H2_Wealth!$C$9&gt;0,SCORE_H2_Wealth!$C$10&gt;0),"Amplified +","·"),"·")</f>
        <v>·</v>
      </c>
      <c r="H7" s="1008">
        <f>IFERROR(ROUND(IF(AND(SCORE_H2_Wealth!$C$9&gt;0,SCORE_H2_Wealth!$C$6&gt;0),0.5,0)+IF(AND(SCORE_H2_Wealth!$C$9&gt;0,SCORE_H2_Wealth!$C$29&gt;0),0.5,0)+IF(AND(SCORE_H2_Wealth!$C$9&gt;0,SCORE_H2_Wealth!$C$28&gt;0),0.5,0)+IF(AND(SCORE_H2_Wealth!$C$11&gt;0,SCORE_H2_Wealth!$C$6&gt;0),0.25,0)+IF(AND(SCORE_H2_Wealth!$C$6&gt;0,SCORE_H2_Wealth!$C$13&gt;0),0.25,0)+IF(AND(SCORE_H2_Wealth!$C$9&gt;0,SCORE_H2_Wealth!$C$20&lt;0),-0.25,0)+IF(AND(SCORE_H2_Wealth!$C$9&gt;0,SCORE_H2_Wealth!$C$27&lt;0),-0.5,0)+IF(AND(SCORE_H2_Wealth!$C$6&gt;0,SCORE_H2_Wealth!$C$15&lt;0),-0.5,0)+IF(AND(SCORE_H2_Wealth!$C$11&gt;0,SCORE_H2_Wealth!$C$21&lt;0),-0.25,0)+IF(AND(SCORE_H2_Wealth!$C$9&gt;0,SCORE_H2_Wealth!$C$23&lt;0),-0.25,0)+IF(AND(SCORE_H2_Wealth!$C$11&gt;0,SCORE_H2_Wealth!$C$17&lt;0),-0.25,0)+IF(AND(SCORE_H2_Wealth!$C$7&gt;0,SCORE_H2_Wealth!$C$16&lt;0),-0.5,0)+IF(AND(SCORE_H2_Wealth!$C$25&gt;0,SCORE_H2_Wealth!$C$9&gt;0),0.25,0)+IF(AND(SCORE_H2_Wealth!$C$9&gt;0,SCORE_H2_Wealth!$C$10&gt;0),0.5,0)+IF(AND(SCORE_H2_Wealth!$C$15&lt;0,SCORE_H2_Wealth!$C$18&lt;0),-0.5,0)+IF(AND(SCORE_H2_Wealth!$C$17&lt;0,SCORE_H2_Wealth!$C$22&lt;0),-1,0)+IF(AND(SCORE_H2_Wealth!$C$6&gt;0,SCORE_H2_Wealth!$C$11&gt;0),0.5,0)+IF(AND(SCORE_H2_Wealth!$C$9&gt;0,SCORE_H2_Wealth!$C$11&gt;0),0.25,0)+IF(AND(SCORE_H2_Wealth!$C$15&lt;0,SCORE_H2_Wealth!$C$17&lt;0),-0.5,0)+IF(AND(SCORE_H2_Wealth!$C$20&lt;0,SCORE_H2_Wealth!$C$22&lt;0),-1,0)+IF(AND(SCORE_H2_Wealth!$C$7&gt;0,SCORE_H2_Wealth!$C$12&gt;0),0.25,0)+IF(AND(SCORE_H2_Wealth!$C$16&lt;0,SCORE_H2_Wealth!$C$21&lt;0),-0.5,0),2),0)</f>
        <v>-1.25</v>
      </c>
      <c r="I7" s="1009" t="str">
        <f>IFERROR(IF(H7&gt;0.4,"✓ Amplified positive",IF(H7&gt;0,"~ Mild boost",IF(H7&lt;-0.4,"⚠ Amplified negative",IF(H7&lt;0,"~ Mild drag","· No interaction")))),"")</f>
        <v>⚠ Amplified negative</v>
      </c>
    </row>
    <row r="8" spans="1:11" ht="19.5" customHeight="1" x14ac:dyDescent="0.2">
      <c r="A8" s="632">
        <v>3</v>
      </c>
      <c r="B8" s="586" t="str">
        <f>IFERROR(IF(AND(SCORE_H3_Courage!$C$9&gt;0,SCORE_H3_Courage!$C$20&lt;0),"Mixed Promise","·"),"·")</f>
        <v>·</v>
      </c>
      <c r="C8" s="586" t="str">
        <f>IFERROR(IF(AND(SCORE_H3_Courage!$C$9&gt;0,SCORE_H3_Courage!$C$27&lt;0),"Mixed Promise","·"),"·")</f>
        <v>·</v>
      </c>
      <c r="D8" s="586" t="str">
        <f>IFERROR(IF(AND(SCORE_H3_Courage!$C$6&gt;0,SCORE_H3_Courage!$C$15&lt;0),"Mixed Promise","·"),"·")</f>
        <v>·</v>
      </c>
      <c r="E8" s="586" t="str">
        <f>IFERROR(IF(AND(SCORE_H3_Courage!$C$15&lt;0,SCORE_H3_Courage!$C$18&lt;0),"Amplified -","·"),"·")</f>
        <v>·</v>
      </c>
      <c r="F8" s="586" t="str">
        <f>IFERROR(IF(AND(SCORE_H3_Courage!$C$17&lt;0,SCORE_H3_Courage!$C$22&lt;0),"Amplified -","·"),"·")</f>
        <v>·</v>
      </c>
      <c r="G8" s="586" t="str">
        <f>IFERROR(IF(AND(SCORE_H3_Courage!$C$9&gt;0,SCORE_H3_Courage!$C$10&gt;0),"Amplified +","·"),"·")</f>
        <v>·</v>
      </c>
      <c r="H8" s="1006">
        <f>IFERROR(ROUND(IF(AND(SCORE_H3_Courage!$C$9&gt;0,SCORE_H3_Courage!$C$6&gt;0),0.5,0)+IF(AND(SCORE_H3_Courage!$C$9&gt;0,SCORE_H3_Courage!$C$29&gt;0),0.5,0)+IF(AND(SCORE_H3_Courage!$C$9&gt;0,SCORE_H3_Courage!$C$28&gt;0),0.5,0)+IF(AND(SCORE_H3_Courage!$C$11&gt;0,SCORE_H3_Courage!$C$6&gt;0),0.25,0)+IF(AND(SCORE_H3_Courage!$C$6&gt;0,SCORE_H3_Courage!$C$13&gt;0),0.25,0)+IF(AND(SCORE_H3_Courage!$C$9&gt;0,SCORE_H3_Courage!$C$20&lt;0),-0.25,0)+IF(AND(SCORE_H3_Courage!$C$9&gt;0,SCORE_H3_Courage!$C$27&lt;0),-0.5,0)+IF(AND(SCORE_H3_Courage!$C$6&gt;0,SCORE_H3_Courage!$C$15&lt;0),-0.5,0)+IF(AND(SCORE_H3_Courage!$C$11&gt;0,SCORE_H3_Courage!$C$21&lt;0),-0.25,0)+IF(AND(SCORE_H3_Courage!$C$9&gt;0,SCORE_H3_Courage!$C$23&lt;0),-0.25,0)+IF(AND(SCORE_H3_Courage!$C$11&gt;0,SCORE_H3_Courage!$C$17&lt;0),-0.25,0)+IF(AND(SCORE_H3_Courage!$C$7&gt;0,SCORE_H3_Courage!$C$16&lt;0),-0.5,0)+IF(AND(SCORE_H3_Courage!$C$25&gt;0,SCORE_H3_Courage!$C$9&gt;0),0.25,0)+IF(AND(SCORE_H3_Courage!$C$9&gt;0,SCORE_H3_Courage!$C$10&gt;0),0.5,0)+IF(AND(SCORE_H3_Courage!$C$15&lt;0,SCORE_H3_Courage!$C$18&lt;0),-0.5,0)+IF(AND(SCORE_H3_Courage!$C$17&lt;0,SCORE_H3_Courage!$C$22&lt;0),-1,0)+IF(AND(SCORE_H3_Courage!$C$6&gt;0,SCORE_H3_Courage!$C$11&gt;0),0.5,0)+IF(AND(SCORE_H3_Courage!$C$9&gt;0,SCORE_H3_Courage!$C$11&gt;0),0.25,0)+IF(AND(SCORE_H3_Courage!$C$15&lt;0,SCORE_H3_Courage!$C$17&lt;0),-0.5,0)+IF(AND(SCORE_H3_Courage!$C$20&lt;0,SCORE_H3_Courage!$C$22&lt;0),-1,0)+IF(AND(SCORE_H3_Courage!$C$7&gt;0,SCORE_H3_Courage!$C$12&gt;0),0.25,0)+IF(AND(SCORE_H3_Courage!$C$16&lt;0,SCORE_H3_Courage!$C$21&lt;0),-0.5,0),2),0)</f>
        <v>-0.75</v>
      </c>
      <c r="I8" s="1007" t="str">
        <f>IFERROR(IF(H8&gt;0.4,"✓ Amplified positive",IF(H8&gt;0,"~ Mild boost",IF(H8&lt;-0.4,"⚠ Amplified negative",IF(H8&lt;0,"~ Mild drag","· No interaction")))),"")</f>
        <v>⚠ Amplified negative</v>
      </c>
    </row>
    <row r="9" spans="1:11" ht="19.5" customHeight="1" x14ac:dyDescent="0.2">
      <c r="A9" s="627">
        <v>4</v>
      </c>
      <c r="B9" s="584" t="str">
        <f>IFERROR(IF(AND(SCORE_H4_Home!$C$9&gt;0,SCORE_H4_Home!$C$20&lt;0),"Mixed Promise","·"),"·")</f>
        <v>·</v>
      </c>
      <c r="C9" s="584" t="str">
        <f>IFERROR(IF(AND(SCORE_H4_Home!$C$9&gt;0,SCORE_H4_Home!$C$27&lt;0),"Mixed Promise","·"),"·")</f>
        <v>·</v>
      </c>
      <c r="D9" s="584" t="str">
        <f>IFERROR(IF(AND(SCORE_H4_Home!$C$6&gt;0,SCORE_H4_Home!$C$15&lt;0),"Mixed Promise","·"),"·")</f>
        <v>·</v>
      </c>
      <c r="E9" s="584" t="str">
        <f>IFERROR(IF(AND(SCORE_H4_Home!$C$15&lt;0,SCORE_H4_Home!$C$18&lt;0),"Amplified -","·"),"·")</f>
        <v>·</v>
      </c>
      <c r="F9" s="584" t="str">
        <f>IFERROR(IF(AND(SCORE_H4_Home!$C$17&lt;0,SCORE_H4_Home!$C$22&lt;0),"Amplified -","·"),"·")</f>
        <v>·</v>
      </c>
      <c r="G9" s="584" t="str">
        <f>IFERROR(IF(AND(SCORE_H4_Home!$C$9&gt;0,SCORE_H4_Home!$C$10&gt;0),"Amplified +","·"),"·")</f>
        <v>·</v>
      </c>
      <c r="H9" s="1008">
        <f>IFERROR(ROUND(IF(AND(SCORE_H4_Home!$C$9&gt;0,SCORE_H4_Home!$C$6&gt;0),0.5,0)+IF(AND(SCORE_H4_Home!$C$9&gt;0,SCORE_H4_Home!$C$29&gt;0),0.5,0)+IF(AND(SCORE_H4_Home!$C$9&gt;0,SCORE_H4_Home!$C$28&gt;0),0.5,0)+IF(AND(SCORE_H4_Home!$C$11&gt;0,SCORE_H4_Home!$C$6&gt;0),0.25,0)+IF(AND(SCORE_H4_Home!$C$6&gt;0,SCORE_H4_Home!$C$13&gt;0),0.25,0)+IF(AND(SCORE_H4_Home!$C$9&gt;0,SCORE_H4_Home!$C$20&lt;0),-0.25,0)+IF(AND(SCORE_H4_Home!$C$9&gt;0,SCORE_H4_Home!$C$27&lt;0),-0.5,0)+IF(AND(SCORE_H4_Home!$C$6&gt;0,SCORE_H4_Home!$C$15&lt;0),-0.5,0)+IF(AND(SCORE_H4_Home!$C$11&gt;0,SCORE_H4_Home!$C$21&lt;0),-0.25,0)+IF(AND(SCORE_H4_Home!$C$9&gt;0,SCORE_H4_Home!$C$23&lt;0),-0.25,0)+IF(AND(SCORE_H4_Home!$C$11&gt;0,SCORE_H4_Home!$C$17&lt;0),-0.25,0)+IF(AND(SCORE_H4_Home!$C$7&gt;0,SCORE_H4_Home!$C$16&lt;0),-0.5,0)+IF(AND(SCORE_H4_Home!$C$25&gt;0,SCORE_H4_Home!$C$9&gt;0),0.25,0)+IF(AND(SCORE_H4_Home!$C$9&gt;0,SCORE_H4_Home!$C$10&gt;0),0.5,0)+IF(AND(SCORE_H4_Home!$C$15&lt;0,SCORE_H4_Home!$C$18&lt;0),-0.5,0)+IF(AND(SCORE_H4_Home!$C$17&lt;0,SCORE_H4_Home!$C$22&lt;0),-1,0)+IF(AND(SCORE_H4_Home!$C$6&gt;0,SCORE_H4_Home!$C$11&gt;0),0.5,0)+IF(AND(SCORE_H4_Home!$C$9&gt;0,SCORE_H4_Home!$C$11&gt;0),0.25,0)+IF(AND(SCORE_H4_Home!$C$15&lt;0,SCORE_H4_Home!$C$17&lt;0),-0.5,0)+IF(AND(SCORE_H4_Home!$C$20&lt;0,SCORE_H4_Home!$C$22&lt;0),-1,0)+IF(AND(SCORE_H4_Home!$C$7&gt;0,SCORE_H4_Home!$C$12&gt;0),0.25,0)+IF(AND(SCORE_H4_Home!$C$16&lt;0,SCORE_H4_Home!$C$21&lt;0),-0.5,0),2),0)</f>
        <v>-0.25</v>
      </c>
      <c r="I9" s="1009" t="str">
        <f>IFERROR(IF(H9&gt;0.4,"✓ Amplified positive",IF(H9&gt;0,"~ Mild boost",IF(H9&lt;-0.4,"⚠ Amplified negative",IF(H9&lt;0,"~ Mild drag","· No interaction")))),"")</f>
        <v>~ Mild drag</v>
      </c>
    </row>
    <row r="10" spans="1:11" ht="19.5" customHeight="1" x14ac:dyDescent="0.2">
      <c r="A10" s="632">
        <v>5</v>
      </c>
      <c r="B10" s="586" t="str">
        <f>IFERROR(IF(AND(SCORE_H5_Intellect!$C$9&gt;0,SCORE_H5_Intellect!$C$20&lt;0),"Mixed Promise","·"),"·")</f>
        <v>·</v>
      </c>
      <c r="C10" s="586" t="str">
        <f>IFERROR(IF(AND(SCORE_H5_Intellect!$C$9&gt;0,SCORE_H5_Intellect!$C$27&lt;0),"Mixed Promise","·"),"·")</f>
        <v>·</v>
      </c>
      <c r="D10" s="586" t="str">
        <f>IFERROR(IF(AND(SCORE_H5_Intellect!$C$6&gt;0,SCORE_H5_Intellect!$C$15&lt;0),"Mixed Promise","·"),"·")</f>
        <v>·</v>
      </c>
      <c r="E10" s="586" t="str">
        <f>IFERROR(IF(AND(SCORE_H5_Intellect!$C$15&lt;0,SCORE_H5_Intellect!$C$18&lt;0),"Amplified -","·"),"·")</f>
        <v>·</v>
      </c>
      <c r="F10" s="586" t="str">
        <f>IFERROR(IF(AND(SCORE_H5_Intellect!$C$17&lt;0,SCORE_H5_Intellect!$C$22&lt;0),"Amplified -","·"),"·")</f>
        <v>·</v>
      </c>
      <c r="G10" s="586" t="str">
        <f>IFERROR(IF(AND(SCORE_H5_Intellect!$C$9&gt;0,SCORE_H5_Intellect!$C$10&gt;0),"Amplified +","·"),"·")</f>
        <v>·</v>
      </c>
      <c r="H10" s="1006">
        <f>IFERROR(ROUND(IF(AND(SCORE_H5_Intellect!$C$9&gt;0,SCORE_H5_Intellect!$C$6&gt;0),0.5,0)+IF(AND(SCORE_H5_Intellect!$C$9&gt;0,SCORE_H5_Intellect!$C$29&gt;0),0.5,0)+IF(AND(SCORE_H5_Intellect!$C$9&gt;0,SCORE_H5_Intellect!$C$28&gt;0),0.5,0)+IF(AND(SCORE_H5_Intellect!$C$11&gt;0,SCORE_H5_Intellect!$C$6&gt;0),0.25,0)+IF(AND(SCORE_H5_Intellect!$C$6&gt;0,SCORE_H5_Intellect!$C$13&gt;0),0.25,0)+IF(AND(SCORE_H5_Intellect!$C$9&gt;0,SCORE_H5_Intellect!$C$20&lt;0),-0.25,0)+IF(AND(SCORE_H5_Intellect!$C$9&gt;0,SCORE_H5_Intellect!$C$27&lt;0),-0.5,0)+IF(AND(SCORE_H5_Intellect!$C$6&gt;0,SCORE_H5_Intellect!$C$15&lt;0),-0.5,0)+IF(AND(SCORE_H5_Intellect!$C$11&gt;0,SCORE_H5_Intellect!$C$21&lt;0),-0.25,0)+IF(AND(SCORE_H5_Intellect!$C$9&gt;0,SCORE_H5_Intellect!$C$23&lt;0),-0.25,0)+IF(AND(SCORE_H5_Intellect!$C$11&gt;0,SCORE_H5_Intellect!$C$17&lt;0),-0.25,0)+IF(AND(SCORE_H5_Intellect!$C$7&gt;0,SCORE_H5_Intellect!$C$16&lt;0),-0.5,0)+IF(AND(SCORE_H5_Intellect!$C$25&gt;0,SCORE_H5_Intellect!$C$9&gt;0),0.25,0)+IF(AND(SCORE_H5_Intellect!$C$9&gt;0,SCORE_H5_Intellect!$C$10&gt;0),0.5,0)+IF(AND(SCORE_H5_Intellect!$C$15&lt;0,SCORE_H5_Intellect!$C$18&lt;0),-0.5,0)+IF(AND(SCORE_H5_Intellect!$C$17&lt;0,SCORE_H5_Intellect!$C$22&lt;0),-1,0)+IF(AND(SCORE_H5_Intellect!$C$6&gt;0,SCORE_H5_Intellect!$C$11&gt;0),0.5,0)+IF(AND(SCORE_H5_Intellect!$C$9&gt;0,SCORE_H5_Intellect!$C$11&gt;0),0.25,0)+IF(AND(SCORE_H5_Intellect!$C$15&lt;0,SCORE_H5_Intellect!$C$17&lt;0),-0.5,0)+IF(AND(SCORE_H5_Intellect!$C$20&lt;0,SCORE_H5_Intellect!$C$22&lt;0),-1,0)+IF(AND(SCORE_H5_Intellect!$C$7&gt;0,SCORE_H5_Intellect!$C$12&gt;0),0.25,0)+IF(AND(SCORE_H5_Intellect!$C$16&lt;0,SCORE_H5_Intellect!$C$21&lt;0),-0.5,0),2),0)</f>
        <v>-1.25</v>
      </c>
      <c r="I10" s="1007" t="str">
        <f>IFERROR(IF(H10&gt;0.4,"✓ Amplified positive",IF(H10&gt;0,"~ Mild boost",IF(H10&lt;-0.4,"⚠ Amplified negative",IF(H10&lt;0,"~ Mild drag","· No interaction")))),"")</f>
        <v>⚠ Amplified negative</v>
      </c>
    </row>
    <row r="11" spans="1:11" ht="19.5" customHeight="1" x14ac:dyDescent="0.2">
      <c r="A11" s="627">
        <v>6</v>
      </c>
      <c r="B11" s="584" t="str">
        <f>IFERROR(IF(AND(SCORE_H6_Conflicts!$C$9&gt;0,SCORE_H6_Conflicts!$C$20&lt;0),"Mixed Promise","·"),"·")</f>
        <v>·</v>
      </c>
      <c r="C11" s="584" t="str">
        <f>IFERROR(IF(AND(SCORE_H6_Conflicts!$C$9&gt;0,SCORE_H6_Conflicts!$C$27&lt;0),"Mixed Promise","·"),"·")</f>
        <v>·</v>
      </c>
      <c r="D11" s="584" t="str">
        <f>IFERROR(IF(AND(SCORE_H6_Conflicts!$C$6&gt;0,SCORE_H6_Conflicts!$C$15&lt;0),"Mixed Promise","·"),"·")</f>
        <v>·</v>
      </c>
      <c r="E11" s="584" t="str">
        <f>IFERROR(IF(AND(SCORE_H6_Conflicts!$C$15&lt;0,SCORE_H6_Conflicts!$C$18&lt;0),"Amplified -","·"),"·")</f>
        <v>·</v>
      </c>
      <c r="F11" s="584" t="str">
        <f>IFERROR(IF(AND(SCORE_H6_Conflicts!$C$17&lt;0,SCORE_H6_Conflicts!$C$22&lt;0),"Amplified -","·"),"·")</f>
        <v>·</v>
      </c>
      <c r="G11" s="584" t="str">
        <f>IFERROR(IF(AND(SCORE_H6_Conflicts!$C$9&gt;0,SCORE_H6_Conflicts!$C$10&gt;0),"Amplified +","·"),"·")</f>
        <v>·</v>
      </c>
      <c r="H11" s="1008">
        <f>IFERROR(ROUND(IF(AND(SCORE_H6_Conflicts!$C$9&gt;0,SCORE_H6_Conflicts!$C$6&gt;0),0.5,0)+IF(AND(SCORE_H6_Conflicts!$C$9&gt;0,SCORE_H6_Conflicts!$C$29&gt;0),0.5,0)+IF(AND(SCORE_H6_Conflicts!$C$9&gt;0,SCORE_H6_Conflicts!$C$28&gt;0),0.5,0)+IF(AND(SCORE_H6_Conflicts!$C$11&gt;0,SCORE_H6_Conflicts!$C$6&gt;0),0.25,0)+IF(AND(SCORE_H6_Conflicts!$C$6&gt;0,SCORE_H6_Conflicts!$C$13&gt;0),0.25,0)+IF(AND(SCORE_H6_Conflicts!$C$9&gt;0,SCORE_H6_Conflicts!$C$20&lt;0),-0.25,0)+IF(AND(SCORE_H6_Conflicts!$C$9&gt;0,SCORE_H6_Conflicts!$C$27&lt;0),-0.5,0)+IF(AND(SCORE_H6_Conflicts!$C$6&gt;0,SCORE_H6_Conflicts!$C$15&lt;0),-0.5,0)+IF(AND(SCORE_H6_Conflicts!$C$11&gt;0,SCORE_H6_Conflicts!$C$21&lt;0),-0.25,0)+IF(AND(SCORE_H6_Conflicts!$C$9&gt;0,SCORE_H6_Conflicts!$C$23&lt;0),-0.25,0)+IF(AND(SCORE_H6_Conflicts!$C$11&gt;0,SCORE_H6_Conflicts!$C$17&lt;0),-0.25,0)+IF(AND(SCORE_H6_Conflicts!$C$7&gt;0,SCORE_H6_Conflicts!$C$16&lt;0),-0.5,0)+IF(AND(SCORE_H6_Conflicts!$C$25&gt;0,SCORE_H6_Conflicts!$C$9&gt;0),0.25,0)+IF(AND(SCORE_H6_Conflicts!$C$9&gt;0,SCORE_H6_Conflicts!$C$10&gt;0),0.5,0)+IF(AND(SCORE_H6_Conflicts!$C$15&lt;0,SCORE_H6_Conflicts!$C$18&lt;0),-0.5,0)+IF(AND(SCORE_H6_Conflicts!$C$17&lt;0,SCORE_H6_Conflicts!$C$22&lt;0),-1,0)+IF(AND(SCORE_H6_Conflicts!$C$6&gt;0,SCORE_H6_Conflicts!$C$11&gt;0),0.5,0)+IF(AND(SCORE_H6_Conflicts!$C$9&gt;0,SCORE_H6_Conflicts!$C$11&gt;0),0.25,0)+IF(AND(SCORE_H6_Conflicts!$C$15&lt;0,SCORE_H6_Conflicts!$C$17&lt;0),-0.5,0)+IF(AND(SCORE_H6_Conflicts!$C$20&lt;0,SCORE_H6_Conflicts!$C$22&lt;0),-1,0)+IF(AND(SCORE_H6_Conflicts!$C$7&gt;0,SCORE_H6_Conflicts!$C$12&gt;0),0.25,0)+IF(AND(SCORE_H6_Conflicts!$C$16&lt;0,SCORE_H6_Conflicts!$C$21&lt;0),-0.5,0),2),0)</f>
        <v>-0.25</v>
      </c>
      <c r="I11" s="1009" t="str">
        <f>IFERROR(IF(H11&gt;0.4,"✓ Amplified positive",IF(H11&gt;0,"~ Mild boost",IF(H11&lt;-0.4,"⚠ Amplified negative",IF(H11&lt;0,"~ Mild drag","· No interaction")))),"")</f>
        <v>~ Mild drag</v>
      </c>
    </row>
    <row r="12" spans="1:11" ht="19.5" customHeight="1" x14ac:dyDescent="0.2">
      <c r="A12" s="632">
        <v>7</v>
      </c>
      <c r="B12" s="586" t="str">
        <f>IFERROR(IF(AND(SCORE_H7_Partnerships!$C$9&gt;0,SCORE_H7_Partnerships!$C$20&lt;0),"Mixed Promise","·"),"·")</f>
        <v>·</v>
      </c>
      <c r="C12" s="586" t="str">
        <f>IFERROR(IF(AND(SCORE_H7_Partnerships!$C$9&gt;0,SCORE_H7_Partnerships!$C$27&lt;0),"Mixed Promise","·"),"·")</f>
        <v>·</v>
      </c>
      <c r="D12" s="586" t="str">
        <f>IFERROR(IF(AND(SCORE_H7_Partnerships!$C$6&gt;0,SCORE_H7_Partnerships!$C$15&lt;0),"Mixed Promise","·"),"·")</f>
        <v>·</v>
      </c>
      <c r="E12" s="586" t="str">
        <f>IFERROR(IF(AND(SCORE_H7_Partnerships!$C$15&lt;0,SCORE_H7_Partnerships!$C$18&lt;0),"Amplified -","·"),"·")</f>
        <v>·</v>
      </c>
      <c r="F12" s="586" t="str">
        <f>IFERROR(IF(AND(SCORE_H7_Partnerships!$C$17&lt;0,SCORE_H7_Partnerships!$C$22&lt;0),"Amplified -","·"),"·")</f>
        <v>·</v>
      </c>
      <c r="G12" s="586" t="str">
        <f>IFERROR(IF(AND(SCORE_H7_Partnerships!$C$9&gt;0,SCORE_H7_Partnerships!$C$10&gt;0),"Amplified +","·"),"·")</f>
        <v>·</v>
      </c>
      <c r="H12" s="1006">
        <v>0</v>
      </c>
      <c r="I12" s="1007" t="str">
        <f>IFERROR(IF(H12&gt;0.4,"✓ Amplified positive",IF(H12&gt;0,"~ Mild boost",IF(H12&lt;-0.4,"⚠ Amplified negative",IF(H12&lt;0,"~ Mild drag","· No interaction")))),"")</f>
        <v>· No interaction</v>
      </c>
    </row>
    <row r="13" spans="1:11" ht="19.5" customHeight="1" x14ac:dyDescent="0.2">
      <c r="A13" s="627">
        <v>8</v>
      </c>
      <c r="B13" s="584" t="str">
        <f>IFERROR(IF(AND(SCORE_H8_Longevity!$C$9&gt;0,SCORE_H8_Longevity!$C$20&lt;0),"Mixed Promise","·"),"·")</f>
        <v>·</v>
      </c>
      <c r="C13" s="584" t="str">
        <f>IFERROR(IF(AND(SCORE_H8_Longevity!$C$9&gt;0,SCORE_H8_Longevity!$C$27&lt;0),"Mixed Promise","·"),"·")</f>
        <v>·</v>
      </c>
      <c r="D13" s="584" t="str">
        <f>IFERROR(IF(AND(SCORE_H8_Longevity!$C$6&gt;0,SCORE_H8_Longevity!$C$15&lt;0),"Mixed Promise","·"),"·")</f>
        <v>·</v>
      </c>
      <c r="E13" s="584" t="str">
        <f>IFERROR(IF(AND(SCORE_H8_Longevity!$C$15&lt;0,SCORE_H8_Longevity!$C$18&lt;0),"Amplified -","·"),"·")</f>
        <v>·</v>
      </c>
      <c r="F13" s="584" t="str">
        <f>IFERROR(IF(AND(SCORE_H8_Longevity!$C$17&lt;0,SCORE_H8_Longevity!$C$22&lt;0),"Amplified -","·"),"·")</f>
        <v>·</v>
      </c>
      <c r="G13" s="584" t="str">
        <f>IFERROR(IF(AND(SCORE_H8_Longevity!$C$9&gt;0,SCORE_H8_Longevity!$C$10&gt;0),"Amplified +","·"),"·")</f>
        <v>·</v>
      </c>
      <c r="H13" s="1008">
        <f>IFERROR(ROUND(IF(AND(SCORE_H8_Longevity!$C$9&gt;0,SCORE_H8_Longevity!$C$6&gt;0),0.5,0)+IF(AND(SCORE_H8_Longevity!$C$9&gt;0,SCORE_H8_Longevity!$C$29&gt;0),0.5,0)+IF(AND(SCORE_H8_Longevity!$C$9&gt;0,SCORE_H8_Longevity!$C$28&gt;0),0.5,0)+IF(AND(SCORE_H8_Longevity!$C$11&gt;0,SCORE_H8_Longevity!$C$6&gt;0),0.25,0)+IF(AND(SCORE_H8_Longevity!$C$6&gt;0,SCORE_H8_Longevity!$C$13&gt;0),0.25,0)+IF(AND(SCORE_H8_Longevity!$C$9&gt;0,SCORE_H8_Longevity!$C$20&lt;0),-0.25,0)+IF(AND(SCORE_H8_Longevity!$C$9&gt;0,SCORE_H8_Longevity!$C$27&lt;0),-0.5,0)+IF(AND(SCORE_H8_Longevity!$C$6&gt;0,SCORE_H8_Longevity!$C$15&lt;0),-0.5,0)+IF(AND(SCORE_H8_Longevity!$C$11&gt;0,SCORE_H8_Longevity!$C$21&lt;0),-0.25,0)+IF(AND(SCORE_H8_Longevity!$C$9&gt;0,SCORE_H8_Longevity!$C$23&lt;0),-0.25,0)+IF(AND(SCORE_H8_Longevity!$C$11&gt;0,SCORE_H8_Longevity!$C$17&lt;0),-0.25,0)+IF(AND(SCORE_H8_Longevity!$C$7&gt;0,SCORE_H8_Longevity!$C$16&lt;0),-0.5,0)+IF(AND(SCORE_H8_Longevity!$C$25&gt;0,SCORE_H8_Longevity!$C$9&gt;0),0.25,0)+IF(AND(SCORE_H8_Longevity!$C$9&gt;0,SCORE_H8_Longevity!$C$10&gt;0),0.5,0)+IF(AND(SCORE_H8_Longevity!$C$15&lt;0,SCORE_H8_Longevity!$C$18&lt;0),-0.5,0)+IF(AND(SCORE_H8_Longevity!$C$17&lt;0,SCORE_H8_Longevity!$C$22&lt;0),-1,0)+IF(AND(SCORE_H8_Longevity!$C$6&gt;0,SCORE_H8_Longevity!$C$11&gt;0),0.5,0)+IF(AND(SCORE_H8_Longevity!$C$9&gt;0,SCORE_H8_Longevity!$C$11&gt;0),0.25,0)+IF(AND(SCORE_H8_Longevity!$C$15&lt;0,SCORE_H8_Longevity!$C$17&lt;0),-0.5,0)+IF(AND(SCORE_H8_Longevity!$C$20&lt;0,SCORE_H8_Longevity!$C$22&lt;0),-1,0)+IF(AND(SCORE_H8_Longevity!$C$7&gt;0,SCORE_H8_Longevity!$C$12&gt;0),0.25,0)+IF(AND(SCORE_H8_Longevity!$C$16&lt;0,SCORE_H8_Longevity!$C$21&lt;0),-0.5,0),2),0)</f>
        <v>0</v>
      </c>
      <c r="I13" s="1009" t="str">
        <f>IFERROR(IF(H13&gt;0.4,"✓ Amplified positive",IF(H13&gt;0,"~ Mild boost",IF(H13&lt;-0.4,"⚠ Amplified negative",IF(H13&lt;0,"~ Mild drag","· No interaction")))),"")</f>
        <v>· No interaction</v>
      </c>
    </row>
    <row r="14" spans="1:11" ht="19.5" customHeight="1" x14ac:dyDescent="0.2">
      <c r="A14" s="632">
        <v>9</v>
      </c>
      <c r="B14" s="586" t="str">
        <f>IFERROR(IF(AND(SCORE_H9_Fortune!$C$9&gt;0,SCORE_H9_Fortune!$C$20&lt;0),"Mixed Promise","·"),"·")</f>
        <v>·</v>
      </c>
      <c r="C14" s="586" t="str">
        <f>IFERROR(IF(AND(SCORE_H9_Fortune!$C$9&gt;0,SCORE_H9_Fortune!$C$27&lt;0),"Mixed Promise","·"),"·")</f>
        <v>·</v>
      </c>
      <c r="D14" s="586" t="str">
        <f>IFERROR(IF(AND(SCORE_H9_Fortune!$C$6&gt;0,SCORE_H9_Fortune!$C$15&lt;0),"Mixed Promise","·"),"·")</f>
        <v>·</v>
      </c>
      <c r="E14" s="586" t="str">
        <f>IFERROR(IF(AND(SCORE_H9_Fortune!$C$15&lt;0,SCORE_H9_Fortune!$C$18&lt;0),"Amplified -","·"),"·")</f>
        <v>·</v>
      </c>
      <c r="F14" s="586" t="str">
        <f>IFERROR(IF(AND(SCORE_H9_Fortune!$C$17&lt;0,SCORE_H9_Fortune!$C$22&lt;0),"Amplified -","·"),"·")</f>
        <v>·</v>
      </c>
      <c r="G14" s="586" t="str">
        <f>IFERROR(IF(AND(SCORE_H9_Fortune!$C$9&gt;0,SCORE_H9_Fortune!$C$10&gt;0),"Amplified +","·"),"·")</f>
        <v>·</v>
      </c>
      <c r="H14" s="1006">
        <f>IFERROR(ROUND(IF(AND(SCORE_H9_Fortune!$C$9&gt;0,SCORE_H9_Fortune!$C$6&gt;0),0.5,0)+IF(AND(SCORE_H9_Fortune!$C$9&gt;0,SCORE_H9_Fortune!$C$29&gt;0),0.5,0)+IF(AND(SCORE_H9_Fortune!$C$9&gt;0,SCORE_H9_Fortune!$C$28&gt;0),0.5,0)+IF(AND(SCORE_H9_Fortune!$C$11&gt;0,SCORE_H9_Fortune!$C$6&gt;0),0.25,0)+IF(AND(SCORE_H9_Fortune!$C$6&gt;0,SCORE_H9_Fortune!$C$13&gt;0),0.25,0)+IF(AND(SCORE_H9_Fortune!$C$9&gt;0,SCORE_H9_Fortune!$C$20&lt;0),-0.25,0)+IF(AND(SCORE_H9_Fortune!$C$9&gt;0,SCORE_H9_Fortune!$C$27&lt;0),-0.5,0)+IF(AND(SCORE_H9_Fortune!$C$6&gt;0,SCORE_H9_Fortune!$C$15&lt;0),-0.5,0)+IF(AND(SCORE_H9_Fortune!$C$11&gt;0,SCORE_H9_Fortune!$C$21&lt;0),-0.25,0)+IF(AND(SCORE_H9_Fortune!$C$9&gt;0,SCORE_H9_Fortune!$C$23&lt;0),-0.25,0)+IF(AND(SCORE_H9_Fortune!$C$11&gt;0,SCORE_H9_Fortune!$C$17&lt;0),-0.25,0)+IF(AND(SCORE_H9_Fortune!$C$7&gt;0,SCORE_H9_Fortune!$C$16&lt;0),-0.5,0)+IF(AND(SCORE_H9_Fortune!$C$25&gt;0,SCORE_H9_Fortune!$C$9&gt;0),0.25,0)+IF(AND(SCORE_H9_Fortune!$C$9&gt;0,SCORE_H9_Fortune!$C$10&gt;0),0.5,0)+IF(AND(SCORE_H9_Fortune!$C$15&lt;0,SCORE_H9_Fortune!$C$18&lt;0),-0.5,0)+IF(AND(SCORE_H9_Fortune!$C$17&lt;0,SCORE_H9_Fortune!$C$22&lt;0),-1,0)+IF(AND(SCORE_H9_Fortune!$C$6&gt;0,SCORE_H9_Fortune!$C$11&gt;0),0.5,0)+IF(AND(SCORE_H9_Fortune!$C$9&gt;0,SCORE_H9_Fortune!$C$11&gt;0),0.25,0)+IF(AND(SCORE_H9_Fortune!$C$15&lt;0,SCORE_H9_Fortune!$C$17&lt;0),-0.5,0)+IF(AND(SCORE_H9_Fortune!$C$20&lt;0,SCORE_H9_Fortune!$C$22&lt;0),-1,0)+IF(AND(SCORE_H9_Fortune!$C$7&gt;0,SCORE_H9_Fortune!$C$12&gt;0),0.25,0)+IF(AND(SCORE_H9_Fortune!$C$16&lt;0,SCORE_H9_Fortune!$C$21&lt;0),-0.5,0),2),0)</f>
        <v>-1.25</v>
      </c>
      <c r="I14" s="1007" t="str">
        <f>IFERROR(IF(H14&gt;0.4,"✓ Amplified positive",IF(H14&gt;0,"~ Mild boost",IF(H14&lt;-0.4,"⚠ Amplified negative",IF(H14&lt;0,"~ Mild drag","· No interaction")))),"")</f>
        <v>⚠ Amplified negative</v>
      </c>
    </row>
    <row r="15" spans="1:11" ht="19.5" customHeight="1" x14ac:dyDescent="0.2">
      <c r="A15" s="627">
        <v>10</v>
      </c>
      <c r="B15" s="584" t="str">
        <f>IFERROR(IF(AND(SCORE_H10_Career!$C$9&gt;0,SCORE_H10_Career!$C$20&lt;0),"Mixed Promise","·"),"·")</f>
        <v>·</v>
      </c>
      <c r="C15" s="584" t="str">
        <f>IFERROR(IF(AND(SCORE_H10_Career!$C$9&gt;0,SCORE_H10_Career!$C$27&lt;0),"Mixed Promise","·"),"·")</f>
        <v>·</v>
      </c>
      <c r="D15" s="584" t="str">
        <f>IFERROR(IF(AND(SCORE_H10_Career!$C$6&gt;0,SCORE_H10_Career!$C$15&lt;0),"Mixed Promise","·"),"·")</f>
        <v>·</v>
      </c>
      <c r="E15" s="584" t="str">
        <f>IFERROR(IF(AND(SCORE_H10_Career!$C$15&lt;0,SCORE_H10_Career!$C$18&lt;0),"Amplified -","·"),"·")</f>
        <v>·</v>
      </c>
      <c r="F15" s="584" t="str">
        <f>IFERROR(IF(AND(SCORE_H10_Career!$C$17&lt;0,SCORE_H10_Career!$C$22&lt;0),"Amplified -","·"),"·")</f>
        <v>·</v>
      </c>
      <c r="G15" s="584" t="str">
        <f>IFERROR(IF(AND(SCORE_H10_Career!$C$9&gt;0,SCORE_H10_Career!$C$10&gt;0),"Amplified +","·"),"·")</f>
        <v>·</v>
      </c>
      <c r="H15" s="1008">
        <f>IFERROR(ROUND(IF(AND(SCORE_H10_Career!$C$9&gt;0,SCORE_H10_Career!$C$6&gt;0),0.5,0)+IF(AND(SCORE_H10_Career!$C$9&gt;0,SCORE_H10_Career!$C$29&gt;0),0.5,0)+IF(AND(SCORE_H10_Career!$C$9&gt;0,SCORE_H10_Career!$C$28&gt;0),0.5,0)+IF(AND(SCORE_H10_Career!$C$11&gt;0,SCORE_H10_Career!$C$6&gt;0),0.25,0)+IF(AND(SCORE_H10_Career!$C$6&gt;0,SCORE_H10_Career!$C$13&gt;0),0.25,0)+IF(AND(SCORE_H10_Career!$C$9&gt;0,SCORE_H10_Career!$C$20&lt;0),-0.25,0)+IF(AND(SCORE_H10_Career!$C$9&gt;0,SCORE_H10_Career!$C$27&lt;0),-0.5,0)+IF(AND(SCORE_H10_Career!$C$6&gt;0,SCORE_H10_Career!$C$15&lt;0),-0.5,0)+IF(AND(SCORE_H10_Career!$C$11&gt;0,SCORE_H10_Career!$C$21&lt;0),-0.25,0)+IF(AND(SCORE_H10_Career!$C$9&gt;0,SCORE_H10_Career!$C$23&lt;0),-0.25,0)+IF(AND(SCORE_H10_Career!$C$11&gt;0,SCORE_H10_Career!$C$17&lt;0),-0.25,0)+IF(AND(SCORE_H10_Career!$C$7&gt;0,SCORE_H10_Career!$C$16&lt;0),-0.5,0)+IF(AND(SCORE_H10_Career!$C$25&gt;0,SCORE_H10_Career!$C$9&gt;0),0.25,0)+IF(AND(SCORE_H10_Career!$C$9&gt;0,SCORE_H10_Career!$C$10&gt;0),0.5,0)+IF(AND(SCORE_H10_Career!$C$15&lt;0,SCORE_H10_Career!$C$18&lt;0),-0.5,0)+IF(AND(SCORE_H10_Career!$C$17&lt;0,SCORE_H10_Career!$C$22&lt;0),-1,0)+IF(AND(SCORE_H10_Career!$C$6&gt;0,SCORE_H10_Career!$C$11&gt;0),0.5,0)+IF(AND(SCORE_H10_Career!$C$9&gt;0,SCORE_H10_Career!$C$11&gt;0),0.25,0)+IF(AND(SCORE_H10_Career!$C$15&lt;0,SCORE_H10_Career!$C$17&lt;0),-0.5,0)+IF(AND(SCORE_H10_Career!$C$20&lt;0,SCORE_H10_Career!$C$22&lt;0),-1,0)+IF(AND(SCORE_H10_Career!$C$7&gt;0,SCORE_H10_Career!$C$12&gt;0),0.25,0)+IF(AND(SCORE_H10_Career!$C$16&lt;0,SCORE_H10_Career!$C$21&lt;0),-0.5,0),2),0)</f>
        <v>-0.75</v>
      </c>
      <c r="I15" s="1009" t="str">
        <f>IFERROR(IF(H15&gt;0.4,"✓ Amplified positive",IF(H15&gt;0,"~ Mild boost",IF(H15&lt;-0.4,"⚠ Amplified negative",IF(H15&lt;0,"~ Mild drag","· No interaction")))),"")</f>
        <v>⚠ Amplified negative</v>
      </c>
    </row>
    <row r="16" spans="1:11" ht="19.5" customHeight="1" x14ac:dyDescent="0.2">
      <c r="A16" s="632">
        <v>11</v>
      </c>
      <c r="B16" s="586" t="str">
        <f>IFERROR(IF(AND(SCORE_H11_Gains!$C$9&gt;0,SCORE_H11_Gains!$C$20&lt;0),"Mixed Promise","·"),"·")</f>
        <v>·</v>
      </c>
      <c r="C16" s="586" t="str">
        <f>IFERROR(IF(AND(SCORE_H11_Gains!$C$9&gt;0,SCORE_H11_Gains!$C$27&lt;0),"Mixed Promise","·"),"·")</f>
        <v>·</v>
      </c>
      <c r="D16" s="586" t="str">
        <f>IFERROR(IF(AND(SCORE_H11_Gains!$C$6&gt;0,SCORE_H11_Gains!$C$15&lt;0),"Mixed Promise","·"),"·")</f>
        <v>·</v>
      </c>
      <c r="E16" s="586" t="str">
        <f>IFERROR(IF(AND(SCORE_H11_Gains!$C$15&lt;0,SCORE_H11_Gains!$C$18&lt;0),"Amplified -","·"),"·")</f>
        <v>·</v>
      </c>
      <c r="F16" s="586" t="str">
        <f>IFERROR(IF(AND(SCORE_H11_Gains!$C$17&lt;0,SCORE_H11_Gains!$C$22&lt;0),"Amplified -","·"),"·")</f>
        <v>·</v>
      </c>
      <c r="G16" s="586" t="str">
        <f>IFERROR(IF(AND(SCORE_H11_Gains!$C$9&gt;0,SCORE_H11_Gains!$C$10&gt;0),"Amplified +","·"),"·")</f>
        <v>·</v>
      </c>
      <c r="H16" s="1006">
        <f>IFERROR(ROUND(IF(AND(SCORE_H11_Gains!$C$9&gt;0,SCORE_H11_Gains!$C$6&gt;0),0.5,0)+IF(AND(SCORE_H11_Gains!$C$9&gt;0,SCORE_H11_Gains!$C$29&gt;0),0.5,0)+IF(AND(SCORE_H11_Gains!$C$9&gt;0,SCORE_H11_Gains!$C$28&gt;0),0.5,0)+IF(AND(SCORE_H11_Gains!$C$11&gt;0,SCORE_H11_Gains!$C$6&gt;0),0.25,0)+IF(AND(SCORE_H11_Gains!$C$6&gt;0,SCORE_H11_Gains!$C$13&gt;0),0.25,0)+IF(AND(SCORE_H11_Gains!$C$9&gt;0,SCORE_H11_Gains!$C$20&lt;0),-0.25,0)+IF(AND(SCORE_H11_Gains!$C$9&gt;0,SCORE_H11_Gains!$C$27&lt;0),-0.5,0)+IF(AND(SCORE_H11_Gains!$C$6&gt;0,SCORE_H11_Gains!$C$15&lt;0),-0.5,0)+IF(AND(SCORE_H11_Gains!$C$11&gt;0,SCORE_H11_Gains!$C$21&lt;0),-0.25,0)+IF(AND(SCORE_H11_Gains!$C$9&gt;0,SCORE_H11_Gains!$C$23&lt;0),-0.25,0)+IF(AND(SCORE_H11_Gains!$C$11&gt;0,SCORE_H11_Gains!$C$17&lt;0),-0.25,0)+IF(AND(SCORE_H11_Gains!$C$7&gt;0,SCORE_H11_Gains!$C$16&lt;0),-0.5,0)+IF(AND(SCORE_H11_Gains!$C$25&gt;0,SCORE_H11_Gains!$C$9&gt;0),0.25,0)+IF(AND(SCORE_H11_Gains!$C$9&gt;0,SCORE_H11_Gains!$C$10&gt;0),0.5,0)+IF(AND(SCORE_H11_Gains!$C$15&lt;0,SCORE_H11_Gains!$C$18&lt;0),-0.5,0)+IF(AND(SCORE_H11_Gains!$C$17&lt;0,SCORE_H11_Gains!$C$22&lt;0),-1,0)+IF(AND(SCORE_H11_Gains!$C$6&gt;0,SCORE_H11_Gains!$C$11&gt;0),0.5,0)+IF(AND(SCORE_H11_Gains!$C$9&gt;0,SCORE_H11_Gains!$C$11&gt;0),0.25,0)+IF(AND(SCORE_H11_Gains!$C$15&lt;0,SCORE_H11_Gains!$C$17&lt;0),-0.5,0)+IF(AND(SCORE_H11_Gains!$C$20&lt;0,SCORE_H11_Gains!$C$22&lt;0),-1,0)+IF(AND(SCORE_H11_Gains!$C$7&gt;0,SCORE_H11_Gains!$C$12&gt;0),0.25,0)+IF(AND(SCORE_H11_Gains!$C$16&lt;0,SCORE_H11_Gains!$C$21&lt;0),-0.5,0),2),0)</f>
        <v>0</v>
      </c>
      <c r="I16" s="1007" t="str">
        <f>IFERROR(IF(H16&gt;0.4,"✓ Amplified positive",IF(H16&gt;0,"~ Mild boost",IF(H16&lt;-0.4,"⚠ Amplified negative",IF(H16&lt;0,"~ Mild drag","· No interaction")))),"")</f>
        <v>· No interaction</v>
      </c>
    </row>
    <row r="17" spans="1:9" ht="19.5" customHeight="1" x14ac:dyDescent="0.2">
      <c r="A17" s="627">
        <v>12</v>
      </c>
      <c r="B17" s="584" t="str">
        <f>IFERROR(IF(AND(SCORE_H12_Liberation!$C$9&gt;0,SCORE_H12_Liberation!$C$20&lt;0),"Mixed Promise","·"),"·")</f>
        <v>·</v>
      </c>
      <c r="C17" s="584" t="str">
        <f>IFERROR(IF(AND(SCORE_H12_Liberation!$C$9&gt;0,SCORE_H12_Liberation!$C$27&lt;0),"Mixed Promise","·"),"·")</f>
        <v>·</v>
      </c>
      <c r="D17" s="584" t="str">
        <f>IFERROR(IF(AND(SCORE_H12_Liberation!$C$6&gt;0,SCORE_H12_Liberation!$C$15&lt;0),"Mixed Promise","·"),"·")</f>
        <v>·</v>
      </c>
      <c r="E17" s="584" t="str">
        <f>IFERROR(IF(AND(SCORE_H12_Liberation!$C$15&lt;0,SCORE_H12_Liberation!$C$18&lt;0),"Amplified -","·"),"·")</f>
        <v>·</v>
      </c>
      <c r="F17" s="584" t="str">
        <f>IFERROR(IF(AND(SCORE_H12_Liberation!$C$17&lt;0,SCORE_H12_Liberation!$C$22&lt;0),"Amplified -","·"),"·")</f>
        <v>·</v>
      </c>
      <c r="G17" s="584" t="str">
        <f>IFERROR(IF(AND(SCORE_H12_Liberation!$C$9&gt;0,SCORE_H12_Liberation!$C$10&gt;0),"Amplified +","·"),"·")</f>
        <v>·</v>
      </c>
      <c r="H17" s="1008">
        <f>IFERROR(ROUND(IF(AND(SCORE_H12_Liberation!$C$9&gt;0,SCORE_H12_Liberation!$C$6&gt;0),0.5,0)+IF(AND(SCORE_H12_Liberation!$C$9&gt;0,SCORE_H12_Liberation!$C$29&gt;0),0.5,0)+IF(AND(SCORE_H12_Liberation!$C$9&gt;0,SCORE_H12_Liberation!$C$28&gt;0),0.5,0)+IF(AND(SCORE_H12_Liberation!$C$11&gt;0,SCORE_H12_Liberation!$C$6&gt;0),0.25,0)+IF(AND(SCORE_H12_Liberation!$C$6&gt;0,SCORE_H12_Liberation!$C$13&gt;0),0.25,0)+IF(AND(SCORE_H12_Liberation!$C$9&gt;0,SCORE_H12_Liberation!$C$20&lt;0),-0.25,0)+IF(AND(SCORE_H12_Liberation!$C$9&gt;0,SCORE_H12_Liberation!$C$27&lt;0),-0.5,0)+IF(AND(SCORE_H12_Liberation!$C$6&gt;0,SCORE_H12_Liberation!$C$15&lt;0),-0.5,0)+IF(AND(SCORE_H12_Liberation!$C$11&gt;0,SCORE_H12_Liberation!$C$21&lt;0),-0.25,0)+IF(AND(SCORE_H12_Liberation!$C$9&gt;0,SCORE_H12_Liberation!$C$23&lt;0),-0.25,0)+IF(AND(SCORE_H12_Liberation!$C$11&gt;0,SCORE_H12_Liberation!$C$17&lt;0),-0.25,0)+IF(AND(SCORE_H12_Liberation!$C$7&gt;0,SCORE_H12_Liberation!$C$16&lt;0),-0.5,0)+IF(AND(SCORE_H12_Liberation!$C$25&gt;0,SCORE_H12_Liberation!$C$9&gt;0),0.25,0)+IF(AND(SCORE_H12_Liberation!$C$9&gt;0,SCORE_H12_Liberation!$C$10&gt;0),0.5,0)+IF(AND(SCORE_H12_Liberation!$C$15&lt;0,SCORE_H12_Liberation!$C$18&lt;0),-0.5,0)+IF(AND(SCORE_H12_Liberation!$C$17&lt;0,SCORE_H12_Liberation!$C$22&lt;0),-1,0)+IF(AND(SCORE_H12_Liberation!$C$6&gt;0,SCORE_H12_Liberation!$C$11&gt;0),0.5,0)+IF(AND(SCORE_H12_Liberation!$C$9&gt;0,SCORE_H12_Liberation!$C$11&gt;0),0.25,0)+IF(AND(SCORE_H12_Liberation!$C$15&lt;0,SCORE_H12_Liberation!$C$17&lt;0),-0.5,0)+IF(AND(SCORE_H12_Liberation!$C$20&lt;0,SCORE_H12_Liberation!$C$22&lt;0),-1,0)+IF(AND(SCORE_H12_Liberation!$C$7&gt;0,SCORE_H12_Liberation!$C$12&gt;0),0.25,0)+IF(AND(SCORE_H12_Liberation!$C$16&lt;0,SCORE_H12_Liberation!$C$21&lt;0),-0.5,0),2),0)</f>
        <v>-1</v>
      </c>
      <c r="I17" s="1009" t="str">
        <f>IFERROR(IF(H17&gt;0.4,"✓ Amplified positive",IF(H17&gt;0,"~ Mild boost",IF(H17&lt;-0.4,"⚠ Amplified negative",IF(H17&lt;0,"~ Mild drag","· No interaction")))),"")</f>
        <v>⚠ Amplified negative</v>
      </c>
    </row>
  </sheetData>
  <mergeCells count="3">
    <mergeCell ref="A1:I1"/>
    <mergeCell ref="A2:I2"/>
    <mergeCell ref="A4:I4"/>
  </mergeCells>
  <pageMargins left="0.75" right="0.75" top="1" bottom="1" header="0.511811023622047" footer="0.511811023622047"/>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6A1B9A"/>
  </sheetPr>
  <dimension ref="A1:L17"/>
  <sheetViews>
    <sheetView zoomScaleNormal="100" workbookViewId="0"/>
  </sheetViews>
  <sheetFormatPr defaultColWidth="8.609375" defaultRowHeight="15" x14ac:dyDescent="0.2"/>
  <cols>
    <col min="1" max="1" width="6.05078125" customWidth="1"/>
    <col min="2" max="2" width="16.0078125" customWidth="1"/>
    <col min="3" max="9" width="11.97265625" customWidth="1"/>
    <col min="10" max="10" width="39.953125" customWidth="1"/>
  </cols>
  <sheetData>
    <row r="1" spans="1:12" ht="21.75" customHeight="1" x14ac:dyDescent="0.2">
      <c r="A1" s="1522" t="s">
        <v>4417</v>
      </c>
      <c r="B1" s="1522"/>
      <c r="C1" s="1522"/>
      <c r="D1" s="1522"/>
      <c r="E1" s="1522"/>
      <c r="F1" s="1522"/>
      <c r="G1" s="1522"/>
      <c r="H1" s="1522"/>
      <c r="I1" s="1522"/>
      <c r="J1" s="1522"/>
      <c r="L1" s="601" t="s">
        <v>2214</v>
      </c>
    </row>
    <row r="2" spans="1:12" ht="24" customHeight="1" x14ac:dyDescent="0.2">
      <c r="A2" s="1523" t="s">
        <v>4418</v>
      </c>
      <c r="B2" s="1523"/>
      <c r="C2" s="1523"/>
      <c r="D2" s="1523"/>
      <c r="E2" s="1523"/>
      <c r="F2" s="1523"/>
      <c r="G2" s="1523"/>
      <c r="H2" s="1523"/>
      <c r="I2" s="1523"/>
      <c r="J2" s="1523"/>
    </row>
    <row r="4" spans="1:12" ht="18" customHeight="1" x14ac:dyDescent="0.2">
      <c r="A4" s="1524" t="s">
        <v>4419</v>
      </c>
      <c r="B4" s="1524"/>
      <c r="C4" s="1524"/>
      <c r="D4" s="1524"/>
      <c r="E4" s="1524"/>
      <c r="F4" s="1524"/>
      <c r="G4" s="1524"/>
      <c r="H4" s="1524"/>
      <c r="I4" s="1524"/>
      <c r="J4" s="1524"/>
    </row>
    <row r="5" spans="1:12" ht="15.75" customHeight="1" x14ac:dyDescent="0.2">
      <c r="A5" s="545" t="s">
        <v>2276</v>
      </c>
      <c r="B5" s="545" t="s">
        <v>3192</v>
      </c>
      <c r="C5" s="545" t="s">
        <v>4054</v>
      </c>
      <c r="D5" s="545" t="s">
        <v>4420</v>
      </c>
      <c r="E5" s="545" t="s">
        <v>4421</v>
      </c>
      <c r="F5" s="545" t="s">
        <v>4422</v>
      </c>
      <c r="G5" s="545" t="s">
        <v>4423</v>
      </c>
      <c r="H5" s="545" t="s">
        <v>4424</v>
      </c>
      <c r="I5" s="545" t="s">
        <v>4425</v>
      </c>
      <c r="J5" s="545" t="s">
        <v>2045</v>
      </c>
    </row>
    <row r="6" spans="1:12" ht="19.5" customHeight="1" x14ac:dyDescent="0.2">
      <c r="A6" s="632">
        <v>1</v>
      </c>
      <c r="B6" s="551" t="s">
        <v>3728</v>
      </c>
      <c r="C6" s="1010">
        <f ca="1">IFERROR(SCORE_AllHouses!$S$5,0)</f>
        <v>1.25</v>
      </c>
      <c r="D6" s="1010">
        <f ca="1">IFERROR(SCORE_H1_D9!$C$40,0)</f>
        <v>-1.35</v>
      </c>
      <c r="E6" s="1010">
        <f ca="1">IFERROR(SCORE_H1_D10!$C$40,0)</f>
        <v>-1.9</v>
      </c>
      <c r="F6" s="1011">
        <f t="shared" ref="F6:F17" ca="1" si="0">IFERROR(ROUND(C6*0.5+D6*0.3+E6*0.2,2),0)</f>
        <v>-0.16</v>
      </c>
      <c r="G6" s="576" t="str">
        <f ca="1">IFERROR("H"&amp;CALC_D9_BhaveshMap!$F$5&amp;" "&amp;CALC_D9_BhaveshMap!$D$5,"—")</f>
        <v>H0 Jupiter</v>
      </c>
      <c r="H6" s="576" t="str">
        <f ca="1">IFERROR("H"&amp;CALC_D10_Dashamsha!$F$5&amp;" "&amp;CALC_D10_Dashamsha!$D$5,"—")</f>
        <v>H0 Mars</v>
      </c>
      <c r="I6" s="612" t="str">
        <f t="shared" ref="I6:I17" ca="1" si="1">IFERROR(IF(AND(C6&gt;2,D6&gt;0,E6&gt;0),"★★ All 3 agree — strong",IF(AND(C6&lt;-2,D6&lt;0,E6&lt;0),"★★ All 3 agree — weak",IF(ABS(C6-D6)&lt;=2,"★ D1+D9 agree","○ Vargas diverge — nuanced"))),"—")</f>
        <v>○ Vargas diverge — nuanced</v>
      </c>
      <c r="J6" s="554" t="str">
        <f t="shared" ref="J6:J17" ca="1" si="2">IFERROR(IF(F6&gt;=4,"★★ Multi-Varga strong — reliable promise",IF(F6&gt;=2,"★ Generally positive across Vargas",IF(F6&gt;=-2,"~ Mixed — D1 physical but D9/D10 may differ",IF(F6&gt;=-4,"● Challenging across multiple Vargas","⚠ Severely challenged — all three Vargas weak")))),"—")</f>
        <v>~ Mixed — D1 physical but D9/D10 may differ</v>
      </c>
    </row>
    <row r="7" spans="1:12" ht="19.5" customHeight="1" x14ac:dyDescent="0.2">
      <c r="A7" s="627">
        <v>2</v>
      </c>
      <c r="B7" s="546" t="s">
        <v>3729</v>
      </c>
      <c r="C7" s="1012">
        <f ca="1">IFERROR(SCORE_AllHouses!$S$6,0)</f>
        <v>-5.25</v>
      </c>
      <c r="D7" s="1012">
        <f ca="1">IFERROR(SCORE_H2_D9!$C$40,0)</f>
        <v>-2</v>
      </c>
      <c r="E7" s="1012">
        <f ca="1">IFERROR(SCORE_H2_D10!$C$40,0)</f>
        <v>-2.5</v>
      </c>
      <c r="F7" s="1013">
        <f t="shared" ca="1" si="0"/>
        <v>-3.73</v>
      </c>
      <c r="G7" s="574" t="str">
        <f ca="1">IFERROR("H"&amp;CALC_D9_BhaveshMap!$F$6&amp;" "&amp;CALC_D9_BhaveshMap!$D$6,"—")</f>
        <v>H0 Mars</v>
      </c>
      <c r="H7" s="574" t="str">
        <f ca="1">IFERROR("H"&amp;CALC_D10_Dashamsha!$F$6&amp;" "&amp;CALC_D10_Dashamsha!$D$6,"—")</f>
        <v>H0 Venus</v>
      </c>
      <c r="I7" s="610" t="str">
        <f t="shared" ca="1" si="1"/>
        <v>★★ All 3 agree — weak</v>
      </c>
      <c r="J7" s="550" t="str">
        <f t="shared" ca="1" si="2"/>
        <v>● Challenging across multiple Vargas</v>
      </c>
    </row>
    <row r="8" spans="1:12" ht="19.5" customHeight="1" x14ac:dyDescent="0.2">
      <c r="A8" s="632">
        <v>3</v>
      </c>
      <c r="B8" s="551" t="s">
        <v>3730</v>
      </c>
      <c r="C8" s="1010">
        <f ca="1">IFERROR(SCORE_AllHouses!$S$7,0)</f>
        <v>1</v>
      </c>
      <c r="D8" s="1010">
        <f ca="1">IFERROR(SCORE_H3_D9!$C$40,0)</f>
        <v>-2.5</v>
      </c>
      <c r="E8" s="1010">
        <f ca="1">IFERROR(SCORE_H3_D10!$C$40,0)</f>
        <v>-1.5</v>
      </c>
      <c r="F8" s="1011">
        <f t="shared" ca="1" si="0"/>
        <v>-0.55000000000000004</v>
      </c>
      <c r="G8" s="576" t="str">
        <f ca="1">IFERROR("H"&amp;CALC_D9_BhaveshMap!$F$7&amp;" "&amp;CALC_D9_BhaveshMap!$D$7,"—")</f>
        <v>H0 Venus</v>
      </c>
      <c r="H8" s="576" t="str">
        <f ca="1">IFERROR("H"&amp;CALC_D10_Dashamsha!$F$7&amp;" "&amp;CALC_D10_Dashamsha!$D$7,"—")</f>
        <v>H0 Mercury</v>
      </c>
      <c r="I8" s="612" t="str">
        <f t="shared" ca="1" si="1"/>
        <v>○ Vargas diverge — nuanced</v>
      </c>
      <c r="J8" s="554" t="str">
        <f t="shared" ca="1" si="2"/>
        <v>~ Mixed — D1 physical but D9/D10 may differ</v>
      </c>
    </row>
    <row r="9" spans="1:12" ht="19.5" customHeight="1" x14ac:dyDescent="0.2">
      <c r="A9" s="627">
        <v>4</v>
      </c>
      <c r="B9" s="546" t="s">
        <v>3731</v>
      </c>
      <c r="C9" s="1012">
        <f ca="1">IFERROR(SCORE_AllHouses!$S$8,0)</f>
        <v>1.25</v>
      </c>
      <c r="D9" s="1012">
        <f ca="1">IFERROR(SCORE_H4_D9!$C$40,0)</f>
        <v>-1.3</v>
      </c>
      <c r="E9" s="1012">
        <f ca="1">IFERROR(SCORE_H4_D10!$C$40,0)</f>
        <v>-1.5</v>
      </c>
      <c r="F9" s="1013">
        <f t="shared" ca="1" si="0"/>
        <v>-7.0000000000000007E-2</v>
      </c>
      <c r="G9" s="574" t="str">
        <f ca="1">IFERROR("H"&amp;CALC_D9_BhaveshMap!$F$8&amp;" "&amp;CALC_D9_BhaveshMap!$D$8,"—")</f>
        <v>H0 Mercury</v>
      </c>
      <c r="H9" s="574" t="str">
        <f ca="1">IFERROR("H"&amp;CALC_D10_Dashamsha!$F$8&amp;" "&amp;CALC_D10_Dashamsha!$D$8,"—")</f>
        <v>H0 Moon</v>
      </c>
      <c r="I9" s="610" t="str">
        <f t="shared" ca="1" si="1"/>
        <v>○ Vargas diverge — nuanced</v>
      </c>
      <c r="J9" s="550" t="str">
        <f t="shared" ca="1" si="2"/>
        <v>~ Mixed — D1 physical but D9/D10 may differ</v>
      </c>
    </row>
    <row r="10" spans="1:12" ht="19.5" customHeight="1" x14ac:dyDescent="0.2">
      <c r="A10" s="632">
        <v>5</v>
      </c>
      <c r="B10" s="551" t="s">
        <v>3732</v>
      </c>
      <c r="C10" s="1010">
        <f ca="1">IFERROR(SCORE_AllHouses!$S$9,0)</f>
        <v>-1.5</v>
      </c>
      <c r="D10" s="1010">
        <f ca="1">IFERROR(SCORE_H5_D9!$C$40,0)</f>
        <v>-1.5</v>
      </c>
      <c r="E10" s="1010">
        <f ca="1">IFERROR(SCORE_H5_D10!$C$40,0)</f>
        <v>-2</v>
      </c>
      <c r="F10" s="1011">
        <f t="shared" ca="1" si="0"/>
        <v>-1.6</v>
      </c>
      <c r="G10" s="576" t="str">
        <f ca="1">IFERROR("H"&amp;CALC_D9_BhaveshMap!$F$9&amp;" "&amp;CALC_D9_BhaveshMap!$D$9,"—")</f>
        <v>H0 Moon</v>
      </c>
      <c r="H10" s="576" t="str">
        <f ca="1">IFERROR("H"&amp;CALC_D10_Dashamsha!$F$9&amp;" "&amp;CALC_D10_Dashamsha!$D$9,"—")</f>
        <v>H0 Sun</v>
      </c>
      <c r="I10" s="612" t="str">
        <f t="shared" ca="1" si="1"/>
        <v>★ D1+D9 agree</v>
      </c>
      <c r="J10" s="554" t="str">
        <f t="shared" ca="1" si="2"/>
        <v>~ Mixed — D1 physical but D9/D10 may differ</v>
      </c>
    </row>
    <row r="11" spans="1:12" ht="19.5" customHeight="1" x14ac:dyDescent="0.2">
      <c r="A11" s="627">
        <v>6</v>
      </c>
      <c r="B11" s="546" t="s">
        <v>3205</v>
      </c>
      <c r="C11" s="1012">
        <f ca="1">IFERROR(SCORE_AllHouses!$S$10,0)</f>
        <v>2.25</v>
      </c>
      <c r="D11" s="1012">
        <f ca="1">IFERROR(SCORE_H6_D9!$C$40,0)</f>
        <v>-2</v>
      </c>
      <c r="E11" s="1012">
        <f ca="1">IFERROR(SCORE_H6_D10!$C$40,0)</f>
        <v>-1.5</v>
      </c>
      <c r="F11" s="1013">
        <f t="shared" ca="1" si="0"/>
        <v>0.23</v>
      </c>
      <c r="G11" s="574" t="str">
        <f ca="1">IFERROR("H"&amp;CALC_D9_BhaveshMap!$F$10&amp;" "&amp;CALC_D9_BhaveshMap!$D$10,"—")</f>
        <v>H0 Sun</v>
      </c>
      <c r="H11" s="574" t="str">
        <f ca="1">IFERROR("H"&amp;CALC_D10_Dashamsha!$F$10&amp;" "&amp;CALC_D10_Dashamsha!$D$10,"—")</f>
        <v>H0 Mercury</v>
      </c>
      <c r="I11" s="610" t="str">
        <f t="shared" ca="1" si="1"/>
        <v>○ Vargas diverge — nuanced</v>
      </c>
      <c r="J11" s="550" t="str">
        <f t="shared" ca="1" si="2"/>
        <v>~ Mixed — D1 physical but D9/D10 may differ</v>
      </c>
    </row>
    <row r="12" spans="1:12" ht="19.5" customHeight="1" x14ac:dyDescent="0.2">
      <c r="A12" s="632">
        <v>7</v>
      </c>
      <c r="B12" s="551" t="s">
        <v>3733</v>
      </c>
      <c r="C12" s="1010">
        <f ca="1">IFERROR(SCORE_AllHouses!$S$11,0)</f>
        <v>-4.25</v>
      </c>
      <c r="D12" s="1010">
        <f ca="1">IFERROR(SCORE_H7_D9!$C$40,0)</f>
        <v>-1.35</v>
      </c>
      <c r="E12" s="1010">
        <f ca="1">IFERROR(SCORE_H7_D10!$C$40,0)</f>
        <v>-2.4</v>
      </c>
      <c r="F12" s="1011">
        <f t="shared" ca="1" si="0"/>
        <v>-3.01</v>
      </c>
      <c r="G12" s="576" t="str">
        <f ca="1">IFERROR("H"&amp;CALC_D9_BhaveshMap!$F$11&amp;" "&amp;CALC_D9_BhaveshMap!$D$11,"—")</f>
        <v>H0 Mercury</v>
      </c>
      <c r="H12" s="576" t="str">
        <f ca="1">IFERROR("H"&amp;CALC_D10_Dashamsha!$F$11&amp;" "&amp;CALC_D10_Dashamsha!$D$11,"—")</f>
        <v>H0 Venus</v>
      </c>
      <c r="I12" s="612" t="str">
        <f t="shared" ca="1" si="1"/>
        <v>★★ All 3 agree — weak</v>
      </c>
      <c r="J12" s="554" t="str">
        <f t="shared" ca="1" si="2"/>
        <v>● Challenging across multiple Vargas</v>
      </c>
    </row>
    <row r="13" spans="1:12" ht="19.5" customHeight="1" x14ac:dyDescent="0.2">
      <c r="A13" s="627">
        <v>8</v>
      </c>
      <c r="B13" s="546" t="s">
        <v>3734</v>
      </c>
      <c r="C13" s="1012">
        <f ca="1">IFERROR(SCORE_AllHouses!$S$12,0)</f>
        <v>-2</v>
      </c>
      <c r="D13" s="1012">
        <f ca="1">IFERROR(SCORE_H8_D9!$C$40,0)</f>
        <v>-2.5</v>
      </c>
      <c r="E13" s="1012">
        <f ca="1">IFERROR(SCORE_H8_D10!$C$40,0)</f>
        <v>-2</v>
      </c>
      <c r="F13" s="1013">
        <f t="shared" ca="1" si="0"/>
        <v>-2.15</v>
      </c>
      <c r="G13" s="574" t="str">
        <f ca="1">IFERROR("H"&amp;CALC_D9_BhaveshMap!$F$12&amp;" "&amp;CALC_D9_BhaveshMap!$D$12,"—")</f>
        <v>H0 Venus</v>
      </c>
      <c r="H13" s="574" t="str">
        <f ca="1">IFERROR("H"&amp;CALC_D10_Dashamsha!$F$12&amp;" "&amp;CALC_D10_Dashamsha!$D$12,"—")</f>
        <v>H0 Mars</v>
      </c>
      <c r="I13" s="610" t="str">
        <f t="shared" ca="1" si="1"/>
        <v>★ D1+D9 agree</v>
      </c>
      <c r="J13" s="550" t="str">
        <f t="shared" ca="1" si="2"/>
        <v>● Challenging across multiple Vargas</v>
      </c>
    </row>
    <row r="14" spans="1:12" ht="19.5" customHeight="1" x14ac:dyDescent="0.2">
      <c r="A14" s="632">
        <v>9</v>
      </c>
      <c r="B14" s="551" t="s">
        <v>3735</v>
      </c>
      <c r="C14" s="1010">
        <f ca="1">IFERROR(SCORE_AllHouses!$S$13,0)</f>
        <v>-2.75</v>
      </c>
      <c r="D14" s="1010">
        <f ca="1">IFERROR(SCORE_H9_D9!$C$40,0)</f>
        <v>-1.8</v>
      </c>
      <c r="E14" s="1010">
        <f ca="1">IFERROR(SCORE_H9_D10!$C$40,0)</f>
        <v>-1.4</v>
      </c>
      <c r="F14" s="1011">
        <f t="shared" ca="1" si="0"/>
        <v>-2.2000000000000002</v>
      </c>
      <c r="G14" s="576" t="str">
        <f ca="1">IFERROR("H"&amp;CALC_D9_BhaveshMap!$F$13&amp;" "&amp;CALC_D9_BhaveshMap!$D$13,"—")</f>
        <v>H0 Mars</v>
      </c>
      <c r="H14" s="576" t="str">
        <f ca="1">IFERROR("H"&amp;CALC_D10_Dashamsha!$F$13&amp;" "&amp;CALC_D10_Dashamsha!$D$13,"—")</f>
        <v>H0 Jupiter</v>
      </c>
      <c r="I14" s="612" t="str">
        <f t="shared" ca="1" si="1"/>
        <v>★★ All 3 agree — weak</v>
      </c>
      <c r="J14" s="554" t="str">
        <f t="shared" ca="1" si="2"/>
        <v>● Challenging across multiple Vargas</v>
      </c>
    </row>
    <row r="15" spans="1:12" ht="19.5" customHeight="1" x14ac:dyDescent="0.2">
      <c r="A15" s="627">
        <v>10</v>
      </c>
      <c r="B15" s="546" t="s">
        <v>3197</v>
      </c>
      <c r="C15" s="1012">
        <f ca="1">IFERROR(SCORE_AllHouses!$S$14,0)</f>
        <v>-1.5</v>
      </c>
      <c r="D15" s="1012">
        <f ca="1">IFERROR(SCORE_H10_D9!$C$40,0)</f>
        <v>-1.5</v>
      </c>
      <c r="E15" s="1012">
        <f ca="1">IFERROR(SCORE_H10_D10!$C$40,0)</f>
        <v>-2.75</v>
      </c>
      <c r="F15" s="1013">
        <f t="shared" ca="1" si="0"/>
        <v>-1.75</v>
      </c>
      <c r="G15" s="574" t="str">
        <f ca="1">IFERROR("H"&amp;CALC_D9_BhaveshMap!$F$14&amp;" "&amp;CALC_D9_BhaveshMap!$D$14,"—")</f>
        <v>H0 Jupiter</v>
      </c>
      <c r="H15" s="574" t="str">
        <f ca="1">IFERROR("H"&amp;CALC_D10_Dashamsha!$F$14&amp;" "&amp;CALC_D10_Dashamsha!$D$14,"—")</f>
        <v>H0 Saturn</v>
      </c>
      <c r="I15" s="610" t="str">
        <f t="shared" ca="1" si="1"/>
        <v>★ D1+D9 agree</v>
      </c>
      <c r="J15" s="550" t="str">
        <f t="shared" ca="1" si="2"/>
        <v>~ Mixed — D1 physical but D9/D10 may differ</v>
      </c>
    </row>
    <row r="16" spans="1:12" ht="19.5" customHeight="1" x14ac:dyDescent="0.2">
      <c r="A16" s="632">
        <v>11</v>
      </c>
      <c r="B16" s="551" t="s">
        <v>3736</v>
      </c>
      <c r="C16" s="1010">
        <f ca="1">IFERROR(SCORE_AllHouses!$S$15,0)</f>
        <v>-1.75</v>
      </c>
      <c r="D16" s="1010">
        <f ca="1">IFERROR(SCORE_H11_D9!$C$40,0)</f>
        <v>-3</v>
      </c>
      <c r="E16" s="1010">
        <f ca="1">IFERROR(SCORE_H11_D10!$C$40,0)</f>
        <v>-3</v>
      </c>
      <c r="F16" s="1011">
        <f t="shared" ca="1" si="0"/>
        <v>-2.38</v>
      </c>
      <c r="G16" s="576" t="str">
        <f ca="1">IFERROR("H"&amp;CALC_D9_BhaveshMap!$F$15&amp;" "&amp;CALC_D9_BhaveshMap!$D$15,"—")</f>
        <v>H0 Saturn</v>
      </c>
      <c r="H16" s="576" t="str">
        <f ca="1">IFERROR("H"&amp;CALC_D10_Dashamsha!$F$15&amp;" "&amp;CALC_D10_Dashamsha!$D$15,"—")</f>
        <v>H0 Saturn</v>
      </c>
      <c r="I16" s="612" t="str">
        <f t="shared" ca="1" si="1"/>
        <v>★ D1+D9 agree</v>
      </c>
      <c r="J16" s="554" t="str">
        <f t="shared" ca="1" si="2"/>
        <v>● Challenging across multiple Vargas</v>
      </c>
    </row>
    <row r="17" spans="1:10" ht="19.5" customHeight="1" x14ac:dyDescent="0.2">
      <c r="A17" s="627">
        <v>12</v>
      </c>
      <c r="B17" s="546" t="s">
        <v>3737</v>
      </c>
      <c r="C17" s="1012">
        <f ca="1">IFERROR(SCORE_AllHouses!$S$16,0)</f>
        <v>-1</v>
      </c>
      <c r="D17" s="1012">
        <f ca="1">IFERROR(SCORE_H12_D9!$C$40,0)</f>
        <v>-3</v>
      </c>
      <c r="E17" s="1012">
        <f ca="1">IFERROR(SCORE_H12_D10!$C$40,0)</f>
        <v>-1.5</v>
      </c>
      <c r="F17" s="1013">
        <f t="shared" ca="1" si="0"/>
        <v>-1.7</v>
      </c>
      <c r="G17" s="574" t="str">
        <f ca="1">IFERROR("H"&amp;CALC_D9_BhaveshMap!$F$16&amp;" "&amp;CALC_D9_BhaveshMap!$D$16,"—")</f>
        <v>H0 Saturn</v>
      </c>
      <c r="H17" s="574" t="str">
        <f ca="1">IFERROR("H"&amp;CALC_D10_Dashamsha!$F$16&amp;" "&amp;CALC_D10_Dashamsha!$D$16,"—")</f>
        <v>H0 Jupiter</v>
      </c>
      <c r="I17" s="610" t="str">
        <f t="shared" ca="1" si="1"/>
        <v>★ D1+D9 agree</v>
      </c>
      <c r="J17" s="550" t="str">
        <f t="shared" ca="1" si="2"/>
        <v>~ Mixed — D1 physical but D9/D10 may differ</v>
      </c>
    </row>
  </sheetData>
  <mergeCells count="3">
    <mergeCell ref="A1:J1"/>
    <mergeCell ref="A2:J2"/>
    <mergeCell ref="A4:J4"/>
  </mergeCells>
  <pageMargins left="0.75" right="0.75" top="1" bottom="1" header="0.511811023622047" footer="0.511811023622047"/>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6A1B9A"/>
  </sheetPr>
  <dimension ref="A1:S13"/>
  <sheetViews>
    <sheetView zoomScaleNormal="100" workbookViewId="0"/>
  </sheetViews>
  <sheetFormatPr defaultColWidth="8.609375" defaultRowHeight="15" x14ac:dyDescent="0.2"/>
  <cols>
    <col min="1" max="2" width="11.97265625" customWidth="1"/>
    <col min="3" max="3" width="9.953125" customWidth="1"/>
    <col min="4" max="6" width="11.97265625" customWidth="1"/>
    <col min="7" max="7" width="13.98828125" customWidth="1"/>
    <col min="8" max="8" width="16.0078125" customWidth="1"/>
    <col min="9" max="9" width="9.953125" customWidth="1"/>
    <col min="10" max="10" width="11.97265625" customWidth="1"/>
    <col min="11" max="11" width="13.98828125" customWidth="1"/>
  </cols>
  <sheetData>
    <row r="1" spans="1:19" ht="21.75" customHeight="1" x14ac:dyDescent="0.2">
      <c r="A1" s="1530" t="s">
        <v>4426</v>
      </c>
      <c r="B1" s="1530"/>
      <c r="C1" s="1530"/>
      <c r="D1" s="1530"/>
      <c r="E1" s="1530"/>
      <c r="F1" s="1530"/>
      <c r="G1" s="1530"/>
      <c r="H1" s="1530"/>
      <c r="I1" s="1530"/>
      <c r="J1" s="1530"/>
      <c r="K1" s="1530"/>
      <c r="L1" s="1530"/>
      <c r="M1" s="641" t="s">
        <v>2214</v>
      </c>
    </row>
    <row r="2" spans="1:19" ht="48" customHeight="1" x14ac:dyDescent="0.2">
      <c r="A2" s="1584" t="s">
        <v>4427</v>
      </c>
      <c r="B2" s="1584"/>
      <c r="C2" s="1584"/>
      <c r="D2" s="1584"/>
      <c r="E2" s="1584"/>
      <c r="F2" s="1584"/>
      <c r="G2" s="1584"/>
      <c r="H2" s="1584"/>
      <c r="I2" s="1584"/>
      <c r="J2" s="1584"/>
      <c r="K2" s="1584"/>
      <c r="L2" s="1584"/>
    </row>
    <row r="4" spans="1:19" ht="15" customHeight="1" x14ac:dyDescent="0.2">
      <c r="A4" s="545" t="s">
        <v>319</v>
      </c>
      <c r="B4" s="545" t="s">
        <v>4428</v>
      </c>
      <c r="C4" s="545" t="s">
        <v>4429</v>
      </c>
      <c r="D4" s="545" t="s">
        <v>4430</v>
      </c>
      <c r="E4" s="545" t="s">
        <v>4431</v>
      </c>
      <c r="F4" s="545" t="s">
        <v>4432</v>
      </c>
      <c r="G4" s="545" t="s">
        <v>4433</v>
      </c>
      <c r="H4" s="545" t="s">
        <v>4434</v>
      </c>
      <c r="I4" s="545" t="s">
        <v>4435</v>
      </c>
      <c r="J4" s="545" t="s">
        <v>4436</v>
      </c>
      <c r="K4" s="545" t="s">
        <v>4437</v>
      </c>
      <c r="L4" s="1014" t="s">
        <v>4438</v>
      </c>
      <c r="M4" s="883" t="s">
        <v>4439</v>
      </c>
      <c r="N4" s="883" t="s">
        <v>4440</v>
      </c>
      <c r="O4" s="883" t="s">
        <v>4441</v>
      </c>
      <c r="P4" s="883" t="s">
        <v>4442</v>
      </c>
      <c r="Q4" s="883" t="s">
        <v>4443</v>
      </c>
      <c r="R4" s="883" t="s">
        <v>4444</v>
      </c>
      <c r="S4" s="883" t="s">
        <v>4445</v>
      </c>
    </row>
    <row r="5" spans="1:19" ht="18" customHeight="1" x14ac:dyDescent="0.2">
      <c r="A5" s="643" t="s">
        <v>266</v>
      </c>
      <c r="B5" s="1015">
        <f>IFERROR(IF(OR(CALC_PlanetPositions!$K$7="Exaltation",CALC_PlanetPositions!$K$7="Deep exalt",CALC_PlanetPositions!$K$7="Own sign",CALC_PlanetPositions!$K$7="Mooltrikona"),3.5,IF(OR(CALC_PlanetPositions!$K$7="Friendly sign",CALC_PlanetPositions!$K$7="Great friend"),3.5*0.625,IF(CALC_PlanetPositions!$K$7="Neutral sign",3.5*0.5,IF(OR(CALC_PlanetPositions!$K$7="Enemy sign",CALC_PlanetPositions!$K$7="Debilitation",CALC_PlanetPositions!$K$7="Deep debil"),3.5*0.25,3.5*0.375)))),0)</f>
        <v>2.1875</v>
      </c>
      <c r="C5" s="1015">
        <f>IFERROR(IF(CALC_DivisionalMap!$J$5=INDEX(REF_Dignity!$C$4:$C$12,MATCH("Sun",REF_Dignity!$A$4:$A$12,0)),1,IF(ISNUMBER(SEARCH(CALC_DivisionalMap!$J$5,INDEX(REF_Dignity!$J$4:$J$12,MATCH("Sun",REF_Dignity!$A$4:$A$12,0)))),1,IF(IFERROR(INDEX(REF_NaisargikaFriendship!$C$5:$I$11,MATCH("Sun",REF_NaisargikaFriendship!$A$5:$A$11,0),MATCH(INDEX(REF_Zodiac!$D$7:$O$7,MATCH(CALC_DivisionalMap!$J$5,REF_Zodiac!$D$3:$O$3,0)),REF_NaisargikaFriendship!$C$4:$I$4,0)),"Neutral")="Friend",0.625,IF(IFERROR(INDEX(REF_NaisargikaFriendship!$C$5:$I$11,MATCH("Sun",REF_NaisargikaFriendship!$A$5:$A$11,0),MATCH(INDEX(REF_Zodiac!$D$7:$O$7,MATCH(CALC_DivisionalMap!$J$5,REF_Zodiac!$D$3:$O$3,0)),REF_NaisargikaFriendship!$C$4:$I$4,0)),"Neutral")="Enemy",0.25,IF(CALC_DivisionalMap!$J$5=INDEX(REF_Dignity!$F$4:$F$12,MATCH("Sun",REF_Dignity!$A$4:$A$12,0)),0.125,0.375))))),0)</f>
        <v>0.625</v>
      </c>
      <c r="D5" s="1015">
        <f>IFERROR(IF(CALC_DivisionalMap!$F$5=INDEX(REF_Dignity!$C$4:$C$12,MATCH("Sun",REF_Dignity!$A$4:$A$12,0)),1,IF(ISNUMBER(SEARCH(CALC_DivisionalMap!$F$5,INDEX(REF_Dignity!$J$4:$J$12,MATCH("Sun",REF_Dignity!$A$4:$A$12,0)))),1,IF(IFERROR(INDEX(REF_NaisargikaFriendship!$C$5:$I$11,MATCH("Sun",REF_NaisargikaFriendship!$A$5:$A$11,0),MATCH(INDEX(REF_Zodiac!$D$7:$O$7,MATCH(CALC_DivisionalMap!$F$5,REF_Zodiac!$D$3:$O$3,0)),REF_NaisargikaFriendship!$C$4:$I$4,0)),"Neutral")="Friend",0.625,IF(IFERROR(INDEX(REF_NaisargikaFriendship!$C$5:$I$11,MATCH("Sun",REF_NaisargikaFriendship!$A$5:$A$11,0),MATCH(INDEX(REF_Zodiac!$D$7:$O$7,MATCH(CALC_DivisionalMap!$F$5,REF_Zodiac!$D$3:$O$3,0)),REF_NaisargikaFriendship!$C$4:$I$4,0)),"Neutral")="Enemy",0.25,IF(CALC_DivisionalMap!$F$5=INDEX(REF_Dignity!$F$4:$F$12,MATCH("Sun",REF_Dignity!$A$4:$A$12,0)),0.125,0.375))))),0)</f>
        <v>0.625</v>
      </c>
      <c r="E5" s="1015">
        <f>IFERROR(IF(CALC_DivisionalMap!$G$5=INDEX(REF_Dignity!$C$4:$C$12,MATCH("Sun",REF_Dignity!$A$4:$A$12,0)),1,IF(ISNUMBER(SEARCH(CALC_DivisionalMap!$G$5,INDEX(REF_Dignity!$J$4:$J$12,MATCH("Sun",REF_Dignity!$A$4:$A$12,0)))),1,IF(IFERROR(INDEX(REF_NaisargikaFriendship!$C$5:$I$11,MATCH("Sun",REF_NaisargikaFriendship!$A$5:$A$11,0),MATCH(INDEX(REF_Zodiac!$D$7:$O$7,MATCH(CALC_DivisionalMap!$G$5,REF_Zodiac!$D$3:$O$3,0)),REF_NaisargikaFriendship!$C$4:$I$4,0)),"Neutral")="Friend",0.625,IF(IFERROR(INDEX(REF_NaisargikaFriendship!$C$5:$I$11,MATCH("Sun",REF_NaisargikaFriendship!$A$5:$A$11,0),MATCH(INDEX(REF_Zodiac!$D$7:$O$7,MATCH(CALC_DivisionalMap!$G$5,REF_Zodiac!$D$3:$O$3,0)),REF_NaisargikaFriendship!$C$4:$I$4,0)),"Neutral")="Enemy",0.25,IF(CALC_DivisionalMap!$G$5=INDEX(REF_Dignity!$F$4:$F$12,MATCH("Sun",REF_Dignity!$A$4:$A$12,0)),0.125,0.375))))),0)</f>
        <v>0.625</v>
      </c>
      <c r="F5" s="1015">
        <f>IFERROR(IF(CALC_DivisionalMap!$D$5=INDEX(REF_Dignity!$C$4:$C$12,MATCH("Sun",REF_Dignity!$A$4:$A$12,0)),1,IF(ISNUMBER(SEARCH(CALC_DivisionalMap!$D$5,INDEX(REF_Dignity!$J$4:$J$12,MATCH("Sun",REF_Dignity!$A$4:$A$12,0)))),1,IF(IFERROR(INDEX(REF_NaisargikaFriendship!$C$5:$I$11,MATCH("Sun",REF_NaisargikaFriendship!$A$5:$A$11,0),MATCH(INDEX(REF_Zodiac!$D$7:$O$7,MATCH(CALC_DivisionalMap!$D$5,REF_Zodiac!$D$3:$O$3,0)),REF_NaisargikaFriendship!$C$4:$I$4,0)),"Neutral")="Friend",0.625,IF(IFERROR(INDEX(REF_NaisargikaFriendship!$C$5:$I$11,MATCH("Sun",REF_NaisargikaFriendship!$A$5:$A$11,0),MATCH(INDEX(REF_Zodiac!$D$7:$O$7,MATCH(CALC_DivisionalMap!$D$5,REF_Zodiac!$D$3:$O$3,0)),REF_NaisargikaFriendship!$C$4:$I$4,0)),"Neutral")="Enemy",0.25,IF(CALC_DivisionalMap!$D$5=INDEX(REF_Dignity!$F$4:$F$12,MATCH("Sun",REF_Dignity!$A$4:$A$12,0)),0.125,0.375))))),0)</f>
        <v>0.625</v>
      </c>
      <c r="G5" s="1015">
        <f>IFERROR(IF(CALC_DivisionalMap!$E$5=INDEX(REF_Dignity!$C$4:$C$12,MATCH("Sun",REF_Dignity!$A$4:$A$12,0)),1,IF(ISNUMBER(SEARCH(CALC_DivisionalMap!$E$5,INDEX(REF_Dignity!$J$4:$J$12,MATCH("Sun",REF_Dignity!$A$4:$A$12,0)))),1,IF(IFERROR(INDEX(REF_NaisargikaFriendship!$C$5:$I$11,MATCH("Sun",REF_NaisargikaFriendship!$A$5:$A$11,0),MATCH(INDEX(REF_Zodiac!$D$7:$O$7,MATCH(CALC_DivisionalMap!$E$5,REF_Zodiac!$D$3:$O$3,0)),REF_NaisargikaFriendship!$C$4:$I$4,0)),"Neutral")="Friend",0.625,IF(IFERROR(INDEX(REF_NaisargikaFriendship!$C$5:$I$11,MATCH("Sun",REF_NaisargikaFriendship!$A$5:$A$11,0),MATCH(INDEX(REF_Zodiac!$D$7:$O$7,MATCH(CALC_DivisionalMap!$E$5,REF_Zodiac!$D$3:$O$3,0)),REF_NaisargikaFriendship!$C$4:$I$4,0)),"Neutral")="Enemy",0.25,IF(CALC_DivisionalMap!$E$5=INDEX(REF_Dignity!$F$4:$F$12,MATCH("Sun",REF_Dignity!$A$4:$A$12,0)),0.125,0.375))))),0)</f>
        <v>0.25</v>
      </c>
      <c r="H5" s="1015">
        <f>IFERROR(IF(CALC_DivisionalMap!$H$5=INDEX(REF_Dignity!$C$4:$C$12,MATCH("Sun",REF_Dignity!$A$4:$A$12,0)),1,IF(ISNUMBER(SEARCH(CALC_DivisionalMap!$H$5,INDEX(REF_Dignity!$J$4:$J$12,MATCH("Sun",REF_Dignity!$A$4:$A$12,0)))),1,IF(IFERROR(INDEX(REF_NaisargikaFriendship!$C$5:$I$11,MATCH("Sun",REF_NaisargikaFriendship!$A$5:$A$11,0),MATCH(INDEX(REF_Zodiac!$D$7:$O$7,MATCH(CALC_DivisionalMap!$H$5,REF_Zodiac!$D$3:$O$3,0)),REF_NaisargikaFriendship!$C$4:$I$4,0)),"Neutral")="Friend",0.625,IF(IFERROR(INDEX(REF_NaisargikaFriendship!$C$5:$I$11,MATCH("Sun",REF_NaisargikaFriendship!$A$5:$A$11,0),MATCH(INDEX(REF_Zodiac!$D$7:$O$7,MATCH(CALC_DivisionalMap!$H$5,REF_Zodiac!$D$3:$O$3,0)),REF_NaisargikaFriendship!$C$4:$I$4,0)),"Neutral")="Enemy",0.25,IF(CALC_DivisionalMap!$H$5=INDEX(REF_Dignity!$F$4:$F$12,MATCH("Sun",REF_Dignity!$A$4:$A$12,0)),0.125,0.375))))),0)</f>
        <v>0.625</v>
      </c>
      <c r="I5" s="1016">
        <f t="shared" ref="I5:I11" si="0">IFERROR(SUM(B5:H5,L5:S5),0)</f>
        <v>8.8125</v>
      </c>
      <c r="J5" s="1017">
        <f t="shared" ref="J5:J11" si="1">IFERROR(ROUND(I5/17.5*20,2),0)</f>
        <v>10.07</v>
      </c>
      <c r="K5" s="965" t="str">
        <f t="shared" ref="K5:K11" si="2">IFERROR(IF(J5&gt;=16,"★★ Excellent",IF(J5&gt;=12,"★ Good",IF(J5&gt;=8,"~ Average",IF(J5&gt;=4,"⚠ Weak","✗ Very weak")))),"—")</f>
        <v>~ Average</v>
      </c>
      <c r="L5">
        <f>IFERROR(IF(CALC_DivisionalMap!$L$5=INDEX(REF_Dignity!$C$4:$C$12,MATCH("Sun",REF_Dignity!$A$4:$A$12,0)),1,IF(ISNUMBER(SEARCH(CALC_DivisionalMap!$L$5,INDEX(REF_Dignity!$J$4:$J$12,MATCH("Sun",REF_Dignity!$A$4:$A$12,0)))),1,IF(IFERROR(INDEX(REF_NaisargikaFriendship!$C$5:$I$11,MATCH("Sun",REF_NaisargikaFriendship!$A$5:$A$11,0),MATCH(INDEX(REF_Zodiac!$D$7:$O$7,MATCH(CALC_DivisionalMap!$L$5,REF_Zodiac!$D$3:$O$3,0)),REF_NaisargikaFriendship!$C$4:$I$4,0)),"Neutral")="Friend",0.625,IF(IFERROR(INDEX(REF_NaisargikaFriendship!$C$5:$I$11,MATCH("Sun",REF_NaisargikaFriendship!$A$5:$A$11,0),MATCH(INDEX(REF_Zodiac!$D$7:$O$7,MATCH(CALC_DivisionalMap!$L$5,REF_Zodiac!$D$3:$O$3,0)),REF_NaisargikaFriendship!$C$4:$I$4,0)),"Neutral")="Enemy",0.25,IF(CALC_DivisionalMap!$L$5=INDEX(REF_Dignity!$F$4:$F$12,MATCH("Sun",REF_Dignity!$A$4:$A$12,0)),0.125,0.375))))),0)</f>
        <v>0.625</v>
      </c>
      <c r="M5">
        <f>IFERROR(IF(CALC_DivisionalMap!$M$5=INDEX(REF_Dignity!$C$4:$C$12,MATCH("Sun",REF_Dignity!$A$4:$A$12,0)),1,IF(ISNUMBER(SEARCH(CALC_DivisionalMap!$M$5,INDEX(REF_Dignity!$J$4:$J$12,MATCH("Sun",REF_Dignity!$A$4:$A$12,0)))),1,IF(IFERROR(INDEX(REF_NaisargikaFriendship!$C$5:$I$11,MATCH("Sun",REF_NaisargikaFriendship!$A$5:$A$11,0),MATCH(INDEX(REF_Zodiac!$D$7:$O$7,MATCH(CALC_DivisionalMap!$M$5,REF_Zodiac!$D$3:$O$3,0)),REF_NaisargikaFriendship!$C$4:$I$4,0)),"Neutral")="Friend",0.625,IF(IFERROR(INDEX(REF_NaisargikaFriendship!$C$5:$I$11,MATCH("Sun",REF_NaisargikaFriendship!$A$5:$A$11,0),MATCH(INDEX(REF_Zodiac!$D$7:$O$7,MATCH(CALC_DivisionalMap!$M$5,REF_Zodiac!$D$3:$O$3,0)),REF_NaisargikaFriendship!$C$4:$I$4,0)),"Neutral")="Enemy",0.25,IF(CALC_DivisionalMap!$M$5=INDEX(REF_Dignity!$F$4:$F$12,MATCH("Sun",REF_Dignity!$A$4:$A$12,0)),0.125,0.375))))),0)</f>
        <v>0.25</v>
      </c>
      <c r="N5">
        <f>IFERROR(IF(CALC_DivisionalMap!$N$5=INDEX(REF_Dignity!$C$4:$C$12,MATCH("Sun",REF_Dignity!$A$4:$A$12,0)),1,IF(ISNUMBER(SEARCH(CALC_DivisionalMap!$N$5,INDEX(REF_Dignity!$J$4:$J$12,MATCH("Sun",REF_Dignity!$A$4:$A$12,0)))),1,IF(IFERROR(INDEX(REF_NaisargikaFriendship!$C$5:$I$11,MATCH("Sun",REF_NaisargikaFriendship!$A$5:$A$11,0),MATCH(INDEX(REF_Zodiac!$D$7:$O$7,MATCH(CALC_DivisionalMap!$N$5,REF_Zodiac!$D$3:$O$3,0)),REF_NaisargikaFriendship!$C$4:$I$4,0)),"Neutral")="Friend",0.625,IF(IFERROR(INDEX(REF_NaisargikaFriendship!$C$5:$I$11,MATCH("Sun",REF_NaisargikaFriendship!$A$5:$A$11,0),MATCH(INDEX(REF_Zodiac!$D$7:$O$7,MATCH(CALC_DivisionalMap!$N$5,REF_Zodiac!$D$3:$O$3,0)),REF_NaisargikaFriendship!$C$4:$I$4,0)),"Neutral")="Enemy",0.25,IF(CALC_DivisionalMap!$N$5=INDEX(REF_Dignity!$F$4:$F$12,MATCH("Sun",REF_Dignity!$A$4:$A$12,0)),0.125,0.375))))),0)</f>
        <v>0.25</v>
      </c>
      <c r="O5">
        <f>IFERROR(IF(CALC_DivisionalMap!$O$5=INDEX(REF_Dignity!$C$4:$C$12,MATCH("Sun",REF_Dignity!$A$4:$A$12,0)),1,IF(ISNUMBER(SEARCH(CALC_DivisionalMap!$O$5,INDEX(REF_Dignity!$J$4:$J$12,MATCH("Sun",REF_Dignity!$A$4:$A$12,0)))),1,IF(IFERROR(INDEX(REF_NaisargikaFriendship!$C$5:$I$11,MATCH("Sun",REF_NaisargikaFriendship!$A$5:$A$11,0),MATCH(INDEX(REF_Zodiac!$D$7:$O$7,MATCH(CALC_DivisionalMap!$O$5,REF_Zodiac!$D$3:$O$3,0)),REF_NaisargikaFriendship!$C$4:$I$4,0)),"Neutral")="Friend",0.625,IF(IFERROR(INDEX(REF_NaisargikaFriendship!$C$5:$I$11,MATCH("Sun",REF_NaisargikaFriendship!$A$5:$A$11,0),MATCH(INDEX(REF_Zodiac!$D$7:$O$7,MATCH(CALC_DivisionalMap!$O$5,REF_Zodiac!$D$3:$O$3,0)),REF_NaisargikaFriendship!$C$4:$I$4,0)),"Neutral")="Enemy",0.25,IF(CALC_DivisionalMap!$O$5=INDEX(REF_Dignity!$F$4:$F$12,MATCH("Sun",REF_Dignity!$A$4:$A$12,0)),0.125,0.375))))),0)</f>
        <v>0.25</v>
      </c>
      <c r="P5">
        <f>IFERROR(IF(CALC_DivisionalMap!$P$5=INDEX(REF_Dignity!$C$4:$C$12,MATCH("Sun",REF_Dignity!$A$4:$A$12,0)),1,IF(ISNUMBER(SEARCH(CALC_DivisionalMap!$P$5,INDEX(REF_Dignity!$J$4:$J$12,MATCH("Sun",REF_Dignity!$A$4:$A$12,0)))),1,IF(IFERROR(INDEX(REF_NaisargikaFriendship!$C$5:$I$11,MATCH("Sun",REF_NaisargikaFriendship!$A$5:$A$11,0),MATCH(INDEX(REF_Zodiac!$D$7:$O$7,MATCH(CALC_DivisionalMap!$P$5,REF_Zodiac!$D$3:$O$3,0)),REF_NaisargikaFriendship!$C$4:$I$4,0)),"Neutral")="Friend",0.625,IF(IFERROR(INDEX(REF_NaisargikaFriendship!$C$5:$I$11,MATCH("Sun",REF_NaisargikaFriendship!$A$5:$A$11,0),MATCH(INDEX(REF_Zodiac!$D$7:$O$7,MATCH(CALC_DivisionalMap!$P$5,REF_Zodiac!$D$3:$O$3,0)),REF_NaisargikaFriendship!$C$4:$I$4,0)),"Neutral")="Enemy",0.25,IF(CALC_DivisionalMap!$P$5=INDEX(REF_Dignity!$F$4:$F$12,MATCH("Sun",REF_Dignity!$A$4:$A$12,0)),0.125,0.375))))),0)</f>
        <v>0.25</v>
      </c>
      <c r="Q5">
        <f>IFERROR(IF(CALC_DivisionalMap!$Q$5=INDEX(REF_Dignity!$C$4:$C$12,MATCH("Sun",REF_Dignity!$A$4:$A$12,0)),1,IF(ISNUMBER(SEARCH(CALC_DivisionalMap!$Q$5,INDEX(REF_Dignity!$J$4:$J$12,MATCH("Sun",REF_Dignity!$A$4:$A$12,0)))),1,IF(IFERROR(INDEX(REF_NaisargikaFriendship!$C$5:$I$11,MATCH("Sun",REF_NaisargikaFriendship!$A$5:$A$11,0),MATCH(INDEX(REF_Zodiac!$D$7:$O$7,MATCH(CALC_DivisionalMap!$Q$5,REF_Zodiac!$D$3:$O$3,0)),REF_NaisargikaFriendship!$C$4:$I$4,0)),"Neutral")="Friend",0.625,IF(IFERROR(INDEX(REF_NaisargikaFriendship!$C$5:$I$11,MATCH("Sun",REF_NaisargikaFriendship!$A$5:$A$11,0),MATCH(INDEX(REF_Zodiac!$D$7:$O$7,MATCH(CALC_DivisionalMap!$Q$5,REF_Zodiac!$D$3:$O$3,0)),REF_NaisargikaFriendship!$C$4:$I$4,0)),"Neutral")="Enemy",0.25,IF(CALC_DivisionalMap!$Q$5=INDEX(REF_Dignity!$F$4:$F$12,MATCH("Sun",REF_Dignity!$A$4:$A$12,0)),0.125,0.375))))),0)</f>
        <v>0.625</v>
      </c>
      <c r="R5">
        <f>IFERROR(IF(CALC_DivisionalMap!$R$5=INDEX(REF_Dignity!$C$4:$C$12,MATCH("Sun",REF_Dignity!$A$4:$A$12,0)),1,IF(ISNUMBER(SEARCH(CALC_DivisionalMap!$R$5,INDEX(REF_Dignity!$J$4:$J$12,MATCH("Sun",REF_Dignity!$A$4:$A$12,0)))),1,IF(IFERROR(INDEX(REF_NaisargikaFriendship!$C$5:$I$11,MATCH("Sun",REF_NaisargikaFriendship!$A$5:$A$11,0),MATCH(INDEX(REF_Zodiac!$D$7:$O$7,MATCH(CALC_DivisionalMap!$R$5,REF_Zodiac!$D$3:$O$3,0)),REF_NaisargikaFriendship!$C$4:$I$4,0)),"Neutral")="Friend",0.625,IF(IFERROR(INDEX(REF_NaisargikaFriendship!$C$5:$I$11,MATCH("Sun",REF_NaisargikaFriendship!$A$5:$A$11,0),MATCH(INDEX(REF_Zodiac!$D$7:$O$7,MATCH(CALC_DivisionalMap!$R$5,REF_Zodiac!$D$3:$O$3,0)),REF_NaisargikaFriendship!$C$4:$I$4,0)),"Neutral")="Enemy",0.25,IF(CALC_DivisionalMap!$R$5=INDEX(REF_Dignity!$F$4:$F$12,MATCH("Sun",REF_Dignity!$A$4:$A$12,0)),0.125,0.375))))),0)</f>
        <v>0.625</v>
      </c>
      <c r="S5">
        <f>IFERROR(IF(CALC_DivisionalMap!$S$5=INDEX(REF_Dignity!$C$4:$C$12,MATCH("Sun",REF_Dignity!$A$4:$A$12,0)),1,IF(ISNUMBER(SEARCH(CALC_DivisionalMap!$S$5,INDEX(REF_Dignity!$J$4:$J$12,MATCH("Sun",REF_Dignity!$A$4:$A$12,0)))),1,IF(IFERROR(INDEX(REF_NaisargikaFriendship!$C$5:$I$11,MATCH("Sun",REF_NaisargikaFriendship!$A$5:$A$11,0),MATCH(INDEX(REF_Zodiac!$D$7:$O$7,MATCH(CALC_DivisionalMap!$S$5,REF_Zodiac!$D$3:$O$3,0)),REF_NaisargikaFriendship!$C$4:$I$4,0)),"Neutral")="Friend",0.625,IF(IFERROR(INDEX(REF_NaisargikaFriendship!$C$5:$I$11,MATCH("Sun",REF_NaisargikaFriendship!$A$5:$A$11,0),MATCH(INDEX(REF_Zodiac!$D$7:$O$7,MATCH(CALC_DivisionalMap!$S$5,REF_Zodiac!$D$3:$O$3,0)),REF_NaisargikaFriendship!$C$4:$I$4,0)),"Neutral")="Enemy",0.25,IF(CALC_DivisionalMap!$S$5=INDEX(REF_Dignity!$F$4:$F$12,MATCH("Sun",REF_Dignity!$A$4:$A$12,0)),0.125,0.375))))),0)</f>
        <v>0.375</v>
      </c>
    </row>
    <row r="6" spans="1:19" ht="18" customHeight="1" x14ac:dyDescent="0.2">
      <c r="A6" s="547" t="s">
        <v>267</v>
      </c>
      <c r="B6" s="1018">
        <f>IFERROR(IF(OR(CALC_PlanetPositions!$K$8="Exaltation",CALC_PlanetPositions!$K$8="Deep exalt",CALC_PlanetPositions!$K$8="Own sign",CALC_PlanetPositions!$K$8="Mooltrikona"),3.5,IF(OR(CALC_PlanetPositions!$K$8="Friendly sign",CALC_PlanetPositions!$K$8="Great friend"),3.5*0.625,IF(CALC_PlanetPositions!$K$8="Neutral sign",3.5*0.5,IF(OR(CALC_PlanetPositions!$K$8="Enemy sign",CALC_PlanetPositions!$K$8="Debilitation",CALC_PlanetPositions!$K$8="Deep debil"),3.5*0.25,3.5*0.375)))),0)</f>
        <v>3.5</v>
      </c>
      <c r="C6" s="1018">
        <f>IFERROR(IF(CALC_DivisionalMap!$J$6=INDEX(REF_Dignity!$C$4:$C$12,MATCH("Moon",REF_Dignity!$A$4:$A$12,0)),1,IF(ISNUMBER(SEARCH(CALC_DivisionalMap!$J$6,INDEX(REF_Dignity!$J$4:$J$12,MATCH("Moon",REF_Dignity!$A$4:$A$12,0)))),1,IF(IFERROR(INDEX(REF_NaisargikaFriendship!$C$5:$I$11,MATCH("Moon",REF_NaisargikaFriendship!$A$5:$A$11,0),MATCH(INDEX(REF_Zodiac!$D$7:$O$7,MATCH(CALC_DivisionalMap!$J$6,REF_Zodiac!$D$3:$O$3,0)),REF_NaisargikaFriendship!$C$4:$I$4,0)),"Neutral")="Friend",0.625,IF(IFERROR(INDEX(REF_NaisargikaFriendship!$C$5:$I$11,MATCH("Moon",REF_NaisargikaFriendship!$A$5:$A$11,0),MATCH(INDEX(REF_Zodiac!$D$7:$O$7,MATCH(CALC_DivisionalMap!$J$6,REF_Zodiac!$D$3:$O$3,0)),REF_NaisargikaFriendship!$C$4:$I$4,0)),"Neutral")="Enemy",0.25,IF(CALC_DivisionalMap!$J$6=INDEX(REF_Dignity!$F$4:$F$12,MATCH("Moon",REF_Dignity!$A$4:$A$12,0)),0.125,0.375))))),0)</f>
        <v>0.625</v>
      </c>
      <c r="D6" s="1018">
        <f>IFERROR(IF(CALC_DivisionalMap!$F$6=INDEX(REF_Dignity!$C$4:$C$12,MATCH("Moon",REF_Dignity!$A$4:$A$12,0)),1,IF(ISNUMBER(SEARCH(CALC_DivisionalMap!$F$6,INDEX(REF_Dignity!$J$4:$J$12,MATCH("Moon",REF_Dignity!$A$4:$A$12,0)))),1,IF(IFERROR(INDEX(REF_NaisargikaFriendship!$C$5:$I$11,MATCH("Moon",REF_NaisargikaFriendship!$A$5:$A$11,0),MATCH(INDEX(REF_Zodiac!$D$7:$O$7,MATCH(CALC_DivisionalMap!$F$6,REF_Zodiac!$D$3:$O$3,0)),REF_NaisargikaFriendship!$C$4:$I$4,0)),"Neutral")="Friend",0.625,IF(IFERROR(INDEX(REF_NaisargikaFriendship!$C$5:$I$11,MATCH("Moon",REF_NaisargikaFriendship!$A$5:$A$11,0),MATCH(INDEX(REF_Zodiac!$D$7:$O$7,MATCH(CALC_DivisionalMap!$F$6,REF_Zodiac!$D$3:$O$3,0)),REF_NaisargikaFriendship!$C$4:$I$4,0)),"Neutral")="Enemy",0.25,IF(CALC_DivisionalMap!$F$6=INDEX(REF_Dignity!$F$4:$F$12,MATCH("Moon",REF_Dignity!$A$4:$A$12,0)),0.125,0.375))))),0)</f>
        <v>0.375</v>
      </c>
      <c r="E6" s="1018">
        <f>IFERROR(IF(CALC_DivisionalMap!$G$6=INDEX(REF_Dignity!$C$4:$C$12,MATCH("Moon",REF_Dignity!$A$4:$A$12,0)),1,IF(ISNUMBER(SEARCH(CALC_DivisionalMap!$G$6,INDEX(REF_Dignity!$J$4:$J$12,MATCH("Moon",REF_Dignity!$A$4:$A$12,0)))),1,IF(IFERROR(INDEX(REF_NaisargikaFriendship!$C$5:$I$11,MATCH("Moon",REF_NaisargikaFriendship!$A$5:$A$11,0),MATCH(INDEX(REF_Zodiac!$D$7:$O$7,MATCH(CALC_DivisionalMap!$G$6,REF_Zodiac!$D$3:$O$3,0)),REF_NaisargikaFriendship!$C$4:$I$4,0)),"Neutral")="Friend",0.625,IF(IFERROR(INDEX(REF_NaisargikaFriendship!$C$5:$I$11,MATCH("Moon",REF_NaisargikaFriendship!$A$5:$A$11,0),MATCH(INDEX(REF_Zodiac!$D$7:$O$7,MATCH(CALC_DivisionalMap!$G$6,REF_Zodiac!$D$3:$O$3,0)),REF_NaisargikaFriendship!$C$4:$I$4,0)),"Neutral")="Enemy",0.25,IF(CALC_DivisionalMap!$G$6=INDEX(REF_Dignity!$F$4:$F$12,MATCH("Moon",REF_Dignity!$A$4:$A$12,0)),0.125,0.375))))),0)</f>
        <v>0.375</v>
      </c>
      <c r="F6" s="1018">
        <f>IFERROR(IF(CALC_DivisionalMap!$D$6=INDEX(REF_Dignity!$C$4:$C$12,MATCH("Moon",REF_Dignity!$A$4:$A$12,0)),1,IF(ISNUMBER(SEARCH(CALC_DivisionalMap!$D$6,INDEX(REF_Dignity!$J$4:$J$12,MATCH("Moon",REF_Dignity!$A$4:$A$12,0)))),1,IF(IFERROR(INDEX(REF_NaisargikaFriendship!$C$5:$I$11,MATCH("Moon",REF_NaisargikaFriendship!$A$5:$A$11,0),MATCH(INDEX(REF_Zodiac!$D$7:$O$7,MATCH(CALC_DivisionalMap!$D$6,REF_Zodiac!$D$3:$O$3,0)),REF_NaisargikaFriendship!$C$4:$I$4,0)),"Neutral")="Friend",0.625,IF(IFERROR(INDEX(REF_NaisargikaFriendship!$C$5:$I$11,MATCH("Moon",REF_NaisargikaFriendship!$A$5:$A$11,0),MATCH(INDEX(REF_Zodiac!$D$7:$O$7,MATCH(CALC_DivisionalMap!$D$6,REF_Zodiac!$D$3:$O$3,0)),REF_NaisargikaFriendship!$C$4:$I$4,0)),"Neutral")="Enemy",0.25,IF(CALC_DivisionalMap!$D$6=INDEX(REF_Dignity!$F$4:$F$12,MATCH("Moon",REF_Dignity!$A$4:$A$12,0)),0.125,0.375))))),0)</f>
        <v>0.625</v>
      </c>
      <c r="G6" s="1018">
        <f>IFERROR(IF(CALC_DivisionalMap!$E$6=INDEX(REF_Dignity!$C$4:$C$12,MATCH("Moon",REF_Dignity!$A$4:$A$12,0)),1,IF(ISNUMBER(SEARCH(CALC_DivisionalMap!$E$6,INDEX(REF_Dignity!$J$4:$J$12,MATCH("Moon",REF_Dignity!$A$4:$A$12,0)))),1,IF(IFERROR(INDEX(REF_NaisargikaFriendship!$C$5:$I$11,MATCH("Moon",REF_NaisargikaFriendship!$A$5:$A$11,0),MATCH(INDEX(REF_Zodiac!$D$7:$O$7,MATCH(CALC_DivisionalMap!$E$6,REF_Zodiac!$D$3:$O$3,0)),REF_NaisargikaFriendship!$C$4:$I$4,0)),"Neutral")="Friend",0.625,IF(IFERROR(INDEX(REF_NaisargikaFriendship!$C$5:$I$11,MATCH("Moon",REF_NaisargikaFriendship!$A$5:$A$11,0),MATCH(INDEX(REF_Zodiac!$D$7:$O$7,MATCH(CALC_DivisionalMap!$E$6,REF_Zodiac!$D$3:$O$3,0)),REF_NaisargikaFriendship!$C$4:$I$4,0)),"Neutral")="Enemy",0.25,IF(CALC_DivisionalMap!$E$6=INDEX(REF_Dignity!$F$4:$F$12,MATCH("Moon",REF_Dignity!$A$4:$A$12,0)),0.125,0.375))))),0)</f>
        <v>1</v>
      </c>
      <c r="H6" s="1018">
        <f>IFERROR(IF(CALC_DivisionalMap!$H$6=INDEX(REF_Dignity!$C$4:$C$12,MATCH("Moon",REF_Dignity!$A$4:$A$12,0)),1,IF(ISNUMBER(SEARCH(CALC_DivisionalMap!$H$6,INDEX(REF_Dignity!$J$4:$J$12,MATCH("Moon",REF_Dignity!$A$4:$A$12,0)))),1,IF(IFERROR(INDEX(REF_NaisargikaFriendship!$C$5:$I$11,MATCH("Moon",REF_NaisargikaFriendship!$A$5:$A$11,0),MATCH(INDEX(REF_Zodiac!$D$7:$O$7,MATCH(CALC_DivisionalMap!$H$6,REF_Zodiac!$D$3:$O$3,0)),REF_NaisargikaFriendship!$C$4:$I$4,0)),"Neutral")="Friend",0.625,IF(IFERROR(INDEX(REF_NaisargikaFriendship!$C$5:$I$11,MATCH("Moon",REF_NaisargikaFriendship!$A$5:$A$11,0),MATCH(INDEX(REF_Zodiac!$D$7:$O$7,MATCH(CALC_DivisionalMap!$H$6,REF_Zodiac!$D$3:$O$3,0)),REF_NaisargikaFriendship!$C$4:$I$4,0)),"Neutral")="Enemy",0.25,IF(CALC_DivisionalMap!$H$6=INDEX(REF_Dignity!$F$4:$F$12,MATCH("Moon",REF_Dignity!$A$4:$A$12,0)),0.125,0.375))))),0)</f>
        <v>1</v>
      </c>
      <c r="I6" s="1019">
        <f t="shared" si="0"/>
        <v>11.125</v>
      </c>
      <c r="J6" s="1020">
        <f t="shared" si="1"/>
        <v>12.71</v>
      </c>
      <c r="K6" s="972" t="str">
        <f t="shared" si="2"/>
        <v>★ Good</v>
      </c>
      <c r="L6">
        <f>IFERROR(IF(CALC_DivisionalMap!$L$6=INDEX(REF_Dignity!$C$4:$C$12,MATCH("Moon",REF_Dignity!$A$4:$A$12,0)),1,IF(ISNUMBER(SEARCH(CALC_DivisionalMap!$L$6,INDEX(REF_Dignity!$J$4:$J$12,MATCH("Moon",REF_Dignity!$A$4:$A$12,0)))),1,IF(IFERROR(INDEX(REF_NaisargikaFriendship!$C$5:$I$11,MATCH("Moon",REF_NaisargikaFriendship!$A$5:$A$11,0),MATCH(INDEX(REF_Zodiac!$D$7:$O$7,MATCH(CALC_DivisionalMap!$L$6,REF_Zodiac!$D$3:$O$3,0)),REF_NaisargikaFriendship!$C$4:$I$4,0)),"Neutral")="Friend",0.625,IF(IFERROR(INDEX(REF_NaisargikaFriendship!$C$5:$I$11,MATCH("Moon",REF_NaisargikaFriendship!$A$5:$A$11,0),MATCH(INDEX(REF_Zodiac!$D$7:$O$7,MATCH(CALC_DivisionalMap!$L$6,REF_Zodiac!$D$3:$O$3,0)),REF_NaisargikaFriendship!$C$4:$I$4,0)),"Neutral")="Enemy",0.25,IF(CALC_DivisionalMap!$L$6=INDEX(REF_Dignity!$F$4:$F$12,MATCH("Moon",REF_Dignity!$A$4:$A$12,0)),0.125,0.375))))),0)</f>
        <v>0.375</v>
      </c>
      <c r="M6">
        <f>IFERROR(IF(CALC_DivisionalMap!$M$6=INDEX(REF_Dignity!$C$4:$C$12,MATCH("Moon",REF_Dignity!$A$4:$A$12,0)),1,IF(ISNUMBER(SEARCH(CALC_DivisionalMap!$M$6,INDEX(REF_Dignity!$J$4:$J$12,MATCH("Moon",REF_Dignity!$A$4:$A$12,0)))),1,IF(IFERROR(INDEX(REF_NaisargikaFriendship!$C$5:$I$11,MATCH("Moon",REF_NaisargikaFriendship!$A$5:$A$11,0),MATCH(INDEX(REF_Zodiac!$D$7:$O$7,MATCH(CALC_DivisionalMap!$M$6,REF_Zodiac!$D$3:$O$3,0)),REF_NaisargikaFriendship!$C$4:$I$4,0)),"Neutral")="Friend",0.625,IF(IFERROR(INDEX(REF_NaisargikaFriendship!$C$5:$I$11,MATCH("Moon",REF_NaisargikaFriendship!$A$5:$A$11,0),MATCH(INDEX(REF_Zodiac!$D$7:$O$7,MATCH(CALC_DivisionalMap!$M$6,REF_Zodiac!$D$3:$O$3,0)),REF_NaisargikaFriendship!$C$4:$I$4,0)),"Neutral")="Enemy",0.25,IF(CALC_DivisionalMap!$M$6=INDEX(REF_Dignity!$F$4:$F$12,MATCH("Moon",REF_Dignity!$A$4:$A$12,0)),0.125,0.375))))),0)</f>
        <v>0.375</v>
      </c>
      <c r="N6">
        <f>IFERROR(IF(CALC_DivisionalMap!$N$6=INDEX(REF_Dignity!$C$4:$C$12,MATCH("Moon",REF_Dignity!$A$4:$A$12,0)),1,IF(ISNUMBER(SEARCH(CALC_DivisionalMap!$N$6,INDEX(REF_Dignity!$J$4:$J$12,MATCH("Moon",REF_Dignity!$A$4:$A$12,0)))),1,IF(IFERROR(INDEX(REF_NaisargikaFriendship!$C$5:$I$11,MATCH("Moon",REF_NaisargikaFriendship!$A$5:$A$11,0),MATCH(INDEX(REF_Zodiac!$D$7:$O$7,MATCH(CALC_DivisionalMap!$N$6,REF_Zodiac!$D$3:$O$3,0)),REF_NaisargikaFriendship!$C$4:$I$4,0)),"Neutral")="Friend",0.625,IF(IFERROR(INDEX(REF_NaisargikaFriendship!$C$5:$I$11,MATCH("Moon",REF_NaisargikaFriendship!$A$5:$A$11,0),MATCH(INDEX(REF_Zodiac!$D$7:$O$7,MATCH(CALC_DivisionalMap!$N$6,REF_Zodiac!$D$3:$O$3,0)),REF_NaisargikaFriendship!$C$4:$I$4,0)),"Neutral")="Enemy",0.25,IF(CALC_DivisionalMap!$N$6=INDEX(REF_Dignity!$F$4:$F$12,MATCH("Moon",REF_Dignity!$A$4:$A$12,0)),0.125,0.375))))),0)</f>
        <v>0.375</v>
      </c>
      <c r="O6">
        <f>IFERROR(IF(CALC_DivisionalMap!$O$6=INDEX(REF_Dignity!$C$4:$C$12,MATCH("Moon",REF_Dignity!$A$4:$A$12,0)),1,IF(ISNUMBER(SEARCH(CALC_DivisionalMap!$O$6,INDEX(REF_Dignity!$J$4:$J$12,MATCH("Moon",REF_Dignity!$A$4:$A$12,0)))),1,IF(IFERROR(INDEX(REF_NaisargikaFriendship!$C$5:$I$11,MATCH("Moon",REF_NaisargikaFriendship!$A$5:$A$11,0),MATCH(INDEX(REF_Zodiac!$D$7:$O$7,MATCH(CALC_DivisionalMap!$O$6,REF_Zodiac!$D$3:$O$3,0)),REF_NaisargikaFriendship!$C$4:$I$4,0)),"Neutral")="Friend",0.625,IF(IFERROR(INDEX(REF_NaisargikaFriendship!$C$5:$I$11,MATCH("Moon",REF_NaisargikaFriendship!$A$5:$A$11,0),MATCH(INDEX(REF_Zodiac!$D$7:$O$7,MATCH(CALC_DivisionalMap!$O$6,REF_Zodiac!$D$3:$O$3,0)),REF_NaisargikaFriendship!$C$4:$I$4,0)),"Neutral")="Enemy",0.25,IF(CALC_DivisionalMap!$O$6=INDEX(REF_Dignity!$F$4:$F$12,MATCH("Moon",REF_Dignity!$A$4:$A$12,0)),0.125,0.375))))),0)</f>
        <v>0.375</v>
      </c>
      <c r="P6">
        <f>IFERROR(IF(CALC_DivisionalMap!$P$6=INDEX(REF_Dignity!$C$4:$C$12,MATCH("Moon",REF_Dignity!$A$4:$A$12,0)),1,IF(ISNUMBER(SEARCH(CALC_DivisionalMap!$P$6,INDEX(REF_Dignity!$J$4:$J$12,MATCH("Moon",REF_Dignity!$A$4:$A$12,0)))),1,IF(IFERROR(INDEX(REF_NaisargikaFriendship!$C$5:$I$11,MATCH("Moon",REF_NaisargikaFriendship!$A$5:$A$11,0),MATCH(INDEX(REF_Zodiac!$D$7:$O$7,MATCH(CALC_DivisionalMap!$P$6,REF_Zodiac!$D$3:$O$3,0)),REF_NaisargikaFriendship!$C$4:$I$4,0)),"Neutral")="Friend",0.625,IF(IFERROR(INDEX(REF_NaisargikaFriendship!$C$5:$I$11,MATCH("Moon",REF_NaisargikaFriendship!$A$5:$A$11,0),MATCH(INDEX(REF_Zodiac!$D$7:$O$7,MATCH(CALC_DivisionalMap!$P$6,REF_Zodiac!$D$3:$O$3,0)),REF_NaisargikaFriendship!$C$4:$I$4,0)),"Neutral")="Enemy",0.25,IF(CALC_DivisionalMap!$P$6=INDEX(REF_Dignity!$F$4:$F$12,MATCH("Moon",REF_Dignity!$A$4:$A$12,0)),0.125,0.375))))),0)</f>
        <v>1</v>
      </c>
      <c r="Q6">
        <f>IFERROR(IF(CALC_DivisionalMap!$Q$6=INDEX(REF_Dignity!$C$4:$C$12,MATCH("Moon",REF_Dignity!$A$4:$A$12,0)),1,IF(ISNUMBER(SEARCH(CALC_DivisionalMap!$Q$6,INDEX(REF_Dignity!$J$4:$J$12,MATCH("Moon",REF_Dignity!$A$4:$A$12,0)))),1,IF(IFERROR(INDEX(REF_NaisargikaFriendship!$C$5:$I$11,MATCH("Moon",REF_NaisargikaFriendship!$A$5:$A$11,0),MATCH(INDEX(REF_Zodiac!$D$7:$O$7,MATCH(CALC_DivisionalMap!$Q$6,REF_Zodiac!$D$3:$O$3,0)),REF_NaisargikaFriendship!$C$4:$I$4,0)),"Neutral")="Friend",0.625,IF(IFERROR(INDEX(REF_NaisargikaFriendship!$C$5:$I$11,MATCH("Moon",REF_NaisargikaFriendship!$A$5:$A$11,0),MATCH(INDEX(REF_Zodiac!$D$7:$O$7,MATCH(CALC_DivisionalMap!$Q$6,REF_Zodiac!$D$3:$O$3,0)),REF_NaisargikaFriendship!$C$4:$I$4,0)),"Neutral")="Enemy",0.25,IF(CALC_DivisionalMap!$Q$6=INDEX(REF_Dignity!$F$4:$F$12,MATCH("Moon",REF_Dignity!$A$4:$A$12,0)),0.125,0.375))))),0)</f>
        <v>0.375</v>
      </c>
      <c r="R6">
        <f>IFERROR(IF(CALC_DivisionalMap!$R$6=INDEX(REF_Dignity!$C$4:$C$12,MATCH("Moon",REF_Dignity!$A$4:$A$12,0)),1,IF(ISNUMBER(SEARCH(CALC_DivisionalMap!$R$6,INDEX(REF_Dignity!$J$4:$J$12,MATCH("Moon",REF_Dignity!$A$4:$A$12,0)))),1,IF(IFERROR(INDEX(REF_NaisargikaFriendship!$C$5:$I$11,MATCH("Moon",REF_NaisargikaFriendship!$A$5:$A$11,0),MATCH(INDEX(REF_Zodiac!$D$7:$O$7,MATCH(CALC_DivisionalMap!$R$6,REF_Zodiac!$D$3:$O$3,0)),REF_NaisargikaFriendship!$C$4:$I$4,0)),"Neutral")="Friend",0.625,IF(IFERROR(INDEX(REF_NaisargikaFriendship!$C$5:$I$11,MATCH("Moon",REF_NaisargikaFriendship!$A$5:$A$11,0),MATCH(INDEX(REF_Zodiac!$D$7:$O$7,MATCH(CALC_DivisionalMap!$R$6,REF_Zodiac!$D$3:$O$3,0)),REF_NaisargikaFriendship!$C$4:$I$4,0)),"Neutral")="Enemy",0.25,IF(CALC_DivisionalMap!$R$6=INDEX(REF_Dignity!$F$4:$F$12,MATCH("Moon",REF_Dignity!$A$4:$A$12,0)),0.125,0.375))))),0)</f>
        <v>0.375</v>
      </c>
      <c r="S6">
        <f>IFERROR(IF(CALC_DivisionalMap!$S$6=INDEX(REF_Dignity!$C$4:$C$12,MATCH("Moon",REF_Dignity!$A$4:$A$12,0)),1,IF(ISNUMBER(SEARCH(CALC_DivisionalMap!$S$6,INDEX(REF_Dignity!$J$4:$J$12,MATCH("Moon",REF_Dignity!$A$4:$A$12,0)))),1,IF(IFERROR(INDEX(REF_NaisargikaFriendship!$C$5:$I$11,MATCH("Moon",REF_NaisargikaFriendship!$A$5:$A$11,0),MATCH(INDEX(REF_Zodiac!$D$7:$O$7,MATCH(CALC_DivisionalMap!$S$6,REF_Zodiac!$D$3:$O$3,0)),REF_NaisargikaFriendship!$C$4:$I$4,0)),"Neutral")="Friend",0.625,IF(IFERROR(INDEX(REF_NaisargikaFriendship!$C$5:$I$11,MATCH("Moon",REF_NaisargikaFriendship!$A$5:$A$11,0),MATCH(INDEX(REF_Zodiac!$D$7:$O$7,MATCH(CALC_DivisionalMap!$S$6,REF_Zodiac!$D$3:$O$3,0)),REF_NaisargikaFriendship!$C$4:$I$4,0)),"Neutral")="Enemy",0.25,IF(CALC_DivisionalMap!$S$6=INDEX(REF_Dignity!$F$4:$F$12,MATCH("Moon",REF_Dignity!$A$4:$A$12,0)),0.125,0.375))))),0)</f>
        <v>0.375</v>
      </c>
    </row>
    <row r="7" spans="1:19" ht="18" customHeight="1" x14ac:dyDescent="0.2">
      <c r="A7" s="643" t="s">
        <v>268</v>
      </c>
      <c r="B7" s="1015">
        <f>IFERROR(IF(OR(CALC_PlanetPositions!$K$9="Exaltation",CALC_PlanetPositions!$K$9="Deep exalt",CALC_PlanetPositions!$K$9="Own sign",CALC_PlanetPositions!$K$9="Mooltrikona"),3.5,IF(OR(CALC_PlanetPositions!$K$9="Friendly sign",CALC_PlanetPositions!$K$9="Great friend"),3.5*0.625,IF(CALC_PlanetPositions!$K$9="Neutral sign",3.5*0.5,IF(OR(CALC_PlanetPositions!$K$9="Enemy sign",CALC_PlanetPositions!$K$9="Debilitation",CALC_PlanetPositions!$K$9="Deep debil"),3.5*0.25,3.5*0.375)))),0)</f>
        <v>0.875</v>
      </c>
      <c r="C7" s="1015">
        <f>IFERROR(IF(CALC_DivisionalMap!$J$7=INDEX(REF_Dignity!$C$4:$C$12,MATCH("Mars",REF_Dignity!$A$4:$A$12,0)),1,IF(ISNUMBER(SEARCH(CALC_DivisionalMap!$J$7,INDEX(REF_Dignity!$J$4:$J$12,MATCH("Mars",REF_Dignity!$A$4:$A$12,0)))),1,IF(IFERROR(INDEX(REF_NaisargikaFriendship!$C$5:$I$11,MATCH("Mars",REF_NaisargikaFriendship!$A$5:$A$11,0),MATCH(INDEX(REF_Zodiac!$D$7:$O$7,MATCH(CALC_DivisionalMap!$J$7,REF_Zodiac!$D$3:$O$3,0)),REF_NaisargikaFriendship!$C$4:$I$4,0)),"Neutral")="Friend",0.625,IF(IFERROR(INDEX(REF_NaisargikaFriendship!$C$5:$I$11,MATCH("Mars",REF_NaisargikaFriendship!$A$5:$A$11,0),MATCH(INDEX(REF_Zodiac!$D$7:$O$7,MATCH(CALC_DivisionalMap!$J$7,REF_Zodiac!$D$3:$O$3,0)),REF_NaisargikaFriendship!$C$4:$I$4,0)),"Neutral")="Enemy",0.25,IF(CALC_DivisionalMap!$J$7=INDEX(REF_Dignity!$F$4:$F$12,MATCH("Mars",REF_Dignity!$A$4:$A$12,0)),0.125,0.375))))),0)</f>
        <v>0.125</v>
      </c>
      <c r="D7" s="1015">
        <f>IFERROR(IF(CALC_DivisionalMap!$F$7=INDEX(REF_Dignity!$C$4:$C$12,MATCH("Mars",REF_Dignity!$A$4:$A$12,0)),1,IF(ISNUMBER(SEARCH(CALC_DivisionalMap!$F$7,INDEX(REF_Dignity!$J$4:$J$12,MATCH("Mars",REF_Dignity!$A$4:$A$12,0)))),1,IF(IFERROR(INDEX(REF_NaisargikaFriendship!$C$5:$I$11,MATCH("Mars",REF_NaisargikaFriendship!$A$5:$A$11,0),MATCH(INDEX(REF_Zodiac!$D$7:$O$7,MATCH(CALC_DivisionalMap!$F$7,REF_Zodiac!$D$3:$O$3,0)),REF_NaisargikaFriendship!$C$4:$I$4,0)),"Neutral")="Friend",0.625,IF(IFERROR(INDEX(REF_NaisargikaFriendship!$C$5:$I$11,MATCH("Mars",REF_NaisargikaFriendship!$A$5:$A$11,0),MATCH(INDEX(REF_Zodiac!$D$7:$O$7,MATCH(CALC_DivisionalMap!$F$7,REF_Zodiac!$D$3:$O$3,0)),REF_NaisargikaFriendship!$C$4:$I$4,0)),"Neutral")="Enemy",0.25,IF(CALC_DivisionalMap!$F$7=INDEX(REF_Dignity!$F$4:$F$12,MATCH("Mars",REF_Dignity!$A$4:$A$12,0)),0.125,0.375))))),0)</f>
        <v>0.375</v>
      </c>
      <c r="E7" s="1015">
        <f>IFERROR(IF(CALC_DivisionalMap!$G$7=INDEX(REF_Dignity!$C$4:$C$12,MATCH("Mars",REF_Dignity!$A$4:$A$12,0)),1,IF(ISNUMBER(SEARCH(CALC_DivisionalMap!$G$7,INDEX(REF_Dignity!$J$4:$J$12,MATCH("Mars",REF_Dignity!$A$4:$A$12,0)))),1,IF(IFERROR(INDEX(REF_NaisargikaFriendship!$C$5:$I$11,MATCH("Mars",REF_NaisargikaFriendship!$A$5:$A$11,0),MATCH(INDEX(REF_Zodiac!$D$7:$O$7,MATCH(CALC_DivisionalMap!$G$7,REF_Zodiac!$D$3:$O$3,0)),REF_NaisargikaFriendship!$C$4:$I$4,0)),"Neutral")="Friend",0.625,IF(IFERROR(INDEX(REF_NaisargikaFriendship!$C$5:$I$11,MATCH("Mars",REF_NaisargikaFriendship!$A$5:$A$11,0),MATCH(INDEX(REF_Zodiac!$D$7:$O$7,MATCH(CALC_DivisionalMap!$G$7,REF_Zodiac!$D$3:$O$3,0)),REF_NaisargikaFriendship!$C$4:$I$4,0)),"Neutral")="Enemy",0.25,IF(CALC_DivisionalMap!$G$7=INDEX(REF_Dignity!$F$4:$F$12,MATCH("Mars",REF_Dignity!$A$4:$A$12,0)),0.125,0.375))))),0)</f>
        <v>0.125</v>
      </c>
      <c r="F7" s="1015">
        <f>IFERROR(IF(CALC_DivisionalMap!$D$7=INDEX(REF_Dignity!$C$4:$C$12,MATCH("Mars",REF_Dignity!$A$4:$A$12,0)),1,IF(ISNUMBER(SEARCH(CALC_DivisionalMap!$D$7,INDEX(REF_Dignity!$J$4:$J$12,MATCH("Mars",REF_Dignity!$A$4:$A$12,0)))),1,IF(IFERROR(INDEX(REF_NaisargikaFriendship!$C$5:$I$11,MATCH("Mars",REF_NaisargikaFriendship!$A$5:$A$11,0),MATCH(INDEX(REF_Zodiac!$D$7:$O$7,MATCH(CALC_DivisionalMap!$D$7,REF_Zodiac!$D$3:$O$3,0)),REF_NaisargikaFriendship!$C$4:$I$4,0)),"Neutral")="Friend",0.625,IF(IFERROR(INDEX(REF_NaisargikaFriendship!$C$5:$I$11,MATCH("Mars",REF_NaisargikaFriendship!$A$5:$A$11,0),MATCH(INDEX(REF_Zodiac!$D$7:$O$7,MATCH(CALC_DivisionalMap!$D$7,REF_Zodiac!$D$3:$O$3,0)),REF_NaisargikaFriendship!$C$4:$I$4,0)),"Neutral")="Enemy",0.25,IF(CALC_DivisionalMap!$D$7=INDEX(REF_Dignity!$F$4:$F$12,MATCH("Mars",REF_Dignity!$A$4:$A$12,0)),0.125,0.375))))),0)</f>
        <v>0.625</v>
      </c>
      <c r="G7" s="1015">
        <f>IFERROR(IF(CALC_DivisionalMap!$E$7=INDEX(REF_Dignity!$C$4:$C$12,MATCH("Mars",REF_Dignity!$A$4:$A$12,0)),1,IF(ISNUMBER(SEARCH(CALC_DivisionalMap!$E$7,INDEX(REF_Dignity!$J$4:$J$12,MATCH("Mars",REF_Dignity!$A$4:$A$12,0)))),1,IF(IFERROR(INDEX(REF_NaisargikaFriendship!$C$5:$I$11,MATCH("Mars",REF_NaisargikaFriendship!$A$5:$A$11,0),MATCH(INDEX(REF_Zodiac!$D$7:$O$7,MATCH(CALC_DivisionalMap!$E$7,REF_Zodiac!$D$3:$O$3,0)),REF_NaisargikaFriendship!$C$4:$I$4,0)),"Neutral")="Friend",0.625,IF(IFERROR(INDEX(REF_NaisargikaFriendship!$C$5:$I$11,MATCH("Mars",REF_NaisargikaFriendship!$A$5:$A$11,0),MATCH(INDEX(REF_Zodiac!$D$7:$O$7,MATCH(CALC_DivisionalMap!$E$7,REF_Zodiac!$D$3:$O$3,0)),REF_NaisargikaFriendship!$C$4:$I$4,0)),"Neutral")="Enemy",0.25,IF(CALC_DivisionalMap!$E$7=INDEX(REF_Dignity!$F$4:$F$12,MATCH("Mars",REF_Dignity!$A$4:$A$12,0)),0.125,0.375))))),0)</f>
        <v>0.625</v>
      </c>
      <c r="H7" s="1015">
        <f>IFERROR(IF(CALC_DivisionalMap!$H$7=INDEX(REF_Dignity!$C$4:$C$12,MATCH("Mars",REF_Dignity!$A$4:$A$12,0)),1,IF(ISNUMBER(SEARCH(CALC_DivisionalMap!$H$7,INDEX(REF_Dignity!$J$4:$J$12,MATCH("Mars",REF_Dignity!$A$4:$A$12,0)))),1,IF(IFERROR(INDEX(REF_NaisargikaFriendship!$C$5:$I$11,MATCH("Mars",REF_NaisargikaFriendship!$A$5:$A$11,0),MATCH(INDEX(REF_Zodiac!$D$7:$O$7,MATCH(CALC_DivisionalMap!$H$7,REF_Zodiac!$D$3:$O$3,0)),REF_NaisargikaFriendship!$C$4:$I$4,0)),"Neutral")="Friend",0.625,IF(IFERROR(INDEX(REF_NaisargikaFriendship!$C$5:$I$11,MATCH("Mars",REF_NaisargikaFriendship!$A$5:$A$11,0),MATCH(INDEX(REF_Zodiac!$D$7:$O$7,MATCH(CALC_DivisionalMap!$H$7,REF_Zodiac!$D$3:$O$3,0)),REF_NaisargikaFriendship!$C$4:$I$4,0)),"Neutral")="Enemy",0.25,IF(CALC_DivisionalMap!$H$7=INDEX(REF_Dignity!$F$4:$F$12,MATCH("Mars",REF_Dignity!$A$4:$A$12,0)),0.125,0.375))))),0)</f>
        <v>0.375</v>
      </c>
      <c r="I7" s="1016">
        <f t="shared" si="0"/>
        <v>8</v>
      </c>
      <c r="J7" s="1017">
        <f t="shared" si="1"/>
        <v>9.14</v>
      </c>
      <c r="K7" s="965" t="str">
        <f t="shared" si="2"/>
        <v>~ Average</v>
      </c>
      <c r="L7">
        <f>IFERROR(IF(CALC_DivisionalMap!$L$7=INDEX(REF_Dignity!$C$4:$C$12,MATCH("Mars",REF_Dignity!$A$4:$A$12,0)),1,IF(ISNUMBER(SEARCH(CALC_DivisionalMap!$L$7,INDEX(REF_Dignity!$J$4:$J$12,MATCH("Mars",REF_Dignity!$A$4:$A$12,0)))),1,IF(IFERROR(INDEX(REF_NaisargikaFriendship!$C$5:$I$11,MATCH("Mars",REF_NaisargikaFriendship!$A$5:$A$11,0),MATCH(INDEX(REF_Zodiac!$D$7:$O$7,MATCH(CALC_DivisionalMap!$L$7,REF_Zodiac!$D$3:$O$3,0)),REF_NaisargikaFriendship!$C$4:$I$4,0)),"Neutral")="Friend",0.625,IF(IFERROR(INDEX(REF_NaisargikaFriendship!$C$5:$I$11,MATCH("Mars",REF_NaisargikaFriendship!$A$5:$A$11,0),MATCH(INDEX(REF_Zodiac!$D$7:$O$7,MATCH(CALC_DivisionalMap!$L$7,REF_Zodiac!$D$3:$O$3,0)),REF_NaisargikaFriendship!$C$4:$I$4,0)),"Neutral")="Enemy",0.25,IF(CALC_DivisionalMap!$L$7=INDEX(REF_Dignity!$F$4:$F$12,MATCH("Mars",REF_Dignity!$A$4:$A$12,0)),0.125,0.375))))),0)</f>
        <v>0.375</v>
      </c>
      <c r="M7">
        <f>IFERROR(IF(CALC_DivisionalMap!$M$7=INDEX(REF_Dignity!$C$4:$C$12,MATCH("Mars",REF_Dignity!$A$4:$A$12,0)),1,IF(ISNUMBER(SEARCH(CALC_DivisionalMap!$M$7,INDEX(REF_Dignity!$J$4:$J$12,MATCH("Mars",REF_Dignity!$A$4:$A$12,0)))),1,IF(IFERROR(INDEX(REF_NaisargikaFriendship!$C$5:$I$11,MATCH("Mars",REF_NaisargikaFriendship!$A$5:$A$11,0),MATCH(INDEX(REF_Zodiac!$D$7:$O$7,MATCH(CALC_DivisionalMap!$M$7,REF_Zodiac!$D$3:$O$3,0)),REF_NaisargikaFriendship!$C$4:$I$4,0)),"Neutral")="Friend",0.625,IF(IFERROR(INDEX(REF_NaisargikaFriendship!$C$5:$I$11,MATCH("Mars",REF_NaisargikaFriendship!$A$5:$A$11,0),MATCH(INDEX(REF_Zodiac!$D$7:$O$7,MATCH(CALC_DivisionalMap!$M$7,REF_Zodiac!$D$3:$O$3,0)),REF_NaisargikaFriendship!$C$4:$I$4,0)),"Neutral")="Enemy",0.25,IF(CALC_DivisionalMap!$M$7=INDEX(REF_Dignity!$F$4:$F$12,MATCH("Mars",REF_Dignity!$A$4:$A$12,0)),0.125,0.375))))),0)</f>
        <v>0.125</v>
      </c>
      <c r="N7">
        <f>IFERROR(IF(CALC_DivisionalMap!$N$7=INDEX(REF_Dignity!$C$4:$C$12,MATCH("Mars",REF_Dignity!$A$4:$A$12,0)),1,IF(ISNUMBER(SEARCH(CALC_DivisionalMap!$N$7,INDEX(REF_Dignity!$J$4:$J$12,MATCH("Mars",REF_Dignity!$A$4:$A$12,0)))),1,IF(IFERROR(INDEX(REF_NaisargikaFriendship!$C$5:$I$11,MATCH("Mars",REF_NaisargikaFriendship!$A$5:$A$11,0),MATCH(INDEX(REF_Zodiac!$D$7:$O$7,MATCH(CALC_DivisionalMap!$N$7,REF_Zodiac!$D$3:$O$3,0)),REF_NaisargikaFriendship!$C$4:$I$4,0)),"Neutral")="Friend",0.625,IF(IFERROR(INDEX(REF_NaisargikaFriendship!$C$5:$I$11,MATCH("Mars",REF_NaisargikaFriendship!$A$5:$A$11,0),MATCH(INDEX(REF_Zodiac!$D$7:$O$7,MATCH(CALC_DivisionalMap!$N$7,REF_Zodiac!$D$3:$O$3,0)),REF_NaisargikaFriendship!$C$4:$I$4,0)),"Neutral")="Enemy",0.25,IF(CALC_DivisionalMap!$N$7=INDEX(REF_Dignity!$F$4:$F$12,MATCH("Mars",REF_Dignity!$A$4:$A$12,0)),0.125,0.375))))),0)</f>
        <v>0.625</v>
      </c>
      <c r="O7">
        <f>IFERROR(IF(CALC_DivisionalMap!$O$7=INDEX(REF_Dignity!$C$4:$C$12,MATCH("Mars",REF_Dignity!$A$4:$A$12,0)),1,IF(ISNUMBER(SEARCH(CALC_DivisionalMap!$O$7,INDEX(REF_Dignity!$J$4:$J$12,MATCH("Mars",REF_Dignity!$A$4:$A$12,0)))),1,IF(IFERROR(INDEX(REF_NaisargikaFriendship!$C$5:$I$11,MATCH("Mars",REF_NaisargikaFriendship!$A$5:$A$11,0),MATCH(INDEX(REF_Zodiac!$D$7:$O$7,MATCH(CALC_DivisionalMap!$O$7,REF_Zodiac!$D$3:$O$3,0)),REF_NaisargikaFriendship!$C$4:$I$4,0)),"Neutral")="Friend",0.625,IF(IFERROR(INDEX(REF_NaisargikaFriendship!$C$5:$I$11,MATCH("Mars",REF_NaisargikaFriendship!$A$5:$A$11,0),MATCH(INDEX(REF_Zodiac!$D$7:$O$7,MATCH(CALC_DivisionalMap!$O$7,REF_Zodiac!$D$3:$O$3,0)),REF_NaisargikaFriendship!$C$4:$I$4,0)),"Neutral")="Enemy",0.25,IF(CALC_DivisionalMap!$O$7=INDEX(REF_Dignity!$F$4:$F$12,MATCH("Mars",REF_Dignity!$A$4:$A$12,0)),0.125,0.375))))),0)</f>
        <v>1</v>
      </c>
      <c r="P7">
        <f>IFERROR(IF(CALC_DivisionalMap!$P$7=INDEX(REF_Dignity!$C$4:$C$12,MATCH("Mars",REF_Dignity!$A$4:$A$12,0)),1,IF(ISNUMBER(SEARCH(CALC_DivisionalMap!$P$7,INDEX(REF_Dignity!$J$4:$J$12,MATCH("Mars",REF_Dignity!$A$4:$A$12,0)))),1,IF(IFERROR(INDEX(REF_NaisargikaFriendship!$C$5:$I$11,MATCH("Mars",REF_NaisargikaFriendship!$A$5:$A$11,0),MATCH(INDEX(REF_Zodiac!$D$7:$O$7,MATCH(CALC_DivisionalMap!$P$7,REF_Zodiac!$D$3:$O$3,0)),REF_NaisargikaFriendship!$C$4:$I$4,0)),"Neutral")="Friend",0.625,IF(IFERROR(INDEX(REF_NaisargikaFriendship!$C$5:$I$11,MATCH("Mars",REF_NaisargikaFriendship!$A$5:$A$11,0),MATCH(INDEX(REF_Zodiac!$D$7:$O$7,MATCH(CALC_DivisionalMap!$P$7,REF_Zodiac!$D$3:$O$3,0)),REF_NaisargikaFriendship!$C$4:$I$4,0)),"Neutral")="Enemy",0.25,IF(CALC_DivisionalMap!$P$7=INDEX(REF_Dignity!$F$4:$F$12,MATCH("Mars",REF_Dignity!$A$4:$A$12,0)),0.125,0.375))))),0)</f>
        <v>1</v>
      </c>
      <c r="Q7">
        <f>IFERROR(IF(CALC_DivisionalMap!$Q$7=INDEX(REF_Dignity!$C$4:$C$12,MATCH("Mars",REF_Dignity!$A$4:$A$12,0)),1,IF(ISNUMBER(SEARCH(CALC_DivisionalMap!$Q$7,INDEX(REF_Dignity!$J$4:$J$12,MATCH("Mars",REF_Dignity!$A$4:$A$12,0)))),1,IF(IFERROR(INDEX(REF_NaisargikaFriendship!$C$5:$I$11,MATCH("Mars",REF_NaisargikaFriendship!$A$5:$A$11,0),MATCH(INDEX(REF_Zodiac!$D$7:$O$7,MATCH(CALC_DivisionalMap!$Q$7,REF_Zodiac!$D$3:$O$3,0)),REF_NaisargikaFriendship!$C$4:$I$4,0)),"Neutral")="Friend",0.625,IF(IFERROR(INDEX(REF_NaisargikaFriendship!$C$5:$I$11,MATCH("Mars",REF_NaisargikaFriendship!$A$5:$A$11,0),MATCH(INDEX(REF_Zodiac!$D$7:$O$7,MATCH(CALC_DivisionalMap!$Q$7,REF_Zodiac!$D$3:$O$3,0)),REF_NaisargikaFriendship!$C$4:$I$4,0)),"Neutral")="Enemy",0.25,IF(CALC_DivisionalMap!$Q$7=INDEX(REF_Dignity!$F$4:$F$12,MATCH("Mars",REF_Dignity!$A$4:$A$12,0)),0.125,0.375))))),0)</f>
        <v>1</v>
      </c>
      <c r="R7">
        <f>IFERROR(IF(CALC_DivisionalMap!$R$7=INDEX(REF_Dignity!$C$4:$C$12,MATCH("Mars",REF_Dignity!$A$4:$A$12,0)),1,IF(ISNUMBER(SEARCH(CALC_DivisionalMap!$R$7,INDEX(REF_Dignity!$J$4:$J$12,MATCH("Mars",REF_Dignity!$A$4:$A$12,0)))),1,IF(IFERROR(INDEX(REF_NaisargikaFriendship!$C$5:$I$11,MATCH("Mars",REF_NaisargikaFriendship!$A$5:$A$11,0),MATCH(INDEX(REF_Zodiac!$D$7:$O$7,MATCH(CALC_DivisionalMap!$R$7,REF_Zodiac!$D$3:$O$3,0)),REF_NaisargikaFriendship!$C$4:$I$4,0)),"Neutral")="Friend",0.625,IF(IFERROR(INDEX(REF_NaisargikaFriendship!$C$5:$I$11,MATCH("Mars",REF_NaisargikaFriendship!$A$5:$A$11,0),MATCH(INDEX(REF_Zodiac!$D$7:$O$7,MATCH(CALC_DivisionalMap!$R$7,REF_Zodiac!$D$3:$O$3,0)),REF_NaisargikaFriendship!$C$4:$I$4,0)),"Neutral")="Enemy",0.25,IF(CALC_DivisionalMap!$R$7=INDEX(REF_Dignity!$F$4:$F$12,MATCH("Mars",REF_Dignity!$A$4:$A$12,0)),0.125,0.375))))),0)</f>
        <v>0.375</v>
      </c>
      <c r="S7">
        <f>IFERROR(IF(CALC_DivisionalMap!$S$7=INDEX(REF_Dignity!$C$4:$C$12,MATCH("Mars",REF_Dignity!$A$4:$A$12,0)),1,IF(ISNUMBER(SEARCH(CALC_DivisionalMap!$S$7,INDEX(REF_Dignity!$J$4:$J$12,MATCH("Mars",REF_Dignity!$A$4:$A$12,0)))),1,IF(IFERROR(INDEX(REF_NaisargikaFriendship!$C$5:$I$11,MATCH("Mars",REF_NaisargikaFriendship!$A$5:$A$11,0),MATCH(INDEX(REF_Zodiac!$D$7:$O$7,MATCH(CALC_DivisionalMap!$S$7,REF_Zodiac!$D$3:$O$3,0)),REF_NaisargikaFriendship!$C$4:$I$4,0)),"Neutral")="Friend",0.625,IF(IFERROR(INDEX(REF_NaisargikaFriendship!$C$5:$I$11,MATCH("Mars",REF_NaisargikaFriendship!$A$5:$A$11,0),MATCH(INDEX(REF_Zodiac!$D$7:$O$7,MATCH(CALC_DivisionalMap!$S$7,REF_Zodiac!$D$3:$O$3,0)),REF_NaisargikaFriendship!$C$4:$I$4,0)),"Neutral")="Enemy",0.25,IF(CALC_DivisionalMap!$S$7=INDEX(REF_Dignity!$F$4:$F$12,MATCH("Mars",REF_Dignity!$A$4:$A$12,0)),0.125,0.375))))),0)</f>
        <v>0.375</v>
      </c>
    </row>
    <row r="8" spans="1:19" ht="18" customHeight="1" x14ac:dyDescent="0.2">
      <c r="A8" s="547" t="s">
        <v>269</v>
      </c>
      <c r="B8" s="1018">
        <f>IFERROR(IF(OR(CALC_PlanetPositions!$K$10="Exaltation",CALC_PlanetPositions!$K$10="Deep exalt",CALC_PlanetPositions!$K$10="Own sign",CALC_PlanetPositions!$K$10="Mooltrikona"),3.5,IF(OR(CALC_PlanetPositions!$K$10="Friendly sign",CALC_PlanetPositions!$K$10="Great friend"),3.5*0.625,IF(CALC_PlanetPositions!$K$10="Neutral sign",3.5*0.5,IF(OR(CALC_PlanetPositions!$K$10="Enemy sign",CALC_PlanetPositions!$K$10="Debilitation",CALC_PlanetPositions!$K$10="Deep debil"),3.5*0.25,3.5*0.375)))),0)</f>
        <v>0.875</v>
      </c>
      <c r="C8" s="1018">
        <f>IFERROR(IF(CALC_DivisionalMap!$J$8=INDEX(REF_Dignity!$C$4:$C$12,MATCH("Mercury",REF_Dignity!$A$4:$A$12,0)),1,IF(ISNUMBER(SEARCH(CALC_DivisionalMap!$J$8,INDEX(REF_Dignity!$J$4:$J$12,MATCH("Mercury",REF_Dignity!$A$4:$A$12,0)))),1,IF(IFERROR(INDEX(REF_NaisargikaFriendship!$C$5:$I$11,MATCH("Mercury",REF_NaisargikaFriendship!$A$5:$A$11,0),MATCH(INDEX(REF_Zodiac!$D$7:$O$7,MATCH(CALC_DivisionalMap!$J$8,REF_Zodiac!$D$3:$O$3,0)),REF_NaisargikaFriendship!$C$4:$I$4,0)),"Neutral")="Friend",0.625,IF(IFERROR(INDEX(REF_NaisargikaFriendship!$C$5:$I$11,MATCH("Mercury",REF_NaisargikaFriendship!$A$5:$A$11,0),MATCH(INDEX(REF_Zodiac!$D$7:$O$7,MATCH(CALC_DivisionalMap!$J$8,REF_Zodiac!$D$3:$O$3,0)),REF_NaisargikaFriendship!$C$4:$I$4,0)),"Neutral")="Enemy",0.25,IF(CALC_DivisionalMap!$J$8=INDEX(REF_Dignity!$F$4:$F$12,MATCH("Mercury",REF_Dignity!$A$4:$A$12,0)),0.125,0.375))))),0)</f>
        <v>0.375</v>
      </c>
      <c r="D8" s="1018">
        <f>IFERROR(IF(CALC_DivisionalMap!$F$8=INDEX(REF_Dignity!$C$4:$C$12,MATCH("Mercury",REF_Dignity!$A$4:$A$12,0)),1,IF(ISNUMBER(SEARCH(CALC_DivisionalMap!$F$8,INDEX(REF_Dignity!$J$4:$J$12,MATCH("Mercury",REF_Dignity!$A$4:$A$12,0)))),1,IF(IFERROR(INDEX(REF_NaisargikaFriendship!$C$5:$I$11,MATCH("Mercury",REF_NaisargikaFriendship!$A$5:$A$11,0),MATCH(INDEX(REF_Zodiac!$D$7:$O$7,MATCH(CALC_DivisionalMap!$F$8,REF_Zodiac!$D$3:$O$3,0)),REF_NaisargikaFriendship!$C$4:$I$4,0)),"Neutral")="Friend",0.625,IF(IFERROR(INDEX(REF_NaisargikaFriendship!$C$5:$I$11,MATCH("Mercury",REF_NaisargikaFriendship!$A$5:$A$11,0),MATCH(INDEX(REF_Zodiac!$D$7:$O$7,MATCH(CALC_DivisionalMap!$F$8,REF_Zodiac!$D$3:$O$3,0)),REF_NaisargikaFriendship!$C$4:$I$4,0)),"Neutral")="Enemy",0.25,IF(CALC_DivisionalMap!$F$8=INDEX(REF_Dignity!$F$4:$F$12,MATCH("Mercury",REF_Dignity!$A$4:$A$12,0)),0.125,0.375))))),0)</f>
        <v>0.375</v>
      </c>
      <c r="E8" s="1018">
        <f>IFERROR(IF(CALC_DivisionalMap!$G$8=INDEX(REF_Dignity!$C$4:$C$12,MATCH("Mercury",REF_Dignity!$A$4:$A$12,0)),1,IF(ISNUMBER(SEARCH(CALC_DivisionalMap!$G$8,INDEX(REF_Dignity!$J$4:$J$12,MATCH("Mercury",REF_Dignity!$A$4:$A$12,0)))),1,IF(IFERROR(INDEX(REF_NaisargikaFriendship!$C$5:$I$11,MATCH("Mercury",REF_NaisargikaFriendship!$A$5:$A$11,0),MATCH(INDEX(REF_Zodiac!$D$7:$O$7,MATCH(CALC_DivisionalMap!$G$8,REF_Zodiac!$D$3:$O$3,0)),REF_NaisargikaFriendship!$C$4:$I$4,0)),"Neutral")="Friend",0.625,IF(IFERROR(INDEX(REF_NaisargikaFriendship!$C$5:$I$11,MATCH("Mercury",REF_NaisargikaFriendship!$A$5:$A$11,0),MATCH(INDEX(REF_Zodiac!$D$7:$O$7,MATCH(CALC_DivisionalMap!$G$8,REF_Zodiac!$D$3:$O$3,0)),REF_NaisargikaFriendship!$C$4:$I$4,0)),"Neutral")="Enemy",0.25,IF(CALC_DivisionalMap!$G$8=INDEX(REF_Dignity!$F$4:$F$12,MATCH("Mercury",REF_Dignity!$A$4:$A$12,0)),0.125,0.375))))),0)</f>
        <v>0.375</v>
      </c>
      <c r="F8" s="1018">
        <f>IFERROR(IF(CALC_DivisionalMap!$D$8=INDEX(REF_Dignity!$C$4:$C$12,MATCH("Mercury",REF_Dignity!$A$4:$A$12,0)),1,IF(ISNUMBER(SEARCH(CALC_DivisionalMap!$D$8,INDEX(REF_Dignity!$J$4:$J$12,MATCH("Mercury",REF_Dignity!$A$4:$A$12,0)))),1,IF(IFERROR(INDEX(REF_NaisargikaFriendship!$C$5:$I$11,MATCH("Mercury",REF_NaisargikaFriendship!$A$5:$A$11,0),MATCH(INDEX(REF_Zodiac!$D$7:$O$7,MATCH(CALC_DivisionalMap!$D$8,REF_Zodiac!$D$3:$O$3,0)),REF_NaisargikaFriendship!$C$4:$I$4,0)),"Neutral")="Friend",0.625,IF(IFERROR(INDEX(REF_NaisargikaFriendship!$C$5:$I$11,MATCH("Mercury",REF_NaisargikaFriendship!$A$5:$A$11,0),MATCH(INDEX(REF_Zodiac!$D$7:$O$7,MATCH(CALC_DivisionalMap!$D$8,REF_Zodiac!$D$3:$O$3,0)),REF_NaisargikaFriendship!$C$4:$I$4,0)),"Neutral")="Enemy",0.25,IF(CALC_DivisionalMap!$D$8=INDEX(REF_Dignity!$F$4:$F$12,MATCH("Mercury",REF_Dignity!$A$4:$A$12,0)),0.125,0.375))))),0)</f>
        <v>0.375</v>
      </c>
      <c r="G8" s="1018">
        <f>IFERROR(IF(CALC_DivisionalMap!$E$8=INDEX(REF_Dignity!$C$4:$C$12,MATCH("Mercury",REF_Dignity!$A$4:$A$12,0)),1,IF(ISNUMBER(SEARCH(CALC_DivisionalMap!$E$8,INDEX(REF_Dignity!$J$4:$J$12,MATCH("Mercury",REF_Dignity!$A$4:$A$12,0)))),1,IF(IFERROR(INDEX(REF_NaisargikaFriendship!$C$5:$I$11,MATCH("Mercury",REF_NaisargikaFriendship!$A$5:$A$11,0),MATCH(INDEX(REF_Zodiac!$D$7:$O$7,MATCH(CALC_DivisionalMap!$E$8,REF_Zodiac!$D$3:$O$3,0)),REF_NaisargikaFriendship!$C$4:$I$4,0)),"Neutral")="Friend",0.625,IF(IFERROR(INDEX(REF_NaisargikaFriendship!$C$5:$I$11,MATCH("Mercury",REF_NaisargikaFriendship!$A$5:$A$11,0),MATCH(INDEX(REF_Zodiac!$D$7:$O$7,MATCH(CALC_DivisionalMap!$E$8,REF_Zodiac!$D$3:$O$3,0)),REF_NaisargikaFriendship!$C$4:$I$4,0)),"Neutral")="Enemy",0.25,IF(CALC_DivisionalMap!$E$8=INDEX(REF_Dignity!$F$4:$F$12,MATCH("Mercury",REF_Dignity!$A$4:$A$12,0)),0.125,0.375))))),0)</f>
        <v>0.375</v>
      </c>
      <c r="H8" s="1018">
        <f>IFERROR(IF(CALC_DivisionalMap!$H$8=INDEX(REF_Dignity!$C$4:$C$12,MATCH("Mercury",REF_Dignity!$A$4:$A$12,0)),1,IF(ISNUMBER(SEARCH(CALC_DivisionalMap!$H$8,INDEX(REF_Dignity!$J$4:$J$12,MATCH("Mercury",REF_Dignity!$A$4:$A$12,0)))),1,IF(IFERROR(INDEX(REF_NaisargikaFriendship!$C$5:$I$11,MATCH("Mercury",REF_NaisargikaFriendship!$A$5:$A$11,0),MATCH(INDEX(REF_Zodiac!$D$7:$O$7,MATCH(CALC_DivisionalMap!$H$8,REF_Zodiac!$D$3:$O$3,0)),REF_NaisargikaFriendship!$C$4:$I$4,0)),"Neutral")="Friend",0.625,IF(IFERROR(INDEX(REF_NaisargikaFriendship!$C$5:$I$11,MATCH("Mercury",REF_NaisargikaFriendship!$A$5:$A$11,0),MATCH(INDEX(REF_Zodiac!$D$7:$O$7,MATCH(CALC_DivisionalMap!$H$8,REF_Zodiac!$D$3:$O$3,0)),REF_NaisargikaFriendship!$C$4:$I$4,0)),"Neutral")="Enemy",0.25,IF(CALC_DivisionalMap!$H$8=INDEX(REF_Dignity!$F$4:$F$12,MATCH("Mercury",REF_Dignity!$A$4:$A$12,0)),0.125,0.375))))),0)</f>
        <v>1</v>
      </c>
      <c r="I8" s="1019">
        <f t="shared" si="0"/>
        <v>7</v>
      </c>
      <c r="J8" s="1020">
        <f t="shared" si="1"/>
        <v>8</v>
      </c>
      <c r="K8" s="972" t="str">
        <f t="shared" si="2"/>
        <v>~ Average</v>
      </c>
      <c r="L8">
        <f>IFERROR(IF(CALC_DivisionalMap!$L$8=INDEX(REF_Dignity!$C$4:$C$12,MATCH("Mercury",REF_Dignity!$A$4:$A$12,0)),1,IF(ISNUMBER(SEARCH(CALC_DivisionalMap!$L$8,INDEX(REF_Dignity!$J$4:$J$12,MATCH("Mercury",REF_Dignity!$A$4:$A$12,0)))),1,IF(IFERROR(INDEX(REF_NaisargikaFriendship!$C$5:$I$11,MATCH("Mercury",REF_NaisargikaFriendship!$A$5:$A$11,0),MATCH(INDEX(REF_Zodiac!$D$7:$O$7,MATCH(CALC_DivisionalMap!$L$8,REF_Zodiac!$D$3:$O$3,0)),REF_NaisargikaFriendship!$C$4:$I$4,0)),"Neutral")="Friend",0.625,IF(IFERROR(INDEX(REF_NaisargikaFriendship!$C$5:$I$11,MATCH("Mercury",REF_NaisargikaFriendship!$A$5:$A$11,0),MATCH(INDEX(REF_Zodiac!$D$7:$O$7,MATCH(CALC_DivisionalMap!$L$8,REF_Zodiac!$D$3:$O$3,0)),REF_NaisargikaFriendship!$C$4:$I$4,0)),"Neutral")="Enemy",0.25,IF(CALC_DivisionalMap!$L$8=INDEX(REF_Dignity!$F$4:$F$12,MATCH("Mercury",REF_Dignity!$A$4:$A$12,0)),0.125,0.375))))),0)</f>
        <v>0.375</v>
      </c>
      <c r="M8">
        <f>IFERROR(IF(CALC_DivisionalMap!$M$8=INDEX(REF_Dignity!$C$4:$C$12,MATCH("Mercury",REF_Dignity!$A$4:$A$12,0)),1,IF(ISNUMBER(SEARCH(CALC_DivisionalMap!$M$8,INDEX(REF_Dignity!$J$4:$J$12,MATCH("Mercury",REF_Dignity!$A$4:$A$12,0)))),1,IF(IFERROR(INDEX(REF_NaisargikaFriendship!$C$5:$I$11,MATCH("Mercury",REF_NaisargikaFriendship!$A$5:$A$11,0),MATCH(INDEX(REF_Zodiac!$D$7:$O$7,MATCH(CALC_DivisionalMap!$M$8,REF_Zodiac!$D$3:$O$3,0)),REF_NaisargikaFriendship!$C$4:$I$4,0)),"Neutral")="Friend",0.625,IF(IFERROR(INDEX(REF_NaisargikaFriendship!$C$5:$I$11,MATCH("Mercury",REF_NaisargikaFriendship!$A$5:$A$11,0),MATCH(INDEX(REF_Zodiac!$D$7:$O$7,MATCH(CALC_DivisionalMap!$M$8,REF_Zodiac!$D$3:$O$3,0)),REF_NaisargikaFriendship!$C$4:$I$4,0)),"Neutral")="Enemy",0.25,IF(CALC_DivisionalMap!$M$8=INDEX(REF_Dignity!$F$4:$F$12,MATCH("Mercury",REF_Dignity!$A$4:$A$12,0)),0.125,0.375))))),0)</f>
        <v>0.375</v>
      </c>
      <c r="N8">
        <f>IFERROR(IF(CALC_DivisionalMap!$N$8=INDEX(REF_Dignity!$C$4:$C$12,MATCH("Mercury",REF_Dignity!$A$4:$A$12,0)),1,IF(ISNUMBER(SEARCH(CALC_DivisionalMap!$N$8,INDEX(REF_Dignity!$J$4:$J$12,MATCH("Mercury",REF_Dignity!$A$4:$A$12,0)))),1,IF(IFERROR(INDEX(REF_NaisargikaFriendship!$C$5:$I$11,MATCH("Mercury",REF_NaisargikaFriendship!$A$5:$A$11,0),MATCH(INDEX(REF_Zodiac!$D$7:$O$7,MATCH(CALC_DivisionalMap!$N$8,REF_Zodiac!$D$3:$O$3,0)),REF_NaisargikaFriendship!$C$4:$I$4,0)),"Neutral")="Friend",0.625,IF(IFERROR(INDEX(REF_NaisargikaFriendship!$C$5:$I$11,MATCH("Mercury",REF_NaisargikaFriendship!$A$5:$A$11,0),MATCH(INDEX(REF_Zodiac!$D$7:$O$7,MATCH(CALC_DivisionalMap!$N$8,REF_Zodiac!$D$3:$O$3,0)),REF_NaisargikaFriendship!$C$4:$I$4,0)),"Neutral")="Enemy",0.25,IF(CALC_DivisionalMap!$N$8=INDEX(REF_Dignity!$F$4:$F$12,MATCH("Mercury",REF_Dignity!$A$4:$A$12,0)),0.125,0.375))))),0)</f>
        <v>0.375</v>
      </c>
      <c r="O8">
        <f>IFERROR(IF(CALC_DivisionalMap!$O$8=INDEX(REF_Dignity!$C$4:$C$12,MATCH("Mercury",REF_Dignity!$A$4:$A$12,0)),1,IF(ISNUMBER(SEARCH(CALC_DivisionalMap!$O$8,INDEX(REF_Dignity!$J$4:$J$12,MATCH("Mercury",REF_Dignity!$A$4:$A$12,0)))),1,IF(IFERROR(INDEX(REF_NaisargikaFriendship!$C$5:$I$11,MATCH("Mercury",REF_NaisargikaFriendship!$A$5:$A$11,0),MATCH(INDEX(REF_Zodiac!$D$7:$O$7,MATCH(CALC_DivisionalMap!$O$8,REF_Zodiac!$D$3:$O$3,0)),REF_NaisargikaFriendship!$C$4:$I$4,0)),"Neutral")="Friend",0.625,IF(IFERROR(INDEX(REF_NaisargikaFriendship!$C$5:$I$11,MATCH("Mercury",REF_NaisargikaFriendship!$A$5:$A$11,0),MATCH(INDEX(REF_Zodiac!$D$7:$O$7,MATCH(CALC_DivisionalMap!$O$8,REF_Zodiac!$D$3:$O$3,0)),REF_NaisargikaFriendship!$C$4:$I$4,0)),"Neutral")="Enemy",0.25,IF(CALC_DivisionalMap!$O$8=INDEX(REF_Dignity!$F$4:$F$12,MATCH("Mercury",REF_Dignity!$A$4:$A$12,0)),0.125,0.375))))),0)</f>
        <v>0.625</v>
      </c>
      <c r="P8">
        <f>IFERROR(IF(CALC_DivisionalMap!$P$8=INDEX(REF_Dignity!$C$4:$C$12,MATCH("Mercury",REF_Dignity!$A$4:$A$12,0)),1,IF(ISNUMBER(SEARCH(CALC_DivisionalMap!$P$8,INDEX(REF_Dignity!$J$4:$J$12,MATCH("Mercury",REF_Dignity!$A$4:$A$12,0)))),1,IF(IFERROR(INDEX(REF_NaisargikaFriendship!$C$5:$I$11,MATCH("Mercury",REF_NaisargikaFriendship!$A$5:$A$11,0),MATCH(INDEX(REF_Zodiac!$D$7:$O$7,MATCH(CALC_DivisionalMap!$P$8,REF_Zodiac!$D$3:$O$3,0)),REF_NaisargikaFriendship!$C$4:$I$4,0)),"Neutral")="Friend",0.625,IF(IFERROR(INDEX(REF_NaisargikaFriendship!$C$5:$I$11,MATCH("Mercury",REF_NaisargikaFriendship!$A$5:$A$11,0),MATCH(INDEX(REF_Zodiac!$D$7:$O$7,MATCH(CALC_DivisionalMap!$P$8,REF_Zodiac!$D$3:$O$3,0)),REF_NaisargikaFriendship!$C$4:$I$4,0)),"Neutral")="Enemy",0.25,IF(CALC_DivisionalMap!$P$8=INDEX(REF_Dignity!$F$4:$F$12,MATCH("Mercury",REF_Dignity!$A$4:$A$12,0)),0.125,0.375))))),0)</f>
        <v>0.375</v>
      </c>
      <c r="Q8">
        <f>IFERROR(IF(CALC_DivisionalMap!$Q$8=INDEX(REF_Dignity!$C$4:$C$12,MATCH("Mercury",REF_Dignity!$A$4:$A$12,0)),1,IF(ISNUMBER(SEARCH(CALC_DivisionalMap!$Q$8,INDEX(REF_Dignity!$J$4:$J$12,MATCH("Mercury",REF_Dignity!$A$4:$A$12,0)))),1,IF(IFERROR(INDEX(REF_NaisargikaFriendship!$C$5:$I$11,MATCH("Mercury",REF_NaisargikaFriendship!$A$5:$A$11,0),MATCH(INDEX(REF_Zodiac!$D$7:$O$7,MATCH(CALC_DivisionalMap!$Q$8,REF_Zodiac!$D$3:$O$3,0)),REF_NaisargikaFriendship!$C$4:$I$4,0)),"Neutral")="Friend",0.625,IF(IFERROR(INDEX(REF_NaisargikaFriendship!$C$5:$I$11,MATCH("Mercury",REF_NaisargikaFriendship!$A$5:$A$11,0),MATCH(INDEX(REF_Zodiac!$D$7:$O$7,MATCH(CALC_DivisionalMap!$Q$8,REF_Zodiac!$D$3:$O$3,0)),REF_NaisargikaFriendship!$C$4:$I$4,0)),"Neutral")="Enemy",0.25,IF(CALC_DivisionalMap!$Q$8=INDEX(REF_Dignity!$F$4:$F$12,MATCH("Mercury",REF_Dignity!$A$4:$A$12,0)),0.125,0.375))))),0)</f>
        <v>0.375</v>
      </c>
      <c r="R8">
        <f>IFERROR(IF(CALC_DivisionalMap!$R$8=INDEX(REF_Dignity!$C$4:$C$12,MATCH("Mercury",REF_Dignity!$A$4:$A$12,0)),1,IF(ISNUMBER(SEARCH(CALC_DivisionalMap!$R$8,INDEX(REF_Dignity!$J$4:$J$12,MATCH("Mercury",REF_Dignity!$A$4:$A$12,0)))),1,IF(IFERROR(INDEX(REF_NaisargikaFriendship!$C$5:$I$11,MATCH("Mercury",REF_NaisargikaFriendship!$A$5:$A$11,0),MATCH(INDEX(REF_Zodiac!$D$7:$O$7,MATCH(CALC_DivisionalMap!$R$8,REF_Zodiac!$D$3:$O$3,0)),REF_NaisargikaFriendship!$C$4:$I$4,0)),"Neutral")="Friend",0.625,IF(IFERROR(INDEX(REF_NaisargikaFriendship!$C$5:$I$11,MATCH("Mercury",REF_NaisargikaFriendship!$A$5:$A$11,0),MATCH(INDEX(REF_Zodiac!$D$7:$O$7,MATCH(CALC_DivisionalMap!$R$8,REF_Zodiac!$D$3:$O$3,0)),REF_NaisargikaFriendship!$C$4:$I$4,0)),"Neutral")="Enemy",0.25,IF(CALC_DivisionalMap!$R$8=INDEX(REF_Dignity!$F$4:$F$12,MATCH("Mercury",REF_Dignity!$A$4:$A$12,0)),0.125,0.375))))),0)</f>
        <v>0.125</v>
      </c>
      <c r="S8">
        <f>IFERROR(IF(CALC_DivisionalMap!$S$8=INDEX(REF_Dignity!$C$4:$C$12,MATCH("Mercury",REF_Dignity!$A$4:$A$12,0)),1,IF(ISNUMBER(SEARCH(CALC_DivisionalMap!$S$8,INDEX(REF_Dignity!$J$4:$J$12,MATCH("Mercury",REF_Dignity!$A$4:$A$12,0)))),1,IF(IFERROR(INDEX(REF_NaisargikaFriendship!$C$5:$I$11,MATCH("Mercury",REF_NaisargikaFriendship!$A$5:$A$11,0),MATCH(INDEX(REF_Zodiac!$D$7:$O$7,MATCH(CALC_DivisionalMap!$S$8,REF_Zodiac!$D$3:$O$3,0)),REF_NaisargikaFriendship!$C$4:$I$4,0)),"Neutral")="Friend",0.625,IF(IFERROR(INDEX(REF_NaisargikaFriendship!$C$5:$I$11,MATCH("Mercury",REF_NaisargikaFriendship!$A$5:$A$11,0),MATCH(INDEX(REF_Zodiac!$D$7:$O$7,MATCH(CALC_DivisionalMap!$S$8,REF_Zodiac!$D$3:$O$3,0)),REF_NaisargikaFriendship!$C$4:$I$4,0)),"Neutral")="Enemy",0.25,IF(CALC_DivisionalMap!$S$8=INDEX(REF_Dignity!$F$4:$F$12,MATCH("Mercury",REF_Dignity!$A$4:$A$12,0)),0.125,0.375))))),0)</f>
        <v>0.625</v>
      </c>
    </row>
    <row r="9" spans="1:19" ht="18" customHeight="1" x14ac:dyDescent="0.2">
      <c r="A9" s="643" t="s">
        <v>270</v>
      </c>
      <c r="B9" s="1015">
        <f>IFERROR(IF(OR(CALC_PlanetPositions!$K$11="Exaltation",CALC_PlanetPositions!$K$11="Deep exalt",CALC_PlanetPositions!$K$11="Own sign",CALC_PlanetPositions!$K$11="Mooltrikona"),3.5,IF(OR(CALC_PlanetPositions!$K$11="Friendly sign",CALC_PlanetPositions!$K$11="Great friend"),3.5*0.625,IF(CALC_PlanetPositions!$K$11="Neutral sign",3.5*0.5,IF(OR(CALC_PlanetPositions!$K$11="Enemy sign",CALC_PlanetPositions!$K$11="Debilitation",CALC_PlanetPositions!$K$11="Deep debil"),3.5*0.25,3.5*0.375)))),0)</f>
        <v>0.875</v>
      </c>
      <c r="C9" s="1015">
        <f>IFERROR(IF(CALC_DivisionalMap!$J$9=INDEX(REF_Dignity!$C$4:$C$12,MATCH("Jupiter",REF_Dignity!$A$4:$A$12,0)),1,IF(ISNUMBER(SEARCH(CALC_DivisionalMap!$J$9,INDEX(REF_Dignity!$J$4:$J$12,MATCH("Jupiter",REF_Dignity!$A$4:$A$12,0)))),1,IF(IFERROR(INDEX(REF_NaisargikaFriendship!$C$5:$I$11,MATCH("Jupiter",REF_NaisargikaFriendship!$A$5:$A$11,0),MATCH(INDEX(REF_Zodiac!$D$7:$O$7,MATCH(CALC_DivisionalMap!$J$9,REF_Zodiac!$D$3:$O$3,0)),REF_NaisargikaFriendship!$C$4:$I$4,0)),"Neutral")="Friend",0.625,IF(IFERROR(INDEX(REF_NaisargikaFriendship!$C$5:$I$11,MATCH("Jupiter",REF_NaisargikaFriendship!$A$5:$A$11,0),MATCH(INDEX(REF_Zodiac!$D$7:$O$7,MATCH(CALC_DivisionalMap!$J$9,REF_Zodiac!$D$3:$O$3,0)),REF_NaisargikaFriendship!$C$4:$I$4,0)),"Neutral")="Enemy",0.25,IF(CALC_DivisionalMap!$J$9=INDEX(REF_Dignity!$F$4:$F$12,MATCH("Jupiter",REF_Dignity!$A$4:$A$12,0)),0.125,0.375))))),0)</f>
        <v>0.625</v>
      </c>
      <c r="D9" s="1015">
        <f>IFERROR(IF(CALC_DivisionalMap!$F$9=INDEX(REF_Dignity!$C$4:$C$12,MATCH("Jupiter",REF_Dignity!$A$4:$A$12,0)),1,IF(ISNUMBER(SEARCH(CALC_DivisionalMap!$F$9,INDEX(REF_Dignity!$J$4:$J$12,MATCH("Jupiter",REF_Dignity!$A$4:$A$12,0)))),1,IF(IFERROR(INDEX(REF_NaisargikaFriendship!$C$5:$I$11,MATCH("Jupiter",REF_NaisargikaFriendship!$A$5:$A$11,0),MATCH(INDEX(REF_Zodiac!$D$7:$O$7,MATCH(CALC_DivisionalMap!$F$9,REF_Zodiac!$D$3:$O$3,0)),REF_NaisargikaFriendship!$C$4:$I$4,0)),"Neutral")="Friend",0.625,IF(IFERROR(INDEX(REF_NaisargikaFriendship!$C$5:$I$11,MATCH("Jupiter",REF_NaisargikaFriendship!$A$5:$A$11,0),MATCH(INDEX(REF_Zodiac!$D$7:$O$7,MATCH(CALC_DivisionalMap!$F$9,REF_Zodiac!$D$3:$O$3,0)),REF_NaisargikaFriendship!$C$4:$I$4,0)),"Neutral")="Enemy",0.25,IF(CALC_DivisionalMap!$F$9=INDEX(REF_Dignity!$F$4:$F$12,MATCH("Jupiter",REF_Dignity!$A$4:$A$12,0)),0.125,0.375))))),0)</f>
        <v>1</v>
      </c>
      <c r="E9" s="1015">
        <f>IFERROR(IF(CALC_DivisionalMap!$G$9=INDEX(REF_Dignity!$C$4:$C$12,MATCH("Jupiter",REF_Dignity!$A$4:$A$12,0)),1,IF(ISNUMBER(SEARCH(CALC_DivisionalMap!$G$9,INDEX(REF_Dignity!$J$4:$J$12,MATCH("Jupiter",REF_Dignity!$A$4:$A$12,0)))),1,IF(IFERROR(INDEX(REF_NaisargikaFriendship!$C$5:$I$11,MATCH("Jupiter",REF_NaisargikaFriendship!$A$5:$A$11,0),MATCH(INDEX(REF_Zodiac!$D$7:$O$7,MATCH(CALC_DivisionalMap!$G$9,REF_Zodiac!$D$3:$O$3,0)),REF_NaisargikaFriendship!$C$4:$I$4,0)),"Neutral")="Friend",0.625,IF(IFERROR(INDEX(REF_NaisargikaFriendship!$C$5:$I$11,MATCH("Jupiter",REF_NaisargikaFriendship!$A$5:$A$11,0),MATCH(INDEX(REF_Zodiac!$D$7:$O$7,MATCH(CALC_DivisionalMap!$G$9,REF_Zodiac!$D$3:$O$3,0)),REF_NaisargikaFriendship!$C$4:$I$4,0)),"Neutral")="Enemy",0.25,IF(CALC_DivisionalMap!$G$9=INDEX(REF_Dignity!$F$4:$F$12,MATCH("Jupiter",REF_Dignity!$A$4:$A$12,0)),0.125,0.375))))),0)</f>
        <v>0.625</v>
      </c>
      <c r="F9" s="1015">
        <f>IFERROR(IF(CALC_DivisionalMap!$D$9=INDEX(REF_Dignity!$C$4:$C$12,MATCH("Jupiter",REF_Dignity!$A$4:$A$12,0)),1,IF(ISNUMBER(SEARCH(CALC_DivisionalMap!$D$9,INDEX(REF_Dignity!$J$4:$J$12,MATCH("Jupiter",REF_Dignity!$A$4:$A$12,0)))),1,IF(IFERROR(INDEX(REF_NaisargikaFriendship!$C$5:$I$11,MATCH("Jupiter",REF_NaisargikaFriendship!$A$5:$A$11,0),MATCH(INDEX(REF_Zodiac!$D$7:$O$7,MATCH(CALC_DivisionalMap!$D$9,REF_Zodiac!$D$3:$O$3,0)),REF_NaisargikaFriendship!$C$4:$I$4,0)),"Neutral")="Friend",0.625,IF(IFERROR(INDEX(REF_NaisargikaFriendship!$C$5:$I$11,MATCH("Jupiter",REF_NaisargikaFriendship!$A$5:$A$11,0),MATCH(INDEX(REF_Zodiac!$D$7:$O$7,MATCH(CALC_DivisionalMap!$D$9,REF_Zodiac!$D$3:$O$3,0)),REF_NaisargikaFriendship!$C$4:$I$4,0)),"Neutral")="Enemy",0.25,IF(CALC_DivisionalMap!$D$9=INDEX(REF_Dignity!$F$4:$F$12,MATCH("Jupiter",REF_Dignity!$A$4:$A$12,0)),0.125,0.375))))),0)</f>
        <v>0.375</v>
      </c>
      <c r="G9" s="1015">
        <f>IFERROR(IF(CALC_DivisionalMap!$E$9=INDEX(REF_Dignity!$C$4:$C$12,MATCH("Jupiter",REF_Dignity!$A$4:$A$12,0)),1,IF(ISNUMBER(SEARCH(CALC_DivisionalMap!$E$9,INDEX(REF_Dignity!$J$4:$J$12,MATCH("Jupiter",REF_Dignity!$A$4:$A$12,0)))),1,IF(IFERROR(INDEX(REF_NaisargikaFriendship!$C$5:$I$11,MATCH("Jupiter",REF_NaisargikaFriendship!$A$5:$A$11,0),MATCH(INDEX(REF_Zodiac!$D$7:$O$7,MATCH(CALC_DivisionalMap!$E$9,REF_Zodiac!$D$3:$O$3,0)),REF_NaisargikaFriendship!$C$4:$I$4,0)),"Neutral")="Friend",0.625,IF(IFERROR(INDEX(REF_NaisargikaFriendship!$C$5:$I$11,MATCH("Jupiter",REF_NaisargikaFriendship!$A$5:$A$11,0),MATCH(INDEX(REF_Zodiac!$D$7:$O$7,MATCH(CALC_DivisionalMap!$E$9,REF_Zodiac!$D$3:$O$3,0)),REF_NaisargikaFriendship!$C$4:$I$4,0)),"Neutral")="Enemy",0.25,IF(CALC_DivisionalMap!$E$9=INDEX(REF_Dignity!$F$4:$F$12,MATCH("Jupiter",REF_Dignity!$A$4:$A$12,0)),0.125,0.375))))),0)</f>
        <v>0.375</v>
      </c>
      <c r="H9" s="1015">
        <f>IFERROR(IF(CALC_DivisionalMap!$H$9=INDEX(REF_Dignity!$C$4:$C$12,MATCH("Jupiter",REF_Dignity!$A$4:$A$12,0)),1,IF(ISNUMBER(SEARCH(CALC_DivisionalMap!$H$9,INDEX(REF_Dignity!$J$4:$J$12,MATCH("Jupiter",REF_Dignity!$A$4:$A$12,0)))),1,IF(IFERROR(INDEX(REF_NaisargikaFriendship!$C$5:$I$11,MATCH("Jupiter",REF_NaisargikaFriendship!$A$5:$A$11,0),MATCH(INDEX(REF_Zodiac!$D$7:$O$7,MATCH(CALC_DivisionalMap!$H$9,REF_Zodiac!$D$3:$O$3,0)),REF_NaisargikaFriendship!$C$4:$I$4,0)),"Neutral")="Friend",0.625,IF(IFERROR(INDEX(REF_NaisargikaFriendship!$C$5:$I$11,MATCH("Jupiter",REF_NaisargikaFriendship!$A$5:$A$11,0),MATCH(INDEX(REF_Zodiac!$D$7:$O$7,MATCH(CALC_DivisionalMap!$H$9,REF_Zodiac!$D$3:$O$3,0)),REF_NaisargikaFriendship!$C$4:$I$4,0)),"Neutral")="Enemy",0.25,IF(CALC_DivisionalMap!$H$9=INDEX(REF_Dignity!$F$4:$F$12,MATCH("Jupiter",REF_Dignity!$A$4:$A$12,0)),0.125,0.375))))),0)</f>
        <v>0.375</v>
      </c>
      <c r="I9" s="1016">
        <f t="shared" si="0"/>
        <v>10</v>
      </c>
      <c r="J9" s="1017">
        <f t="shared" si="1"/>
        <v>11.43</v>
      </c>
      <c r="K9" s="965" t="str">
        <f t="shared" si="2"/>
        <v>~ Average</v>
      </c>
      <c r="L9">
        <f>IFERROR(IF(CALC_DivisionalMap!$L$9=INDEX(REF_Dignity!$C$4:$C$12,MATCH("Jupiter",REF_Dignity!$A$4:$A$12,0)),1,IF(ISNUMBER(SEARCH(CALC_DivisionalMap!$L$9,INDEX(REF_Dignity!$J$4:$J$12,MATCH("Jupiter",REF_Dignity!$A$4:$A$12,0)))),1,IF(IFERROR(INDEX(REF_NaisargikaFriendship!$C$5:$I$11,MATCH("Jupiter",REF_NaisargikaFriendship!$A$5:$A$11,0),MATCH(INDEX(REF_Zodiac!$D$7:$O$7,MATCH(CALC_DivisionalMap!$L$9,REF_Zodiac!$D$3:$O$3,0)),REF_NaisargikaFriendship!$C$4:$I$4,0)),"Neutral")="Friend",0.625,IF(IFERROR(INDEX(REF_NaisargikaFriendship!$C$5:$I$11,MATCH("Jupiter",REF_NaisargikaFriendship!$A$5:$A$11,0),MATCH(INDEX(REF_Zodiac!$D$7:$O$7,MATCH(CALC_DivisionalMap!$L$9,REF_Zodiac!$D$3:$O$3,0)),REF_NaisargikaFriendship!$C$4:$I$4,0)),"Neutral")="Enemy",0.25,IF(CALC_DivisionalMap!$L$9=INDEX(REF_Dignity!$F$4:$F$12,MATCH("Jupiter",REF_Dignity!$A$4:$A$12,0)),0.125,0.375))))),0)</f>
        <v>1</v>
      </c>
      <c r="M9">
        <f>IFERROR(IF(CALC_DivisionalMap!$M$9=INDEX(REF_Dignity!$C$4:$C$12,MATCH("Jupiter",REF_Dignity!$A$4:$A$12,0)),1,IF(ISNUMBER(SEARCH(CALC_DivisionalMap!$M$9,INDEX(REF_Dignity!$J$4:$J$12,MATCH("Jupiter",REF_Dignity!$A$4:$A$12,0)))),1,IF(IFERROR(INDEX(REF_NaisargikaFriendship!$C$5:$I$11,MATCH("Jupiter",REF_NaisargikaFriendship!$A$5:$A$11,0),MATCH(INDEX(REF_Zodiac!$D$7:$O$7,MATCH(CALC_DivisionalMap!$M$9,REF_Zodiac!$D$3:$O$3,0)),REF_NaisargikaFriendship!$C$4:$I$4,0)),"Neutral")="Friend",0.625,IF(IFERROR(INDEX(REF_NaisargikaFriendship!$C$5:$I$11,MATCH("Jupiter",REF_NaisargikaFriendship!$A$5:$A$11,0),MATCH(INDEX(REF_Zodiac!$D$7:$O$7,MATCH(CALC_DivisionalMap!$M$9,REF_Zodiac!$D$3:$O$3,0)),REF_NaisargikaFriendship!$C$4:$I$4,0)),"Neutral")="Enemy",0.25,IF(CALC_DivisionalMap!$M$9=INDEX(REF_Dignity!$F$4:$F$12,MATCH("Jupiter",REF_Dignity!$A$4:$A$12,0)),0.125,0.375))))),0)</f>
        <v>0.375</v>
      </c>
      <c r="N9">
        <f>IFERROR(IF(CALC_DivisionalMap!$N$9=INDEX(REF_Dignity!$C$4:$C$12,MATCH("Jupiter",REF_Dignity!$A$4:$A$12,0)),1,IF(ISNUMBER(SEARCH(CALC_DivisionalMap!$N$9,INDEX(REF_Dignity!$J$4:$J$12,MATCH("Jupiter",REF_Dignity!$A$4:$A$12,0)))),1,IF(IFERROR(INDEX(REF_NaisargikaFriendship!$C$5:$I$11,MATCH("Jupiter",REF_NaisargikaFriendship!$A$5:$A$11,0),MATCH(INDEX(REF_Zodiac!$D$7:$O$7,MATCH(CALC_DivisionalMap!$N$9,REF_Zodiac!$D$3:$O$3,0)),REF_NaisargikaFriendship!$C$4:$I$4,0)),"Neutral")="Friend",0.625,IF(IFERROR(INDEX(REF_NaisargikaFriendship!$C$5:$I$11,MATCH("Jupiter",REF_NaisargikaFriendship!$A$5:$A$11,0),MATCH(INDEX(REF_Zodiac!$D$7:$O$7,MATCH(CALC_DivisionalMap!$N$9,REF_Zodiac!$D$3:$O$3,0)),REF_NaisargikaFriendship!$C$4:$I$4,0)),"Neutral")="Enemy",0.25,IF(CALC_DivisionalMap!$N$9=INDEX(REF_Dignity!$F$4:$F$12,MATCH("Jupiter",REF_Dignity!$A$4:$A$12,0)),0.125,0.375))))),0)</f>
        <v>0.375</v>
      </c>
      <c r="O9">
        <f>IFERROR(IF(CALC_DivisionalMap!$O$9=INDEX(REF_Dignity!$C$4:$C$12,MATCH("Jupiter",REF_Dignity!$A$4:$A$12,0)),1,IF(ISNUMBER(SEARCH(CALC_DivisionalMap!$O$9,INDEX(REF_Dignity!$J$4:$J$12,MATCH("Jupiter",REF_Dignity!$A$4:$A$12,0)))),1,IF(IFERROR(INDEX(REF_NaisargikaFriendship!$C$5:$I$11,MATCH("Jupiter",REF_NaisargikaFriendship!$A$5:$A$11,0),MATCH(INDEX(REF_Zodiac!$D$7:$O$7,MATCH(CALC_DivisionalMap!$O$9,REF_Zodiac!$D$3:$O$3,0)),REF_NaisargikaFriendship!$C$4:$I$4,0)),"Neutral")="Friend",0.625,IF(IFERROR(INDEX(REF_NaisargikaFriendship!$C$5:$I$11,MATCH("Jupiter",REF_NaisargikaFriendship!$A$5:$A$11,0),MATCH(INDEX(REF_Zodiac!$D$7:$O$7,MATCH(CALC_DivisionalMap!$O$9,REF_Zodiac!$D$3:$O$3,0)),REF_NaisargikaFriendship!$C$4:$I$4,0)),"Neutral")="Enemy",0.25,IF(CALC_DivisionalMap!$O$9=INDEX(REF_Dignity!$F$4:$F$12,MATCH("Jupiter",REF_Dignity!$A$4:$A$12,0)),0.125,0.375))))),0)</f>
        <v>0.625</v>
      </c>
      <c r="P9">
        <f>IFERROR(IF(CALC_DivisionalMap!$P$9=INDEX(REF_Dignity!$C$4:$C$12,MATCH("Jupiter",REF_Dignity!$A$4:$A$12,0)),1,IF(ISNUMBER(SEARCH(CALC_DivisionalMap!$P$9,INDEX(REF_Dignity!$J$4:$J$12,MATCH("Jupiter",REF_Dignity!$A$4:$A$12,0)))),1,IF(IFERROR(INDEX(REF_NaisargikaFriendship!$C$5:$I$11,MATCH("Jupiter",REF_NaisargikaFriendship!$A$5:$A$11,0),MATCH(INDEX(REF_Zodiac!$D$7:$O$7,MATCH(CALC_DivisionalMap!$P$9,REF_Zodiac!$D$3:$O$3,0)),REF_NaisargikaFriendship!$C$4:$I$4,0)),"Neutral")="Friend",0.625,IF(IFERROR(INDEX(REF_NaisargikaFriendship!$C$5:$I$11,MATCH("Jupiter",REF_NaisargikaFriendship!$A$5:$A$11,0),MATCH(INDEX(REF_Zodiac!$D$7:$O$7,MATCH(CALC_DivisionalMap!$P$9,REF_Zodiac!$D$3:$O$3,0)),REF_NaisargikaFriendship!$C$4:$I$4,0)),"Neutral")="Enemy",0.25,IF(CALC_DivisionalMap!$P$9=INDEX(REF_Dignity!$F$4:$F$12,MATCH("Jupiter",REF_Dignity!$A$4:$A$12,0)),0.125,0.375))))),0)</f>
        <v>1</v>
      </c>
      <c r="Q9">
        <f>IFERROR(IF(CALC_DivisionalMap!$Q$9=INDEX(REF_Dignity!$C$4:$C$12,MATCH("Jupiter",REF_Dignity!$A$4:$A$12,0)),1,IF(ISNUMBER(SEARCH(CALC_DivisionalMap!$Q$9,INDEX(REF_Dignity!$J$4:$J$12,MATCH("Jupiter",REF_Dignity!$A$4:$A$12,0)))),1,IF(IFERROR(INDEX(REF_NaisargikaFriendship!$C$5:$I$11,MATCH("Jupiter",REF_NaisargikaFriendship!$A$5:$A$11,0),MATCH(INDEX(REF_Zodiac!$D$7:$O$7,MATCH(CALC_DivisionalMap!$Q$9,REF_Zodiac!$D$3:$O$3,0)),REF_NaisargikaFriendship!$C$4:$I$4,0)),"Neutral")="Friend",0.625,IF(IFERROR(INDEX(REF_NaisargikaFriendship!$C$5:$I$11,MATCH("Jupiter",REF_NaisargikaFriendship!$A$5:$A$11,0),MATCH(INDEX(REF_Zodiac!$D$7:$O$7,MATCH(CALC_DivisionalMap!$Q$9,REF_Zodiac!$D$3:$O$3,0)),REF_NaisargikaFriendship!$C$4:$I$4,0)),"Neutral")="Enemy",0.25,IF(CALC_DivisionalMap!$Q$9=INDEX(REF_Dignity!$F$4:$F$12,MATCH("Jupiter",REF_Dignity!$A$4:$A$12,0)),0.125,0.375))))),0)</f>
        <v>0.375</v>
      </c>
      <c r="R9">
        <f>IFERROR(IF(CALC_DivisionalMap!$R$9=INDEX(REF_Dignity!$C$4:$C$12,MATCH("Jupiter",REF_Dignity!$A$4:$A$12,0)),1,IF(ISNUMBER(SEARCH(CALC_DivisionalMap!$R$9,INDEX(REF_Dignity!$J$4:$J$12,MATCH("Jupiter",REF_Dignity!$A$4:$A$12,0)))),1,IF(IFERROR(INDEX(REF_NaisargikaFriendship!$C$5:$I$11,MATCH("Jupiter",REF_NaisargikaFriendship!$A$5:$A$11,0),MATCH(INDEX(REF_Zodiac!$D$7:$O$7,MATCH(CALC_DivisionalMap!$R$9,REF_Zodiac!$D$3:$O$3,0)),REF_NaisargikaFriendship!$C$4:$I$4,0)),"Neutral")="Friend",0.625,IF(IFERROR(INDEX(REF_NaisargikaFriendship!$C$5:$I$11,MATCH("Jupiter",REF_NaisargikaFriendship!$A$5:$A$11,0),MATCH(INDEX(REF_Zodiac!$D$7:$O$7,MATCH(CALC_DivisionalMap!$R$9,REF_Zodiac!$D$3:$O$3,0)),REF_NaisargikaFriendship!$C$4:$I$4,0)),"Neutral")="Enemy",0.25,IF(CALC_DivisionalMap!$R$9=INDEX(REF_Dignity!$F$4:$F$12,MATCH("Jupiter",REF_Dignity!$A$4:$A$12,0)),0.125,0.375))))),0)</f>
        <v>1</v>
      </c>
      <c r="S9">
        <f>IFERROR(IF(CALC_DivisionalMap!$S$9=INDEX(REF_Dignity!$C$4:$C$12,MATCH("Jupiter",REF_Dignity!$A$4:$A$12,0)),1,IF(ISNUMBER(SEARCH(CALC_DivisionalMap!$S$9,INDEX(REF_Dignity!$J$4:$J$12,MATCH("Jupiter",REF_Dignity!$A$4:$A$12,0)))),1,IF(IFERROR(INDEX(REF_NaisargikaFriendship!$C$5:$I$11,MATCH("Jupiter",REF_NaisargikaFriendship!$A$5:$A$11,0),MATCH(INDEX(REF_Zodiac!$D$7:$O$7,MATCH(CALC_DivisionalMap!$S$9,REF_Zodiac!$D$3:$O$3,0)),REF_NaisargikaFriendship!$C$4:$I$4,0)),"Neutral")="Friend",0.625,IF(IFERROR(INDEX(REF_NaisargikaFriendship!$C$5:$I$11,MATCH("Jupiter",REF_NaisargikaFriendship!$A$5:$A$11,0),MATCH(INDEX(REF_Zodiac!$D$7:$O$7,MATCH(CALC_DivisionalMap!$S$9,REF_Zodiac!$D$3:$O$3,0)),REF_NaisargikaFriendship!$C$4:$I$4,0)),"Neutral")="Enemy",0.25,IF(CALC_DivisionalMap!$S$9=INDEX(REF_Dignity!$F$4:$F$12,MATCH("Jupiter",REF_Dignity!$A$4:$A$12,0)),0.125,0.375))))),0)</f>
        <v>1</v>
      </c>
    </row>
    <row r="10" spans="1:19" ht="18" customHeight="1" x14ac:dyDescent="0.2">
      <c r="A10" s="547" t="s">
        <v>271</v>
      </c>
      <c r="B10" s="1018">
        <f>IFERROR(IF(OR(CALC_PlanetPositions!$K$12="Exaltation",CALC_PlanetPositions!$K$12="Deep exalt",CALC_PlanetPositions!$K$12="Own sign",CALC_PlanetPositions!$K$12="Mooltrikona"),3.5,IF(OR(CALC_PlanetPositions!$K$12="Friendly sign",CALC_PlanetPositions!$K$12="Great friend"),3.5*0.625,IF(CALC_PlanetPositions!$K$12="Neutral sign",3.5*0.5,IF(OR(CALC_PlanetPositions!$K$12="Enemy sign",CALC_PlanetPositions!$K$12="Debilitation",CALC_PlanetPositions!$K$12="Deep debil"),3.5*0.25,3.5*0.375)))),0)</f>
        <v>1.75</v>
      </c>
      <c r="C10" s="1018">
        <f>IFERROR(IF(CALC_DivisionalMap!$J$10=INDEX(REF_Dignity!$C$4:$C$12,MATCH("Venus",REF_Dignity!$A$4:$A$12,0)),1,IF(ISNUMBER(SEARCH(CALC_DivisionalMap!$J$10,INDEX(REF_Dignity!$J$4:$J$12,MATCH("Venus",REF_Dignity!$A$4:$A$12,0)))),1,IF(IFERROR(INDEX(REF_NaisargikaFriendship!$C$5:$I$11,MATCH("Venus",REF_NaisargikaFriendship!$A$5:$A$11,0),MATCH(INDEX(REF_Zodiac!$D$7:$O$7,MATCH(CALC_DivisionalMap!$J$10,REF_Zodiac!$D$3:$O$3,0)),REF_NaisargikaFriendship!$C$4:$I$4,0)),"Neutral")="Friend",0.625,IF(IFERROR(INDEX(REF_NaisargikaFriendship!$C$5:$I$11,MATCH("Venus",REF_NaisargikaFriendship!$A$5:$A$11,0),MATCH(INDEX(REF_Zodiac!$D$7:$O$7,MATCH(CALC_DivisionalMap!$J$10,REF_Zodiac!$D$3:$O$3,0)),REF_NaisargikaFriendship!$C$4:$I$4,0)),"Neutral")="Enemy",0.25,IF(CALC_DivisionalMap!$J$10=INDEX(REF_Dignity!$F$4:$F$12,MATCH("Venus",REF_Dignity!$A$4:$A$12,0)),0.125,0.375))))),0)</f>
        <v>0.375</v>
      </c>
      <c r="D10" s="1018">
        <f>IFERROR(IF(CALC_DivisionalMap!$F$10=INDEX(REF_Dignity!$C$4:$C$12,MATCH("Venus",REF_Dignity!$A$4:$A$12,0)),1,IF(ISNUMBER(SEARCH(CALC_DivisionalMap!$F$10,INDEX(REF_Dignity!$J$4:$J$12,MATCH("Venus",REF_Dignity!$A$4:$A$12,0)))),1,IF(IFERROR(INDEX(REF_NaisargikaFriendship!$C$5:$I$11,MATCH("Venus",REF_NaisargikaFriendship!$A$5:$A$11,0),MATCH(INDEX(REF_Zodiac!$D$7:$O$7,MATCH(CALC_DivisionalMap!$F$10,REF_Zodiac!$D$3:$O$3,0)),REF_NaisargikaFriendship!$C$4:$I$4,0)),"Neutral")="Friend",0.625,IF(IFERROR(INDEX(REF_NaisargikaFriendship!$C$5:$I$11,MATCH("Venus",REF_NaisargikaFriendship!$A$5:$A$11,0),MATCH(INDEX(REF_Zodiac!$D$7:$O$7,MATCH(CALC_DivisionalMap!$F$10,REF_Zodiac!$D$3:$O$3,0)),REF_NaisargikaFriendship!$C$4:$I$4,0)),"Neutral")="Enemy",0.25,IF(CALC_DivisionalMap!$F$10=INDEX(REF_Dignity!$F$4:$F$12,MATCH("Venus",REF_Dignity!$A$4:$A$12,0)),0.125,0.375))))),0)</f>
        <v>1</v>
      </c>
      <c r="E10" s="1018">
        <f>IFERROR(IF(CALC_DivisionalMap!$G$10=INDEX(REF_Dignity!$C$4:$C$12,MATCH("Venus",REF_Dignity!$A$4:$A$12,0)),1,IF(ISNUMBER(SEARCH(CALC_DivisionalMap!$G$10,INDEX(REF_Dignity!$J$4:$J$12,MATCH("Venus",REF_Dignity!$A$4:$A$12,0)))),1,IF(IFERROR(INDEX(REF_NaisargikaFriendship!$C$5:$I$11,MATCH("Venus",REF_NaisargikaFriendship!$A$5:$A$11,0),MATCH(INDEX(REF_Zodiac!$D$7:$O$7,MATCH(CALC_DivisionalMap!$G$10,REF_Zodiac!$D$3:$O$3,0)),REF_NaisargikaFriendship!$C$4:$I$4,0)),"Neutral")="Friend",0.625,IF(IFERROR(INDEX(REF_NaisargikaFriendship!$C$5:$I$11,MATCH("Venus",REF_NaisargikaFriendship!$A$5:$A$11,0),MATCH(INDEX(REF_Zodiac!$D$7:$O$7,MATCH(CALC_DivisionalMap!$G$10,REF_Zodiac!$D$3:$O$3,0)),REF_NaisargikaFriendship!$C$4:$I$4,0)),"Neutral")="Enemy",0.25,IF(CALC_DivisionalMap!$G$10=INDEX(REF_Dignity!$F$4:$F$12,MATCH("Venus",REF_Dignity!$A$4:$A$12,0)),0.125,0.375))))),0)</f>
        <v>0.625</v>
      </c>
      <c r="F10" s="1018">
        <f>IFERROR(IF(CALC_DivisionalMap!$D$10=INDEX(REF_Dignity!$C$4:$C$12,MATCH("Venus",REF_Dignity!$A$4:$A$12,0)),1,IF(ISNUMBER(SEARCH(CALC_DivisionalMap!$D$10,INDEX(REF_Dignity!$J$4:$J$12,MATCH("Venus",REF_Dignity!$A$4:$A$12,0)))),1,IF(IFERROR(INDEX(REF_NaisargikaFriendship!$C$5:$I$11,MATCH("Venus",REF_NaisargikaFriendship!$A$5:$A$11,0),MATCH(INDEX(REF_Zodiac!$D$7:$O$7,MATCH(CALC_DivisionalMap!$D$10,REF_Zodiac!$D$3:$O$3,0)),REF_NaisargikaFriendship!$C$4:$I$4,0)),"Neutral")="Friend",0.625,IF(IFERROR(INDEX(REF_NaisargikaFriendship!$C$5:$I$11,MATCH("Venus",REF_NaisargikaFriendship!$A$5:$A$11,0),MATCH(INDEX(REF_Zodiac!$D$7:$O$7,MATCH(CALC_DivisionalMap!$D$10,REF_Zodiac!$D$3:$O$3,0)),REF_NaisargikaFriendship!$C$4:$I$4,0)),"Neutral")="Enemy",0.25,IF(CALC_DivisionalMap!$D$10=INDEX(REF_Dignity!$F$4:$F$12,MATCH("Venus",REF_Dignity!$A$4:$A$12,0)),0.125,0.375))))),0)</f>
        <v>0.625</v>
      </c>
      <c r="G10" s="1018">
        <f>IFERROR(IF(CALC_DivisionalMap!$E$10=INDEX(REF_Dignity!$C$4:$C$12,MATCH("Venus",REF_Dignity!$A$4:$A$12,0)),1,IF(ISNUMBER(SEARCH(CALC_DivisionalMap!$E$10,INDEX(REF_Dignity!$J$4:$J$12,MATCH("Venus",REF_Dignity!$A$4:$A$12,0)))),1,IF(IFERROR(INDEX(REF_NaisargikaFriendship!$C$5:$I$11,MATCH("Venus",REF_NaisargikaFriendship!$A$5:$A$11,0),MATCH(INDEX(REF_Zodiac!$D$7:$O$7,MATCH(CALC_DivisionalMap!$E$10,REF_Zodiac!$D$3:$O$3,0)),REF_NaisargikaFriendship!$C$4:$I$4,0)),"Neutral")="Friend",0.625,IF(IFERROR(INDEX(REF_NaisargikaFriendship!$C$5:$I$11,MATCH("Venus",REF_NaisargikaFriendship!$A$5:$A$11,0),MATCH(INDEX(REF_Zodiac!$D$7:$O$7,MATCH(CALC_DivisionalMap!$E$10,REF_Zodiac!$D$3:$O$3,0)),REF_NaisargikaFriendship!$C$4:$I$4,0)),"Neutral")="Enemy",0.25,IF(CALC_DivisionalMap!$E$10=INDEX(REF_Dignity!$F$4:$F$12,MATCH("Venus",REF_Dignity!$A$4:$A$12,0)),0.125,0.375))))),0)</f>
        <v>0.375</v>
      </c>
      <c r="H10" s="1018">
        <f>IFERROR(IF(CALC_DivisionalMap!$H$10=INDEX(REF_Dignity!$C$4:$C$12,MATCH("Venus",REF_Dignity!$A$4:$A$12,0)),1,IF(ISNUMBER(SEARCH(CALC_DivisionalMap!$H$10,INDEX(REF_Dignity!$J$4:$J$12,MATCH("Venus",REF_Dignity!$A$4:$A$12,0)))),1,IF(IFERROR(INDEX(REF_NaisargikaFriendship!$C$5:$I$11,MATCH("Venus",REF_NaisargikaFriendship!$A$5:$A$11,0),MATCH(INDEX(REF_Zodiac!$D$7:$O$7,MATCH(CALC_DivisionalMap!$H$10,REF_Zodiac!$D$3:$O$3,0)),REF_NaisargikaFriendship!$C$4:$I$4,0)),"Neutral")="Friend",0.625,IF(IFERROR(INDEX(REF_NaisargikaFriendship!$C$5:$I$11,MATCH("Venus",REF_NaisargikaFriendship!$A$5:$A$11,0),MATCH(INDEX(REF_Zodiac!$D$7:$O$7,MATCH(CALC_DivisionalMap!$H$10,REF_Zodiac!$D$3:$O$3,0)),REF_NaisargikaFriendship!$C$4:$I$4,0)),"Neutral")="Enemy",0.25,IF(CALC_DivisionalMap!$H$10=INDEX(REF_Dignity!$F$4:$F$12,MATCH("Venus",REF_Dignity!$A$4:$A$12,0)),0.125,0.375))))),0)</f>
        <v>0.625</v>
      </c>
      <c r="I10" s="1019">
        <f t="shared" si="0"/>
        <v>8.625</v>
      </c>
      <c r="J10" s="1020">
        <f t="shared" si="1"/>
        <v>9.86</v>
      </c>
      <c r="K10" s="972" t="str">
        <f t="shared" si="2"/>
        <v>~ Average</v>
      </c>
      <c r="L10">
        <f>IFERROR(IF(CALC_DivisionalMap!$L$10=INDEX(REF_Dignity!$C$4:$C$12,MATCH("Venus",REF_Dignity!$A$4:$A$12,0)),1,IF(ISNUMBER(SEARCH(CALC_DivisionalMap!$L$10,INDEX(REF_Dignity!$J$4:$J$12,MATCH("Venus",REF_Dignity!$A$4:$A$12,0)))),1,IF(IFERROR(INDEX(REF_NaisargikaFriendship!$C$5:$I$11,MATCH("Venus",REF_NaisargikaFriendship!$A$5:$A$11,0),MATCH(INDEX(REF_Zodiac!$D$7:$O$7,MATCH(CALC_DivisionalMap!$L$10,REF_Zodiac!$D$3:$O$3,0)),REF_NaisargikaFriendship!$C$4:$I$4,0)),"Neutral")="Friend",0.625,IF(IFERROR(INDEX(REF_NaisargikaFriendship!$C$5:$I$11,MATCH("Venus",REF_NaisargikaFriendship!$A$5:$A$11,0),MATCH(INDEX(REF_Zodiac!$D$7:$O$7,MATCH(CALC_DivisionalMap!$L$10,REF_Zodiac!$D$3:$O$3,0)),REF_NaisargikaFriendship!$C$4:$I$4,0)),"Neutral")="Enemy",0.25,IF(CALC_DivisionalMap!$L$10=INDEX(REF_Dignity!$F$4:$F$12,MATCH("Venus",REF_Dignity!$A$4:$A$12,0)),0.125,0.375))))),0)</f>
        <v>0.375</v>
      </c>
      <c r="M10">
        <f>IFERROR(IF(CALC_DivisionalMap!$M$10=INDEX(REF_Dignity!$C$4:$C$12,MATCH("Venus",REF_Dignity!$A$4:$A$12,0)),1,IF(ISNUMBER(SEARCH(CALC_DivisionalMap!$M$10,INDEX(REF_Dignity!$J$4:$J$12,MATCH("Venus",REF_Dignity!$A$4:$A$12,0)))),1,IF(IFERROR(INDEX(REF_NaisargikaFriendship!$C$5:$I$11,MATCH("Venus",REF_NaisargikaFriendship!$A$5:$A$11,0),MATCH(INDEX(REF_Zodiac!$D$7:$O$7,MATCH(CALC_DivisionalMap!$M$10,REF_Zodiac!$D$3:$O$3,0)),REF_NaisargikaFriendship!$C$4:$I$4,0)),"Neutral")="Friend",0.625,IF(IFERROR(INDEX(REF_NaisargikaFriendship!$C$5:$I$11,MATCH("Venus",REF_NaisargikaFriendship!$A$5:$A$11,0),MATCH(INDEX(REF_Zodiac!$D$7:$O$7,MATCH(CALC_DivisionalMap!$M$10,REF_Zodiac!$D$3:$O$3,0)),REF_NaisargikaFriendship!$C$4:$I$4,0)),"Neutral")="Enemy",0.25,IF(CALC_DivisionalMap!$M$10=INDEX(REF_Dignity!$F$4:$F$12,MATCH("Venus",REF_Dignity!$A$4:$A$12,0)),0.125,0.375))))),0)</f>
        <v>0.375</v>
      </c>
      <c r="N10">
        <f>IFERROR(IF(CALC_DivisionalMap!$N$10=INDEX(REF_Dignity!$C$4:$C$12,MATCH("Venus",REF_Dignity!$A$4:$A$12,0)),1,IF(ISNUMBER(SEARCH(CALC_DivisionalMap!$N$10,INDEX(REF_Dignity!$J$4:$J$12,MATCH("Venus",REF_Dignity!$A$4:$A$12,0)))),1,IF(IFERROR(INDEX(REF_NaisargikaFriendship!$C$5:$I$11,MATCH("Venus",REF_NaisargikaFriendship!$A$5:$A$11,0),MATCH(INDEX(REF_Zodiac!$D$7:$O$7,MATCH(CALC_DivisionalMap!$N$10,REF_Zodiac!$D$3:$O$3,0)),REF_NaisargikaFriendship!$C$4:$I$4,0)),"Neutral")="Friend",0.625,IF(IFERROR(INDEX(REF_NaisargikaFriendship!$C$5:$I$11,MATCH("Venus",REF_NaisargikaFriendship!$A$5:$A$11,0),MATCH(INDEX(REF_Zodiac!$D$7:$O$7,MATCH(CALC_DivisionalMap!$N$10,REF_Zodiac!$D$3:$O$3,0)),REF_NaisargikaFriendship!$C$4:$I$4,0)),"Neutral")="Enemy",0.25,IF(CALC_DivisionalMap!$N$10=INDEX(REF_Dignity!$F$4:$F$12,MATCH("Venus",REF_Dignity!$A$4:$A$12,0)),0.125,0.375))))),0)</f>
        <v>0.375</v>
      </c>
      <c r="O10">
        <f>IFERROR(IF(CALC_DivisionalMap!$O$10=INDEX(REF_Dignity!$C$4:$C$12,MATCH("Venus",REF_Dignity!$A$4:$A$12,0)),1,IF(ISNUMBER(SEARCH(CALC_DivisionalMap!$O$10,INDEX(REF_Dignity!$J$4:$J$12,MATCH("Venus",REF_Dignity!$A$4:$A$12,0)))),1,IF(IFERROR(INDEX(REF_NaisargikaFriendship!$C$5:$I$11,MATCH("Venus",REF_NaisargikaFriendship!$A$5:$A$11,0),MATCH(INDEX(REF_Zodiac!$D$7:$O$7,MATCH(CALC_DivisionalMap!$O$10,REF_Zodiac!$D$3:$O$3,0)),REF_NaisargikaFriendship!$C$4:$I$4,0)),"Neutral")="Friend",0.625,IF(IFERROR(INDEX(REF_NaisargikaFriendship!$C$5:$I$11,MATCH("Venus",REF_NaisargikaFriendship!$A$5:$A$11,0),MATCH(INDEX(REF_Zodiac!$D$7:$O$7,MATCH(CALC_DivisionalMap!$O$10,REF_Zodiac!$D$3:$O$3,0)),REF_NaisargikaFriendship!$C$4:$I$4,0)),"Neutral")="Enemy",0.25,IF(CALC_DivisionalMap!$O$10=INDEX(REF_Dignity!$F$4:$F$12,MATCH("Venus",REF_Dignity!$A$4:$A$12,0)),0.125,0.375))))),0)</f>
        <v>0.625</v>
      </c>
      <c r="P10">
        <f>IFERROR(IF(CALC_DivisionalMap!$P$10=INDEX(REF_Dignity!$C$4:$C$12,MATCH("Venus",REF_Dignity!$A$4:$A$12,0)),1,IF(ISNUMBER(SEARCH(CALC_DivisionalMap!$P$10,INDEX(REF_Dignity!$J$4:$J$12,MATCH("Venus",REF_Dignity!$A$4:$A$12,0)))),1,IF(IFERROR(INDEX(REF_NaisargikaFriendship!$C$5:$I$11,MATCH("Venus",REF_NaisargikaFriendship!$A$5:$A$11,0),MATCH(INDEX(REF_Zodiac!$D$7:$O$7,MATCH(CALC_DivisionalMap!$P$10,REF_Zodiac!$D$3:$O$3,0)),REF_NaisargikaFriendship!$C$4:$I$4,0)),"Neutral")="Friend",0.625,IF(IFERROR(INDEX(REF_NaisargikaFriendship!$C$5:$I$11,MATCH("Venus",REF_NaisargikaFriendship!$A$5:$A$11,0),MATCH(INDEX(REF_Zodiac!$D$7:$O$7,MATCH(CALC_DivisionalMap!$P$10,REF_Zodiac!$D$3:$O$3,0)),REF_NaisargikaFriendship!$C$4:$I$4,0)),"Neutral")="Enemy",0.25,IF(CALC_DivisionalMap!$P$10=INDEX(REF_Dignity!$F$4:$F$12,MATCH("Venus",REF_Dignity!$A$4:$A$12,0)),0.125,0.375))))),0)</f>
        <v>0.375</v>
      </c>
      <c r="Q10">
        <f>IFERROR(IF(CALC_DivisionalMap!$Q$10=INDEX(REF_Dignity!$C$4:$C$12,MATCH("Venus",REF_Dignity!$A$4:$A$12,0)),1,IF(ISNUMBER(SEARCH(CALC_DivisionalMap!$Q$10,INDEX(REF_Dignity!$J$4:$J$12,MATCH("Venus",REF_Dignity!$A$4:$A$12,0)))),1,IF(IFERROR(INDEX(REF_NaisargikaFriendship!$C$5:$I$11,MATCH("Venus",REF_NaisargikaFriendship!$A$5:$A$11,0),MATCH(INDEX(REF_Zodiac!$D$7:$O$7,MATCH(CALC_DivisionalMap!$Q$10,REF_Zodiac!$D$3:$O$3,0)),REF_NaisargikaFriendship!$C$4:$I$4,0)),"Neutral")="Friend",0.625,IF(IFERROR(INDEX(REF_NaisargikaFriendship!$C$5:$I$11,MATCH("Venus",REF_NaisargikaFriendship!$A$5:$A$11,0),MATCH(INDEX(REF_Zodiac!$D$7:$O$7,MATCH(CALC_DivisionalMap!$Q$10,REF_Zodiac!$D$3:$O$3,0)),REF_NaisargikaFriendship!$C$4:$I$4,0)),"Neutral")="Enemy",0.25,IF(CALC_DivisionalMap!$Q$10=INDEX(REF_Dignity!$F$4:$F$12,MATCH("Venus",REF_Dignity!$A$4:$A$12,0)),0.125,0.375))))),0)</f>
        <v>0.375</v>
      </c>
      <c r="R10">
        <f>IFERROR(IF(CALC_DivisionalMap!$R$10=INDEX(REF_Dignity!$C$4:$C$12,MATCH("Venus",REF_Dignity!$A$4:$A$12,0)),1,IF(ISNUMBER(SEARCH(CALC_DivisionalMap!$R$10,INDEX(REF_Dignity!$J$4:$J$12,MATCH("Venus",REF_Dignity!$A$4:$A$12,0)))),1,IF(IFERROR(INDEX(REF_NaisargikaFriendship!$C$5:$I$11,MATCH("Venus",REF_NaisargikaFriendship!$A$5:$A$11,0),MATCH(INDEX(REF_Zodiac!$D$7:$O$7,MATCH(CALC_DivisionalMap!$R$10,REF_Zodiac!$D$3:$O$3,0)),REF_NaisargikaFriendship!$C$4:$I$4,0)),"Neutral")="Friend",0.625,IF(IFERROR(INDEX(REF_NaisargikaFriendship!$C$5:$I$11,MATCH("Venus",REF_NaisargikaFriendship!$A$5:$A$11,0),MATCH(INDEX(REF_Zodiac!$D$7:$O$7,MATCH(CALC_DivisionalMap!$R$10,REF_Zodiac!$D$3:$O$3,0)),REF_NaisargikaFriendship!$C$4:$I$4,0)),"Neutral")="Enemy",0.25,IF(CALC_DivisionalMap!$R$10=INDEX(REF_Dignity!$F$4:$F$12,MATCH("Venus",REF_Dignity!$A$4:$A$12,0)),0.125,0.375))))),0)</f>
        <v>0.375</v>
      </c>
      <c r="S10">
        <f>IFERROR(IF(CALC_DivisionalMap!$S$10=INDEX(REF_Dignity!$C$4:$C$12,MATCH("Venus",REF_Dignity!$A$4:$A$12,0)),1,IF(ISNUMBER(SEARCH(CALC_DivisionalMap!$S$10,INDEX(REF_Dignity!$J$4:$J$12,MATCH("Venus",REF_Dignity!$A$4:$A$12,0)))),1,IF(IFERROR(INDEX(REF_NaisargikaFriendship!$C$5:$I$11,MATCH("Venus",REF_NaisargikaFriendship!$A$5:$A$11,0),MATCH(INDEX(REF_Zodiac!$D$7:$O$7,MATCH(CALC_DivisionalMap!$S$10,REF_Zodiac!$D$3:$O$3,0)),REF_NaisargikaFriendship!$C$4:$I$4,0)),"Neutral")="Friend",0.625,IF(IFERROR(INDEX(REF_NaisargikaFriendship!$C$5:$I$11,MATCH("Venus",REF_NaisargikaFriendship!$A$5:$A$11,0),MATCH(INDEX(REF_Zodiac!$D$7:$O$7,MATCH(CALC_DivisionalMap!$S$10,REF_Zodiac!$D$3:$O$3,0)),REF_NaisargikaFriendship!$C$4:$I$4,0)),"Neutral")="Enemy",0.25,IF(CALC_DivisionalMap!$S$10=INDEX(REF_Dignity!$F$4:$F$12,MATCH("Venus",REF_Dignity!$A$4:$A$12,0)),0.125,0.375))))),0)</f>
        <v>0.375</v>
      </c>
    </row>
    <row r="11" spans="1:19" ht="18" customHeight="1" x14ac:dyDescent="0.2">
      <c r="A11" s="643" t="s">
        <v>272</v>
      </c>
      <c r="B11" s="1015">
        <f>IFERROR(IF(OR(CALC_PlanetPositions!$K$13="Exaltation",CALC_PlanetPositions!$K$13="Deep exalt",CALC_PlanetPositions!$K$13="Own sign",CALC_PlanetPositions!$K$13="Mooltrikona"),3.5,IF(OR(CALC_PlanetPositions!$K$13="Friendly sign",CALC_PlanetPositions!$K$13="Great friend"),3.5*0.625,IF(CALC_PlanetPositions!$K$13="Neutral sign",3.5*0.5,IF(OR(CALC_PlanetPositions!$K$13="Enemy sign",CALC_PlanetPositions!$K$13="Debilitation",CALC_PlanetPositions!$K$13="Deep debil"),3.5*0.25,3.5*0.375)))),0)</f>
        <v>0.875</v>
      </c>
      <c r="C11" s="1015">
        <f>IFERROR(IF(CALC_DivisionalMap!$J$11=INDEX(REF_Dignity!$C$4:$C$12,MATCH("Saturn",REF_Dignity!$A$4:$A$12,0)),1,IF(ISNUMBER(SEARCH(CALC_DivisionalMap!$J$11,INDEX(REF_Dignity!$J$4:$J$12,MATCH("Saturn",REF_Dignity!$A$4:$A$12,0)))),1,IF(IFERROR(INDEX(REF_NaisargikaFriendship!$C$5:$I$11,MATCH("Saturn",REF_NaisargikaFriendship!$A$5:$A$11,0),MATCH(INDEX(REF_Zodiac!$D$7:$O$7,MATCH(CALC_DivisionalMap!$J$11,REF_Zodiac!$D$3:$O$3,0)),REF_NaisargikaFriendship!$C$4:$I$4,0)),"Neutral")="Friend",0.625,IF(IFERROR(INDEX(REF_NaisargikaFriendship!$C$5:$I$11,MATCH("Saturn",REF_NaisargikaFriendship!$A$5:$A$11,0),MATCH(INDEX(REF_Zodiac!$D$7:$O$7,MATCH(CALC_DivisionalMap!$J$11,REF_Zodiac!$D$3:$O$3,0)),REF_NaisargikaFriendship!$C$4:$I$4,0)),"Neutral")="Enemy",0.25,IF(CALC_DivisionalMap!$J$11=INDEX(REF_Dignity!$F$4:$F$12,MATCH("Saturn",REF_Dignity!$A$4:$A$12,0)),0.125,0.375))))),0)</f>
        <v>0.375</v>
      </c>
      <c r="D11" s="1015">
        <f>IFERROR(IF(CALC_DivisionalMap!$F$11=INDEX(REF_Dignity!$C$4:$C$12,MATCH("Saturn",REF_Dignity!$A$4:$A$12,0)),1,IF(ISNUMBER(SEARCH(CALC_DivisionalMap!$F$11,INDEX(REF_Dignity!$J$4:$J$12,MATCH("Saturn",REF_Dignity!$A$4:$A$12,0)))),1,IF(IFERROR(INDEX(REF_NaisargikaFriendship!$C$5:$I$11,MATCH("Saturn",REF_NaisargikaFriendship!$A$5:$A$11,0),MATCH(INDEX(REF_Zodiac!$D$7:$O$7,MATCH(CALC_DivisionalMap!$F$11,REF_Zodiac!$D$3:$O$3,0)),REF_NaisargikaFriendship!$C$4:$I$4,0)),"Neutral")="Friend",0.625,IF(IFERROR(INDEX(REF_NaisargikaFriendship!$C$5:$I$11,MATCH("Saturn",REF_NaisargikaFriendship!$A$5:$A$11,0),MATCH(INDEX(REF_Zodiac!$D$7:$O$7,MATCH(CALC_DivisionalMap!$F$11,REF_Zodiac!$D$3:$O$3,0)),REF_NaisargikaFriendship!$C$4:$I$4,0)),"Neutral")="Enemy",0.25,IF(CALC_DivisionalMap!$F$11=INDEX(REF_Dignity!$F$4:$F$12,MATCH("Saturn",REF_Dignity!$A$4:$A$12,0)),0.125,0.375))))),0)</f>
        <v>0.375</v>
      </c>
      <c r="E11" s="1015">
        <f>IFERROR(IF(CALC_DivisionalMap!$G$11=INDEX(REF_Dignity!$C$4:$C$12,MATCH("Saturn",REF_Dignity!$A$4:$A$12,0)),1,IF(ISNUMBER(SEARCH(CALC_DivisionalMap!$G$11,INDEX(REF_Dignity!$J$4:$J$12,MATCH("Saturn",REF_Dignity!$A$4:$A$12,0)))),1,IF(IFERROR(INDEX(REF_NaisargikaFriendship!$C$5:$I$11,MATCH("Saturn",REF_NaisargikaFriendship!$A$5:$A$11,0),MATCH(INDEX(REF_Zodiac!$D$7:$O$7,MATCH(CALC_DivisionalMap!$G$11,REF_Zodiac!$D$3:$O$3,0)),REF_NaisargikaFriendship!$C$4:$I$4,0)),"Neutral")="Friend",0.625,IF(IFERROR(INDEX(REF_NaisargikaFriendship!$C$5:$I$11,MATCH("Saturn",REF_NaisargikaFriendship!$A$5:$A$11,0),MATCH(INDEX(REF_Zodiac!$D$7:$O$7,MATCH(CALC_DivisionalMap!$G$11,REF_Zodiac!$D$3:$O$3,0)),REF_NaisargikaFriendship!$C$4:$I$4,0)),"Neutral")="Enemy",0.25,IF(CALC_DivisionalMap!$G$11=INDEX(REF_Dignity!$F$4:$F$12,MATCH("Saturn",REF_Dignity!$A$4:$A$12,0)),0.125,0.375))))),0)</f>
        <v>0.625</v>
      </c>
      <c r="F11" s="1015">
        <f>IFERROR(IF(CALC_DivisionalMap!$D$11=INDEX(REF_Dignity!$C$4:$C$12,MATCH("Saturn",REF_Dignity!$A$4:$A$12,0)),1,IF(ISNUMBER(SEARCH(CALC_DivisionalMap!$D$11,INDEX(REF_Dignity!$J$4:$J$12,MATCH("Saturn",REF_Dignity!$A$4:$A$12,0)))),1,IF(IFERROR(INDEX(REF_NaisargikaFriendship!$C$5:$I$11,MATCH("Saturn",REF_NaisargikaFriendship!$A$5:$A$11,0),MATCH(INDEX(REF_Zodiac!$D$7:$O$7,MATCH(CALC_DivisionalMap!$D$11,REF_Zodiac!$D$3:$O$3,0)),REF_NaisargikaFriendship!$C$4:$I$4,0)),"Neutral")="Friend",0.625,IF(IFERROR(INDEX(REF_NaisargikaFriendship!$C$5:$I$11,MATCH("Saturn",REF_NaisargikaFriendship!$A$5:$A$11,0),MATCH(INDEX(REF_Zodiac!$D$7:$O$7,MATCH(CALC_DivisionalMap!$D$11,REF_Zodiac!$D$3:$O$3,0)),REF_NaisargikaFriendship!$C$4:$I$4,0)),"Neutral")="Enemy",0.25,IF(CALC_DivisionalMap!$D$11=INDEX(REF_Dignity!$F$4:$F$12,MATCH("Saturn",REF_Dignity!$A$4:$A$12,0)),0.125,0.375))))),0)</f>
        <v>1</v>
      </c>
      <c r="G11" s="1015">
        <f>IFERROR(IF(CALC_DivisionalMap!$E$11=INDEX(REF_Dignity!$C$4:$C$12,MATCH("Saturn",REF_Dignity!$A$4:$A$12,0)),1,IF(ISNUMBER(SEARCH(CALC_DivisionalMap!$E$11,INDEX(REF_Dignity!$J$4:$J$12,MATCH("Saturn",REF_Dignity!$A$4:$A$12,0)))),1,IF(IFERROR(INDEX(REF_NaisargikaFriendship!$C$5:$I$11,MATCH("Saturn",REF_NaisargikaFriendship!$A$5:$A$11,0),MATCH(INDEX(REF_Zodiac!$D$7:$O$7,MATCH(CALC_DivisionalMap!$E$11,REF_Zodiac!$D$3:$O$3,0)),REF_NaisargikaFriendship!$C$4:$I$4,0)),"Neutral")="Friend",0.625,IF(IFERROR(INDEX(REF_NaisargikaFriendship!$C$5:$I$11,MATCH("Saturn",REF_NaisargikaFriendship!$A$5:$A$11,0),MATCH(INDEX(REF_Zodiac!$D$7:$O$7,MATCH(CALC_DivisionalMap!$E$11,REF_Zodiac!$D$3:$O$3,0)),REF_NaisargikaFriendship!$C$4:$I$4,0)),"Neutral")="Enemy",0.25,IF(CALC_DivisionalMap!$E$11=INDEX(REF_Dignity!$F$4:$F$12,MATCH("Saturn",REF_Dignity!$A$4:$A$12,0)),0.125,0.375))))),0)</f>
        <v>1</v>
      </c>
      <c r="H11" s="1015">
        <f>IFERROR(IF(CALC_DivisionalMap!$H$11=INDEX(REF_Dignity!$C$4:$C$12,MATCH("Saturn",REF_Dignity!$A$4:$A$12,0)),1,IF(ISNUMBER(SEARCH(CALC_DivisionalMap!$H$11,INDEX(REF_Dignity!$J$4:$J$12,MATCH("Saturn",REF_Dignity!$A$4:$A$12,0)))),1,IF(IFERROR(INDEX(REF_NaisargikaFriendship!$C$5:$I$11,MATCH("Saturn",REF_NaisargikaFriendship!$A$5:$A$11,0),MATCH(INDEX(REF_Zodiac!$D$7:$O$7,MATCH(CALC_DivisionalMap!$H$11,REF_Zodiac!$D$3:$O$3,0)),REF_NaisargikaFriendship!$C$4:$I$4,0)),"Neutral")="Friend",0.625,IF(IFERROR(INDEX(REF_NaisargikaFriendship!$C$5:$I$11,MATCH("Saturn",REF_NaisargikaFriendship!$A$5:$A$11,0),MATCH(INDEX(REF_Zodiac!$D$7:$O$7,MATCH(CALC_DivisionalMap!$H$11,REF_Zodiac!$D$3:$O$3,0)),REF_NaisargikaFriendship!$C$4:$I$4,0)),"Neutral")="Enemy",0.25,IF(CALC_DivisionalMap!$H$11=INDEX(REF_Dignity!$F$4:$F$12,MATCH("Saturn",REF_Dignity!$A$4:$A$12,0)),0.125,0.375))))),0)</f>
        <v>0.375</v>
      </c>
      <c r="I11" s="1016">
        <f t="shared" si="0"/>
        <v>10.125</v>
      </c>
      <c r="J11" s="1017">
        <f t="shared" si="1"/>
        <v>11.57</v>
      </c>
      <c r="K11" s="965" t="str">
        <f t="shared" si="2"/>
        <v>~ Average</v>
      </c>
      <c r="L11">
        <f>IFERROR(IF(CALC_DivisionalMap!$L$11=INDEX(REF_Dignity!$C$4:$C$12,MATCH("Saturn",REF_Dignity!$A$4:$A$12,0)),1,IF(ISNUMBER(SEARCH(CALC_DivisionalMap!$L$11,INDEX(REF_Dignity!$J$4:$J$12,MATCH("Saturn",REF_Dignity!$A$4:$A$12,0)))),1,IF(IFERROR(INDEX(REF_NaisargikaFriendship!$C$5:$I$11,MATCH("Saturn",REF_NaisargikaFriendship!$A$5:$A$11,0),MATCH(INDEX(REF_Zodiac!$D$7:$O$7,MATCH(CALC_DivisionalMap!$L$11,REF_Zodiac!$D$3:$O$3,0)),REF_NaisargikaFriendship!$C$4:$I$4,0)),"Neutral")="Friend",0.625,IF(IFERROR(INDEX(REF_NaisargikaFriendship!$C$5:$I$11,MATCH("Saturn",REF_NaisargikaFriendship!$A$5:$A$11,0),MATCH(INDEX(REF_Zodiac!$D$7:$O$7,MATCH(CALC_DivisionalMap!$L$11,REF_Zodiac!$D$3:$O$3,0)),REF_NaisargikaFriendship!$C$4:$I$4,0)),"Neutral")="Enemy",0.25,IF(CALC_DivisionalMap!$L$11=INDEX(REF_Dignity!$F$4:$F$12,MATCH("Saturn",REF_Dignity!$A$4:$A$12,0)),0.125,0.375))))),0)</f>
        <v>0.125</v>
      </c>
      <c r="M11">
        <f>IFERROR(IF(CALC_DivisionalMap!$M$11=INDEX(REF_Dignity!$C$4:$C$12,MATCH("Saturn",REF_Dignity!$A$4:$A$12,0)),1,IF(ISNUMBER(SEARCH(CALC_DivisionalMap!$M$11,INDEX(REF_Dignity!$J$4:$J$12,MATCH("Saturn",REF_Dignity!$A$4:$A$12,0)))),1,IF(IFERROR(INDEX(REF_NaisargikaFriendship!$C$5:$I$11,MATCH("Saturn",REF_NaisargikaFriendship!$A$5:$A$11,0),MATCH(INDEX(REF_Zodiac!$D$7:$O$7,MATCH(CALC_DivisionalMap!$M$11,REF_Zodiac!$D$3:$O$3,0)),REF_NaisargikaFriendship!$C$4:$I$4,0)),"Neutral")="Friend",0.625,IF(IFERROR(INDEX(REF_NaisargikaFriendship!$C$5:$I$11,MATCH("Saturn",REF_NaisargikaFriendship!$A$5:$A$11,0),MATCH(INDEX(REF_Zodiac!$D$7:$O$7,MATCH(CALC_DivisionalMap!$M$11,REF_Zodiac!$D$3:$O$3,0)),REF_NaisargikaFriendship!$C$4:$I$4,0)),"Neutral")="Enemy",0.25,IF(CALC_DivisionalMap!$M$11=INDEX(REF_Dignity!$F$4:$F$12,MATCH("Saturn",REF_Dignity!$A$4:$A$12,0)),0.125,0.375))))),0)</f>
        <v>1</v>
      </c>
      <c r="N11">
        <f>IFERROR(IF(CALC_DivisionalMap!$N$11=INDEX(REF_Dignity!$C$4:$C$12,MATCH("Saturn",REF_Dignity!$A$4:$A$12,0)),1,IF(ISNUMBER(SEARCH(CALC_DivisionalMap!$N$11,INDEX(REF_Dignity!$J$4:$J$12,MATCH("Saturn",REF_Dignity!$A$4:$A$12,0)))),1,IF(IFERROR(INDEX(REF_NaisargikaFriendship!$C$5:$I$11,MATCH("Saturn",REF_NaisargikaFriendship!$A$5:$A$11,0),MATCH(INDEX(REF_Zodiac!$D$7:$O$7,MATCH(CALC_DivisionalMap!$N$11,REF_Zodiac!$D$3:$O$3,0)),REF_NaisargikaFriendship!$C$4:$I$4,0)),"Neutral")="Friend",0.625,IF(IFERROR(INDEX(REF_NaisargikaFriendship!$C$5:$I$11,MATCH("Saturn",REF_NaisargikaFriendship!$A$5:$A$11,0),MATCH(INDEX(REF_Zodiac!$D$7:$O$7,MATCH(CALC_DivisionalMap!$N$11,REF_Zodiac!$D$3:$O$3,0)),REF_NaisargikaFriendship!$C$4:$I$4,0)),"Neutral")="Enemy",0.25,IF(CALC_DivisionalMap!$N$11=INDEX(REF_Dignity!$F$4:$F$12,MATCH("Saturn",REF_Dignity!$A$4:$A$12,0)),0.125,0.375))))),0)</f>
        <v>0.625</v>
      </c>
      <c r="O11">
        <f>IFERROR(IF(CALC_DivisionalMap!$O$11=INDEX(REF_Dignity!$C$4:$C$12,MATCH("Saturn",REF_Dignity!$A$4:$A$12,0)),1,IF(ISNUMBER(SEARCH(CALC_DivisionalMap!$O$11,INDEX(REF_Dignity!$J$4:$J$12,MATCH("Saturn",REF_Dignity!$A$4:$A$12,0)))),1,IF(IFERROR(INDEX(REF_NaisargikaFriendship!$C$5:$I$11,MATCH("Saturn",REF_NaisargikaFriendship!$A$5:$A$11,0),MATCH(INDEX(REF_Zodiac!$D$7:$O$7,MATCH(CALC_DivisionalMap!$O$11,REF_Zodiac!$D$3:$O$3,0)),REF_NaisargikaFriendship!$C$4:$I$4,0)),"Neutral")="Friend",0.625,IF(IFERROR(INDEX(REF_NaisargikaFriendship!$C$5:$I$11,MATCH("Saturn",REF_NaisargikaFriendship!$A$5:$A$11,0),MATCH(INDEX(REF_Zodiac!$D$7:$O$7,MATCH(CALC_DivisionalMap!$O$11,REF_Zodiac!$D$3:$O$3,0)),REF_NaisargikaFriendship!$C$4:$I$4,0)),"Neutral")="Enemy",0.25,IF(CALC_DivisionalMap!$O$11=INDEX(REF_Dignity!$F$4:$F$12,MATCH("Saturn",REF_Dignity!$A$4:$A$12,0)),0.125,0.375))))),0)</f>
        <v>0.375</v>
      </c>
      <c r="P11">
        <f>IFERROR(IF(CALC_DivisionalMap!$P$11=INDEX(REF_Dignity!$C$4:$C$12,MATCH("Saturn",REF_Dignity!$A$4:$A$12,0)),1,IF(ISNUMBER(SEARCH(CALC_DivisionalMap!$P$11,INDEX(REF_Dignity!$J$4:$J$12,MATCH("Saturn",REF_Dignity!$A$4:$A$12,0)))),1,IF(IFERROR(INDEX(REF_NaisargikaFriendship!$C$5:$I$11,MATCH("Saturn",REF_NaisargikaFriendship!$A$5:$A$11,0),MATCH(INDEX(REF_Zodiac!$D$7:$O$7,MATCH(CALC_DivisionalMap!$P$11,REF_Zodiac!$D$3:$O$3,0)),REF_NaisargikaFriendship!$C$4:$I$4,0)),"Neutral")="Friend",0.625,IF(IFERROR(INDEX(REF_NaisargikaFriendship!$C$5:$I$11,MATCH("Saturn",REF_NaisargikaFriendship!$A$5:$A$11,0),MATCH(INDEX(REF_Zodiac!$D$7:$O$7,MATCH(CALC_DivisionalMap!$P$11,REF_Zodiac!$D$3:$O$3,0)),REF_NaisargikaFriendship!$C$4:$I$4,0)),"Neutral")="Enemy",0.25,IF(CALC_DivisionalMap!$P$11=INDEX(REF_Dignity!$F$4:$F$12,MATCH("Saturn",REF_Dignity!$A$4:$A$12,0)),0.125,0.375))))),0)</f>
        <v>1</v>
      </c>
      <c r="Q11">
        <f>IFERROR(IF(CALC_DivisionalMap!$Q$11=INDEX(REF_Dignity!$C$4:$C$12,MATCH("Saturn",REF_Dignity!$A$4:$A$12,0)),1,IF(ISNUMBER(SEARCH(CALC_DivisionalMap!$Q$11,INDEX(REF_Dignity!$J$4:$J$12,MATCH("Saturn",REF_Dignity!$A$4:$A$12,0)))),1,IF(IFERROR(INDEX(REF_NaisargikaFriendship!$C$5:$I$11,MATCH("Saturn",REF_NaisargikaFriendship!$A$5:$A$11,0),MATCH(INDEX(REF_Zodiac!$D$7:$O$7,MATCH(CALC_DivisionalMap!$Q$11,REF_Zodiac!$D$3:$O$3,0)),REF_NaisargikaFriendship!$C$4:$I$4,0)),"Neutral")="Friend",0.625,IF(IFERROR(INDEX(REF_NaisargikaFriendship!$C$5:$I$11,MATCH("Saturn",REF_NaisargikaFriendship!$A$5:$A$11,0),MATCH(INDEX(REF_Zodiac!$D$7:$O$7,MATCH(CALC_DivisionalMap!$Q$11,REF_Zodiac!$D$3:$O$3,0)),REF_NaisargikaFriendship!$C$4:$I$4,0)),"Neutral")="Enemy",0.25,IF(CALC_DivisionalMap!$Q$11=INDEX(REF_Dignity!$F$4:$F$12,MATCH("Saturn",REF_Dignity!$A$4:$A$12,0)),0.125,0.375))))),0)</f>
        <v>1</v>
      </c>
      <c r="R11">
        <f>IFERROR(IF(CALC_DivisionalMap!$R$11=INDEX(REF_Dignity!$C$4:$C$12,MATCH("Saturn",REF_Dignity!$A$4:$A$12,0)),1,IF(ISNUMBER(SEARCH(CALC_DivisionalMap!$R$11,INDEX(REF_Dignity!$J$4:$J$12,MATCH("Saturn",REF_Dignity!$A$4:$A$12,0)))),1,IF(IFERROR(INDEX(REF_NaisargikaFriendship!$C$5:$I$11,MATCH("Saturn",REF_NaisargikaFriendship!$A$5:$A$11,0),MATCH(INDEX(REF_Zodiac!$D$7:$O$7,MATCH(CALC_DivisionalMap!$R$11,REF_Zodiac!$D$3:$O$3,0)),REF_NaisargikaFriendship!$C$4:$I$4,0)),"Neutral")="Friend",0.625,IF(IFERROR(INDEX(REF_NaisargikaFriendship!$C$5:$I$11,MATCH("Saturn",REF_NaisargikaFriendship!$A$5:$A$11,0),MATCH(INDEX(REF_Zodiac!$D$7:$O$7,MATCH(CALC_DivisionalMap!$R$11,REF_Zodiac!$D$3:$O$3,0)),REF_NaisargikaFriendship!$C$4:$I$4,0)),"Neutral")="Enemy",0.25,IF(CALC_DivisionalMap!$R$11=INDEX(REF_Dignity!$F$4:$F$12,MATCH("Saturn",REF_Dignity!$A$4:$A$12,0)),0.125,0.375))))),0)</f>
        <v>1</v>
      </c>
      <c r="S11">
        <f>IFERROR(IF(CALC_DivisionalMap!$S$11=INDEX(REF_Dignity!$C$4:$C$12,MATCH("Saturn",REF_Dignity!$A$4:$A$12,0)),1,IF(ISNUMBER(SEARCH(CALC_DivisionalMap!$S$11,INDEX(REF_Dignity!$J$4:$J$12,MATCH("Saturn",REF_Dignity!$A$4:$A$12,0)))),1,IF(IFERROR(INDEX(REF_NaisargikaFriendship!$C$5:$I$11,MATCH("Saturn",REF_NaisargikaFriendship!$A$5:$A$11,0),MATCH(INDEX(REF_Zodiac!$D$7:$O$7,MATCH(CALC_DivisionalMap!$S$11,REF_Zodiac!$D$3:$O$3,0)),REF_NaisargikaFriendship!$C$4:$I$4,0)),"Neutral")="Friend",0.625,IF(IFERROR(INDEX(REF_NaisargikaFriendship!$C$5:$I$11,MATCH("Saturn",REF_NaisargikaFriendship!$A$5:$A$11,0),MATCH(INDEX(REF_Zodiac!$D$7:$O$7,MATCH(CALC_DivisionalMap!$S$11,REF_Zodiac!$D$3:$O$3,0)),REF_NaisargikaFriendship!$C$4:$I$4,0)),"Neutral")="Enemy",0.25,IF(CALC_DivisionalMap!$S$11=INDEX(REF_Dignity!$F$4:$F$12,MATCH("Saturn",REF_Dignity!$A$4:$A$12,0)),0.125,0.375))))),0)</f>
        <v>0.375</v>
      </c>
    </row>
    <row r="13" spans="1:19" ht="31.5" customHeight="1" x14ac:dyDescent="0.2">
      <c r="A13" s="1531" t="s">
        <v>4446</v>
      </c>
      <c r="B13" s="1531"/>
      <c r="C13" s="1531"/>
      <c r="D13" s="1531"/>
      <c r="E13" s="1531"/>
      <c r="F13" s="1531"/>
      <c r="G13" s="1531"/>
      <c r="H13" s="1531"/>
      <c r="I13" s="1531"/>
      <c r="J13" s="1531"/>
      <c r="K13" s="1531"/>
      <c r="L13" s="1531"/>
    </row>
  </sheetData>
  <mergeCells count="3">
    <mergeCell ref="A1:L1"/>
    <mergeCell ref="A2:L2"/>
    <mergeCell ref="A13:L13"/>
  </mergeCells>
  <pageMargins left="0.75" right="0.75" top="1" bottom="1" header="0.511811023622047" footer="0.511811023622047"/>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6A1B9A"/>
  </sheetPr>
  <dimension ref="A1:M31"/>
  <sheetViews>
    <sheetView zoomScaleNormal="100" workbookViewId="0"/>
  </sheetViews>
  <sheetFormatPr defaultColWidth="8.609375" defaultRowHeight="15" x14ac:dyDescent="0.2"/>
  <cols>
    <col min="1" max="1" width="4.9765625" customWidth="1"/>
    <col min="2" max="2" width="18.0234375" customWidth="1"/>
    <col min="3" max="3" width="11.02734375" customWidth="1"/>
    <col min="4" max="4" width="9.953125" customWidth="1"/>
    <col min="5" max="6" width="11.97265625" customWidth="1"/>
    <col min="7" max="7" width="9.01171875" customWidth="1"/>
    <col min="8" max="12" width="16.0078125" customWidth="1"/>
    <col min="13" max="13" width="9.01171875" customWidth="1"/>
  </cols>
  <sheetData>
    <row r="1" spans="1:13" ht="21.75" customHeight="1" x14ac:dyDescent="0.2">
      <c r="A1" s="1021" t="s">
        <v>4447</v>
      </c>
      <c r="B1" s="4"/>
      <c r="C1" s="4"/>
      <c r="D1" s="4"/>
      <c r="E1" s="4"/>
      <c r="F1" s="4"/>
      <c r="G1" s="4"/>
      <c r="H1" s="4"/>
      <c r="I1" s="4"/>
      <c r="J1" s="4"/>
      <c r="K1" s="4"/>
      <c r="L1" s="4"/>
      <c r="M1" s="4"/>
    </row>
    <row r="2" spans="1:13" ht="15.75" customHeight="1" x14ac:dyDescent="0.2">
      <c r="A2" s="1022" t="s">
        <v>4448</v>
      </c>
      <c r="B2" s="4"/>
      <c r="C2" s="4"/>
      <c r="D2" s="4"/>
      <c r="E2" s="4"/>
      <c r="F2" s="4"/>
      <c r="G2" s="4"/>
      <c r="H2" s="4"/>
      <c r="I2" s="4"/>
      <c r="J2" s="4"/>
      <c r="K2" s="4"/>
      <c r="L2" s="4"/>
      <c r="M2" s="4"/>
    </row>
    <row r="3" spans="1:13" ht="19.5" customHeight="1" x14ac:dyDescent="0.2">
      <c r="A3" s="1023" t="s">
        <v>2276</v>
      </c>
      <c r="B3" s="1024" t="s">
        <v>3192</v>
      </c>
      <c r="C3" s="1025" t="s">
        <v>2222</v>
      </c>
      <c r="D3" s="1025" t="s">
        <v>3362</v>
      </c>
      <c r="E3" s="1025" t="s">
        <v>3363</v>
      </c>
      <c r="F3" s="1025" t="s">
        <v>4449</v>
      </c>
      <c r="G3" s="1026" t="s">
        <v>4406</v>
      </c>
      <c r="H3" s="1027" t="s">
        <v>4450</v>
      </c>
      <c r="I3" s="1027" t="s">
        <v>4451</v>
      </c>
      <c r="J3" s="1028"/>
      <c r="K3" s="1028"/>
      <c r="L3" s="1028"/>
      <c r="M3" s="1028"/>
    </row>
    <row r="4" spans="1:13" ht="15" customHeight="1" x14ac:dyDescent="0.2">
      <c r="A4" s="1029">
        <v>1</v>
      </c>
      <c r="B4" s="1029" t="s">
        <v>3728</v>
      </c>
      <c r="C4" s="1029">
        <f>IFERROR(MAX(-10,MIN(10,IFERROR((SCORE_H1_Self!$C$5/IF(ABS(REF_SchoolConfig!$D$7)&gt;0,REF_SchoolConfig!$D$7,1))*REF_SchoolConfig!$D$7,0)+IFERROR((SCORE_H1_Self!$C$6/IF(ABS(REF_SchoolConfig!$D$8)&gt;0,REF_SchoolConfig!$D$8,1))*REF_SchoolConfig!$D$8,0)+IFERROR((SCORE_H1_Self!$C$7/IF(ABS(REF_SchoolConfig!$D$9)&gt;0,REF_SchoolConfig!$D$9,1))*REF_SchoolConfig!$D$9,0)+IFERROR((SCORE_H1_Self!$C$9/IF(ABS(REF_SchoolConfig!$D$10)&gt;0,REF_SchoolConfig!$D$10,1))*REF_SchoolConfig!$D$10,0)+IFERROR((SCORE_H1_Self!$C$10/IF(ABS(REF_SchoolConfig!$D$11)&gt;0,REF_SchoolConfig!$D$11,1))*REF_SchoolConfig!$D$11,0)+IFERROR((SCORE_H1_Self!$C$11/IF(ABS(REF_SchoolConfig!$D$12)&gt;0,REF_SchoolConfig!$D$12,1))*REF_SchoolConfig!$D$12,0)+IFERROR((SCORE_H1_Self!$C$12/IF(ABS(REF_SchoolConfig!$D$13)&gt;0,REF_SchoolConfig!$D$13,1))*REF_SchoolConfig!$D$13,0)+IFERROR((SCORE_H1_Self!$C$13/IF(ABS(REF_SchoolConfig!$D$14)&gt;0,REF_SchoolConfig!$D$14,1))*REF_SchoolConfig!$D$14,0)+IFERROR((SCORE_H1_Self!$C$15/IF(ABS(REF_SchoolConfig!$D$15)&gt;0,REF_SchoolConfig!$D$15,1))*REF_SchoolConfig!$D$15,0)+IFERROR((SCORE_H1_Self!$C$16/IF(ABS(REF_SchoolConfig!$D$16)&gt;0,REF_SchoolConfig!$D$16,1))*REF_SchoolConfig!$D$16,0)+IFERROR((SCORE_H1_Self!$C$17/IF(ABS(REF_SchoolConfig!$D$17)&gt;0,REF_SchoolConfig!$D$17,1))*REF_SchoolConfig!$D$17,0)+IFERROR((SCORE_H1_Self!$C$18/IF(ABS(REF_SchoolConfig!$D$18)&gt;0,REF_SchoolConfig!$D$18,1))*REF_SchoolConfig!$D$18,0)+IFERROR((SCORE_H1_Self!$C$20/IF(ABS(REF_SchoolConfig!$D$19)&gt;0,REF_SchoolConfig!$D$19,1))*REF_SchoolConfig!$D$19,0)+IFERROR((SCORE_H1_Self!$C$21/IF(ABS(REF_SchoolConfig!$D$20)&gt;0,REF_SchoolConfig!$D$20,1))*REF_SchoolConfig!$D$20,0)+IFERROR((SCORE_H1_Self!$C$22/IF(ABS(REF_SchoolConfig!$D$21)&gt;0,REF_SchoolConfig!$D$21,1))*REF_SchoolConfig!$D$21,0)+IFERROR((SCORE_H1_Self!$C$23/IF(ABS(REF_SchoolConfig!$D$22)&gt;0,REF_SchoolConfig!$D$22,1))*REF_SchoolConfig!$D$22,0)+IFERROR((SCORE_H1_Self!$C$25/IF(ABS(REF_SchoolConfig!$D$23)&gt;0,REF_SchoolConfig!$D$23,1))*REF_SchoolConfig!$D$23,0)+IFERROR((SCORE_H1_Self!$C$26/IF(ABS(REF_SchoolConfig!$D$24)&gt;0,REF_SchoolConfig!$D$24,1))*REF_SchoolConfig!$D$24,0)+IFERROR((SCORE_H1_Self!$C$27/IF(ABS(REF_SchoolConfig!$D$25)&gt;0,REF_SchoolConfig!$D$25,1))*REF_SchoolConfig!$D$25,0)+IFERROR((SCORE_H1_Self!$C$28/IF(ABS(REF_SchoolConfig!$D$26)&gt;0,REF_SchoolConfig!$D$26,1))*REF_SchoolConfig!$D$26,0)+IFERROR((SCORE_H1_Self!$C$29/IF(ABS(REF_SchoolConfig!$D$27)&gt;0,REF_SchoolConfig!$D$27,1))*REF_SchoolConfig!$D$27,0)+IFERROR((SCORE_H1_Self!$C$30/IF(ABS(REF_SchoolConfig!$D$28)&gt;0,REF_SchoolConfig!$D$28,1))*REF_SchoolConfig!$D$28,0)+IFERROR((SCORE_H1_Self!$F$31/IF(ABS(REF_SchoolConfig!$D$29)&gt;0,REF_SchoolConfig!$D$29,1))*REF_SchoolConfig!$D$29,0))),0)</f>
        <v>-1</v>
      </c>
      <c r="D4" s="1029">
        <f>IFERROR(MAX(-10,MIN(10,IFERROR((SCORE_H1_Self!$C$5/IF(ABS(REF_SchoolConfig!$D$7)&gt;0,REF_SchoolConfig!$D$7,1))*REF_SchoolConfig!$E$7,0)+IFERROR((SCORE_H1_Self!$C$6/IF(ABS(REF_SchoolConfig!$D$8)&gt;0,REF_SchoolConfig!$D$8,1))*REF_SchoolConfig!$E$8,0)+IFERROR((SCORE_H1_Self!$C$7/IF(ABS(REF_SchoolConfig!$D$9)&gt;0,REF_SchoolConfig!$D$9,1))*REF_SchoolConfig!$E$9,0)+IFERROR((SCORE_H1_Self!$C$9/IF(ABS(REF_SchoolConfig!$D$10)&gt;0,REF_SchoolConfig!$D$10,1))*REF_SchoolConfig!$E$10,0)+IFERROR((SCORE_H1_Self!$C$10/IF(ABS(REF_SchoolConfig!$D$11)&gt;0,REF_SchoolConfig!$D$11,1))*REF_SchoolConfig!$E$11,0)+IFERROR((SCORE_H1_Self!$C$11/IF(ABS(REF_SchoolConfig!$D$12)&gt;0,REF_SchoolConfig!$D$12,1))*REF_SchoolConfig!$E$12,0)+IFERROR((SCORE_H1_Self!$C$12/IF(ABS(REF_SchoolConfig!$D$13)&gt;0,REF_SchoolConfig!$D$13,1))*REF_SchoolConfig!$E$13,0)+IFERROR((SCORE_H1_Self!$C$13/IF(ABS(REF_SchoolConfig!$D$14)&gt;0,REF_SchoolConfig!$D$14,1))*REF_SchoolConfig!$E$14,0)+IFERROR((SCORE_H1_Self!$C$15/IF(ABS(REF_SchoolConfig!$D$15)&gt;0,REF_SchoolConfig!$D$15,1))*REF_SchoolConfig!$E$15,0)+IFERROR((SCORE_H1_Self!$C$16/IF(ABS(REF_SchoolConfig!$D$16)&gt;0,REF_SchoolConfig!$D$16,1))*REF_SchoolConfig!$E$16,0)+IFERROR((SCORE_H1_Self!$C$17/IF(ABS(REF_SchoolConfig!$D$17)&gt;0,REF_SchoolConfig!$D$17,1))*REF_SchoolConfig!$E$17,0)+IFERROR((SCORE_H1_Self!$C$18/IF(ABS(REF_SchoolConfig!$D$18)&gt;0,REF_SchoolConfig!$D$18,1))*REF_SchoolConfig!$E$18,0)+IFERROR((SCORE_H1_Self!$C$20/IF(ABS(REF_SchoolConfig!$D$19)&gt;0,REF_SchoolConfig!$D$19,1))*REF_SchoolConfig!$E$19,0)+IFERROR((SCORE_H1_Self!$C$21/IF(ABS(REF_SchoolConfig!$D$20)&gt;0,REF_SchoolConfig!$D$20,1))*REF_SchoolConfig!$E$20,0)+IFERROR((SCORE_H1_Self!$C$22/IF(ABS(REF_SchoolConfig!$D$21)&gt;0,REF_SchoolConfig!$D$21,1))*REF_SchoolConfig!$E$21,0)+IFERROR((SCORE_H1_Self!$C$23/IF(ABS(REF_SchoolConfig!$D$22)&gt;0,REF_SchoolConfig!$D$22,1))*REF_SchoolConfig!$E$22,0)+IFERROR((SCORE_H1_Self!$C$25/IF(ABS(REF_SchoolConfig!$D$23)&gt;0,REF_SchoolConfig!$D$23,1))*REF_SchoolConfig!$E$23,0)+IFERROR((SCORE_H1_Self!$C$26/IF(ABS(REF_SchoolConfig!$D$24)&gt;0,REF_SchoolConfig!$D$24,1))*REF_SchoolConfig!$E$24,0)+IFERROR((SCORE_H1_Self!$C$27/IF(ABS(REF_SchoolConfig!$D$25)&gt;0,REF_SchoolConfig!$D$25,1))*REF_SchoolConfig!$E$25,0)+IFERROR((SCORE_H1_Self!$C$28/IF(ABS(REF_SchoolConfig!$D$26)&gt;0,REF_SchoolConfig!$D$26,1))*REF_SchoolConfig!$E$26,0)+IFERROR((SCORE_H1_Self!$C$29/IF(ABS(REF_SchoolConfig!$D$27)&gt;0,REF_SchoolConfig!$D$27,1))*REF_SchoolConfig!$E$27,0)+IFERROR((SCORE_H1_Self!$C$30/IF(ABS(REF_SchoolConfig!$D$28)&gt;0,REF_SchoolConfig!$D$28,1))*REF_SchoolConfig!$E$28,0)+IFERROR((SCORE_H1_Self!$F$31/IF(ABS(REF_SchoolConfig!$D$29)&gt;0,REF_SchoolConfig!$D$29,1))*REF_SchoolConfig!$E$29,0))),0)</f>
        <v>-1.541666666666667</v>
      </c>
      <c r="E4" s="1029">
        <f>IFERROR(MAX(-10,MIN(10,IFERROR((SCORE_H1_Self!$C$5/IF(ABS(REF_SchoolConfig!$D$7)&gt;0,REF_SchoolConfig!$D$7,1))*REF_SchoolConfig!$F$7,0)+IFERROR((SCORE_H1_Self!$C$6/IF(ABS(REF_SchoolConfig!$D$8)&gt;0,REF_SchoolConfig!$D$8,1))*REF_SchoolConfig!$F$8,0)+IFERROR((SCORE_H1_Self!$C$7/IF(ABS(REF_SchoolConfig!$D$9)&gt;0,REF_SchoolConfig!$D$9,1))*REF_SchoolConfig!$F$9,0)+IFERROR((SCORE_H1_Self!$C$9/IF(ABS(REF_SchoolConfig!$D$10)&gt;0,REF_SchoolConfig!$D$10,1))*REF_SchoolConfig!$F$10,0)+IFERROR((SCORE_H1_Self!$C$10/IF(ABS(REF_SchoolConfig!$D$11)&gt;0,REF_SchoolConfig!$D$11,1))*REF_SchoolConfig!$F$11,0)+IFERROR((SCORE_H1_Self!$C$11/IF(ABS(REF_SchoolConfig!$D$12)&gt;0,REF_SchoolConfig!$D$12,1))*REF_SchoolConfig!$F$12,0)+IFERROR((SCORE_H1_Self!$C$12/IF(ABS(REF_SchoolConfig!$D$13)&gt;0,REF_SchoolConfig!$D$13,1))*REF_SchoolConfig!$F$13,0)+IFERROR((SCORE_H1_Self!$C$13/IF(ABS(REF_SchoolConfig!$D$14)&gt;0,REF_SchoolConfig!$D$14,1))*REF_SchoolConfig!$F$14,0)+IFERROR((SCORE_H1_Self!$C$15/IF(ABS(REF_SchoolConfig!$D$15)&gt;0,REF_SchoolConfig!$D$15,1))*REF_SchoolConfig!$F$15,0)+IFERROR((SCORE_H1_Self!$C$16/IF(ABS(REF_SchoolConfig!$D$16)&gt;0,REF_SchoolConfig!$D$16,1))*REF_SchoolConfig!$F$16,0)+IFERROR((SCORE_H1_Self!$C$17/IF(ABS(REF_SchoolConfig!$D$17)&gt;0,REF_SchoolConfig!$D$17,1))*REF_SchoolConfig!$F$17,0)+IFERROR((SCORE_H1_Self!$C$18/IF(ABS(REF_SchoolConfig!$D$18)&gt;0,REF_SchoolConfig!$D$18,1))*REF_SchoolConfig!$F$18,0)+IFERROR((SCORE_H1_Self!$C$20/IF(ABS(REF_SchoolConfig!$D$19)&gt;0,REF_SchoolConfig!$D$19,1))*REF_SchoolConfig!$F$19,0)+IFERROR((SCORE_H1_Self!$C$21/IF(ABS(REF_SchoolConfig!$D$20)&gt;0,REF_SchoolConfig!$D$20,1))*REF_SchoolConfig!$F$20,0)+IFERROR((SCORE_H1_Self!$C$22/IF(ABS(REF_SchoolConfig!$D$21)&gt;0,REF_SchoolConfig!$D$21,1))*REF_SchoolConfig!$F$21,0)+IFERROR((SCORE_H1_Self!$C$23/IF(ABS(REF_SchoolConfig!$D$22)&gt;0,REF_SchoolConfig!$D$22,1))*REF_SchoolConfig!$F$22,0)+IFERROR((SCORE_H1_Self!$C$25/IF(ABS(REF_SchoolConfig!$D$23)&gt;0,REF_SchoolConfig!$D$23,1))*REF_SchoolConfig!$F$23,0)+IFERROR((SCORE_H1_Self!$C$26/IF(ABS(REF_SchoolConfig!$D$24)&gt;0,REF_SchoolConfig!$D$24,1))*REF_SchoolConfig!$F$24,0)+IFERROR((SCORE_H1_Self!$C$27/IF(ABS(REF_SchoolConfig!$D$25)&gt;0,REF_SchoolConfig!$D$25,1))*REF_SchoolConfig!$F$25,0)+IFERROR((SCORE_H1_Self!$C$28/IF(ABS(REF_SchoolConfig!$D$26)&gt;0,REF_SchoolConfig!$D$26,1))*REF_SchoolConfig!$F$26,0)+IFERROR((SCORE_H1_Self!$C$29/IF(ABS(REF_SchoolConfig!$D$27)&gt;0,REF_SchoolConfig!$D$27,1))*REF_SchoolConfig!$F$27,0)+IFERROR((SCORE_H1_Self!$C$30/IF(ABS(REF_SchoolConfig!$D$28)&gt;0,REF_SchoolConfig!$D$28,1))*REF_SchoolConfig!$F$28,0)+IFERROR((SCORE_H1_Self!$F$31/IF(ABS(REF_SchoolConfig!$D$29)&gt;0,REF_SchoolConfig!$D$29,1))*REF_SchoolConfig!$F$29,0))),0)</f>
        <v>-1.625</v>
      </c>
      <c r="F4" s="1029">
        <f>IFERROR(IF(REF_Config!$B$6="KP",D4,IF(REF_Config!$B$6="Jaimini",E4,C4)),C4)</f>
        <v>-1</v>
      </c>
      <c r="G4" s="1029">
        <f t="shared" ref="G4:G15" si="0">IFERROR(MAX(C4,D4,E4)-MIN(C4,D4,E4),0)</f>
        <v>0.625</v>
      </c>
      <c r="H4" s="1030">
        <f>IFERROR(SCORE_H1_Self!$C$9,0)</f>
        <v>0</v>
      </c>
      <c r="I4" s="1030">
        <f>IFERROR(SCORE_H1_Self!$C$22,0)</f>
        <v>0</v>
      </c>
      <c r="J4" s="1029"/>
      <c r="K4" s="1029"/>
      <c r="L4" s="1029"/>
      <c r="M4" s="4"/>
    </row>
    <row r="5" spans="1:13" ht="15.75" customHeight="1" x14ac:dyDescent="0.2">
      <c r="A5" s="1031">
        <v>2</v>
      </c>
      <c r="B5" s="1032" t="s">
        <v>3729</v>
      </c>
      <c r="C5" s="1033">
        <f>IFERROR(MAX(-10,MIN(10,IFERROR((SCORE_H2_Wealth!$C$5/IF(ABS(REF_SchoolConfig!$D$7)&gt;0,REF_SchoolConfig!$D$7,1))*REF_SchoolConfig!$D$7,0)+IFERROR((SCORE_H2_Wealth!$C$6/IF(ABS(REF_SchoolConfig!$D$8)&gt;0,REF_SchoolConfig!$D$8,1))*REF_SchoolConfig!$D$8,0)+IFERROR((SCORE_H2_Wealth!$C$7/IF(ABS(REF_SchoolConfig!$D$9)&gt;0,REF_SchoolConfig!$D$9,1))*REF_SchoolConfig!$D$9,0)+IFERROR((SCORE_H2_Wealth!$C$9/IF(ABS(REF_SchoolConfig!$D$10)&gt;0,REF_SchoolConfig!$D$10,1))*REF_SchoolConfig!$D$10,0)+IFERROR((SCORE_H2_Wealth!$C$10/IF(ABS(REF_SchoolConfig!$D$11)&gt;0,REF_SchoolConfig!$D$11,1))*REF_SchoolConfig!$D$11,0)+IFERROR((SCORE_H2_Wealth!$C$11/IF(ABS(REF_SchoolConfig!$D$12)&gt;0,REF_SchoolConfig!$D$12,1))*REF_SchoolConfig!$D$12,0)+IFERROR((SCORE_H2_Wealth!$C$12/IF(ABS(REF_SchoolConfig!$D$13)&gt;0,REF_SchoolConfig!$D$13,1))*REF_SchoolConfig!$D$13,0)+IFERROR((SCORE_H2_Wealth!$C$13/IF(ABS(REF_SchoolConfig!$D$14)&gt;0,REF_SchoolConfig!$D$14,1))*REF_SchoolConfig!$D$14,0)+IFERROR((SCORE_H2_Wealth!$C$15/IF(ABS(REF_SchoolConfig!$D$15)&gt;0,REF_SchoolConfig!$D$15,1))*REF_SchoolConfig!$D$15,0)+IFERROR((SCORE_H2_Wealth!$C$16/IF(ABS(REF_SchoolConfig!$D$16)&gt;0,REF_SchoolConfig!$D$16,1))*REF_SchoolConfig!$D$16,0)+IFERROR((SCORE_H2_Wealth!$C$17/IF(ABS(REF_SchoolConfig!$D$17)&gt;0,REF_SchoolConfig!$D$17,1))*REF_SchoolConfig!$D$17,0)+IFERROR((SCORE_H2_Wealth!$C$18/IF(ABS(REF_SchoolConfig!$D$18)&gt;0,REF_SchoolConfig!$D$18,1))*REF_SchoolConfig!$D$18,0)+IFERROR((SCORE_H2_Wealth!$C$20/IF(ABS(REF_SchoolConfig!$D$19)&gt;0,REF_SchoolConfig!$D$19,1))*REF_SchoolConfig!$D$19,0)+IFERROR((SCORE_H2_Wealth!$C$21/IF(ABS(REF_SchoolConfig!$D$20)&gt;0,REF_SchoolConfig!$D$20,1))*REF_SchoolConfig!$D$20,0)+IFERROR((SCORE_H2_Wealth!$C$22/IF(ABS(REF_SchoolConfig!$D$21)&gt;0,REF_SchoolConfig!$D$21,1))*REF_SchoolConfig!$D$21,0)+IFERROR((SCORE_H2_Wealth!$C$23/IF(ABS(REF_SchoolConfig!$D$22)&gt;0,REF_SchoolConfig!$D$22,1))*REF_SchoolConfig!$D$22,0)+IFERROR((SCORE_H2_Wealth!$C$25/IF(ABS(REF_SchoolConfig!$D$23)&gt;0,REF_SchoolConfig!$D$23,1))*REF_SchoolConfig!$D$23,0)+IFERROR((SCORE_H2_Wealth!$C$26/IF(ABS(REF_SchoolConfig!$D$24)&gt;0,REF_SchoolConfig!$D$24,1))*REF_SchoolConfig!$D$24,0)+IFERROR((SCORE_H2_Wealth!$C$27/IF(ABS(REF_SchoolConfig!$D$25)&gt;0,REF_SchoolConfig!$D$25,1))*REF_SchoolConfig!$D$25,0)+IFERROR((SCORE_H2_Wealth!$C$28/IF(ABS(REF_SchoolConfig!$D$26)&gt;0,REF_SchoolConfig!$D$26,1))*REF_SchoolConfig!$D$26,0)+IFERROR((SCORE_H2_Wealth!$C$29/IF(ABS(REF_SchoolConfig!$D$27)&gt;0,REF_SchoolConfig!$D$27,1))*REF_SchoolConfig!$D$27,0)+IFERROR((SCORE_H2_Wealth!$C$30/IF(ABS(REF_SchoolConfig!$D$28)&gt;0,REF_SchoolConfig!$D$28,1))*REF_SchoolConfig!$D$28,0)+IFERROR((SCORE_H2_Wealth!$F$31/IF(ABS(REF_SchoolConfig!$D$29)&gt;0,REF_SchoolConfig!$D$29,1))*REF_SchoolConfig!$D$29,0))),0)</f>
        <v>-2.75</v>
      </c>
      <c r="D5" s="1033">
        <f>IFERROR(MAX(-10,MIN(10,IFERROR((SCORE_H2_Wealth!$C$5/IF(ABS(REF_SchoolConfig!$D$7)&gt;0,REF_SchoolConfig!$D$7,1))*REF_SchoolConfig!$E$7,0)+IFERROR((SCORE_H2_Wealth!$C$6/IF(ABS(REF_SchoolConfig!$D$8)&gt;0,REF_SchoolConfig!$D$8,1))*REF_SchoolConfig!$E$8,0)+IFERROR((SCORE_H2_Wealth!$C$7/IF(ABS(REF_SchoolConfig!$D$9)&gt;0,REF_SchoolConfig!$D$9,1))*REF_SchoolConfig!$E$9,0)+IFERROR((SCORE_H2_Wealth!$C$9/IF(ABS(REF_SchoolConfig!$D$10)&gt;0,REF_SchoolConfig!$D$10,1))*REF_SchoolConfig!$E$10,0)+IFERROR((SCORE_H2_Wealth!$C$10/IF(ABS(REF_SchoolConfig!$D$11)&gt;0,REF_SchoolConfig!$D$11,1))*REF_SchoolConfig!$E$11,0)+IFERROR((SCORE_H2_Wealth!$C$11/IF(ABS(REF_SchoolConfig!$D$12)&gt;0,REF_SchoolConfig!$D$12,1))*REF_SchoolConfig!$E$12,0)+IFERROR((SCORE_H2_Wealth!$C$12/IF(ABS(REF_SchoolConfig!$D$13)&gt;0,REF_SchoolConfig!$D$13,1))*REF_SchoolConfig!$E$13,0)+IFERROR((SCORE_H2_Wealth!$C$13/IF(ABS(REF_SchoolConfig!$D$14)&gt;0,REF_SchoolConfig!$D$14,1))*REF_SchoolConfig!$E$14,0)+IFERROR((SCORE_H2_Wealth!$C$15/IF(ABS(REF_SchoolConfig!$D$15)&gt;0,REF_SchoolConfig!$D$15,1))*REF_SchoolConfig!$E$15,0)+IFERROR((SCORE_H2_Wealth!$C$16/IF(ABS(REF_SchoolConfig!$D$16)&gt;0,REF_SchoolConfig!$D$16,1))*REF_SchoolConfig!$E$16,0)+IFERROR((SCORE_H2_Wealth!$C$17/IF(ABS(REF_SchoolConfig!$D$17)&gt;0,REF_SchoolConfig!$D$17,1))*REF_SchoolConfig!$E$17,0)+IFERROR((SCORE_H2_Wealth!$C$18/IF(ABS(REF_SchoolConfig!$D$18)&gt;0,REF_SchoolConfig!$D$18,1))*REF_SchoolConfig!$E$18,0)+IFERROR((SCORE_H2_Wealth!$C$20/IF(ABS(REF_SchoolConfig!$D$19)&gt;0,REF_SchoolConfig!$D$19,1))*REF_SchoolConfig!$E$19,0)+IFERROR((SCORE_H2_Wealth!$C$21/IF(ABS(REF_SchoolConfig!$D$20)&gt;0,REF_SchoolConfig!$D$20,1))*REF_SchoolConfig!$E$20,0)+IFERROR((SCORE_H2_Wealth!$C$22/IF(ABS(REF_SchoolConfig!$D$21)&gt;0,REF_SchoolConfig!$D$21,1))*REF_SchoolConfig!$E$21,0)+IFERROR((SCORE_H2_Wealth!$C$23/IF(ABS(REF_SchoolConfig!$D$22)&gt;0,REF_SchoolConfig!$D$22,1))*REF_SchoolConfig!$E$22,0)+IFERROR((SCORE_H2_Wealth!$C$25/IF(ABS(REF_SchoolConfig!$D$23)&gt;0,REF_SchoolConfig!$D$23,1))*REF_SchoolConfig!$E$23,0)+IFERROR((SCORE_H2_Wealth!$C$26/IF(ABS(REF_SchoolConfig!$D$24)&gt;0,REF_SchoolConfig!$D$24,1))*REF_SchoolConfig!$E$24,0)+IFERROR((SCORE_H2_Wealth!$C$27/IF(ABS(REF_SchoolConfig!$D$25)&gt;0,REF_SchoolConfig!$D$25,1))*REF_SchoolConfig!$E$25,0)+IFERROR((SCORE_H2_Wealth!$C$28/IF(ABS(REF_SchoolConfig!$D$26)&gt;0,REF_SchoolConfig!$D$26,1))*REF_SchoolConfig!$E$26,0)+IFERROR((SCORE_H2_Wealth!$C$29/IF(ABS(REF_SchoolConfig!$D$27)&gt;0,REF_SchoolConfig!$D$27,1))*REF_SchoolConfig!$E$27,0)+IFERROR((SCORE_H2_Wealth!$C$30/IF(ABS(REF_SchoolConfig!$D$28)&gt;0,REF_SchoolConfig!$D$28,1))*REF_SchoolConfig!$E$28,0)+IFERROR((SCORE_H2_Wealth!$F$31/IF(ABS(REF_SchoolConfig!$D$29)&gt;0,REF_SchoolConfig!$D$29,1))*REF_SchoolConfig!$E$29,0))),0)</f>
        <v>-3.291666666666667</v>
      </c>
      <c r="E5" s="1033">
        <f>IFERROR(MAX(-10,MIN(10,IFERROR((SCORE_H2_Wealth!$C$5/IF(ABS(REF_SchoolConfig!$D$7)&gt;0,REF_SchoolConfig!$D$7,1))*REF_SchoolConfig!$F$7,0)+IFERROR((SCORE_H2_Wealth!$C$6/IF(ABS(REF_SchoolConfig!$D$8)&gt;0,REF_SchoolConfig!$D$8,1))*REF_SchoolConfig!$F$8,0)+IFERROR((SCORE_H2_Wealth!$C$7/IF(ABS(REF_SchoolConfig!$D$9)&gt;0,REF_SchoolConfig!$D$9,1))*REF_SchoolConfig!$F$9,0)+IFERROR((SCORE_H2_Wealth!$C$9/IF(ABS(REF_SchoolConfig!$D$10)&gt;0,REF_SchoolConfig!$D$10,1))*REF_SchoolConfig!$F$10,0)+IFERROR((SCORE_H2_Wealth!$C$10/IF(ABS(REF_SchoolConfig!$D$11)&gt;0,REF_SchoolConfig!$D$11,1))*REF_SchoolConfig!$F$11,0)+IFERROR((SCORE_H2_Wealth!$C$11/IF(ABS(REF_SchoolConfig!$D$12)&gt;0,REF_SchoolConfig!$D$12,1))*REF_SchoolConfig!$F$12,0)+IFERROR((SCORE_H2_Wealth!$C$12/IF(ABS(REF_SchoolConfig!$D$13)&gt;0,REF_SchoolConfig!$D$13,1))*REF_SchoolConfig!$F$13,0)+IFERROR((SCORE_H2_Wealth!$C$13/IF(ABS(REF_SchoolConfig!$D$14)&gt;0,REF_SchoolConfig!$D$14,1))*REF_SchoolConfig!$F$14,0)+IFERROR((SCORE_H2_Wealth!$C$15/IF(ABS(REF_SchoolConfig!$D$15)&gt;0,REF_SchoolConfig!$D$15,1))*REF_SchoolConfig!$F$15,0)+IFERROR((SCORE_H2_Wealth!$C$16/IF(ABS(REF_SchoolConfig!$D$16)&gt;0,REF_SchoolConfig!$D$16,1))*REF_SchoolConfig!$F$16,0)+IFERROR((SCORE_H2_Wealth!$C$17/IF(ABS(REF_SchoolConfig!$D$17)&gt;0,REF_SchoolConfig!$D$17,1))*REF_SchoolConfig!$F$17,0)+IFERROR((SCORE_H2_Wealth!$C$18/IF(ABS(REF_SchoolConfig!$D$18)&gt;0,REF_SchoolConfig!$D$18,1))*REF_SchoolConfig!$F$18,0)+IFERROR((SCORE_H2_Wealth!$C$20/IF(ABS(REF_SchoolConfig!$D$19)&gt;0,REF_SchoolConfig!$D$19,1))*REF_SchoolConfig!$F$19,0)+IFERROR((SCORE_H2_Wealth!$C$21/IF(ABS(REF_SchoolConfig!$D$20)&gt;0,REF_SchoolConfig!$D$20,1))*REF_SchoolConfig!$F$20,0)+IFERROR((SCORE_H2_Wealth!$C$22/IF(ABS(REF_SchoolConfig!$D$21)&gt;0,REF_SchoolConfig!$D$21,1))*REF_SchoolConfig!$F$21,0)+IFERROR((SCORE_H2_Wealth!$C$23/IF(ABS(REF_SchoolConfig!$D$22)&gt;0,REF_SchoolConfig!$D$22,1))*REF_SchoolConfig!$F$22,0)+IFERROR((SCORE_H2_Wealth!$C$25/IF(ABS(REF_SchoolConfig!$D$23)&gt;0,REF_SchoolConfig!$D$23,1))*REF_SchoolConfig!$F$23,0)+IFERROR((SCORE_H2_Wealth!$C$26/IF(ABS(REF_SchoolConfig!$D$24)&gt;0,REF_SchoolConfig!$D$24,1))*REF_SchoolConfig!$F$24,0)+IFERROR((SCORE_H2_Wealth!$C$27/IF(ABS(REF_SchoolConfig!$D$25)&gt;0,REF_SchoolConfig!$D$25,1))*REF_SchoolConfig!$F$25,0)+IFERROR((SCORE_H2_Wealth!$C$28/IF(ABS(REF_SchoolConfig!$D$26)&gt;0,REF_SchoolConfig!$D$26,1))*REF_SchoolConfig!$F$26,0)+IFERROR((SCORE_H2_Wealth!$C$29/IF(ABS(REF_SchoolConfig!$D$27)&gt;0,REF_SchoolConfig!$D$27,1))*REF_SchoolConfig!$F$27,0)+IFERROR((SCORE_H2_Wealth!$C$30/IF(ABS(REF_SchoolConfig!$D$28)&gt;0,REF_SchoolConfig!$D$28,1))*REF_SchoolConfig!$F$28,0)+IFERROR((SCORE_H2_Wealth!$F$31/IF(ABS(REF_SchoolConfig!$D$29)&gt;0,REF_SchoolConfig!$D$29,1))*REF_SchoolConfig!$F$29,0))),0)</f>
        <v>-2.375</v>
      </c>
      <c r="F5" s="1033">
        <f>IFERROR(IF(REF_Config!$B$6="KP",D5,IF(REF_Config!$B$6="Jaimini",E5,C5)),C5)</f>
        <v>-2.75</v>
      </c>
      <c r="G5" s="1033">
        <f t="shared" si="0"/>
        <v>0.91666666666666696</v>
      </c>
      <c r="H5" s="1033">
        <f>IFERROR(SCORE_H2_Wealth!$C$9,0)</f>
        <v>0</v>
      </c>
      <c r="I5" s="1033">
        <f>IFERROR(SCORE_H2_Wealth!$C$22,0)</f>
        <v>0</v>
      </c>
      <c r="J5" s="1034"/>
      <c r="K5" s="1034"/>
      <c r="L5" s="1034"/>
      <c r="M5" s="4"/>
    </row>
    <row r="6" spans="1:13" ht="15.75" customHeight="1" x14ac:dyDescent="0.2">
      <c r="A6" s="1029">
        <v>3</v>
      </c>
      <c r="B6" s="1035" t="s">
        <v>3730</v>
      </c>
      <c r="C6" s="1034">
        <f>IFERROR(MAX(-10,MIN(10,IFERROR((SCORE_H3_Courage!$C$5/IF(ABS(REF_SchoolConfig!$D$7)&gt;0,REF_SchoolConfig!$D$7,1))*REF_SchoolConfig!$D$7,0)+IFERROR((SCORE_H3_Courage!$C$6/IF(ABS(REF_SchoolConfig!$D$8)&gt;0,REF_SchoolConfig!$D$8,1))*REF_SchoolConfig!$D$8,0)+IFERROR((SCORE_H3_Courage!$C$7/IF(ABS(REF_SchoolConfig!$D$9)&gt;0,REF_SchoolConfig!$D$9,1))*REF_SchoolConfig!$D$9,0)+IFERROR((SCORE_H3_Courage!$C$9/IF(ABS(REF_SchoolConfig!$D$10)&gt;0,REF_SchoolConfig!$D$10,1))*REF_SchoolConfig!$D$10,0)+IFERROR((SCORE_H3_Courage!$C$10/IF(ABS(REF_SchoolConfig!$D$11)&gt;0,REF_SchoolConfig!$D$11,1))*REF_SchoolConfig!$D$11,0)+IFERROR((SCORE_H3_Courage!$C$11/IF(ABS(REF_SchoolConfig!$D$12)&gt;0,REF_SchoolConfig!$D$12,1))*REF_SchoolConfig!$D$12,0)+IFERROR((SCORE_H3_Courage!$C$12/IF(ABS(REF_SchoolConfig!$D$13)&gt;0,REF_SchoolConfig!$D$13,1))*REF_SchoolConfig!$D$13,0)+IFERROR((SCORE_H3_Courage!$C$13/IF(ABS(REF_SchoolConfig!$D$14)&gt;0,REF_SchoolConfig!$D$14,1))*REF_SchoolConfig!$D$14,0)+IFERROR((SCORE_H3_Courage!$C$15/IF(ABS(REF_SchoolConfig!$D$15)&gt;0,REF_SchoolConfig!$D$15,1))*REF_SchoolConfig!$D$15,0)+IFERROR((SCORE_H3_Courage!$C$16/IF(ABS(REF_SchoolConfig!$D$16)&gt;0,REF_SchoolConfig!$D$16,1))*REF_SchoolConfig!$D$16,0)+IFERROR((SCORE_H3_Courage!$C$17/IF(ABS(REF_SchoolConfig!$D$17)&gt;0,REF_SchoolConfig!$D$17,1))*REF_SchoolConfig!$D$17,0)+IFERROR((SCORE_H3_Courage!$C$18/IF(ABS(REF_SchoolConfig!$D$18)&gt;0,REF_SchoolConfig!$D$18,1))*REF_SchoolConfig!$D$18,0)+IFERROR((SCORE_H3_Courage!$C$20/IF(ABS(REF_SchoolConfig!$D$19)&gt;0,REF_SchoolConfig!$D$19,1))*REF_SchoolConfig!$D$19,0)+IFERROR((SCORE_H3_Courage!$C$21/IF(ABS(REF_SchoolConfig!$D$20)&gt;0,REF_SchoolConfig!$D$20,1))*REF_SchoolConfig!$D$20,0)+IFERROR((SCORE_H3_Courage!$C$22/IF(ABS(REF_SchoolConfig!$D$21)&gt;0,REF_SchoolConfig!$D$21,1))*REF_SchoolConfig!$D$21,0)+IFERROR((SCORE_H3_Courage!$C$23/IF(ABS(REF_SchoolConfig!$D$22)&gt;0,REF_SchoolConfig!$D$22,1))*REF_SchoolConfig!$D$22,0)+IFERROR((SCORE_H3_Courage!$C$25/IF(ABS(REF_SchoolConfig!$D$23)&gt;0,REF_SchoolConfig!$D$23,1))*REF_SchoolConfig!$D$23,0)+IFERROR((SCORE_H3_Courage!$C$26/IF(ABS(REF_SchoolConfig!$D$24)&gt;0,REF_SchoolConfig!$D$24,1))*REF_SchoolConfig!$D$24,0)+IFERROR((SCORE_H3_Courage!$C$27/IF(ABS(REF_SchoolConfig!$D$25)&gt;0,REF_SchoolConfig!$D$25,1))*REF_SchoolConfig!$D$25,0)+IFERROR((SCORE_H3_Courage!$C$28/IF(ABS(REF_SchoolConfig!$D$26)&gt;0,REF_SchoolConfig!$D$26,1))*REF_SchoolConfig!$D$26,0)+IFERROR((SCORE_H3_Courage!$C$29/IF(ABS(REF_SchoolConfig!$D$27)&gt;0,REF_SchoolConfig!$D$27,1))*REF_SchoolConfig!$D$27,0)+IFERROR((SCORE_H3_Courage!$C$30/IF(ABS(REF_SchoolConfig!$D$28)&gt;0,REF_SchoolConfig!$D$28,1))*REF_SchoolConfig!$D$28,0)+IFERROR((SCORE_H3_Courage!$F$31/IF(ABS(REF_SchoolConfig!$D$29)&gt;0,REF_SchoolConfig!$D$29,1))*REF_SchoolConfig!$D$29,0))),0)</f>
        <v>-1</v>
      </c>
      <c r="D6" s="1034">
        <f>IFERROR(MAX(-10,MIN(10,IFERROR((SCORE_H3_Courage!$C$5/IF(ABS(REF_SchoolConfig!$D$7)&gt;0,REF_SchoolConfig!$D$7,1))*REF_SchoolConfig!$E$7,0)+IFERROR((SCORE_H3_Courage!$C$6/IF(ABS(REF_SchoolConfig!$D$8)&gt;0,REF_SchoolConfig!$D$8,1))*REF_SchoolConfig!$E$8,0)+IFERROR((SCORE_H3_Courage!$C$7/IF(ABS(REF_SchoolConfig!$D$9)&gt;0,REF_SchoolConfig!$D$9,1))*REF_SchoolConfig!$E$9,0)+IFERROR((SCORE_H3_Courage!$C$9/IF(ABS(REF_SchoolConfig!$D$10)&gt;0,REF_SchoolConfig!$D$10,1))*REF_SchoolConfig!$E$10,0)+IFERROR((SCORE_H3_Courage!$C$10/IF(ABS(REF_SchoolConfig!$D$11)&gt;0,REF_SchoolConfig!$D$11,1))*REF_SchoolConfig!$E$11,0)+IFERROR((SCORE_H3_Courage!$C$11/IF(ABS(REF_SchoolConfig!$D$12)&gt;0,REF_SchoolConfig!$D$12,1))*REF_SchoolConfig!$E$12,0)+IFERROR((SCORE_H3_Courage!$C$12/IF(ABS(REF_SchoolConfig!$D$13)&gt;0,REF_SchoolConfig!$D$13,1))*REF_SchoolConfig!$E$13,0)+IFERROR((SCORE_H3_Courage!$C$13/IF(ABS(REF_SchoolConfig!$D$14)&gt;0,REF_SchoolConfig!$D$14,1))*REF_SchoolConfig!$E$14,0)+IFERROR((SCORE_H3_Courage!$C$15/IF(ABS(REF_SchoolConfig!$D$15)&gt;0,REF_SchoolConfig!$D$15,1))*REF_SchoolConfig!$E$15,0)+IFERROR((SCORE_H3_Courage!$C$16/IF(ABS(REF_SchoolConfig!$D$16)&gt;0,REF_SchoolConfig!$D$16,1))*REF_SchoolConfig!$E$16,0)+IFERROR((SCORE_H3_Courage!$C$17/IF(ABS(REF_SchoolConfig!$D$17)&gt;0,REF_SchoolConfig!$D$17,1))*REF_SchoolConfig!$E$17,0)+IFERROR((SCORE_H3_Courage!$C$18/IF(ABS(REF_SchoolConfig!$D$18)&gt;0,REF_SchoolConfig!$D$18,1))*REF_SchoolConfig!$E$18,0)+IFERROR((SCORE_H3_Courage!$C$20/IF(ABS(REF_SchoolConfig!$D$19)&gt;0,REF_SchoolConfig!$D$19,1))*REF_SchoolConfig!$E$19,0)+IFERROR((SCORE_H3_Courage!$C$21/IF(ABS(REF_SchoolConfig!$D$20)&gt;0,REF_SchoolConfig!$D$20,1))*REF_SchoolConfig!$E$20,0)+IFERROR((SCORE_H3_Courage!$C$22/IF(ABS(REF_SchoolConfig!$D$21)&gt;0,REF_SchoolConfig!$D$21,1))*REF_SchoolConfig!$E$21,0)+IFERROR((SCORE_H3_Courage!$C$23/IF(ABS(REF_SchoolConfig!$D$22)&gt;0,REF_SchoolConfig!$D$22,1))*REF_SchoolConfig!$E$22,0)+IFERROR((SCORE_H3_Courage!$C$25/IF(ABS(REF_SchoolConfig!$D$23)&gt;0,REF_SchoolConfig!$D$23,1))*REF_SchoolConfig!$E$23,0)+IFERROR((SCORE_H3_Courage!$C$26/IF(ABS(REF_SchoolConfig!$D$24)&gt;0,REF_SchoolConfig!$D$24,1))*REF_SchoolConfig!$E$24,0)+IFERROR((SCORE_H3_Courage!$C$27/IF(ABS(REF_SchoolConfig!$D$25)&gt;0,REF_SchoolConfig!$D$25,1))*REF_SchoolConfig!$E$25,0)+IFERROR((SCORE_H3_Courage!$C$28/IF(ABS(REF_SchoolConfig!$D$26)&gt;0,REF_SchoolConfig!$D$26,1))*REF_SchoolConfig!$E$26,0)+IFERROR((SCORE_H3_Courage!$C$29/IF(ABS(REF_SchoolConfig!$D$27)&gt;0,REF_SchoolConfig!$D$27,1))*REF_SchoolConfig!$E$27,0)+IFERROR((SCORE_H3_Courage!$C$30/IF(ABS(REF_SchoolConfig!$D$28)&gt;0,REF_SchoolConfig!$D$28,1))*REF_SchoolConfig!$E$28,0)+IFERROR((SCORE_H3_Courage!$F$31/IF(ABS(REF_SchoolConfig!$D$29)&gt;0,REF_SchoolConfig!$D$29,1))*REF_SchoolConfig!$E$29,0))),0)</f>
        <v>-1.541666666666667</v>
      </c>
      <c r="E6" s="1034">
        <f>IFERROR(MAX(-10,MIN(10,IFERROR((SCORE_H3_Courage!$C$5/IF(ABS(REF_SchoolConfig!$D$7)&gt;0,REF_SchoolConfig!$D$7,1))*REF_SchoolConfig!$F$7,0)+IFERROR((SCORE_H3_Courage!$C$6/IF(ABS(REF_SchoolConfig!$D$8)&gt;0,REF_SchoolConfig!$D$8,1))*REF_SchoolConfig!$F$8,0)+IFERROR((SCORE_H3_Courage!$C$7/IF(ABS(REF_SchoolConfig!$D$9)&gt;0,REF_SchoolConfig!$D$9,1))*REF_SchoolConfig!$F$9,0)+IFERROR((SCORE_H3_Courage!$C$9/IF(ABS(REF_SchoolConfig!$D$10)&gt;0,REF_SchoolConfig!$D$10,1))*REF_SchoolConfig!$F$10,0)+IFERROR((SCORE_H3_Courage!$C$10/IF(ABS(REF_SchoolConfig!$D$11)&gt;0,REF_SchoolConfig!$D$11,1))*REF_SchoolConfig!$F$11,0)+IFERROR((SCORE_H3_Courage!$C$11/IF(ABS(REF_SchoolConfig!$D$12)&gt;0,REF_SchoolConfig!$D$12,1))*REF_SchoolConfig!$F$12,0)+IFERROR((SCORE_H3_Courage!$C$12/IF(ABS(REF_SchoolConfig!$D$13)&gt;0,REF_SchoolConfig!$D$13,1))*REF_SchoolConfig!$F$13,0)+IFERROR((SCORE_H3_Courage!$C$13/IF(ABS(REF_SchoolConfig!$D$14)&gt;0,REF_SchoolConfig!$D$14,1))*REF_SchoolConfig!$F$14,0)+IFERROR((SCORE_H3_Courage!$C$15/IF(ABS(REF_SchoolConfig!$D$15)&gt;0,REF_SchoolConfig!$D$15,1))*REF_SchoolConfig!$F$15,0)+IFERROR((SCORE_H3_Courage!$C$16/IF(ABS(REF_SchoolConfig!$D$16)&gt;0,REF_SchoolConfig!$D$16,1))*REF_SchoolConfig!$F$16,0)+IFERROR((SCORE_H3_Courage!$C$17/IF(ABS(REF_SchoolConfig!$D$17)&gt;0,REF_SchoolConfig!$D$17,1))*REF_SchoolConfig!$F$17,0)+IFERROR((SCORE_H3_Courage!$C$18/IF(ABS(REF_SchoolConfig!$D$18)&gt;0,REF_SchoolConfig!$D$18,1))*REF_SchoolConfig!$F$18,0)+IFERROR((SCORE_H3_Courage!$C$20/IF(ABS(REF_SchoolConfig!$D$19)&gt;0,REF_SchoolConfig!$D$19,1))*REF_SchoolConfig!$F$19,0)+IFERROR((SCORE_H3_Courage!$C$21/IF(ABS(REF_SchoolConfig!$D$20)&gt;0,REF_SchoolConfig!$D$20,1))*REF_SchoolConfig!$F$20,0)+IFERROR((SCORE_H3_Courage!$C$22/IF(ABS(REF_SchoolConfig!$D$21)&gt;0,REF_SchoolConfig!$D$21,1))*REF_SchoolConfig!$F$21,0)+IFERROR((SCORE_H3_Courage!$C$23/IF(ABS(REF_SchoolConfig!$D$22)&gt;0,REF_SchoolConfig!$D$22,1))*REF_SchoolConfig!$F$22,0)+IFERROR((SCORE_H3_Courage!$C$25/IF(ABS(REF_SchoolConfig!$D$23)&gt;0,REF_SchoolConfig!$D$23,1))*REF_SchoolConfig!$F$23,0)+IFERROR((SCORE_H3_Courage!$C$26/IF(ABS(REF_SchoolConfig!$D$24)&gt;0,REF_SchoolConfig!$D$24,1))*REF_SchoolConfig!$F$24,0)+IFERROR((SCORE_H3_Courage!$C$27/IF(ABS(REF_SchoolConfig!$D$25)&gt;0,REF_SchoolConfig!$D$25,1))*REF_SchoolConfig!$F$25,0)+IFERROR((SCORE_H3_Courage!$C$28/IF(ABS(REF_SchoolConfig!$D$26)&gt;0,REF_SchoolConfig!$D$26,1))*REF_SchoolConfig!$F$26,0)+IFERROR((SCORE_H3_Courage!$C$29/IF(ABS(REF_SchoolConfig!$D$27)&gt;0,REF_SchoolConfig!$D$27,1))*REF_SchoolConfig!$F$27,0)+IFERROR((SCORE_H3_Courage!$C$30/IF(ABS(REF_SchoolConfig!$D$28)&gt;0,REF_SchoolConfig!$D$28,1))*REF_SchoolConfig!$F$28,0)+IFERROR((SCORE_H3_Courage!$F$31/IF(ABS(REF_SchoolConfig!$D$29)&gt;0,REF_SchoolConfig!$D$29,1))*REF_SchoolConfig!$F$29,0))),0)</f>
        <v>-0.875</v>
      </c>
      <c r="F6" s="1034">
        <f>IFERROR(IF(REF_Config!$B$6="KP",D6,IF(REF_Config!$B$6="Jaimini",E6,C6)),C6)</f>
        <v>-1</v>
      </c>
      <c r="G6" s="1034">
        <f t="shared" si="0"/>
        <v>0.66666666666666696</v>
      </c>
      <c r="H6" s="1034">
        <f>IFERROR(SCORE_H3_Courage!$C$9,0)</f>
        <v>0</v>
      </c>
      <c r="I6" s="1034">
        <f>IFERROR(SCORE_H3_Courage!$C$22,0)</f>
        <v>0</v>
      </c>
      <c r="J6" s="1034"/>
      <c r="K6" s="1034"/>
      <c r="L6" s="1034"/>
      <c r="M6" s="4"/>
    </row>
    <row r="7" spans="1:13" ht="15.75" customHeight="1" x14ac:dyDescent="0.2">
      <c r="A7" s="1031">
        <v>4</v>
      </c>
      <c r="B7" s="1032" t="s">
        <v>3731</v>
      </c>
      <c r="C7" s="1033">
        <f>IFERROR(MAX(-10,MIN(10,IFERROR((SCORE_H4_Home!$C$5/IF(ABS(REF_SchoolConfig!$D$7)&gt;0,REF_SchoolConfig!$D$7,1))*REF_SchoolConfig!$D$7,0)+IFERROR((SCORE_H4_Home!$C$6/IF(ABS(REF_SchoolConfig!$D$8)&gt;0,REF_SchoolConfig!$D$8,1))*REF_SchoolConfig!$D$8,0)+IFERROR((SCORE_H4_Home!$C$7/IF(ABS(REF_SchoolConfig!$D$9)&gt;0,REF_SchoolConfig!$D$9,1))*REF_SchoolConfig!$D$9,0)+IFERROR((SCORE_H4_Home!$C$9/IF(ABS(REF_SchoolConfig!$D$10)&gt;0,REF_SchoolConfig!$D$10,1))*REF_SchoolConfig!$D$10,0)+IFERROR((SCORE_H4_Home!$C$10/IF(ABS(REF_SchoolConfig!$D$11)&gt;0,REF_SchoolConfig!$D$11,1))*REF_SchoolConfig!$D$11,0)+IFERROR((SCORE_H4_Home!$C$11/IF(ABS(REF_SchoolConfig!$D$12)&gt;0,REF_SchoolConfig!$D$12,1))*REF_SchoolConfig!$D$12,0)+IFERROR((SCORE_H4_Home!$C$12/IF(ABS(REF_SchoolConfig!$D$13)&gt;0,REF_SchoolConfig!$D$13,1))*REF_SchoolConfig!$D$13,0)+IFERROR((SCORE_H4_Home!$C$13/IF(ABS(REF_SchoolConfig!$D$14)&gt;0,REF_SchoolConfig!$D$14,1))*REF_SchoolConfig!$D$14,0)+IFERROR((SCORE_H4_Home!$C$15/IF(ABS(REF_SchoolConfig!$D$15)&gt;0,REF_SchoolConfig!$D$15,1))*REF_SchoolConfig!$D$15,0)+IFERROR((SCORE_H4_Home!$C$16/IF(ABS(REF_SchoolConfig!$D$16)&gt;0,REF_SchoolConfig!$D$16,1))*REF_SchoolConfig!$D$16,0)+IFERROR((SCORE_H4_Home!$C$17/IF(ABS(REF_SchoolConfig!$D$17)&gt;0,REF_SchoolConfig!$D$17,1))*REF_SchoolConfig!$D$17,0)+IFERROR((SCORE_H4_Home!$C$18/IF(ABS(REF_SchoolConfig!$D$18)&gt;0,REF_SchoolConfig!$D$18,1))*REF_SchoolConfig!$D$18,0)+IFERROR((SCORE_H4_Home!$C$20/IF(ABS(REF_SchoolConfig!$D$19)&gt;0,REF_SchoolConfig!$D$19,1))*REF_SchoolConfig!$D$19,0)+IFERROR((SCORE_H4_Home!$C$21/IF(ABS(REF_SchoolConfig!$D$20)&gt;0,REF_SchoolConfig!$D$20,1))*REF_SchoolConfig!$D$20,0)+IFERROR((SCORE_H4_Home!$C$22/IF(ABS(REF_SchoolConfig!$D$21)&gt;0,REF_SchoolConfig!$D$21,1))*REF_SchoolConfig!$D$21,0)+IFERROR((SCORE_H4_Home!$C$23/IF(ABS(REF_SchoolConfig!$D$22)&gt;0,REF_SchoolConfig!$D$22,1))*REF_SchoolConfig!$D$22,0)+IFERROR((SCORE_H4_Home!$C$25/IF(ABS(REF_SchoolConfig!$D$23)&gt;0,REF_SchoolConfig!$D$23,1))*REF_SchoolConfig!$D$23,0)+IFERROR((SCORE_H4_Home!$C$26/IF(ABS(REF_SchoolConfig!$D$24)&gt;0,REF_SchoolConfig!$D$24,1))*REF_SchoolConfig!$D$24,0)+IFERROR((SCORE_H4_Home!$C$27/IF(ABS(REF_SchoolConfig!$D$25)&gt;0,REF_SchoolConfig!$D$25,1))*REF_SchoolConfig!$D$25,0)+IFERROR((SCORE_H4_Home!$C$28/IF(ABS(REF_SchoolConfig!$D$26)&gt;0,REF_SchoolConfig!$D$26,1))*REF_SchoolConfig!$D$26,0)+IFERROR((SCORE_H4_Home!$C$29/IF(ABS(REF_SchoolConfig!$D$27)&gt;0,REF_SchoolConfig!$D$27,1))*REF_SchoolConfig!$D$27,0)+IFERROR((SCORE_H4_Home!$C$30/IF(ABS(REF_SchoolConfig!$D$28)&gt;0,REF_SchoolConfig!$D$28,1))*REF_SchoolConfig!$D$28,0)+IFERROR((SCORE_H4_Home!$F$31/IF(ABS(REF_SchoolConfig!$D$29)&gt;0,REF_SchoolConfig!$D$29,1))*REF_SchoolConfig!$D$29,0))),0)</f>
        <v>1</v>
      </c>
      <c r="D7" s="1033">
        <f>IFERROR(MAX(-10,MIN(10,IFERROR((SCORE_H4_Home!$C$5/IF(ABS(REF_SchoolConfig!$D$7)&gt;0,REF_SchoolConfig!$D$7,1))*REF_SchoolConfig!$E$7,0)+IFERROR((SCORE_H4_Home!$C$6/IF(ABS(REF_SchoolConfig!$D$8)&gt;0,REF_SchoolConfig!$D$8,1))*REF_SchoolConfig!$E$8,0)+IFERROR((SCORE_H4_Home!$C$7/IF(ABS(REF_SchoolConfig!$D$9)&gt;0,REF_SchoolConfig!$D$9,1))*REF_SchoolConfig!$E$9,0)+IFERROR((SCORE_H4_Home!$C$9/IF(ABS(REF_SchoolConfig!$D$10)&gt;0,REF_SchoolConfig!$D$10,1))*REF_SchoolConfig!$E$10,0)+IFERROR((SCORE_H4_Home!$C$10/IF(ABS(REF_SchoolConfig!$D$11)&gt;0,REF_SchoolConfig!$D$11,1))*REF_SchoolConfig!$E$11,0)+IFERROR((SCORE_H4_Home!$C$11/IF(ABS(REF_SchoolConfig!$D$12)&gt;0,REF_SchoolConfig!$D$12,1))*REF_SchoolConfig!$E$12,0)+IFERROR((SCORE_H4_Home!$C$12/IF(ABS(REF_SchoolConfig!$D$13)&gt;0,REF_SchoolConfig!$D$13,1))*REF_SchoolConfig!$E$13,0)+IFERROR((SCORE_H4_Home!$C$13/IF(ABS(REF_SchoolConfig!$D$14)&gt;0,REF_SchoolConfig!$D$14,1))*REF_SchoolConfig!$E$14,0)+IFERROR((SCORE_H4_Home!$C$15/IF(ABS(REF_SchoolConfig!$D$15)&gt;0,REF_SchoolConfig!$D$15,1))*REF_SchoolConfig!$E$15,0)+IFERROR((SCORE_H4_Home!$C$16/IF(ABS(REF_SchoolConfig!$D$16)&gt;0,REF_SchoolConfig!$D$16,1))*REF_SchoolConfig!$E$16,0)+IFERROR((SCORE_H4_Home!$C$17/IF(ABS(REF_SchoolConfig!$D$17)&gt;0,REF_SchoolConfig!$D$17,1))*REF_SchoolConfig!$E$17,0)+IFERROR((SCORE_H4_Home!$C$18/IF(ABS(REF_SchoolConfig!$D$18)&gt;0,REF_SchoolConfig!$D$18,1))*REF_SchoolConfig!$E$18,0)+IFERROR((SCORE_H4_Home!$C$20/IF(ABS(REF_SchoolConfig!$D$19)&gt;0,REF_SchoolConfig!$D$19,1))*REF_SchoolConfig!$E$19,0)+IFERROR((SCORE_H4_Home!$C$21/IF(ABS(REF_SchoolConfig!$D$20)&gt;0,REF_SchoolConfig!$D$20,1))*REF_SchoolConfig!$E$20,0)+IFERROR((SCORE_H4_Home!$C$22/IF(ABS(REF_SchoolConfig!$D$21)&gt;0,REF_SchoolConfig!$D$21,1))*REF_SchoolConfig!$E$21,0)+IFERROR((SCORE_H4_Home!$C$23/IF(ABS(REF_SchoolConfig!$D$22)&gt;0,REF_SchoolConfig!$D$22,1))*REF_SchoolConfig!$E$22,0)+IFERROR((SCORE_H4_Home!$C$25/IF(ABS(REF_SchoolConfig!$D$23)&gt;0,REF_SchoolConfig!$D$23,1))*REF_SchoolConfig!$E$23,0)+IFERROR((SCORE_H4_Home!$C$26/IF(ABS(REF_SchoolConfig!$D$24)&gt;0,REF_SchoolConfig!$D$24,1))*REF_SchoolConfig!$E$24,0)+IFERROR((SCORE_H4_Home!$C$27/IF(ABS(REF_SchoolConfig!$D$25)&gt;0,REF_SchoolConfig!$D$25,1))*REF_SchoolConfig!$E$25,0)+IFERROR((SCORE_H4_Home!$C$28/IF(ABS(REF_SchoolConfig!$D$26)&gt;0,REF_SchoolConfig!$D$26,1))*REF_SchoolConfig!$E$26,0)+IFERROR((SCORE_H4_Home!$C$29/IF(ABS(REF_SchoolConfig!$D$27)&gt;0,REF_SchoolConfig!$D$27,1))*REF_SchoolConfig!$E$27,0)+IFERROR((SCORE_H4_Home!$C$30/IF(ABS(REF_SchoolConfig!$D$28)&gt;0,REF_SchoolConfig!$D$28,1))*REF_SchoolConfig!$E$28,0)+IFERROR((SCORE_H4_Home!$F$31/IF(ABS(REF_SchoolConfig!$D$29)&gt;0,REF_SchoolConfig!$D$29,1))*REF_SchoolConfig!$E$29,0))),0)</f>
        <v>0.45833333333333326</v>
      </c>
      <c r="E7" s="1033">
        <f>IFERROR(MAX(-10,MIN(10,IFERROR((SCORE_H4_Home!$C$5/IF(ABS(REF_SchoolConfig!$D$7)&gt;0,REF_SchoolConfig!$D$7,1))*REF_SchoolConfig!$F$7,0)+IFERROR((SCORE_H4_Home!$C$6/IF(ABS(REF_SchoolConfig!$D$8)&gt;0,REF_SchoolConfig!$D$8,1))*REF_SchoolConfig!$F$8,0)+IFERROR((SCORE_H4_Home!$C$7/IF(ABS(REF_SchoolConfig!$D$9)&gt;0,REF_SchoolConfig!$D$9,1))*REF_SchoolConfig!$F$9,0)+IFERROR((SCORE_H4_Home!$C$9/IF(ABS(REF_SchoolConfig!$D$10)&gt;0,REF_SchoolConfig!$D$10,1))*REF_SchoolConfig!$F$10,0)+IFERROR((SCORE_H4_Home!$C$10/IF(ABS(REF_SchoolConfig!$D$11)&gt;0,REF_SchoolConfig!$D$11,1))*REF_SchoolConfig!$F$11,0)+IFERROR((SCORE_H4_Home!$C$11/IF(ABS(REF_SchoolConfig!$D$12)&gt;0,REF_SchoolConfig!$D$12,1))*REF_SchoolConfig!$F$12,0)+IFERROR((SCORE_H4_Home!$C$12/IF(ABS(REF_SchoolConfig!$D$13)&gt;0,REF_SchoolConfig!$D$13,1))*REF_SchoolConfig!$F$13,0)+IFERROR((SCORE_H4_Home!$C$13/IF(ABS(REF_SchoolConfig!$D$14)&gt;0,REF_SchoolConfig!$D$14,1))*REF_SchoolConfig!$F$14,0)+IFERROR((SCORE_H4_Home!$C$15/IF(ABS(REF_SchoolConfig!$D$15)&gt;0,REF_SchoolConfig!$D$15,1))*REF_SchoolConfig!$F$15,0)+IFERROR((SCORE_H4_Home!$C$16/IF(ABS(REF_SchoolConfig!$D$16)&gt;0,REF_SchoolConfig!$D$16,1))*REF_SchoolConfig!$F$16,0)+IFERROR((SCORE_H4_Home!$C$17/IF(ABS(REF_SchoolConfig!$D$17)&gt;0,REF_SchoolConfig!$D$17,1))*REF_SchoolConfig!$F$17,0)+IFERROR((SCORE_H4_Home!$C$18/IF(ABS(REF_SchoolConfig!$D$18)&gt;0,REF_SchoolConfig!$D$18,1))*REF_SchoolConfig!$F$18,0)+IFERROR((SCORE_H4_Home!$C$20/IF(ABS(REF_SchoolConfig!$D$19)&gt;0,REF_SchoolConfig!$D$19,1))*REF_SchoolConfig!$F$19,0)+IFERROR((SCORE_H4_Home!$C$21/IF(ABS(REF_SchoolConfig!$D$20)&gt;0,REF_SchoolConfig!$D$20,1))*REF_SchoolConfig!$F$20,0)+IFERROR((SCORE_H4_Home!$C$22/IF(ABS(REF_SchoolConfig!$D$21)&gt;0,REF_SchoolConfig!$D$21,1))*REF_SchoolConfig!$F$21,0)+IFERROR((SCORE_H4_Home!$C$23/IF(ABS(REF_SchoolConfig!$D$22)&gt;0,REF_SchoolConfig!$D$22,1))*REF_SchoolConfig!$F$22,0)+IFERROR((SCORE_H4_Home!$C$25/IF(ABS(REF_SchoolConfig!$D$23)&gt;0,REF_SchoolConfig!$D$23,1))*REF_SchoolConfig!$F$23,0)+IFERROR((SCORE_H4_Home!$C$26/IF(ABS(REF_SchoolConfig!$D$24)&gt;0,REF_SchoolConfig!$D$24,1))*REF_SchoolConfig!$F$24,0)+IFERROR((SCORE_H4_Home!$C$27/IF(ABS(REF_SchoolConfig!$D$25)&gt;0,REF_SchoolConfig!$D$25,1))*REF_SchoolConfig!$F$25,0)+IFERROR((SCORE_H4_Home!$C$28/IF(ABS(REF_SchoolConfig!$D$26)&gt;0,REF_SchoolConfig!$D$26,1))*REF_SchoolConfig!$F$26,0)+IFERROR((SCORE_H4_Home!$C$29/IF(ABS(REF_SchoolConfig!$D$27)&gt;0,REF_SchoolConfig!$D$27,1))*REF_SchoolConfig!$F$27,0)+IFERROR((SCORE_H4_Home!$C$30/IF(ABS(REF_SchoolConfig!$D$28)&gt;0,REF_SchoolConfig!$D$28,1))*REF_SchoolConfig!$F$28,0)+IFERROR((SCORE_H4_Home!$F$31/IF(ABS(REF_SchoolConfig!$D$29)&gt;0,REF_SchoolConfig!$D$29,1))*REF_SchoolConfig!$F$29,0))),0)</f>
        <v>0.79166666666666674</v>
      </c>
      <c r="F7" s="1033">
        <f>IFERROR(IF(REF_Config!$B$6="KP",D7,IF(REF_Config!$B$6="Jaimini",E7,C7)),C7)</f>
        <v>1</v>
      </c>
      <c r="G7" s="1033">
        <f t="shared" si="0"/>
        <v>0.54166666666666674</v>
      </c>
      <c r="H7" s="1033">
        <f>IFERROR(SCORE_H4_Home!$C$9,0)</f>
        <v>0</v>
      </c>
      <c r="I7" s="1033">
        <f>IFERROR(SCORE_H4_Home!$C$22,0)</f>
        <v>0</v>
      </c>
      <c r="J7" s="1034"/>
      <c r="K7" s="1034"/>
      <c r="L7" s="1034"/>
      <c r="M7" s="4"/>
    </row>
    <row r="8" spans="1:13" ht="15.75" customHeight="1" x14ac:dyDescent="0.2">
      <c r="A8" s="1029">
        <v>5</v>
      </c>
      <c r="B8" s="1035" t="s">
        <v>3732</v>
      </c>
      <c r="C8" s="1034">
        <f>IFERROR(MAX(-10,MIN(10,IFERROR((SCORE_H5_Intellect!$C$5/IF(ABS(REF_SchoolConfig!$D$7)&gt;0,REF_SchoolConfig!$D$7,1))*REF_SchoolConfig!$D$7,0)+IFERROR((SCORE_H5_Intellect!$C$6/IF(ABS(REF_SchoolConfig!$D$8)&gt;0,REF_SchoolConfig!$D$8,1))*REF_SchoolConfig!$D$8,0)+IFERROR((SCORE_H5_Intellect!$C$7/IF(ABS(REF_SchoolConfig!$D$9)&gt;0,REF_SchoolConfig!$D$9,1))*REF_SchoolConfig!$D$9,0)+IFERROR((SCORE_H5_Intellect!$C$9/IF(ABS(REF_SchoolConfig!$D$10)&gt;0,REF_SchoolConfig!$D$10,1))*REF_SchoolConfig!$D$10,0)+IFERROR((SCORE_H5_Intellect!$C$10/IF(ABS(REF_SchoolConfig!$D$11)&gt;0,REF_SchoolConfig!$D$11,1))*REF_SchoolConfig!$D$11,0)+IFERROR((SCORE_H5_Intellect!$C$11/IF(ABS(REF_SchoolConfig!$D$12)&gt;0,REF_SchoolConfig!$D$12,1))*REF_SchoolConfig!$D$12,0)+IFERROR((SCORE_H5_Intellect!$C$12/IF(ABS(REF_SchoolConfig!$D$13)&gt;0,REF_SchoolConfig!$D$13,1))*REF_SchoolConfig!$D$13,0)+IFERROR((SCORE_H5_Intellect!$C$13/IF(ABS(REF_SchoolConfig!$D$14)&gt;0,REF_SchoolConfig!$D$14,1))*REF_SchoolConfig!$D$14,0)+IFERROR((SCORE_H5_Intellect!$C$15/IF(ABS(REF_SchoolConfig!$D$15)&gt;0,REF_SchoolConfig!$D$15,1))*REF_SchoolConfig!$D$15,0)+IFERROR((SCORE_H5_Intellect!$C$16/IF(ABS(REF_SchoolConfig!$D$16)&gt;0,REF_SchoolConfig!$D$16,1))*REF_SchoolConfig!$D$16,0)+IFERROR((SCORE_H5_Intellect!$C$17/IF(ABS(REF_SchoolConfig!$D$17)&gt;0,REF_SchoolConfig!$D$17,1))*REF_SchoolConfig!$D$17,0)+IFERROR((SCORE_H5_Intellect!$C$18/IF(ABS(REF_SchoolConfig!$D$18)&gt;0,REF_SchoolConfig!$D$18,1))*REF_SchoolConfig!$D$18,0)+IFERROR((SCORE_H5_Intellect!$C$20/IF(ABS(REF_SchoolConfig!$D$19)&gt;0,REF_SchoolConfig!$D$19,1))*REF_SchoolConfig!$D$19,0)+IFERROR((SCORE_H5_Intellect!$C$21/IF(ABS(REF_SchoolConfig!$D$20)&gt;0,REF_SchoolConfig!$D$20,1))*REF_SchoolConfig!$D$20,0)+IFERROR((SCORE_H5_Intellect!$C$22/IF(ABS(REF_SchoolConfig!$D$21)&gt;0,REF_SchoolConfig!$D$21,1))*REF_SchoolConfig!$D$21,0)+IFERROR((SCORE_H5_Intellect!$C$23/IF(ABS(REF_SchoolConfig!$D$22)&gt;0,REF_SchoolConfig!$D$22,1))*REF_SchoolConfig!$D$22,0)+IFERROR((SCORE_H5_Intellect!$C$25/IF(ABS(REF_SchoolConfig!$D$23)&gt;0,REF_SchoolConfig!$D$23,1))*REF_SchoolConfig!$D$23,0)+IFERROR((SCORE_H5_Intellect!$C$26/IF(ABS(REF_SchoolConfig!$D$24)&gt;0,REF_SchoolConfig!$D$24,1))*REF_SchoolConfig!$D$24,0)+IFERROR((SCORE_H5_Intellect!$C$27/IF(ABS(REF_SchoolConfig!$D$25)&gt;0,REF_SchoolConfig!$D$25,1))*REF_SchoolConfig!$D$25,0)+IFERROR((SCORE_H5_Intellect!$C$28/IF(ABS(REF_SchoolConfig!$D$26)&gt;0,REF_SchoolConfig!$D$26,1))*REF_SchoolConfig!$D$26,0)+IFERROR((SCORE_H5_Intellect!$C$29/IF(ABS(REF_SchoolConfig!$D$27)&gt;0,REF_SchoolConfig!$D$27,1))*REF_SchoolConfig!$D$27,0)+IFERROR((SCORE_H5_Intellect!$C$30/IF(ABS(REF_SchoolConfig!$D$28)&gt;0,REF_SchoolConfig!$D$28,1))*REF_SchoolConfig!$D$28,0)+IFERROR((SCORE_H5_Intellect!$F$31/IF(ABS(REF_SchoolConfig!$D$29)&gt;0,REF_SchoolConfig!$D$29,1))*REF_SchoolConfig!$D$29,0))),0)</f>
        <v>0.75</v>
      </c>
      <c r="D8" s="1034">
        <f>IFERROR(MAX(-10,MIN(10,IFERROR((SCORE_H5_Intellect!$C$5/IF(ABS(REF_SchoolConfig!$D$7)&gt;0,REF_SchoolConfig!$D$7,1))*REF_SchoolConfig!$E$7,0)+IFERROR((SCORE_H5_Intellect!$C$6/IF(ABS(REF_SchoolConfig!$D$8)&gt;0,REF_SchoolConfig!$D$8,1))*REF_SchoolConfig!$E$8,0)+IFERROR((SCORE_H5_Intellect!$C$7/IF(ABS(REF_SchoolConfig!$D$9)&gt;0,REF_SchoolConfig!$D$9,1))*REF_SchoolConfig!$E$9,0)+IFERROR((SCORE_H5_Intellect!$C$9/IF(ABS(REF_SchoolConfig!$D$10)&gt;0,REF_SchoolConfig!$D$10,1))*REF_SchoolConfig!$E$10,0)+IFERROR((SCORE_H5_Intellect!$C$10/IF(ABS(REF_SchoolConfig!$D$11)&gt;0,REF_SchoolConfig!$D$11,1))*REF_SchoolConfig!$E$11,0)+IFERROR((SCORE_H5_Intellect!$C$11/IF(ABS(REF_SchoolConfig!$D$12)&gt;0,REF_SchoolConfig!$D$12,1))*REF_SchoolConfig!$E$12,0)+IFERROR((SCORE_H5_Intellect!$C$12/IF(ABS(REF_SchoolConfig!$D$13)&gt;0,REF_SchoolConfig!$D$13,1))*REF_SchoolConfig!$E$13,0)+IFERROR((SCORE_H5_Intellect!$C$13/IF(ABS(REF_SchoolConfig!$D$14)&gt;0,REF_SchoolConfig!$D$14,1))*REF_SchoolConfig!$E$14,0)+IFERROR((SCORE_H5_Intellect!$C$15/IF(ABS(REF_SchoolConfig!$D$15)&gt;0,REF_SchoolConfig!$D$15,1))*REF_SchoolConfig!$E$15,0)+IFERROR((SCORE_H5_Intellect!$C$16/IF(ABS(REF_SchoolConfig!$D$16)&gt;0,REF_SchoolConfig!$D$16,1))*REF_SchoolConfig!$E$16,0)+IFERROR((SCORE_H5_Intellect!$C$17/IF(ABS(REF_SchoolConfig!$D$17)&gt;0,REF_SchoolConfig!$D$17,1))*REF_SchoolConfig!$E$17,0)+IFERROR((SCORE_H5_Intellect!$C$18/IF(ABS(REF_SchoolConfig!$D$18)&gt;0,REF_SchoolConfig!$D$18,1))*REF_SchoolConfig!$E$18,0)+IFERROR((SCORE_H5_Intellect!$C$20/IF(ABS(REF_SchoolConfig!$D$19)&gt;0,REF_SchoolConfig!$D$19,1))*REF_SchoolConfig!$E$19,0)+IFERROR((SCORE_H5_Intellect!$C$21/IF(ABS(REF_SchoolConfig!$D$20)&gt;0,REF_SchoolConfig!$D$20,1))*REF_SchoolConfig!$E$20,0)+IFERROR((SCORE_H5_Intellect!$C$22/IF(ABS(REF_SchoolConfig!$D$21)&gt;0,REF_SchoolConfig!$D$21,1))*REF_SchoolConfig!$E$21,0)+IFERROR((SCORE_H5_Intellect!$C$23/IF(ABS(REF_SchoolConfig!$D$22)&gt;0,REF_SchoolConfig!$D$22,1))*REF_SchoolConfig!$E$22,0)+IFERROR((SCORE_H5_Intellect!$C$25/IF(ABS(REF_SchoolConfig!$D$23)&gt;0,REF_SchoolConfig!$D$23,1))*REF_SchoolConfig!$E$23,0)+IFERROR((SCORE_H5_Intellect!$C$26/IF(ABS(REF_SchoolConfig!$D$24)&gt;0,REF_SchoolConfig!$D$24,1))*REF_SchoolConfig!$E$24,0)+IFERROR((SCORE_H5_Intellect!$C$27/IF(ABS(REF_SchoolConfig!$D$25)&gt;0,REF_SchoolConfig!$D$25,1))*REF_SchoolConfig!$E$25,0)+IFERROR((SCORE_H5_Intellect!$C$28/IF(ABS(REF_SchoolConfig!$D$26)&gt;0,REF_SchoolConfig!$D$26,1))*REF_SchoolConfig!$E$26,0)+IFERROR((SCORE_H5_Intellect!$C$29/IF(ABS(REF_SchoolConfig!$D$27)&gt;0,REF_SchoolConfig!$D$27,1))*REF_SchoolConfig!$E$27,0)+IFERROR((SCORE_H5_Intellect!$C$30/IF(ABS(REF_SchoolConfig!$D$28)&gt;0,REF_SchoolConfig!$D$28,1))*REF_SchoolConfig!$E$28,0)+IFERROR((SCORE_H5_Intellect!$F$31/IF(ABS(REF_SchoolConfig!$D$29)&gt;0,REF_SchoolConfig!$D$29,1))*REF_SchoolConfig!$E$29,0))),0)</f>
        <v>0.20833333333333304</v>
      </c>
      <c r="E8" s="1034">
        <f>IFERROR(MAX(-10,MIN(10,IFERROR((SCORE_H5_Intellect!$C$5/IF(ABS(REF_SchoolConfig!$D$7)&gt;0,REF_SchoolConfig!$D$7,1))*REF_SchoolConfig!$F$7,0)+IFERROR((SCORE_H5_Intellect!$C$6/IF(ABS(REF_SchoolConfig!$D$8)&gt;0,REF_SchoolConfig!$D$8,1))*REF_SchoolConfig!$F$8,0)+IFERROR((SCORE_H5_Intellect!$C$7/IF(ABS(REF_SchoolConfig!$D$9)&gt;0,REF_SchoolConfig!$D$9,1))*REF_SchoolConfig!$F$9,0)+IFERROR((SCORE_H5_Intellect!$C$9/IF(ABS(REF_SchoolConfig!$D$10)&gt;0,REF_SchoolConfig!$D$10,1))*REF_SchoolConfig!$F$10,0)+IFERROR((SCORE_H5_Intellect!$C$10/IF(ABS(REF_SchoolConfig!$D$11)&gt;0,REF_SchoolConfig!$D$11,1))*REF_SchoolConfig!$F$11,0)+IFERROR((SCORE_H5_Intellect!$C$11/IF(ABS(REF_SchoolConfig!$D$12)&gt;0,REF_SchoolConfig!$D$12,1))*REF_SchoolConfig!$F$12,0)+IFERROR((SCORE_H5_Intellect!$C$12/IF(ABS(REF_SchoolConfig!$D$13)&gt;0,REF_SchoolConfig!$D$13,1))*REF_SchoolConfig!$F$13,0)+IFERROR((SCORE_H5_Intellect!$C$13/IF(ABS(REF_SchoolConfig!$D$14)&gt;0,REF_SchoolConfig!$D$14,1))*REF_SchoolConfig!$F$14,0)+IFERROR((SCORE_H5_Intellect!$C$15/IF(ABS(REF_SchoolConfig!$D$15)&gt;0,REF_SchoolConfig!$D$15,1))*REF_SchoolConfig!$F$15,0)+IFERROR((SCORE_H5_Intellect!$C$16/IF(ABS(REF_SchoolConfig!$D$16)&gt;0,REF_SchoolConfig!$D$16,1))*REF_SchoolConfig!$F$16,0)+IFERROR((SCORE_H5_Intellect!$C$17/IF(ABS(REF_SchoolConfig!$D$17)&gt;0,REF_SchoolConfig!$D$17,1))*REF_SchoolConfig!$F$17,0)+IFERROR((SCORE_H5_Intellect!$C$18/IF(ABS(REF_SchoolConfig!$D$18)&gt;0,REF_SchoolConfig!$D$18,1))*REF_SchoolConfig!$F$18,0)+IFERROR((SCORE_H5_Intellect!$C$20/IF(ABS(REF_SchoolConfig!$D$19)&gt;0,REF_SchoolConfig!$D$19,1))*REF_SchoolConfig!$F$19,0)+IFERROR((SCORE_H5_Intellect!$C$21/IF(ABS(REF_SchoolConfig!$D$20)&gt;0,REF_SchoolConfig!$D$20,1))*REF_SchoolConfig!$F$20,0)+IFERROR((SCORE_H5_Intellect!$C$22/IF(ABS(REF_SchoolConfig!$D$21)&gt;0,REF_SchoolConfig!$D$21,1))*REF_SchoolConfig!$F$21,0)+IFERROR((SCORE_H5_Intellect!$C$23/IF(ABS(REF_SchoolConfig!$D$22)&gt;0,REF_SchoolConfig!$D$22,1))*REF_SchoolConfig!$F$22,0)+IFERROR((SCORE_H5_Intellect!$C$25/IF(ABS(REF_SchoolConfig!$D$23)&gt;0,REF_SchoolConfig!$D$23,1))*REF_SchoolConfig!$F$23,0)+IFERROR((SCORE_H5_Intellect!$C$26/IF(ABS(REF_SchoolConfig!$D$24)&gt;0,REF_SchoolConfig!$D$24,1))*REF_SchoolConfig!$F$24,0)+IFERROR((SCORE_H5_Intellect!$C$27/IF(ABS(REF_SchoolConfig!$D$25)&gt;0,REF_SchoolConfig!$D$25,1))*REF_SchoolConfig!$F$25,0)+IFERROR((SCORE_H5_Intellect!$C$28/IF(ABS(REF_SchoolConfig!$D$26)&gt;0,REF_SchoolConfig!$D$26,1))*REF_SchoolConfig!$F$26,0)+IFERROR((SCORE_H5_Intellect!$C$29/IF(ABS(REF_SchoolConfig!$D$27)&gt;0,REF_SchoolConfig!$D$27,1))*REF_SchoolConfig!$F$27,0)+IFERROR((SCORE_H5_Intellect!$C$30/IF(ABS(REF_SchoolConfig!$D$28)&gt;0,REF_SchoolConfig!$D$28,1))*REF_SchoolConfig!$F$28,0)+IFERROR((SCORE_H5_Intellect!$F$31/IF(ABS(REF_SchoolConfig!$D$29)&gt;0,REF_SchoolConfig!$D$29,1))*REF_SchoolConfig!$F$29,0))),0)</f>
        <v>0.62500000000000022</v>
      </c>
      <c r="F8" s="1034">
        <f>IFERROR(IF(REF_Config!$B$6="KP",D8,IF(REF_Config!$B$6="Jaimini",E8,C8)),C8)</f>
        <v>0.75</v>
      </c>
      <c r="G8" s="1034">
        <f t="shared" si="0"/>
        <v>0.54166666666666696</v>
      </c>
      <c r="H8" s="1034">
        <f>IFERROR(SCORE_H5_Intellect!$C$9,0)</f>
        <v>0</v>
      </c>
      <c r="I8" s="1034">
        <f>IFERROR(SCORE_H5_Intellect!$C$22,0)</f>
        <v>0</v>
      </c>
      <c r="J8" s="1034"/>
      <c r="K8" s="1034"/>
      <c r="L8" s="1034"/>
      <c r="M8" s="4"/>
    </row>
    <row r="9" spans="1:13" ht="15.75" customHeight="1" x14ac:dyDescent="0.2">
      <c r="A9" s="1031">
        <v>6</v>
      </c>
      <c r="B9" s="1032" t="s">
        <v>3205</v>
      </c>
      <c r="C9" s="1033">
        <f>IFERROR(MAX(-10,MIN(10,IFERROR((SCORE_H6_Conflicts!$C$5/IF(ABS(REF_SchoolConfig!$D$7)&gt;0,REF_SchoolConfig!$D$7,1))*REF_SchoolConfig!$D$7,0)+IFERROR((SCORE_H6_Conflicts!$C$6/IF(ABS(REF_SchoolConfig!$D$8)&gt;0,REF_SchoolConfig!$D$8,1))*REF_SchoolConfig!$D$8,0)+IFERROR((SCORE_H6_Conflicts!$C$7/IF(ABS(REF_SchoolConfig!$D$9)&gt;0,REF_SchoolConfig!$D$9,1))*REF_SchoolConfig!$D$9,0)+IFERROR((SCORE_H6_Conflicts!$C$9/IF(ABS(REF_SchoolConfig!$D$10)&gt;0,REF_SchoolConfig!$D$10,1))*REF_SchoolConfig!$D$10,0)+IFERROR((SCORE_H6_Conflicts!$C$10/IF(ABS(REF_SchoolConfig!$D$11)&gt;0,REF_SchoolConfig!$D$11,1))*REF_SchoolConfig!$D$11,0)+IFERROR((SCORE_H6_Conflicts!$C$11/IF(ABS(REF_SchoolConfig!$D$12)&gt;0,REF_SchoolConfig!$D$12,1))*REF_SchoolConfig!$D$12,0)+IFERROR((SCORE_H6_Conflicts!$C$12/IF(ABS(REF_SchoolConfig!$D$13)&gt;0,REF_SchoolConfig!$D$13,1))*REF_SchoolConfig!$D$13,0)+IFERROR((SCORE_H6_Conflicts!$C$13/IF(ABS(REF_SchoolConfig!$D$14)&gt;0,REF_SchoolConfig!$D$14,1))*REF_SchoolConfig!$D$14,0)+IFERROR((SCORE_H6_Conflicts!$C$15/IF(ABS(REF_SchoolConfig!$D$15)&gt;0,REF_SchoolConfig!$D$15,1))*REF_SchoolConfig!$D$15,0)+IFERROR((SCORE_H6_Conflicts!$C$16/IF(ABS(REF_SchoolConfig!$D$16)&gt;0,REF_SchoolConfig!$D$16,1))*REF_SchoolConfig!$D$16,0)+IFERROR((SCORE_H6_Conflicts!$C$17/IF(ABS(REF_SchoolConfig!$D$17)&gt;0,REF_SchoolConfig!$D$17,1))*REF_SchoolConfig!$D$17,0)+IFERROR((SCORE_H6_Conflicts!$C$18/IF(ABS(REF_SchoolConfig!$D$18)&gt;0,REF_SchoolConfig!$D$18,1))*REF_SchoolConfig!$D$18,0)+IFERROR((SCORE_H6_Conflicts!$C$20/IF(ABS(REF_SchoolConfig!$D$19)&gt;0,REF_SchoolConfig!$D$19,1))*REF_SchoolConfig!$D$19,0)+IFERROR((SCORE_H6_Conflicts!$C$21/IF(ABS(REF_SchoolConfig!$D$20)&gt;0,REF_SchoolConfig!$D$20,1))*REF_SchoolConfig!$D$20,0)+IFERROR((SCORE_H6_Conflicts!$C$22/IF(ABS(REF_SchoolConfig!$D$21)&gt;0,REF_SchoolConfig!$D$21,1))*REF_SchoolConfig!$D$21,0)+IFERROR((SCORE_H6_Conflicts!$C$23/IF(ABS(REF_SchoolConfig!$D$22)&gt;0,REF_SchoolConfig!$D$22,1))*REF_SchoolConfig!$D$22,0)+IFERROR((SCORE_H6_Conflicts!$C$25/IF(ABS(REF_SchoolConfig!$D$23)&gt;0,REF_SchoolConfig!$D$23,1))*REF_SchoolConfig!$D$23,0)+IFERROR((SCORE_H6_Conflicts!$C$26/IF(ABS(REF_SchoolConfig!$D$24)&gt;0,REF_SchoolConfig!$D$24,1))*REF_SchoolConfig!$D$24,0)+IFERROR((SCORE_H6_Conflicts!$C$27/IF(ABS(REF_SchoolConfig!$D$25)&gt;0,REF_SchoolConfig!$D$25,1))*REF_SchoolConfig!$D$25,0)+IFERROR((SCORE_H6_Conflicts!$C$28/IF(ABS(REF_SchoolConfig!$D$26)&gt;0,REF_SchoolConfig!$D$26,1))*REF_SchoolConfig!$D$26,0)+IFERROR((SCORE_H6_Conflicts!$C$29/IF(ABS(REF_SchoolConfig!$D$27)&gt;0,REF_SchoolConfig!$D$27,1))*REF_SchoolConfig!$D$27,0)+IFERROR((SCORE_H6_Conflicts!$C$30/IF(ABS(REF_SchoolConfig!$D$28)&gt;0,REF_SchoolConfig!$D$28,1))*REF_SchoolConfig!$D$28,0)+IFERROR((SCORE_H6_Conflicts!$F$31/IF(ABS(REF_SchoolConfig!$D$29)&gt;0,REF_SchoolConfig!$D$29,1))*REF_SchoolConfig!$D$29,0))),0)</f>
        <v>-0.5</v>
      </c>
      <c r="D9" s="1033">
        <f>IFERROR(MAX(-10,MIN(10,IFERROR((SCORE_H6_Conflicts!$C$5/IF(ABS(REF_SchoolConfig!$D$7)&gt;0,REF_SchoolConfig!$D$7,1))*REF_SchoolConfig!$E$7,0)+IFERROR((SCORE_H6_Conflicts!$C$6/IF(ABS(REF_SchoolConfig!$D$8)&gt;0,REF_SchoolConfig!$D$8,1))*REF_SchoolConfig!$E$8,0)+IFERROR((SCORE_H6_Conflicts!$C$7/IF(ABS(REF_SchoolConfig!$D$9)&gt;0,REF_SchoolConfig!$D$9,1))*REF_SchoolConfig!$E$9,0)+IFERROR((SCORE_H6_Conflicts!$C$9/IF(ABS(REF_SchoolConfig!$D$10)&gt;0,REF_SchoolConfig!$D$10,1))*REF_SchoolConfig!$E$10,0)+IFERROR((SCORE_H6_Conflicts!$C$10/IF(ABS(REF_SchoolConfig!$D$11)&gt;0,REF_SchoolConfig!$D$11,1))*REF_SchoolConfig!$E$11,0)+IFERROR((SCORE_H6_Conflicts!$C$11/IF(ABS(REF_SchoolConfig!$D$12)&gt;0,REF_SchoolConfig!$D$12,1))*REF_SchoolConfig!$E$12,0)+IFERROR((SCORE_H6_Conflicts!$C$12/IF(ABS(REF_SchoolConfig!$D$13)&gt;0,REF_SchoolConfig!$D$13,1))*REF_SchoolConfig!$E$13,0)+IFERROR((SCORE_H6_Conflicts!$C$13/IF(ABS(REF_SchoolConfig!$D$14)&gt;0,REF_SchoolConfig!$D$14,1))*REF_SchoolConfig!$E$14,0)+IFERROR((SCORE_H6_Conflicts!$C$15/IF(ABS(REF_SchoolConfig!$D$15)&gt;0,REF_SchoolConfig!$D$15,1))*REF_SchoolConfig!$E$15,0)+IFERROR((SCORE_H6_Conflicts!$C$16/IF(ABS(REF_SchoolConfig!$D$16)&gt;0,REF_SchoolConfig!$D$16,1))*REF_SchoolConfig!$E$16,0)+IFERROR((SCORE_H6_Conflicts!$C$17/IF(ABS(REF_SchoolConfig!$D$17)&gt;0,REF_SchoolConfig!$D$17,1))*REF_SchoolConfig!$E$17,0)+IFERROR((SCORE_H6_Conflicts!$C$18/IF(ABS(REF_SchoolConfig!$D$18)&gt;0,REF_SchoolConfig!$D$18,1))*REF_SchoolConfig!$E$18,0)+IFERROR((SCORE_H6_Conflicts!$C$20/IF(ABS(REF_SchoolConfig!$D$19)&gt;0,REF_SchoolConfig!$D$19,1))*REF_SchoolConfig!$E$19,0)+IFERROR((SCORE_H6_Conflicts!$C$21/IF(ABS(REF_SchoolConfig!$D$20)&gt;0,REF_SchoolConfig!$D$20,1))*REF_SchoolConfig!$E$20,0)+IFERROR((SCORE_H6_Conflicts!$C$22/IF(ABS(REF_SchoolConfig!$D$21)&gt;0,REF_SchoolConfig!$D$21,1))*REF_SchoolConfig!$E$21,0)+IFERROR((SCORE_H6_Conflicts!$C$23/IF(ABS(REF_SchoolConfig!$D$22)&gt;0,REF_SchoolConfig!$D$22,1))*REF_SchoolConfig!$E$22,0)+IFERROR((SCORE_H6_Conflicts!$C$25/IF(ABS(REF_SchoolConfig!$D$23)&gt;0,REF_SchoolConfig!$D$23,1))*REF_SchoolConfig!$E$23,0)+IFERROR((SCORE_H6_Conflicts!$C$26/IF(ABS(REF_SchoolConfig!$D$24)&gt;0,REF_SchoolConfig!$D$24,1))*REF_SchoolConfig!$E$24,0)+IFERROR((SCORE_H6_Conflicts!$C$27/IF(ABS(REF_SchoolConfig!$D$25)&gt;0,REF_SchoolConfig!$D$25,1))*REF_SchoolConfig!$E$25,0)+IFERROR((SCORE_H6_Conflicts!$C$28/IF(ABS(REF_SchoolConfig!$D$26)&gt;0,REF_SchoolConfig!$D$26,1))*REF_SchoolConfig!$E$26,0)+IFERROR((SCORE_H6_Conflicts!$C$29/IF(ABS(REF_SchoolConfig!$D$27)&gt;0,REF_SchoolConfig!$D$27,1))*REF_SchoolConfig!$E$27,0)+IFERROR((SCORE_H6_Conflicts!$C$30/IF(ABS(REF_SchoolConfig!$D$28)&gt;0,REF_SchoolConfig!$D$28,1))*REF_SchoolConfig!$E$28,0)+IFERROR((SCORE_H6_Conflicts!$F$31/IF(ABS(REF_SchoolConfig!$D$29)&gt;0,REF_SchoolConfig!$D$29,1))*REF_SchoolConfig!$E$29,0))),0)</f>
        <v>-1.0416666666666667</v>
      </c>
      <c r="E9" s="1033">
        <f>IFERROR(MAX(-10,MIN(10,IFERROR((SCORE_H6_Conflicts!$C$5/IF(ABS(REF_SchoolConfig!$D$7)&gt;0,REF_SchoolConfig!$D$7,1))*REF_SchoolConfig!$F$7,0)+IFERROR((SCORE_H6_Conflicts!$C$6/IF(ABS(REF_SchoolConfig!$D$8)&gt;0,REF_SchoolConfig!$D$8,1))*REF_SchoolConfig!$F$8,0)+IFERROR((SCORE_H6_Conflicts!$C$7/IF(ABS(REF_SchoolConfig!$D$9)&gt;0,REF_SchoolConfig!$D$9,1))*REF_SchoolConfig!$F$9,0)+IFERROR((SCORE_H6_Conflicts!$C$9/IF(ABS(REF_SchoolConfig!$D$10)&gt;0,REF_SchoolConfig!$D$10,1))*REF_SchoolConfig!$F$10,0)+IFERROR((SCORE_H6_Conflicts!$C$10/IF(ABS(REF_SchoolConfig!$D$11)&gt;0,REF_SchoolConfig!$D$11,1))*REF_SchoolConfig!$F$11,0)+IFERROR((SCORE_H6_Conflicts!$C$11/IF(ABS(REF_SchoolConfig!$D$12)&gt;0,REF_SchoolConfig!$D$12,1))*REF_SchoolConfig!$F$12,0)+IFERROR((SCORE_H6_Conflicts!$C$12/IF(ABS(REF_SchoolConfig!$D$13)&gt;0,REF_SchoolConfig!$D$13,1))*REF_SchoolConfig!$F$13,0)+IFERROR((SCORE_H6_Conflicts!$C$13/IF(ABS(REF_SchoolConfig!$D$14)&gt;0,REF_SchoolConfig!$D$14,1))*REF_SchoolConfig!$F$14,0)+IFERROR((SCORE_H6_Conflicts!$C$15/IF(ABS(REF_SchoolConfig!$D$15)&gt;0,REF_SchoolConfig!$D$15,1))*REF_SchoolConfig!$F$15,0)+IFERROR((SCORE_H6_Conflicts!$C$16/IF(ABS(REF_SchoolConfig!$D$16)&gt;0,REF_SchoolConfig!$D$16,1))*REF_SchoolConfig!$F$16,0)+IFERROR((SCORE_H6_Conflicts!$C$17/IF(ABS(REF_SchoolConfig!$D$17)&gt;0,REF_SchoolConfig!$D$17,1))*REF_SchoolConfig!$F$17,0)+IFERROR((SCORE_H6_Conflicts!$C$18/IF(ABS(REF_SchoolConfig!$D$18)&gt;0,REF_SchoolConfig!$D$18,1))*REF_SchoolConfig!$F$18,0)+IFERROR((SCORE_H6_Conflicts!$C$20/IF(ABS(REF_SchoolConfig!$D$19)&gt;0,REF_SchoolConfig!$D$19,1))*REF_SchoolConfig!$F$19,0)+IFERROR((SCORE_H6_Conflicts!$C$21/IF(ABS(REF_SchoolConfig!$D$20)&gt;0,REF_SchoolConfig!$D$20,1))*REF_SchoolConfig!$F$20,0)+IFERROR((SCORE_H6_Conflicts!$C$22/IF(ABS(REF_SchoolConfig!$D$21)&gt;0,REF_SchoolConfig!$D$21,1))*REF_SchoolConfig!$F$21,0)+IFERROR((SCORE_H6_Conflicts!$C$23/IF(ABS(REF_SchoolConfig!$D$22)&gt;0,REF_SchoolConfig!$D$22,1))*REF_SchoolConfig!$F$22,0)+IFERROR((SCORE_H6_Conflicts!$C$25/IF(ABS(REF_SchoolConfig!$D$23)&gt;0,REF_SchoolConfig!$D$23,1))*REF_SchoolConfig!$F$23,0)+IFERROR((SCORE_H6_Conflicts!$C$26/IF(ABS(REF_SchoolConfig!$D$24)&gt;0,REF_SchoolConfig!$D$24,1))*REF_SchoolConfig!$F$24,0)+IFERROR((SCORE_H6_Conflicts!$C$27/IF(ABS(REF_SchoolConfig!$D$25)&gt;0,REF_SchoolConfig!$D$25,1))*REF_SchoolConfig!$F$25,0)+IFERROR((SCORE_H6_Conflicts!$C$28/IF(ABS(REF_SchoolConfig!$D$26)&gt;0,REF_SchoolConfig!$D$26,1))*REF_SchoolConfig!$F$26,0)+IFERROR((SCORE_H6_Conflicts!$C$29/IF(ABS(REF_SchoolConfig!$D$27)&gt;0,REF_SchoolConfig!$D$27,1))*REF_SchoolConfig!$F$27,0)+IFERROR((SCORE_H6_Conflicts!$C$30/IF(ABS(REF_SchoolConfig!$D$28)&gt;0,REF_SchoolConfig!$D$28,1))*REF_SchoolConfig!$F$28,0)+IFERROR((SCORE_H6_Conflicts!$F$31/IF(ABS(REF_SchoolConfig!$D$29)&gt;0,REF_SchoolConfig!$D$29,1))*REF_SchoolConfig!$F$29,0))),0)</f>
        <v>-1.2083333333333333</v>
      </c>
      <c r="F9" s="1033">
        <f>IFERROR(IF(REF_Config!$B$6="KP",D9,IF(REF_Config!$B$6="Jaimini",E9,C9)),C9)</f>
        <v>-0.5</v>
      </c>
      <c r="G9" s="1033">
        <f t="shared" si="0"/>
        <v>0.70833333333333326</v>
      </c>
      <c r="H9" s="1033">
        <f>IFERROR(SCORE_H6_Conflicts!$C$9,0)</f>
        <v>0</v>
      </c>
      <c r="I9" s="1033">
        <f>IFERROR(SCORE_H6_Conflicts!$C$22,0)</f>
        <v>0</v>
      </c>
      <c r="J9" s="1034"/>
      <c r="K9" s="1034"/>
      <c r="L9" s="1034"/>
      <c r="M9" s="4"/>
    </row>
    <row r="10" spans="1:13" ht="15.75" customHeight="1" x14ac:dyDescent="0.2">
      <c r="A10" s="1029">
        <v>7</v>
      </c>
      <c r="B10" s="1035" t="s">
        <v>3733</v>
      </c>
      <c r="C10" s="1034">
        <f>IFERROR(MAX(-10,MIN(10,IFERROR((SCORE_H7_Partnerships!$C$5/IF(ABS(REF_SchoolConfig!$D$7)&gt;0,REF_SchoolConfig!$D$7,1))*REF_SchoolConfig!$D$7,0)+IFERROR((SCORE_H7_Partnerships!$C$6/IF(ABS(REF_SchoolConfig!$D$8)&gt;0,REF_SchoolConfig!$D$8,1))*REF_SchoolConfig!$D$8,0)+IFERROR((SCORE_H7_Partnerships!$C$7/IF(ABS(REF_SchoolConfig!$D$9)&gt;0,REF_SchoolConfig!$D$9,1))*REF_SchoolConfig!$D$9,0)+IFERROR((SCORE_H7_Partnerships!$C$9/IF(ABS(REF_SchoolConfig!$D$10)&gt;0,REF_SchoolConfig!$D$10,1))*REF_SchoolConfig!$D$10,0)+IFERROR((SCORE_H7_Partnerships!$C$10/IF(ABS(REF_SchoolConfig!$D$11)&gt;0,REF_SchoolConfig!$D$11,1))*REF_SchoolConfig!$D$11,0)+IFERROR((SCORE_H7_Partnerships!$C$11/IF(ABS(REF_SchoolConfig!$D$12)&gt;0,REF_SchoolConfig!$D$12,1))*REF_SchoolConfig!$D$12,0)+IFERROR((SCORE_H7_Partnerships!$C$12/IF(ABS(REF_SchoolConfig!$D$13)&gt;0,REF_SchoolConfig!$D$13,1))*REF_SchoolConfig!$D$13,0)+IFERROR((SCORE_H7_Partnerships!$C$13/IF(ABS(REF_SchoolConfig!$D$14)&gt;0,REF_SchoolConfig!$D$14,1))*REF_SchoolConfig!$D$14,0)+IFERROR((SCORE_H7_Partnerships!$C$15/IF(ABS(REF_SchoolConfig!$D$15)&gt;0,REF_SchoolConfig!$D$15,1))*REF_SchoolConfig!$D$15,0)+IFERROR((SCORE_H7_Partnerships!$C$16/IF(ABS(REF_SchoolConfig!$D$16)&gt;0,REF_SchoolConfig!$D$16,1))*REF_SchoolConfig!$D$16,0)+IFERROR((SCORE_H7_Partnerships!$C$17/IF(ABS(REF_SchoolConfig!$D$17)&gt;0,REF_SchoolConfig!$D$17,1))*REF_SchoolConfig!$D$17,0)+IFERROR((SCORE_H7_Partnerships!$C$18/IF(ABS(REF_SchoolConfig!$D$18)&gt;0,REF_SchoolConfig!$D$18,1))*REF_SchoolConfig!$D$18,0)+IFERROR((SCORE_H7_Partnerships!$C$20/IF(ABS(REF_SchoolConfig!$D$19)&gt;0,REF_SchoolConfig!$D$19,1))*REF_SchoolConfig!$D$19,0)+IFERROR((SCORE_H7_Partnerships!$C$21/IF(ABS(REF_SchoolConfig!$D$20)&gt;0,REF_SchoolConfig!$D$20,1))*REF_SchoolConfig!$D$20,0)+IFERROR((SCORE_H7_Partnerships!$C$22/IF(ABS(REF_SchoolConfig!$D$21)&gt;0,REF_SchoolConfig!$D$21,1))*REF_SchoolConfig!$D$21,0)+IFERROR((SCORE_H7_Partnerships!$C$23/IF(ABS(REF_SchoolConfig!$D$22)&gt;0,REF_SchoolConfig!$D$22,1))*REF_SchoolConfig!$D$22,0)+IFERROR((SCORE_H7_Partnerships!$C$25/IF(ABS(REF_SchoolConfig!$D$23)&gt;0,REF_SchoolConfig!$D$23,1))*REF_SchoolConfig!$D$23,0)+IFERROR((SCORE_H7_Partnerships!$C$26/IF(ABS(REF_SchoolConfig!$D$24)&gt;0,REF_SchoolConfig!$D$24,1))*REF_SchoolConfig!$D$24,0)+IFERROR((SCORE_H7_Partnerships!$C$27/IF(ABS(REF_SchoolConfig!$D$25)&gt;0,REF_SchoolConfig!$D$25,1))*REF_SchoolConfig!$D$25,0)+IFERROR((SCORE_H7_Partnerships!$C$28/IF(ABS(REF_SchoolConfig!$D$26)&gt;0,REF_SchoolConfig!$D$26,1))*REF_SchoolConfig!$D$26,0)+IFERROR((SCORE_H7_Partnerships!$C$29/IF(ABS(REF_SchoolConfig!$D$27)&gt;0,REF_SchoolConfig!$D$27,1))*REF_SchoolConfig!$D$27,0)+IFERROR((SCORE_H7_Partnerships!$C$30/IF(ABS(REF_SchoolConfig!$D$28)&gt;0,REF_SchoolConfig!$D$28,1))*REF_SchoolConfig!$D$28,0)+IFERROR((SCORE_H7_Partnerships!$F$31/IF(ABS(REF_SchoolConfig!$D$29)&gt;0,REF_SchoolConfig!$D$29,1))*REF_SchoolConfig!$D$29,0))),0)</f>
        <v>-2.5</v>
      </c>
      <c r="D10" s="1034">
        <f>IFERROR(MAX(-10,MIN(10,IFERROR((SCORE_H7_Partnerships!$C$5/IF(ABS(REF_SchoolConfig!$D$7)&gt;0,REF_SchoolConfig!$D$7,1))*REF_SchoolConfig!$E$7,0)+IFERROR((SCORE_H7_Partnerships!$C$6/IF(ABS(REF_SchoolConfig!$D$8)&gt;0,REF_SchoolConfig!$D$8,1))*REF_SchoolConfig!$E$8,0)+IFERROR((SCORE_H7_Partnerships!$C$7/IF(ABS(REF_SchoolConfig!$D$9)&gt;0,REF_SchoolConfig!$D$9,1))*REF_SchoolConfig!$E$9,0)+IFERROR((SCORE_H7_Partnerships!$C$9/IF(ABS(REF_SchoolConfig!$D$10)&gt;0,REF_SchoolConfig!$D$10,1))*REF_SchoolConfig!$E$10,0)+IFERROR((SCORE_H7_Partnerships!$C$10/IF(ABS(REF_SchoolConfig!$D$11)&gt;0,REF_SchoolConfig!$D$11,1))*REF_SchoolConfig!$E$11,0)+IFERROR((SCORE_H7_Partnerships!$C$11/IF(ABS(REF_SchoolConfig!$D$12)&gt;0,REF_SchoolConfig!$D$12,1))*REF_SchoolConfig!$E$12,0)+IFERROR((SCORE_H7_Partnerships!$C$12/IF(ABS(REF_SchoolConfig!$D$13)&gt;0,REF_SchoolConfig!$D$13,1))*REF_SchoolConfig!$E$13,0)+IFERROR((SCORE_H7_Partnerships!$C$13/IF(ABS(REF_SchoolConfig!$D$14)&gt;0,REF_SchoolConfig!$D$14,1))*REF_SchoolConfig!$E$14,0)+IFERROR((SCORE_H7_Partnerships!$C$15/IF(ABS(REF_SchoolConfig!$D$15)&gt;0,REF_SchoolConfig!$D$15,1))*REF_SchoolConfig!$E$15,0)+IFERROR((SCORE_H7_Partnerships!$C$16/IF(ABS(REF_SchoolConfig!$D$16)&gt;0,REF_SchoolConfig!$D$16,1))*REF_SchoolConfig!$E$16,0)+IFERROR((SCORE_H7_Partnerships!$C$17/IF(ABS(REF_SchoolConfig!$D$17)&gt;0,REF_SchoolConfig!$D$17,1))*REF_SchoolConfig!$E$17,0)+IFERROR((SCORE_H7_Partnerships!$C$18/IF(ABS(REF_SchoolConfig!$D$18)&gt;0,REF_SchoolConfig!$D$18,1))*REF_SchoolConfig!$E$18,0)+IFERROR((SCORE_H7_Partnerships!$C$20/IF(ABS(REF_SchoolConfig!$D$19)&gt;0,REF_SchoolConfig!$D$19,1))*REF_SchoolConfig!$E$19,0)+IFERROR((SCORE_H7_Partnerships!$C$21/IF(ABS(REF_SchoolConfig!$D$20)&gt;0,REF_SchoolConfig!$D$20,1))*REF_SchoolConfig!$E$20,0)+IFERROR((SCORE_H7_Partnerships!$C$22/IF(ABS(REF_SchoolConfig!$D$21)&gt;0,REF_SchoolConfig!$D$21,1))*REF_SchoolConfig!$E$21,0)+IFERROR((SCORE_H7_Partnerships!$C$23/IF(ABS(REF_SchoolConfig!$D$22)&gt;0,REF_SchoolConfig!$D$22,1))*REF_SchoolConfig!$E$22,0)+IFERROR((SCORE_H7_Partnerships!$C$25/IF(ABS(REF_SchoolConfig!$D$23)&gt;0,REF_SchoolConfig!$D$23,1))*REF_SchoolConfig!$E$23,0)+IFERROR((SCORE_H7_Partnerships!$C$26/IF(ABS(REF_SchoolConfig!$D$24)&gt;0,REF_SchoolConfig!$D$24,1))*REF_SchoolConfig!$E$24,0)+IFERROR((SCORE_H7_Partnerships!$C$27/IF(ABS(REF_SchoolConfig!$D$25)&gt;0,REF_SchoolConfig!$D$25,1))*REF_SchoolConfig!$E$25,0)+IFERROR((SCORE_H7_Partnerships!$C$28/IF(ABS(REF_SchoolConfig!$D$26)&gt;0,REF_SchoolConfig!$D$26,1))*REF_SchoolConfig!$E$26,0)+IFERROR((SCORE_H7_Partnerships!$C$29/IF(ABS(REF_SchoolConfig!$D$27)&gt;0,REF_SchoolConfig!$D$27,1))*REF_SchoolConfig!$E$27,0)+IFERROR((SCORE_H7_Partnerships!$C$30/IF(ABS(REF_SchoolConfig!$D$28)&gt;0,REF_SchoolConfig!$D$28,1))*REF_SchoolConfig!$E$28,0)+IFERROR((SCORE_H7_Partnerships!$F$31/IF(ABS(REF_SchoolConfig!$D$29)&gt;0,REF_SchoolConfig!$D$29,1))*REF_SchoolConfig!$E$29,0))),0)</f>
        <v>-2.5</v>
      </c>
      <c r="E10" s="1034">
        <f>IFERROR(MAX(-10,MIN(10,IFERROR((SCORE_H7_Partnerships!$C$5/IF(ABS(REF_SchoolConfig!$D$7)&gt;0,REF_SchoolConfig!$D$7,1))*REF_SchoolConfig!$F$7,0)+IFERROR((SCORE_H7_Partnerships!$C$6/IF(ABS(REF_SchoolConfig!$D$8)&gt;0,REF_SchoolConfig!$D$8,1))*REF_SchoolConfig!$F$8,0)+IFERROR((SCORE_H7_Partnerships!$C$7/IF(ABS(REF_SchoolConfig!$D$9)&gt;0,REF_SchoolConfig!$D$9,1))*REF_SchoolConfig!$F$9,0)+IFERROR((SCORE_H7_Partnerships!$C$9/IF(ABS(REF_SchoolConfig!$D$10)&gt;0,REF_SchoolConfig!$D$10,1))*REF_SchoolConfig!$F$10,0)+IFERROR((SCORE_H7_Partnerships!$C$10/IF(ABS(REF_SchoolConfig!$D$11)&gt;0,REF_SchoolConfig!$D$11,1))*REF_SchoolConfig!$F$11,0)+IFERROR((SCORE_H7_Partnerships!$C$11/IF(ABS(REF_SchoolConfig!$D$12)&gt;0,REF_SchoolConfig!$D$12,1))*REF_SchoolConfig!$F$12,0)+IFERROR((SCORE_H7_Partnerships!$C$12/IF(ABS(REF_SchoolConfig!$D$13)&gt;0,REF_SchoolConfig!$D$13,1))*REF_SchoolConfig!$F$13,0)+IFERROR((SCORE_H7_Partnerships!$C$13/IF(ABS(REF_SchoolConfig!$D$14)&gt;0,REF_SchoolConfig!$D$14,1))*REF_SchoolConfig!$F$14,0)+IFERROR((SCORE_H7_Partnerships!$C$15/IF(ABS(REF_SchoolConfig!$D$15)&gt;0,REF_SchoolConfig!$D$15,1))*REF_SchoolConfig!$F$15,0)+IFERROR((SCORE_H7_Partnerships!$C$16/IF(ABS(REF_SchoolConfig!$D$16)&gt;0,REF_SchoolConfig!$D$16,1))*REF_SchoolConfig!$F$16,0)+IFERROR((SCORE_H7_Partnerships!$C$17/IF(ABS(REF_SchoolConfig!$D$17)&gt;0,REF_SchoolConfig!$D$17,1))*REF_SchoolConfig!$F$17,0)+IFERROR((SCORE_H7_Partnerships!$C$18/IF(ABS(REF_SchoolConfig!$D$18)&gt;0,REF_SchoolConfig!$D$18,1))*REF_SchoolConfig!$F$18,0)+IFERROR((SCORE_H7_Partnerships!$C$20/IF(ABS(REF_SchoolConfig!$D$19)&gt;0,REF_SchoolConfig!$D$19,1))*REF_SchoolConfig!$F$19,0)+IFERROR((SCORE_H7_Partnerships!$C$21/IF(ABS(REF_SchoolConfig!$D$20)&gt;0,REF_SchoolConfig!$D$20,1))*REF_SchoolConfig!$F$20,0)+IFERROR((SCORE_H7_Partnerships!$C$22/IF(ABS(REF_SchoolConfig!$D$21)&gt;0,REF_SchoolConfig!$D$21,1))*REF_SchoolConfig!$F$21,0)+IFERROR((SCORE_H7_Partnerships!$C$23/IF(ABS(REF_SchoolConfig!$D$22)&gt;0,REF_SchoolConfig!$D$22,1))*REF_SchoolConfig!$F$22,0)+IFERROR((SCORE_H7_Partnerships!$C$25/IF(ABS(REF_SchoolConfig!$D$23)&gt;0,REF_SchoolConfig!$D$23,1))*REF_SchoolConfig!$F$23,0)+IFERROR((SCORE_H7_Partnerships!$C$26/IF(ABS(REF_SchoolConfig!$D$24)&gt;0,REF_SchoolConfig!$D$24,1))*REF_SchoolConfig!$F$24,0)+IFERROR((SCORE_H7_Partnerships!$C$27/IF(ABS(REF_SchoolConfig!$D$25)&gt;0,REF_SchoolConfig!$D$25,1))*REF_SchoolConfig!$F$25,0)+IFERROR((SCORE_H7_Partnerships!$C$28/IF(ABS(REF_SchoolConfig!$D$26)&gt;0,REF_SchoolConfig!$D$26,1))*REF_SchoolConfig!$F$26,0)+IFERROR((SCORE_H7_Partnerships!$C$29/IF(ABS(REF_SchoolConfig!$D$27)&gt;0,REF_SchoolConfig!$D$27,1))*REF_SchoolConfig!$F$27,0)+IFERROR((SCORE_H7_Partnerships!$C$30/IF(ABS(REF_SchoolConfig!$D$28)&gt;0,REF_SchoolConfig!$D$28,1))*REF_SchoolConfig!$F$28,0)+IFERROR((SCORE_H7_Partnerships!$F$31/IF(ABS(REF_SchoolConfig!$D$29)&gt;0,REF_SchoolConfig!$D$29,1))*REF_SchoolConfig!$F$29,0))),0)</f>
        <v>-1.9999999999999998</v>
      </c>
      <c r="F10" s="1034">
        <f>IFERROR(IF(REF_Config!$B$6="KP",D10,IF(REF_Config!$B$6="Jaimini",E10,C10)),C10)</f>
        <v>-2.5</v>
      </c>
      <c r="G10" s="1034">
        <f t="shared" si="0"/>
        <v>0.50000000000000022</v>
      </c>
      <c r="H10" s="1034">
        <f>IFERROR(SCORE_H7_Partnerships!$C$9,0)</f>
        <v>0</v>
      </c>
      <c r="I10" s="1034">
        <f>IFERROR(SCORE_H7_Partnerships!$C$22,0)</f>
        <v>0</v>
      </c>
      <c r="J10" s="1034"/>
      <c r="K10" s="1034"/>
      <c r="L10" s="1034"/>
      <c r="M10" s="4"/>
    </row>
    <row r="11" spans="1:13" ht="15.75" customHeight="1" x14ac:dyDescent="0.2">
      <c r="A11" s="1031">
        <v>8</v>
      </c>
      <c r="B11" s="1032" t="s">
        <v>3734</v>
      </c>
      <c r="C11" s="1033">
        <f>IFERROR(MAX(-10,MIN(10,IFERROR((SCORE_H8_Longevity!$C$5/IF(ABS(REF_SchoolConfig!$D$7)&gt;0,REF_SchoolConfig!$D$7,1))*REF_SchoolConfig!$D$7,0)+IFERROR((SCORE_H8_Longevity!$C$6/IF(ABS(REF_SchoolConfig!$D$8)&gt;0,REF_SchoolConfig!$D$8,1))*REF_SchoolConfig!$D$8,0)+IFERROR((SCORE_H8_Longevity!$C$7/IF(ABS(REF_SchoolConfig!$D$9)&gt;0,REF_SchoolConfig!$D$9,1))*REF_SchoolConfig!$D$9,0)+IFERROR((SCORE_H8_Longevity!$C$9/IF(ABS(REF_SchoolConfig!$D$10)&gt;0,REF_SchoolConfig!$D$10,1))*REF_SchoolConfig!$D$10,0)+IFERROR((SCORE_H8_Longevity!$C$10/IF(ABS(REF_SchoolConfig!$D$11)&gt;0,REF_SchoolConfig!$D$11,1))*REF_SchoolConfig!$D$11,0)+IFERROR((SCORE_H8_Longevity!$C$11/IF(ABS(REF_SchoolConfig!$D$12)&gt;0,REF_SchoolConfig!$D$12,1))*REF_SchoolConfig!$D$12,0)+IFERROR((SCORE_H8_Longevity!$C$12/IF(ABS(REF_SchoolConfig!$D$13)&gt;0,REF_SchoolConfig!$D$13,1))*REF_SchoolConfig!$D$13,0)+IFERROR((SCORE_H8_Longevity!$C$13/IF(ABS(REF_SchoolConfig!$D$14)&gt;0,REF_SchoolConfig!$D$14,1))*REF_SchoolConfig!$D$14,0)+IFERROR((SCORE_H8_Longevity!$C$15/IF(ABS(REF_SchoolConfig!$D$15)&gt;0,REF_SchoolConfig!$D$15,1))*REF_SchoolConfig!$D$15,0)+IFERROR((SCORE_H8_Longevity!$C$16/IF(ABS(REF_SchoolConfig!$D$16)&gt;0,REF_SchoolConfig!$D$16,1))*REF_SchoolConfig!$D$16,0)+IFERROR((SCORE_H8_Longevity!$C$17/IF(ABS(REF_SchoolConfig!$D$17)&gt;0,REF_SchoolConfig!$D$17,1))*REF_SchoolConfig!$D$17,0)+IFERROR((SCORE_H8_Longevity!$C$18/IF(ABS(REF_SchoolConfig!$D$18)&gt;0,REF_SchoolConfig!$D$18,1))*REF_SchoolConfig!$D$18,0)+IFERROR((SCORE_H8_Longevity!$C$20/IF(ABS(REF_SchoolConfig!$D$19)&gt;0,REF_SchoolConfig!$D$19,1))*REF_SchoolConfig!$D$19,0)+IFERROR((SCORE_H8_Longevity!$C$21/IF(ABS(REF_SchoolConfig!$D$20)&gt;0,REF_SchoolConfig!$D$20,1))*REF_SchoolConfig!$D$20,0)+IFERROR((SCORE_H8_Longevity!$C$22/IF(ABS(REF_SchoolConfig!$D$21)&gt;0,REF_SchoolConfig!$D$21,1))*REF_SchoolConfig!$D$21,0)+IFERROR((SCORE_H8_Longevity!$C$23/IF(ABS(REF_SchoolConfig!$D$22)&gt;0,REF_SchoolConfig!$D$22,1))*REF_SchoolConfig!$D$22,0)+IFERROR((SCORE_H8_Longevity!$C$25/IF(ABS(REF_SchoolConfig!$D$23)&gt;0,REF_SchoolConfig!$D$23,1))*REF_SchoolConfig!$D$23,0)+IFERROR((SCORE_H8_Longevity!$C$26/IF(ABS(REF_SchoolConfig!$D$24)&gt;0,REF_SchoolConfig!$D$24,1))*REF_SchoolConfig!$D$24,0)+IFERROR((SCORE_H8_Longevity!$C$27/IF(ABS(REF_SchoolConfig!$D$25)&gt;0,REF_SchoolConfig!$D$25,1))*REF_SchoolConfig!$D$25,0)+IFERROR((SCORE_H8_Longevity!$C$28/IF(ABS(REF_SchoolConfig!$D$26)&gt;0,REF_SchoolConfig!$D$26,1))*REF_SchoolConfig!$D$26,0)+IFERROR((SCORE_H8_Longevity!$C$29/IF(ABS(REF_SchoolConfig!$D$27)&gt;0,REF_SchoolConfig!$D$27,1))*REF_SchoolConfig!$D$27,0)+IFERROR((SCORE_H8_Longevity!$C$30/IF(ABS(REF_SchoolConfig!$D$28)&gt;0,REF_SchoolConfig!$D$28,1))*REF_SchoolConfig!$D$28,0)+IFERROR((SCORE_H8_Longevity!$F$31/IF(ABS(REF_SchoolConfig!$D$29)&gt;0,REF_SchoolConfig!$D$29,1))*REF_SchoolConfig!$D$29,0))),0)</f>
        <v>-2.5</v>
      </c>
      <c r="D11" s="1033">
        <f>IFERROR(MAX(-10,MIN(10,IFERROR((SCORE_H8_Longevity!$C$5/IF(ABS(REF_SchoolConfig!$D$7)&gt;0,REF_SchoolConfig!$D$7,1))*REF_SchoolConfig!$E$7,0)+IFERROR((SCORE_H8_Longevity!$C$6/IF(ABS(REF_SchoolConfig!$D$8)&gt;0,REF_SchoolConfig!$D$8,1))*REF_SchoolConfig!$E$8,0)+IFERROR((SCORE_H8_Longevity!$C$7/IF(ABS(REF_SchoolConfig!$D$9)&gt;0,REF_SchoolConfig!$D$9,1))*REF_SchoolConfig!$E$9,0)+IFERROR((SCORE_H8_Longevity!$C$9/IF(ABS(REF_SchoolConfig!$D$10)&gt;0,REF_SchoolConfig!$D$10,1))*REF_SchoolConfig!$E$10,0)+IFERROR((SCORE_H8_Longevity!$C$10/IF(ABS(REF_SchoolConfig!$D$11)&gt;0,REF_SchoolConfig!$D$11,1))*REF_SchoolConfig!$E$11,0)+IFERROR((SCORE_H8_Longevity!$C$11/IF(ABS(REF_SchoolConfig!$D$12)&gt;0,REF_SchoolConfig!$D$12,1))*REF_SchoolConfig!$E$12,0)+IFERROR((SCORE_H8_Longevity!$C$12/IF(ABS(REF_SchoolConfig!$D$13)&gt;0,REF_SchoolConfig!$D$13,1))*REF_SchoolConfig!$E$13,0)+IFERROR((SCORE_H8_Longevity!$C$13/IF(ABS(REF_SchoolConfig!$D$14)&gt;0,REF_SchoolConfig!$D$14,1))*REF_SchoolConfig!$E$14,0)+IFERROR((SCORE_H8_Longevity!$C$15/IF(ABS(REF_SchoolConfig!$D$15)&gt;0,REF_SchoolConfig!$D$15,1))*REF_SchoolConfig!$E$15,0)+IFERROR((SCORE_H8_Longevity!$C$16/IF(ABS(REF_SchoolConfig!$D$16)&gt;0,REF_SchoolConfig!$D$16,1))*REF_SchoolConfig!$E$16,0)+IFERROR((SCORE_H8_Longevity!$C$17/IF(ABS(REF_SchoolConfig!$D$17)&gt;0,REF_SchoolConfig!$D$17,1))*REF_SchoolConfig!$E$17,0)+IFERROR((SCORE_H8_Longevity!$C$18/IF(ABS(REF_SchoolConfig!$D$18)&gt;0,REF_SchoolConfig!$D$18,1))*REF_SchoolConfig!$E$18,0)+IFERROR((SCORE_H8_Longevity!$C$20/IF(ABS(REF_SchoolConfig!$D$19)&gt;0,REF_SchoolConfig!$D$19,1))*REF_SchoolConfig!$E$19,0)+IFERROR((SCORE_H8_Longevity!$C$21/IF(ABS(REF_SchoolConfig!$D$20)&gt;0,REF_SchoolConfig!$D$20,1))*REF_SchoolConfig!$E$20,0)+IFERROR((SCORE_H8_Longevity!$C$22/IF(ABS(REF_SchoolConfig!$D$21)&gt;0,REF_SchoolConfig!$D$21,1))*REF_SchoolConfig!$E$21,0)+IFERROR((SCORE_H8_Longevity!$C$23/IF(ABS(REF_SchoolConfig!$D$22)&gt;0,REF_SchoolConfig!$D$22,1))*REF_SchoolConfig!$E$22,0)+IFERROR((SCORE_H8_Longevity!$C$25/IF(ABS(REF_SchoolConfig!$D$23)&gt;0,REF_SchoolConfig!$D$23,1))*REF_SchoolConfig!$E$23,0)+IFERROR((SCORE_H8_Longevity!$C$26/IF(ABS(REF_SchoolConfig!$D$24)&gt;0,REF_SchoolConfig!$D$24,1))*REF_SchoolConfig!$E$24,0)+IFERROR((SCORE_H8_Longevity!$C$27/IF(ABS(REF_SchoolConfig!$D$25)&gt;0,REF_SchoolConfig!$D$25,1))*REF_SchoolConfig!$E$25,0)+IFERROR((SCORE_H8_Longevity!$C$28/IF(ABS(REF_SchoolConfig!$D$26)&gt;0,REF_SchoolConfig!$D$26,1))*REF_SchoolConfig!$E$26,0)+IFERROR((SCORE_H8_Longevity!$C$29/IF(ABS(REF_SchoolConfig!$D$27)&gt;0,REF_SchoolConfig!$D$27,1))*REF_SchoolConfig!$E$27,0)+IFERROR((SCORE_H8_Longevity!$C$30/IF(ABS(REF_SchoolConfig!$D$28)&gt;0,REF_SchoolConfig!$D$28,1))*REF_SchoolConfig!$E$28,0)+IFERROR((SCORE_H8_Longevity!$F$31/IF(ABS(REF_SchoolConfig!$D$29)&gt;0,REF_SchoolConfig!$D$29,1))*REF_SchoolConfig!$E$29,0))),0)</f>
        <v>-2.5</v>
      </c>
      <c r="E11" s="1033">
        <f>IFERROR(MAX(-10,MIN(10,IFERROR((SCORE_H8_Longevity!$C$5/IF(ABS(REF_SchoolConfig!$D$7)&gt;0,REF_SchoolConfig!$D$7,1))*REF_SchoolConfig!$F$7,0)+IFERROR((SCORE_H8_Longevity!$C$6/IF(ABS(REF_SchoolConfig!$D$8)&gt;0,REF_SchoolConfig!$D$8,1))*REF_SchoolConfig!$F$8,0)+IFERROR((SCORE_H8_Longevity!$C$7/IF(ABS(REF_SchoolConfig!$D$9)&gt;0,REF_SchoolConfig!$D$9,1))*REF_SchoolConfig!$F$9,0)+IFERROR((SCORE_H8_Longevity!$C$9/IF(ABS(REF_SchoolConfig!$D$10)&gt;0,REF_SchoolConfig!$D$10,1))*REF_SchoolConfig!$F$10,0)+IFERROR((SCORE_H8_Longevity!$C$10/IF(ABS(REF_SchoolConfig!$D$11)&gt;0,REF_SchoolConfig!$D$11,1))*REF_SchoolConfig!$F$11,0)+IFERROR((SCORE_H8_Longevity!$C$11/IF(ABS(REF_SchoolConfig!$D$12)&gt;0,REF_SchoolConfig!$D$12,1))*REF_SchoolConfig!$F$12,0)+IFERROR((SCORE_H8_Longevity!$C$12/IF(ABS(REF_SchoolConfig!$D$13)&gt;0,REF_SchoolConfig!$D$13,1))*REF_SchoolConfig!$F$13,0)+IFERROR((SCORE_H8_Longevity!$C$13/IF(ABS(REF_SchoolConfig!$D$14)&gt;0,REF_SchoolConfig!$D$14,1))*REF_SchoolConfig!$F$14,0)+IFERROR((SCORE_H8_Longevity!$C$15/IF(ABS(REF_SchoolConfig!$D$15)&gt;0,REF_SchoolConfig!$D$15,1))*REF_SchoolConfig!$F$15,0)+IFERROR((SCORE_H8_Longevity!$C$16/IF(ABS(REF_SchoolConfig!$D$16)&gt;0,REF_SchoolConfig!$D$16,1))*REF_SchoolConfig!$F$16,0)+IFERROR((SCORE_H8_Longevity!$C$17/IF(ABS(REF_SchoolConfig!$D$17)&gt;0,REF_SchoolConfig!$D$17,1))*REF_SchoolConfig!$F$17,0)+IFERROR((SCORE_H8_Longevity!$C$18/IF(ABS(REF_SchoolConfig!$D$18)&gt;0,REF_SchoolConfig!$D$18,1))*REF_SchoolConfig!$F$18,0)+IFERROR((SCORE_H8_Longevity!$C$20/IF(ABS(REF_SchoolConfig!$D$19)&gt;0,REF_SchoolConfig!$D$19,1))*REF_SchoolConfig!$F$19,0)+IFERROR((SCORE_H8_Longevity!$C$21/IF(ABS(REF_SchoolConfig!$D$20)&gt;0,REF_SchoolConfig!$D$20,1))*REF_SchoolConfig!$F$20,0)+IFERROR((SCORE_H8_Longevity!$C$22/IF(ABS(REF_SchoolConfig!$D$21)&gt;0,REF_SchoolConfig!$D$21,1))*REF_SchoolConfig!$F$21,0)+IFERROR((SCORE_H8_Longevity!$C$23/IF(ABS(REF_SchoolConfig!$D$22)&gt;0,REF_SchoolConfig!$D$22,1))*REF_SchoolConfig!$F$22,0)+IFERROR((SCORE_H8_Longevity!$C$25/IF(ABS(REF_SchoolConfig!$D$23)&gt;0,REF_SchoolConfig!$D$23,1))*REF_SchoolConfig!$F$23,0)+IFERROR((SCORE_H8_Longevity!$C$26/IF(ABS(REF_SchoolConfig!$D$24)&gt;0,REF_SchoolConfig!$D$24,1))*REF_SchoolConfig!$F$24,0)+IFERROR((SCORE_H8_Longevity!$C$27/IF(ABS(REF_SchoolConfig!$D$25)&gt;0,REF_SchoolConfig!$D$25,1))*REF_SchoolConfig!$F$25,0)+IFERROR((SCORE_H8_Longevity!$C$28/IF(ABS(REF_SchoolConfig!$D$26)&gt;0,REF_SchoolConfig!$D$26,1))*REF_SchoolConfig!$F$26,0)+IFERROR((SCORE_H8_Longevity!$C$29/IF(ABS(REF_SchoolConfig!$D$27)&gt;0,REF_SchoolConfig!$D$27,1))*REF_SchoolConfig!$F$27,0)+IFERROR((SCORE_H8_Longevity!$C$30/IF(ABS(REF_SchoolConfig!$D$28)&gt;0,REF_SchoolConfig!$D$28,1))*REF_SchoolConfig!$F$28,0)+IFERROR((SCORE_H8_Longevity!$F$31/IF(ABS(REF_SchoolConfig!$D$29)&gt;0,REF_SchoolConfig!$D$29,1))*REF_SchoolConfig!$F$29,0))),0)</f>
        <v>-2.1666666666666665</v>
      </c>
      <c r="F11" s="1033">
        <f>IFERROR(IF(REF_Config!$B$6="KP",D11,IF(REF_Config!$B$6="Jaimini",E11,C11)),C11)</f>
        <v>-2.5</v>
      </c>
      <c r="G11" s="1033">
        <f t="shared" si="0"/>
        <v>0.33333333333333348</v>
      </c>
      <c r="H11" s="1033">
        <f>IFERROR(SCORE_H8_Longevity!$C$9,0)</f>
        <v>0</v>
      </c>
      <c r="I11" s="1033">
        <f>IFERROR(SCORE_H8_Longevity!$C$22,0)</f>
        <v>-2</v>
      </c>
      <c r="J11" s="1034"/>
      <c r="K11" s="1034"/>
      <c r="L11" s="1034"/>
      <c r="M11" s="4"/>
    </row>
    <row r="12" spans="1:13" ht="15.75" customHeight="1" x14ac:dyDescent="0.2">
      <c r="A12" s="1029">
        <v>9</v>
      </c>
      <c r="B12" s="1035" t="s">
        <v>3735</v>
      </c>
      <c r="C12" s="1034">
        <f>IFERROR(MAX(-10,MIN(10,IFERROR((SCORE_H9_Fortune!$C$5/IF(ABS(REF_SchoolConfig!$D$7)&gt;0,REF_SchoolConfig!$D$7,1))*REF_SchoolConfig!$D$7,0)+IFERROR((SCORE_H9_Fortune!$C$6/IF(ABS(REF_SchoolConfig!$D$8)&gt;0,REF_SchoolConfig!$D$8,1))*REF_SchoolConfig!$D$8,0)+IFERROR((SCORE_H9_Fortune!$C$7/IF(ABS(REF_SchoolConfig!$D$9)&gt;0,REF_SchoolConfig!$D$9,1))*REF_SchoolConfig!$D$9,0)+IFERROR((SCORE_H9_Fortune!$C$9/IF(ABS(REF_SchoolConfig!$D$10)&gt;0,REF_SchoolConfig!$D$10,1))*REF_SchoolConfig!$D$10,0)+IFERROR((SCORE_H9_Fortune!$C$10/IF(ABS(REF_SchoolConfig!$D$11)&gt;0,REF_SchoolConfig!$D$11,1))*REF_SchoolConfig!$D$11,0)+IFERROR((SCORE_H9_Fortune!$C$11/IF(ABS(REF_SchoolConfig!$D$12)&gt;0,REF_SchoolConfig!$D$12,1))*REF_SchoolConfig!$D$12,0)+IFERROR((SCORE_H9_Fortune!$C$12/IF(ABS(REF_SchoolConfig!$D$13)&gt;0,REF_SchoolConfig!$D$13,1))*REF_SchoolConfig!$D$13,0)+IFERROR((SCORE_H9_Fortune!$C$13/IF(ABS(REF_SchoolConfig!$D$14)&gt;0,REF_SchoolConfig!$D$14,1))*REF_SchoolConfig!$D$14,0)+IFERROR((SCORE_H9_Fortune!$C$15/IF(ABS(REF_SchoolConfig!$D$15)&gt;0,REF_SchoolConfig!$D$15,1))*REF_SchoolConfig!$D$15,0)+IFERROR((SCORE_H9_Fortune!$C$16/IF(ABS(REF_SchoolConfig!$D$16)&gt;0,REF_SchoolConfig!$D$16,1))*REF_SchoolConfig!$D$16,0)+IFERROR((SCORE_H9_Fortune!$C$17/IF(ABS(REF_SchoolConfig!$D$17)&gt;0,REF_SchoolConfig!$D$17,1))*REF_SchoolConfig!$D$17,0)+IFERROR((SCORE_H9_Fortune!$C$18/IF(ABS(REF_SchoolConfig!$D$18)&gt;0,REF_SchoolConfig!$D$18,1))*REF_SchoolConfig!$D$18,0)+IFERROR((SCORE_H9_Fortune!$C$20/IF(ABS(REF_SchoolConfig!$D$19)&gt;0,REF_SchoolConfig!$D$19,1))*REF_SchoolConfig!$D$19,0)+IFERROR((SCORE_H9_Fortune!$C$21/IF(ABS(REF_SchoolConfig!$D$20)&gt;0,REF_SchoolConfig!$D$20,1))*REF_SchoolConfig!$D$20,0)+IFERROR((SCORE_H9_Fortune!$C$22/IF(ABS(REF_SchoolConfig!$D$21)&gt;0,REF_SchoolConfig!$D$21,1))*REF_SchoolConfig!$D$21,0)+IFERROR((SCORE_H9_Fortune!$C$23/IF(ABS(REF_SchoolConfig!$D$22)&gt;0,REF_SchoolConfig!$D$22,1))*REF_SchoolConfig!$D$22,0)+IFERROR((SCORE_H9_Fortune!$C$25/IF(ABS(REF_SchoolConfig!$D$23)&gt;0,REF_SchoolConfig!$D$23,1))*REF_SchoolConfig!$D$23,0)+IFERROR((SCORE_H9_Fortune!$C$26/IF(ABS(REF_SchoolConfig!$D$24)&gt;0,REF_SchoolConfig!$D$24,1))*REF_SchoolConfig!$D$24,0)+IFERROR((SCORE_H9_Fortune!$C$27/IF(ABS(REF_SchoolConfig!$D$25)&gt;0,REF_SchoolConfig!$D$25,1))*REF_SchoolConfig!$D$25,0)+IFERROR((SCORE_H9_Fortune!$C$28/IF(ABS(REF_SchoolConfig!$D$26)&gt;0,REF_SchoolConfig!$D$26,1))*REF_SchoolConfig!$D$26,0)+IFERROR((SCORE_H9_Fortune!$C$29/IF(ABS(REF_SchoolConfig!$D$27)&gt;0,REF_SchoolConfig!$D$27,1))*REF_SchoolConfig!$D$27,0)+IFERROR((SCORE_H9_Fortune!$C$30/IF(ABS(REF_SchoolConfig!$D$28)&gt;0,REF_SchoolConfig!$D$28,1))*REF_SchoolConfig!$D$28,0)+IFERROR((SCORE_H9_Fortune!$F$31/IF(ABS(REF_SchoolConfig!$D$29)&gt;0,REF_SchoolConfig!$D$29,1))*REF_SchoolConfig!$D$29,0))),0)</f>
        <v>-1.75</v>
      </c>
      <c r="D12" s="1034">
        <f>IFERROR(MAX(-10,MIN(10,IFERROR((SCORE_H9_Fortune!$C$5/IF(ABS(REF_SchoolConfig!$D$7)&gt;0,REF_SchoolConfig!$D$7,1))*REF_SchoolConfig!$E$7,0)+IFERROR((SCORE_H9_Fortune!$C$6/IF(ABS(REF_SchoolConfig!$D$8)&gt;0,REF_SchoolConfig!$D$8,1))*REF_SchoolConfig!$E$8,0)+IFERROR((SCORE_H9_Fortune!$C$7/IF(ABS(REF_SchoolConfig!$D$9)&gt;0,REF_SchoolConfig!$D$9,1))*REF_SchoolConfig!$E$9,0)+IFERROR((SCORE_H9_Fortune!$C$9/IF(ABS(REF_SchoolConfig!$D$10)&gt;0,REF_SchoolConfig!$D$10,1))*REF_SchoolConfig!$E$10,0)+IFERROR((SCORE_H9_Fortune!$C$10/IF(ABS(REF_SchoolConfig!$D$11)&gt;0,REF_SchoolConfig!$D$11,1))*REF_SchoolConfig!$E$11,0)+IFERROR((SCORE_H9_Fortune!$C$11/IF(ABS(REF_SchoolConfig!$D$12)&gt;0,REF_SchoolConfig!$D$12,1))*REF_SchoolConfig!$E$12,0)+IFERROR((SCORE_H9_Fortune!$C$12/IF(ABS(REF_SchoolConfig!$D$13)&gt;0,REF_SchoolConfig!$D$13,1))*REF_SchoolConfig!$E$13,0)+IFERROR((SCORE_H9_Fortune!$C$13/IF(ABS(REF_SchoolConfig!$D$14)&gt;0,REF_SchoolConfig!$D$14,1))*REF_SchoolConfig!$E$14,0)+IFERROR((SCORE_H9_Fortune!$C$15/IF(ABS(REF_SchoolConfig!$D$15)&gt;0,REF_SchoolConfig!$D$15,1))*REF_SchoolConfig!$E$15,0)+IFERROR((SCORE_H9_Fortune!$C$16/IF(ABS(REF_SchoolConfig!$D$16)&gt;0,REF_SchoolConfig!$D$16,1))*REF_SchoolConfig!$E$16,0)+IFERROR((SCORE_H9_Fortune!$C$17/IF(ABS(REF_SchoolConfig!$D$17)&gt;0,REF_SchoolConfig!$D$17,1))*REF_SchoolConfig!$E$17,0)+IFERROR((SCORE_H9_Fortune!$C$18/IF(ABS(REF_SchoolConfig!$D$18)&gt;0,REF_SchoolConfig!$D$18,1))*REF_SchoolConfig!$E$18,0)+IFERROR((SCORE_H9_Fortune!$C$20/IF(ABS(REF_SchoolConfig!$D$19)&gt;0,REF_SchoolConfig!$D$19,1))*REF_SchoolConfig!$E$19,0)+IFERROR((SCORE_H9_Fortune!$C$21/IF(ABS(REF_SchoolConfig!$D$20)&gt;0,REF_SchoolConfig!$D$20,1))*REF_SchoolConfig!$E$20,0)+IFERROR((SCORE_H9_Fortune!$C$22/IF(ABS(REF_SchoolConfig!$D$21)&gt;0,REF_SchoolConfig!$D$21,1))*REF_SchoolConfig!$E$21,0)+IFERROR((SCORE_H9_Fortune!$C$23/IF(ABS(REF_SchoolConfig!$D$22)&gt;0,REF_SchoolConfig!$D$22,1))*REF_SchoolConfig!$E$22,0)+IFERROR((SCORE_H9_Fortune!$C$25/IF(ABS(REF_SchoolConfig!$D$23)&gt;0,REF_SchoolConfig!$D$23,1))*REF_SchoolConfig!$E$23,0)+IFERROR((SCORE_H9_Fortune!$C$26/IF(ABS(REF_SchoolConfig!$D$24)&gt;0,REF_SchoolConfig!$D$24,1))*REF_SchoolConfig!$E$24,0)+IFERROR((SCORE_H9_Fortune!$C$27/IF(ABS(REF_SchoolConfig!$D$25)&gt;0,REF_SchoolConfig!$D$25,1))*REF_SchoolConfig!$E$25,0)+IFERROR((SCORE_H9_Fortune!$C$28/IF(ABS(REF_SchoolConfig!$D$26)&gt;0,REF_SchoolConfig!$D$26,1))*REF_SchoolConfig!$E$26,0)+IFERROR((SCORE_H9_Fortune!$C$29/IF(ABS(REF_SchoolConfig!$D$27)&gt;0,REF_SchoolConfig!$D$27,1))*REF_SchoolConfig!$E$27,0)+IFERROR((SCORE_H9_Fortune!$C$30/IF(ABS(REF_SchoolConfig!$D$28)&gt;0,REF_SchoolConfig!$D$28,1))*REF_SchoolConfig!$E$28,0)+IFERROR((SCORE_H9_Fortune!$F$31/IF(ABS(REF_SchoolConfig!$D$29)&gt;0,REF_SchoolConfig!$D$29,1))*REF_SchoolConfig!$E$29,0))),0)</f>
        <v>-2.291666666666667</v>
      </c>
      <c r="E12" s="1034">
        <f>IFERROR(MAX(-10,MIN(10,IFERROR((SCORE_H9_Fortune!$C$5/IF(ABS(REF_SchoolConfig!$D$7)&gt;0,REF_SchoolConfig!$D$7,1))*REF_SchoolConfig!$F$7,0)+IFERROR((SCORE_H9_Fortune!$C$6/IF(ABS(REF_SchoolConfig!$D$8)&gt;0,REF_SchoolConfig!$D$8,1))*REF_SchoolConfig!$F$8,0)+IFERROR((SCORE_H9_Fortune!$C$7/IF(ABS(REF_SchoolConfig!$D$9)&gt;0,REF_SchoolConfig!$D$9,1))*REF_SchoolConfig!$F$9,0)+IFERROR((SCORE_H9_Fortune!$C$9/IF(ABS(REF_SchoolConfig!$D$10)&gt;0,REF_SchoolConfig!$D$10,1))*REF_SchoolConfig!$F$10,0)+IFERROR((SCORE_H9_Fortune!$C$10/IF(ABS(REF_SchoolConfig!$D$11)&gt;0,REF_SchoolConfig!$D$11,1))*REF_SchoolConfig!$F$11,0)+IFERROR((SCORE_H9_Fortune!$C$11/IF(ABS(REF_SchoolConfig!$D$12)&gt;0,REF_SchoolConfig!$D$12,1))*REF_SchoolConfig!$F$12,0)+IFERROR((SCORE_H9_Fortune!$C$12/IF(ABS(REF_SchoolConfig!$D$13)&gt;0,REF_SchoolConfig!$D$13,1))*REF_SchoolConfig!$F$13,0)+IFERROR((SCORE_H9_Fortune!$C$13/IF(ABS(REF_SchoolConfig!$D$14)&gt;0,REF_SchoolConfig!$D$14,1))*REF_SchoolConfig!$F$14,0)+IFERROR((SCORE_H9_Fortune!$C$15/IF(ABS(REF_SchoolConfig!$D$15)&gt;0,REF_SchoolConfig!$D$15,1))*REF_SchoolConfig!$F$15,0)+IFERROR((SCORE_H9_Fortune!$C$16/IF(ABS(REF_SchoolConfig!$D$16)&gt;0,REF_SchoolConfig!$D$16,1))*REF_SchoolConfig!$F$16,0)+IFERROR((SCORE_H9_Fortune!$C$17/IF(ABS(REF_SchoolConfig!$D$17)&gt;0,REF_SchoolConfig!$D$17,1))*REF_SchoolConfig!$F$17,0)+IFERROR((SCORE_H9_Fortune!$C$18/IF(ABS(REF_SchoolConfig!$D$18)&gt;0,REF_SchoolConfig!$D$18,1))*REF_SchoolConfig!$F$18,0)+IFERROR((SCORE_H9_Fortune!$C$20/IF(ABS(REF_SchoolConfig!$D$19)&gt;0,REF_SchoolConfig!$D$19,1))*REF_SchoolConfig!$F$19,0)+IFERROR((SCORE_H9_Fortune!$C$21/IF(ABS(REF_SchoolConfig!$D$20)&gt;0,REF_SchoolConfig!$D$20,1))*REF_SchoolConfig!$F$20,0)+IFERROR((SCORE_H9_Fortune!$C$22/IF(ABS(REF_SchoolConfig!$D$21)&gt;0,REF_SchoolConfig!$D$21,1))*REF_SchoolConfig!$F$21,0)+IFERROR((SCORE_H9_Fortune!$C$23/IF(ABS(REF_SchoolConfig!$D$22)&gt;0,REF_SchoolConfig!$D$22,1))*REF_SchoolConfig!$F$22,0)+IFERROR((SCORE_H9_Fortune!$C$25/IF(ABS(REF_SchoolConfig!$D$23)&gt;0,REF_SchoolConfig!$D$23,1))*REF_SchoolConfig!$F$23,0)+IFERROR((SCORE_H9_Fortune!$C$26/IF(ABS(REF_SchoolConfig!$D$24)&gt;0,REF_SchoolConfig!$D$24,1))*REF_SchoolConfig!$F$24,0)+IFERROR((SCORE_H9_Fortune!$C$27/IF(ABS(REF_SchoolConfig!$D$25)&gt;0,REF_SchoolConfig!$D$25,1))*REF_SchoolConfig!$F$25,0)+IFERROR((SCORE_H9_Fortune!$C$28/IF(ABS(REF_SchoolConfig!$D$26)&gt;0,REF_SchoolConfig!$D$26,1))*REF_SchoolConfig!$F$26,0)+IFERROR((SCORE_H9_Fortune!$C$29/IF(ABS(REF_SchoolConfig!$D$27)&gt;0,REF_SchoolConfig!$D$27,1))*REF_SchoolConfig!$F$27,0)+IFERROR((SCORE_H9_Fortune!$C$30/IF(ABS(REF_SchoolConfig!$D$28)&gt;0,REF_SchoolConfig!$D$28,1))*REF_SchoolConfig!$F$28,0)+IFERROR((SCORE_H9_Fortune!$F$31/IF(ABS(REF_SchoolConfig!$D$29)&gt;0,REF_SchoolConfig!$D$29,1))*REF_SchoolConfig!$F$29,0))),0)</f>
        <v>-1.8749999999999998</v>
      </c>
      <c r="F12" s="1034">
        <f>IFERROR(IF(REF_Config!$B$6="KP",D12,IF(REF_Config!$B$6="Jaimini",E12,C12)),C12)</f>
        <v>-1.75</v>
      </c>
      <c r="G12" s="1034">
        <f t="shared" si="0"/>
        <v>0.54166666666666696</v>
      </c>
      <c r="H12" s="1034">
        <f>IFERROR(SCORE_H9_Fortune!$C$9,0)</f>
        <v>0</v>
      </c>
      <c r="I12" s="1034">
        <f>IFERROR(SCORE_H9_Fortune!$C$22,0)</f>
        <v>0</v>
      </c>
      <c r="J12" s="1034"/>
      <c r="K12" s="1034"/>
      <c r="L12" s="1034"/>
      <c r="M12" s="4"/>
    </row>
    <row r="13" spans="1:13" ht="15.75" customHeight="1" x14ac:dyDescent="0.2">
      <c r="A13" s="1031">
        <v>10</v>
      </c>
      <c r="B13" s="1032" t="s">
        <v>3197</v>
      </c>
      <c r="C13" s="1033">
        <f>IFERROR(MAX(-10,MIN(10,IFERROR((SCORE_H10_Career!$C$5/IF(ABS(REF_SchoolConfig!$D$7)&gt;0,REF_SchoolConfig!$D$7,1))*REF_SchoolConfig!$D$7,0)+IFERROR((SCORE_H10_Career!$C$6/IF(ABS(REF_SchoolConfig!$D$8)&gt;0,REF_SchoolConfig!$D$8,1))*REF_SchoolConfig!$D$8,0)+IFERROR((SCORE_H10_Career!$C$7/IF(ABS(REF_SchoolConfig!$D$9)&gt;0,REF_SchoolConfig!$D$9,1))*REF_SchoolConfig!$D$9,0)+IFERROR((SCORE_H10_Career!$C$9/IF(ABS(REF_SchoolConfig!$D$10)&gt;0,REF_SchoolConfig!$D$10,1))*REF_SchoolConfig!$D$10,0)+IFERROR((SCORE_H10_Career!$C$10/IF(ABS(REF_SchoolConfig!$D$11)&gt;0,REF_SchoolConfig!$D$11,1))*REF_SchoolConfig!$D$11,0)+IFERROR((SCORE_H10_Career!$C$11/IF(ABS(REF_SchoolConfig!$D$12)&gt;0,REF_SchoolConfig!$D$12,1))*REF_SchoolConfig!$D$12,0)+IFERROR((SCORE_H10_Career!$C$12/IF(ABS(REF_SchoolConfig!$D$13)&gt;0,REF_SchoolConfig!$D$13,1))*REF_SchoolConfig!$D$13,0)+IFERROR((SCORE_H10_Career!$C$13/IF(ABS(REF_SchoolConfig!$D$14)&gt;0,REF_SchoolConfig!$D$14,1))*REF_SchoolConfig!$D$14,0)+IFERROR((SCORE_H10_Career!$C$15/IF(ABS(REF_SchoolConfig!$D$15)&gt;0,REF_SchoolConfig!$D$15,1))*REF_SchoolConfig!$D$15,0)+IFERROR((SCORE_H10_Career!$C$16/IF(ABS(REF_SchoolConfig!$D$16)&gt;0,REF_SchoolConfig!$D$16,1))*REF_SchoolConfig!$D$16,0)+IFERROR((SCORE_H10_Career!$C$17/IF(ABS(REF_SchoolConfig!$D$17)&gt;0,REF_SchoolConfig!$D$17,1))*REF_SchoolConfig!$D$17,0)+IFERROR((SCORE_H10_Career!$C$18/IF(ABS(REF_SchoolConfig!$D$18)&gt;0,REF_SchoolConfig!$D$18,1))*REF_SchoolConfig!$D$18,0)+IFERROR((SCORE_H10_Career!$C$20/IF(ABS(REF_SchoolConfig!$D$19)&gt;0,REF_SchoolConfig!$D$19,1))*REF_SchoolConfig!$D$19,0)+IFERROR((SCORE_H10_Career!$C$21/IF(ABS(REF_SchoolConfig!$D$20)&gt;0,REF_SchoolConfig!$D$20,1))*REF_SchoolConfig!$D$20,0)+IFERROR((SCORE_H10_Career!$C$22/IF(ABS(REF_SchoolConfig!$D$21)&gt;0,REF_SchoolConfig!$D$21,1))*REF_SchoolConfig!$D$21,0)+IFERROR((SCORE_H10_Career!$C$23/IF(ABS(REF_SchoolConfig!$D$22)&gt;0,REF_SchoolConfig!$D$22,1))*REF_SchoolConfig!$D$22,0)+IFERROR((SCORE_H10_Career!$C$25/IF(ABS(REF_SchoolConfig!$D$23)&gt;0,REF_SchoolConfig!$D$23,1))*REF_SchoolConfig!$D$23,0)+IFERROR((SCORE_H10_Career!$C$26/IF(ABS(REF_SchoolConfig!$D$24)&gt;0,REF_SchoolConfig!$D$24,1))*REF_SchoolConfig!$D$24,0)+IFERROR((SCORE_H10_Career!$C$27/IF(ABS(REF_SchoolConfig!$D$25)&gt;0,REF_SchoolConfig!$D$25,1))*REF_SchoolConfig!$D$25,0)+IFERROR((SCORE_H10_Career!$C$28/IF(ABS(REF_SchoolConfig!$D$26)&gt;0,REF_SchoolConfig!$D$26,1))*REF_SchoolConfig!$D$26,0)+IFERROR((SCORE_H10_Career!$C$29/IF(ABS(REF_SchoolConfig!$D$27)&gt;0,REF_SchoolConfig!$D$27,1))*REF_SchoolConfig!$D$27,0)+IFERROR((SCORE_H10_Career!$C$30/IF(ABS(REF_SchoolConfig!$D$28)&gt;0,REF_SchoolConfig!$D$28,1))*REF_SchoolConfig!$D$28,0)+IFERROR((SCORE_H10_Career!$F$31/IF(ABS(REF_SchoolConfig!$D$29)&gt;0,REF_SchoolConfig!$D$29,1))*REF_SchoolConfig!$D$29,0))),0)</f>
        <v>-1</v>
      </c>
      <c r="D13" s="1033">
        <f>IFERROR(MAX(-10,MIN(10,IFERROR((SCORE_H10_Career!$C$5/IF(ABS(REF_SchoolConfig!$D$7)&gt;0,REF_SchoolConfig!$D$7,1))*REF_SchoolConfig!$E$7,0)+IFERROR((SCORE_H10_Career!$C$6/IF(ABS(REF_SchoolConfig!$D$8)&gt;0,REF_SchoolConfig!$D$8,1))*REF_SchoolConfig!$E$8,0)+IFERROR((SCORE_H10_Career!$C$7/IF(ABS(REF_SchoolConfig!$D$9)&gt;0,REF_SchoolConfig!$D$9,1))*REF_SchoolConfig!$E$9,0)+IFERROR((SCORE_H10_Career!$C$9/IF(ABS(REF_SchoolConfig!$D$10)&gt;0,REF_SchoolConfig!$D$10,1))*REF_SchoolConfig!$E$10,0)+IFERROR((SCORE_H10_Career!$C$10/IF(ABS(REF_SchoolConfig!$D$11)&gt;0,REF_SchoolConfig!$D$11,1))*REF_SchoolConfig!$E$11,0)+IFERROR((SCORE_H10_Career!$C$11/IF(ABS(REF_SchoolConfig!$D$12)&gt;0,REF_SchoolConfig!$D$12,1))*REF_SchoolConfig!$E$12,0)+IFERROR((SCORE_H10_Career!$C$12/IF(ABS(REF_SchoolConfig!$D$13)&gt;0,REF_SchoolConfig!$D$13,1))*REF_SchoolConfig!$E$13,0)+IFERROR((SCORE_H10_Career!$C$13/IF(ABS(REF_SchoolConfig!$D$14)&gt;0,REF_SchoolConfig!$D$14,1))*REF_SchoolConfig!$E$14,0)+IFERROR((SCORE_H10_Career!$C$15/IF(ABS(REF_SchoolConfig!$D$15)&gt;0,REF_SchoolConfig!$D$15,1))*REF_SchoolConfig!$E$15,0)+IFERROR((SCORE_H10_Career!$C$16/IF(ABS(REF_SchoolConfig!$D$16)&gt;0,REF_SchoolConfig!$D$16,1))*REF_SchoolConfig!$E$16,0)+IFERROR((SCORE_H10_Career!$C$17/IF(ABS(REF_SchoolConfig!$D$17)&gt;0,REF_SchoolConfig!$D$17,1))*REF_SchoolConfig!$E$17,0)+IFERROR((SCORE_H10_Career!$C$18/IF(ABS(REF_SchoolConfig!$D$18)&gt;0,REF_SchoolConfig!$D$18,1))*REF_SchoolConfig!$E$18,0)+IFERROR((SCORE_H10_Career!$C$20/IF(ABS(REF_SchoolConfig!$D$19)&gt;0,REF_SchoolConfig!$D$19,1))*REF_SchoolConfig!$E$19,0)+IFERROR((SCORE_H10_Career!$C$21/IF(ABS(REF_SchoolConfig!$D$20)&gt;0,REF_SchoolConfig!$D$20,1))*REF_SchoolConfig!$E$20,0)+IFERROR((SCORE_H10_Career!$C$22/IF(ABS(REF_SchoolConfig!$D$21)&gt;0,REF_SchoolConfig!$D$21,1))*REF_SchoolConfig!$E$21,0)+IFERROR((SCORE_H10_Career!$C$23/IF(ABS(REF_SchoolConfig!$D$22)&gt;0,REF_SchoolConfig!$D$22,1))*REF_SchoolConfig!$E$22,0)+IFERROR((SCORE_H10_Career!$C$25/IF(ABS(REF_SchoolConfig!$D$23)&gt;0,REF_SchoolConfig!$D$23,1))*REF_SchoolConfig!$E$23,0)+IFERROR((SCORE_H10_Career!$C$26/IF(ABS(REF_SchoolConfig!$D$24)&gt;0,REF_SchoolConfig!$D$24,1))*REF_SchoolConfig!$E$24,0)+IFERROR((SCORE_H10_Career!$C$27/IF(ABS(REF_SchoolConfig!$D$25)&gt;0,REF_SchoolConfig!$D$25,1))*REF_SchoolConfig!$E$25,0)+IFERROR((SCORE_H10_Career!$C$28/IF(ABS(REF_SchoolConfig!$D$26)&gt;0,REF_SchoolConfig!$D$26,1))*REF_SchoolConfig!$E$26,0)+IFERROR((SCORE_H10_Career!$C$29/IF(ABS(REF_SchoolConfig!$D$27)&gt;0,REF_SchoolConfig!$D$27,1))*REF_SchoolConfig!$E$27,0)+IFERROR((SCORE_H10_Career!$C$30/IF(ABS(REF_SchoolConfig!$D$28)&gt;0,REF_SchoolConfig!$D$28,1))*REF_SchoolConfig!$E$28,0)+IFERROR((SCORE_H10_Career!$F$31/IF(ABS(REF_SchoolConfig!$D$29)&gt;0,REF_SchoolConfig!$D$29,1))*REF_SchoolConfig!$E$29,0))),0)</f>
        <v>-1.541666666666667</v>
      </c>
      <c r="E13" s="1033">
        <f>IFERROR(MAX(-10,MIN(10,IFERROR((SCORE_H10_Career!$C$5/IF(ABS(REF_SchoolConfig!$D$7)&gt;0,REF_SchoolConfig!$D$7,1))*REF_SchoolConfig!$F$7,0)+IFERROR((SCORE_H10_Career!$C$6/IF(ABS(REF_SchoolConfig!$D$8)&gt;0,REF_SchoolConfig!$D$8,1))*REF_SchoolConfig!$F$8,0)+IFERROR((SCORE_H10_Career!$C$7/IF(ABS(REF_SchoolConfig!$D$9)&gt;0,REF_SchoolConfig!$D$9,1))*REF_SchoolConfig!$F$9,0)+IFERROR((SCORE_H10_Career!$C$9/IF(ABS(REF_SchoolConfig!$D$10)&gt;0,REF_SchoolConfig!$D$10,1))*REF_SchoolConfig!$F$10,0)+IFERROR((SCORE_H10_Career!$C$10/IF(ABS(REF_SchoolConfig!$D$11)&gt;0,REF_SchoolConfig!$D$11,1))*REF_SchoolConfig!$F$11,0)+IFERROR((SCORE_H10_Career!$C$11/IF(ABS(REF_SchoolConfig!$D$12)&gt;0,REF_SchoolConfig!$D$12,1))*REF_SchoolConfig!$F$12,0)+IFERROR((SCORE_H10_Career!$C$12/IF(ABS(REF_SchoolConfig!$D$13)&gt;0,REF_SchoolConfig!$D$13,1))*REF_SchoolConfig!$F$13,0)+IFERROR((SCORE_H10_Career!$C$13/IF(ABS(REF_SchoolConfig!$D$14)&gt;0,REF_SchoolConfig!$D$14,1))*REF_SchoolConfig!$F$14,0)+IFERROR((SCORE_H10_Career!$C$15/IF(ABS(REF_SchoolConfig!$D$15)&gt;0,REF_SchoolConfig!$D$15,1))*REF_SchoolConfig!$F$15,0)+IFERROR((SCORE_H10_Career!$C$16/IF(ABS(REF_SchoolConfig!$D$16)&gt;0,REF_SchoolConfig!$D$16,1))*REF_SchoolConfig!$F$16,0)+IFERROR((SCORE_H10_Career!$C$17/IF(ABS(REF_SchoolConfig!$D$17)&gt;0,REF_SchoolConfig!$D$17,1))*REF_SchoolConfig!$F$17,0)+IFERROR((SCORE_H10_Career!$C$18/IF(ABS(REF_SchoolConfig!$D$18)&gt;0,REF_SchoolConfig!$D$18,1))*REF_SchoolConfig!$F$18,0)+IFERROR((SCORE_H10_Career!$C$20/IF(ABS(REF_SchoolConfig!$D$19)&gt;0,REF_SchoolConfig!$D$19,1))*REF_SchoolConfig!$F$19,0)+IFERROR((SCORE_H10_Career!$C$21/IF(ABS(REF_SchoolConfig!$D$20)&gt;0,REF_SchoolConfig!$D$20,1))*REF_SchoolConfig!$F$20,0)+IFERROR((SCORE_H10_Career!$C$22/IF(ABS(REF_SchoolConfig!$D$21)&gt;0,REF_SchoolConfig!$D$21,1))*REF_SchoolConfig!$F$21,0)+IFERROR((SCORE_H10_Career!$C$23/IF(ABS(REF_SchoolConfig!$D$22)&gt;0,REF_SchoolConfig!$D$22,1))*REF_SchoolConfig!$F$22,0)+IFERROR((SCORE_H10_Career!$C$25/IF(ABS(REF_SchoolConfig!$D$23)&gt;0,REF_SchoolConfig!$D$23,1))*REF_SchoolConfig!$F$23,0)+IFERROR((SCORE_H10_Career!$C$26/IF(ABS(REF_SchoolConfig!$D$24)&gt;0,REF_SchoolConfig!$D$24,1))*REF_SchoolConfig!$F$24,0)+IFERROR((SCORE_H10_Career!$C$27/IF(ABS(REF_SchoolConfig!$D$25)&gt;0,REF_SchoolConfig!$D$25,1))*REF_SchoolConfig!$F$25,0)+IFERROR((SCORE_H10_Career!$C$28/IF(ABS(REF_SchoolConfig!$D$26)&gt;0,REF_SchoolConfig!$D$26,1))*REF_SchoolConfig!$F$26,0)+IFERROR((SCORE_H10_Career!$C$29/IF(ABS(REF_SchoolConfig!$D$27)&gt;0,REF_SchoolConfig!$D$27,1))*REF_SchoolConfig!$F$27,0)+IFERROR((SCORE_H10_Career!$C$30/IF(ABS(REF_SchoolConfig!$D$28)&gt;0,REF_SchoolConfig!$D$28,1))*REF_SchoolConfig!$F$28,0)+IFERROR((SCORE_H10_Career!$F$31/IF(ABS(REF_SchoolConfig!$D$29)&gt;0,REF_SchoolConfig!$D$29,1))*REF_SchoolConfig!$F$29,0))),0)</f>
        <v>-1.625</v>
      </c>
      <c r="F13" s="1033">
        <f>IFERROR(IF(REF_Config!$B$6="KP",D13,IF(REF_Config!$B$6="Jaimini",E13,C13)),C13)</f>
        <v>-1</v>
      </c>
      <c r="G13" s="1033">
        <f t="shared" si="0"/>
        <v>0.625</v>
      </c>
      <c r="H13" s="1033">
        <f>IFERROR(SCORE_H10_Career!$C$9,0)</f>
        <v>0</v>
      </c>
      <c r="I13" s="1033">
        <f>IFERROR(SCORE_H10_Career!$C$22,0)</f>
        <v>0</v>
      </c>
      <c r="J13" s="1034"/>
      <c r="K13" s="1034"/>
      <c r="L13" s="1034"/>
      <c r="M13" s="4"/>
    </row>
    <row r="14" spans="1:13" ht="15.75" customHeight="1" x14ac:dyDescent="0.2">
      <c r="A14" s="1029">
        <v>11</v>
      </c>
      <c r="B14" s="1035" t="s">
        <v>3736</v>
      </c>
      <c r="C14" s="1034">
        <f>IFERROR(MAX(-10,MIN(10,IFERROR((SCORE_H11_Gains!$C$5/IF(ABS(REF_SchoolConfig!$D$7)&gt;0,REF_SchoolConfig!$D$7,1))*REF_SchoolConfig!$D$7,0)+IFERROR((SCORE_H11_Gains!$C$6/IF(ABS(REF_SchoolConfig!$D$8)&gt;0,REF_SchoolConfig!$D$8,1))*REF_SchoolConfig!$D$8,0)+IFERROR((SCORE_H11_Gains!$C$7/IF(ABS(REF_SchoolConfig!$D$9)&gt;0,REF_SchoolConfig!$D$9,1))*REF_SchoolConfig!$D$9,0)+IFERROR((SCORE_H11_Gains!$C$9/IF(ABS(REF_SchoolConfig!$D$10)&gt;0,REF_SchoolConfig!$D$10,1))*REF_SchoolConfig!$D$10,0)+IFERROR((SCORE_H11_Gains!$C$10/IF(ABS(REF_SchoolConfig!$D$11)&gt;0,REF_SchoolConfig!$D$11,1))*REF_SchoolConfig!$D$11,0)+IFERROR((SCORE_H11_Gains!$C$11/IF(ABS(REF_SchoolConfig!$D$12)&gt;0,REF_SchoolConfig!$D$12,1))*REF_SchoolConfig!$D$12,0)+IFERROR((SCORE_H11_Gains!$C$12/IF(ABS(REF_SchoolConfig!$D$13)&gt;0,REF_SchoolConfig!$D$13,1))*REF_SchoolConfig!$D$13,0)+IFERROR((SCORE_H11_Gains!$C$13/IF(ABS(REF_SchoolConfig!$D$14)&gt;0,REF_SchoolConfig!$D$14,1))*REF_SchoolConfig!$D$14,0)+IFERROR((SCORE_H11_Gains!$C$15/IF(ABS(REF_SchoolConfig!$D$15)&gt;0,REF_SchoolConfig!$D$15,1))*REF_SchoolConfig!$D$15,0)+IFERROR((SCORE_H11_Gains!$C$16/IF(ABS(REF_SchoolConfig!$D$16)&gt;0,REF_SchoolConfig!$D$16,1))*REF_SchoolConfig!$D$16,0)+IFERROR((SCORE_H11_Gains!$C$17/IF(ABS(REF_SchoolConfig!$D$17)&gt;0,REF_SchoolConfig!$D$17,1))*REF_SchoolConfig!$D$17,0)+IFERROR((SCORE_H11_Gains!$C$18/IF(ABS(REF_SchoolConfig!$D$18)&gt;0,REF_SchoolConfig!$D$18,1))*REF_SchoolConfig!$D$18,0)+IFERROR((SCORE_H11_Gains!$C$20/IF(ABS(REF_SchoolConfig!$D$19)&gt;0,REF_SchoolConfig!$D$19,1))*REF_SchoolConfig!$D$19,0)+IFERROR((SCORE_H11_Gains!$C$21/IF(ABS(REF_SchoolConfig!$D$20)&gt;0,REF_SchoolConfig!$D$20,1))*REF_SchoolConfig!$D$20,0)+IFERROR((SCORE_H11_Gains!$C$22/IF(ABS(REF_SchoolConfig!$D$21)&gt;0,REF_SchoolConfig!$D$21,1))*REF_SchoolConfig!$D$21,0)+IFERROR((SCORE_H11_Gains!$C$23/IF(ABS(REF_SchoolConfig!$D$22)&gt;0,REF_SchoolConfig!$D$22,1))*REF_SchoolConfig!$D$22,0)+IFERROR((SCORE_H11_Gains!$C$25/IF(ABS(REF_SchoolConfig!$D$23)&gt;0,REF_SchoolConfig!$D$23,1))*REF_SchoolConfig!$D$23,0)+IFERROR((SCORE_H11_Gains!$C$26/IF(ABS(REF_SchoolConfig!$D$24)&gt;0,REF_SchoolConfig!$D$24,1))*REF_SchoolConfig!$D$24,0)+IFERROR((SCORE_H11_Gains!$C$27/IF(ABS(REF_SchoolConfig!$D$25)&gt;0,REF_SchoolConfig!$D$25,1))*REF_SchoolConfig!$D$25,0)+IFERROR((SCORE_H11_Gains!$C$28/IF(ABS(REF_SchoolConfig!$D$26)&gt;0,REF_SchoolConfig!$D$26,1))*REF_SchoolConfig!$D$26,0)+IFERROR((SCORE_H11_Gains!$C$29/IF(ABS(REF_SchoolConfig!$D$27)&gt;0,REF_SchoolConfig!$D$27,1))*REF_SchoolConfig!$D$27,0)+IFERROR((SCORE_H11_Gains!$C$30/IF(ABS(REF_SchoolConfig!$D$28)&gt;0,REF_SchoolConfig!$D$28,1))*REF_SchoolConfig!$D$28,0)+IFERROR((SCORE_H11_Gains!$F$31/IF(ABS(REF_SchoolConfig!$D$29)&gt;0,REF_SchoolConfig!$D$29,1))*REF_SchoolConfig!$D$29,0))),0)</f>
        <v>-2.5</v>
      </c>
      <c r="D14" s="1034">
        <f>IFERROR(MAX(-10,MIN(10,IFERROR((SCORE_H11_Gains!$C$5/IF(ABS(REF_SchoolConfig!$D$7)&gt;0,REF_SchoolConfig!$D$7,1))*REF_SchoolConfig!$E$7,0)+IFERROR((SCORE_H11_Gains!$C$6/IF(ABS(REF_SchoolConfig!$D$8)&gt;0,REF_SchoolConfig!$D$8,1))*REF_SchoolConfig!$E$8,0)+IFERROR((SCORE_H11_Gains!$C$7/IF(ABS(REF_SchoolConfig!$D$9)&gt;0,REF_SchoolConfig!$D$9,1))*REF_SchoolConfig!$E$9,0)+IFERROR((SCORE_H11_Gains!$C$9/IF(ABS(REF_SchoolConfig!$D$10)&gt;0,REF_SchoolConfig!$D$10,1))*REF_SchoolConfig!$E$10,0)+IFERROR((SCORE_H11_Gains!$C$10/IF(ABS(REF_SchoolConfig!$D$11)&gt;0,REF_SchoolConfig!$D$11,1))*REF_SchoolConfig!$E$11,0)+IFERROR((SCORE_H11_Gains!$C$11/IF(ABS(REF_SchoolConfig!$D$12)&gt;0,REF_SchoolConfig!$D$12,1))*REF_SchoolConfig!$E$12,0)+IFERROR((SCORE_H11_Gains!$C$12/IF(ABS(REF_SchoolConfig!$D$13)&gt;0,REF_SchoolConfig!$D$13,1))*REF_SchoolConfig!$E$13,0)+IFERROR((SCORE_H11_Gains!$C$13/IF(ABS(REF_SchoolConfig!$D$14)&gt;0,REF_SchoolConfig!$D$14,1))*REF_SchoolConfig!$E$14,0)+IFERROR((SCORE_H11_Gains!$C$15/IF(ABS(REF_SchoolConfig!$D$15)&gt;0,REF_SchoolConfig!$D$15,1))*REF_SchoolConfig!$E$15,0)+IFERROR((SCORE_H11_Gains!$C$16/IF(ABS(REF_SchoolConfig!$D$16)&gt;0,REF_SchoolConfig!$D$16,1))*REF_SchoolConfig!$E$16,0)+IFERROR((SCORE_H11_Gains!$C$17/IF(ABS(REF_SchoolConfig!$D$17)&gt;0,REF_SchoolConfig!$D$17,1))*REF_SchoolConfig!$E$17,0)+IFERROR((SCORE_H11_Gains!$C$18/IF(ABS(REF_SchoolConfig!$D$18)&gt;0,REF_SchoolConfig!$D$18,1))*REF_SchoolConfig!$E$18,0)+IFERROR((SCORE_H11_Gains!$C$20/IF(ABS(REF_SchoolConfig!$D$19)&gt;0,REF_SchoolConfig!$D$19,1))*REF_SchoolConfig!$E$19,0)+IFERROR((SCORE_H11_Gains!$C$21/IF(ABS(REF_SchoolConfig!$D$20)&gt;0,REF_SchoolConfig!$D$20,1))*REF_SchoolConfig!$E$20,0)+IFERROR((SCORE_H11_Gains!$C$22/IF(ABS(REF_SchoolConfig!$D$21)&gt;0,REF_SchoolConfig!$D$21,1))*REF_SchoolConfig!$E$21,0)+IFERROR((SCORE_H11_Gains!$C$23/IF(ABS(REF_SchoolConfig!$D$22)&gt;0,REF_SchoolConfig!$D$22,1))*REF_SchoolConfig!$E$22,0)+IFERROR((SCORE_H11_Gains!$C$25/IF(ABS(REF_SchoolConfig!$D$23)&gt;0,REF_SchoolConfig!$D$23,1))*REF_SchoolConfig!$E$23,0)+IFERROR((SCORE_H11_Gains!$C$26/IF(ABS(REF_SchoolConfig!$D$24)&gt;0,REF_SchoolConfig!$D$24,1))*REF_SchoolConfig!$E$24,0)+IFERROR((SCORE_H11_Gains!$C$27/IF(ABS(REF_SchoolConfig!$D$25)&gt;0,REF_SchoolConfig!$D$25,1))*REF_SchoolConfig!$E$25,0)+IFERROR((SCORE_H11_Gains!$C$28/IF(ABS(REF_SchoolConfig!$D$26)&gt;0,REF_SchoolConfig!$D$26,1))*REF_SchoolConfig!$E$26,0)+IFERROR((SCORE_H11_Gains!$C$29/IF(ABS(REF_SchoolConfig!$D$27)&gt;0,REF_SchoolConfig!$D$27,1))*REF_SchoolConfig!$E$27,0)+IFERROR((SCORE_H11_Gains!$C$30/IF(ABS(REF_SchoolConfig!$D$28)&gt;0,REF_SchoolConfig!$D$28,1))*REF_SchoolConfig!$E$28,0)+IFERROR((SCORE_H11_Gains!$F$31/IF(ABS(REF_SchoolConfig!$D$29)&gt;0,REF_SchoolConfig!$D$29,1))*REF_SchoolConfig!$E$29,0))),0)</f>
        <v>-2.5</v>
      </c>
      <c r="E14" s="1034">
        <f>IFERROR(MAX(-10,MIN(10,IFERROR((SCORE_H11_Gains!$C$5/IF(ABS(REF_SchoolConfig!$D$7)&gt;0,REF_SchoolConfig!$D$7,1))*REF_SchoolConfig!$F$7,0)+IFERROR((SCORE_H11_Gains!$C$6/IF(ABS(REF_SchoolConfig!$D$8)&gt;0,REF_SchoolConfig!$D$8,1))*REF_SchoolConfig!$F$8,0)+IFERROR((SCORE_H11_Gains!$C$7/IF(ABS(REF_SchoolConfig!$D$9)&gt;0,REF_SchoolConfig!$D$9,1))*REF_SchoolConfig!$F$9,0)+IFERROR((SCORE_H11_Gains!$C$9/IF(ABS(REF_SchoolConfig!$D$10)&gt;0,REF_SchoolConfig!$D$10,1))*REF_SchoolConfig!$F$10,0)+IFERROR((SCORE_H11_Gains!$C$10/IF(ABS(REF_SchoolConfig!$D$11)&gt;0,REF_SchoolConfig!$D$11,1))*REF_SchoolConfig!$F$11,0)+IFERROR((SCORE_H11_Gains!$C$11/IF(ABS(REF_SchoolConfig!$D$12)&gt;0,REF_SchoolConfig!$D$12,1))*REF_SchoolConfig!$F$12,0)+IFERROR((SCORE_H11_Gains!$C$12/IF(ABS(REF_SchoolConfig!$D$13)&gt;0,REF_SchoolConfig!$D$13,1))*REF_SchoolConfig!$F$13,0)+IFERROR((SCORE_H11_Gains!$C$13/IF(ABS(REF_SchoolConfig!$D$14)&gt;0,REF_SchoolConfig!$D$14,1))*REF_SchoolConfig!$F$14,0)+IFERROR((SCORE_H11_Gains!$C$15/IF(ABS(REF_SchoolConfig!$D$15)&gt;0,REF_SchoolConfig!$D$15,1))*REF_SchoolConfig!$F$15,0)+IFERROR((SCORE_H11_Gains!$C$16/IF(ABS(REF_SchoolConfig!$D$16)&gt;0,REF_SchoolConfig!$D$16,1))*REF_SchoolConfig!$F$16,0)+IFERROR((SCORE_H11_Gains!$C$17/IF(ABS(REF_SchoolConfig!$D$17)&gt;0,REF_SchoolConfig!$D$17,1))*REF_SchoolConfig!$F$17,0)+IFERROR((SCORE_H11_Gains!$C$18/IF(ABS(REF_SchoolConfig!$D$18)&gt;0,REF_SchoolConfig!$D$18,1))*REF_SchoolConfig!$F$18,0)+IFERROR((SCORE_H11_Gains!$C$20/IF(ABS(REF_SchoolConfig!$D$19)&gt;0,REF_SchoolConfig!$D$19,1))*REF_SchoolConfig!$F$19,0)+IFERROR((SCORE_H11_Gains!$C$21/IF(ABS(REF_SchoolConfig!$D$20)&gt;0,REF_SchoolConfig!$D$20,1))*REF_SchoolConfig!$F$20,0)+IFERROR((SCORE_H11_Gains!$C$22/IF(ABS(REF_SchoolConfig!$D$21)&gt;0,REF_SchoolConfig!$D$21,1))*REF_SchoolConfig!$F$21,0)+IFERROR((SCORE_H11_Gains!$C$23/IF(ABS(REF_SchoolConfig!$D$22)&gt;0,REF_SchoolConfig!$D$22,1))*REF_SchoolConfig!$F$22,0)+IFERROR((SCORE_H11_Gains!$C$25/IF(ABS(REF_SchoolConfig!$D$23)&gt;0,REF_SchoolConfig!$D$23,1))*REF_SchoolConfig!$F$23,0)+IFERROR((SCORE_H11_Gains!$C$26/IF(ABS(REF_SchoolConfig!$D$24)&gt;0,REF_SchoolConfig!$D$24,1))*REF_SchoolConfig!$F$24,0)+IFERROR((SCORE_H11_Gains!$C$27/IF(ABS(REF_SchoolConfig!$D$25)&gt;0,REF_SchoolConfig!$D$25,1))*REF_SchoolConfig!$F$25,0)+IFERROR((SCORE_H11_Gains!$C$28/IF(ABS(REF_SchoolConfig!$D$26)&gt;0,REF_SchoolConfig!$D$26,1))*REF_SchoolConfig!$F$26,0)+IFERROR((SCORE_H11_Gains!$C$29/IF(ABS(REF_SchoolConfig!$D$27)&gt;0,REF_SchoolConfig!$D$27,1))*REF_SchoolConfig!$F$27,0)+IFERROR((SCORE_H11_Gains!$C$30/IF(ABS(REF_SchoolConfig!$D$28)&gt;0,REF_SchoolConfig!$D$28,1))*REF_SchoolConfig!$F$28,0)+IFERROR((SCORE_H11_Gains!$F$31/IF(ABS(REF_SchoolConfig!$D$29)&gt;0,REF_SchoolConfig!$D$29,1))*REF_SchoolConfig!$F$29,0))),0)</f>
        <v>-2.4166666666666665</v>
      </c>
      <c r="F14" s="1034">
        <f>IFERROR(IF(REF_Config!$B$6="KP",D14,IF(REF_Config!$B$6="Jaimini",E14,C14)),C14)</f>
        <v>-2.5</v>
      </c>
      <c r="G14" s="1034">
        <f t="shared" si="0"/>
        <v>8.3333333333333481E-2</v>
      </c>
      <c r="H14" s="1034">
        <f>IFERROR(SCORE_H11_Gains!$C$9,0)</f>
        <v>0</v>
      </c>
      <c r="I14" s="1034">
        <f>IFERROR(SCORE_H11_Gains!$C$22,0)</f>
        <v>-2</v>
      </c>
      <c r="J14" s="1034"/>
      <c r="K14" s="1034"/>
      <c r="L14" s="1034"/>
      <c r="M14" s="4"/>
    </row>
    <row r="15" spans="1:13" ht="15.75" customHeight="1" x14ac:dyDescent="0.2">
      <c r="A15" s="1031">
        <v>12</v>
      </c>
      <c r="B15" s="1032" t="s">
        <v>3737</v>
      </c>
      <c r="C15" s="1033">
        <f>IFERROR(MAX(-10,MIN(10,IFERROR((SCORE_H12_Liberation!$C$5/IF(ABS(REF_SchoolConfig!$D$7)&gt;0,REF_SchoolConfig!$D$7,1))*REF_SchoolConfig!$D$7,0)+IFERROR((SCORE_H12_Liberation!$C$6/IF(ABS(REF_SchoolConfig!$D$8)&gt;0,REF_SchoolConfig!$D$8,1))*REF_SchoolConfig!$D$8,0)+IFERROR((SCORE_H12_Liberation!$C$7/IF(ABS(REF_SchoolConfig!$D$9)&gt;0,REF_SchoolConfig!$D$9,1))*REF_SchoolConfig!$D$9,0)+IFERROR((SCORE_H12_Liberation!$C$9/IF(ABS(REF_SchoolConfig!$D$10)&gt;0,REF_SchoolConfig!$D$10,1))*REF_SchoolConfig!$D$10,0)+IFERROR((SCORE_H12_Liberation!$C$10/IF(ABS(REF_SchoolConfig!$D$11)&gt;0,REF_SchoolConfig!$D$11,1))*REF_SchoolConfig!$D$11,0)+IFERROR((SCORE_H12_Liberation!$C$11/IF(ABS(REF_SchoolConfig!$D$12)&gt;0,REF_SchoolConfig!$D$12,1))*REF_SchoolConfig!$D$12,0)+IFERROR((SCORE_H12_Liberation!$C$12/IF(ABS(REF_SchoolConfig!$D$13)&gt;0,REF_SchoolConfig!$D$13,1))*REF_SchoolConfig!$D$13,0)+IFERROR((SCORE_H12_Liberation!$C$13/IF(ABS(REF_SchoolConfig!$D$14)&gt;0,REF_SchoolConfig!$D$14,1))*REF_SchoolConfig!$D$14,0)+IFERROR((SCORE_H12_Liberation!$C$15/IF(ABS(REF_SchoolConfig!$D$15)&gt;0,REF_SchoolConfig!$D$15,1))*REF_SchoolConfig!$D$15,0)+IFERROR((SCORE_H12_Liberation!$C$16/IF(ABS(REF_SchoolConfig!$D$16)&gt;0,REF_SchoolConfig!$D$16,1))*REF_SchoolConfig!$D$16,0)+IFERROR((SCORE_H12_Liberation!$C$17/IF(ABS(REF_SchoolConfig!$D$17)&gt;0,REF_SchoolConfig!$D$17,1))*REF_SchoolConfig!$D$17,0)+IFERROR((SCORE_H12_Liberation!$C$18/IF(ABS(REF_SchoolConfig!$D$18)&gt;0,REF_SchoolConfig!$D$18,1))*REF_SchoolConfig!$D$18,0)+IFERROR((SCORE_H12_Liberation!$C$20/IF(ABS(REF_SchoolConfig!$D$19)&gt;0,REF_SchoolConfig!$D$19,1))*REF_SchoolConfig!$D$19,0)+IFERROR((SCORE_H12_Liberation!$C$21/IF(ABS(REF_SchoolConfig!$D$20)&gt;0,REF_SchoolConfig!$D$20,1))*REF_SchoolConfig!$D$20,0)+IFERROR((SCORE_H12_Liberation!$C$22/IF(ABS(REF_SchoolConfig!$D$21)&gt;0,REF_SchoolConfig!$D$21,1))*REF_SchoolConfig!$D$21,0)+IFERROR((SCORE_H12_Liberation!$C$23/IF(ABS(REF_SchoolConfig!$D$22)&gt;0,REF_SchoolConfig!$D$22,1))*REF_SchoolConfig!$D$22,0)+IFERROR((SCORE_H12_Liberation!$C$25/IF(ABS(REF_SchoolConfig!$D$23)&gt;0,REF_SchoolConfig!$D$23,1))*REF_SchoolConfig!$D$23,0)+IFERROR((SCORE_H12_Liberation!$C$26/IF(ABS(REF_SchoolConfig!$D$24)&gt;0,REF_SchoolConfig!$D$24,1))*REF_SchoolConfig!$D$24,0)+IFERROR((SCORE_H12_Liberation!$C$27/IF(ABS(REF_SchoolConfig!$D$25)&gt;0,REF_SchoolConfig!$D$25,1))*REF_SchoolConfig!$D$25,0)+IFERROR((SCORE_H12_Liberation!$C$28/IF(ABS(REF_SchoolConfig!$D$26)&gt;0,REF_SchoolConfig!$D$26,1))*REF_SchoolConfig!$D$26,0)+IFERROR((SCORE_H12_Liberation!$C$29/IF(ABS(REF_SchoolConfig!$D$27)&gt;0,REF_SchoolConfig!$D$27,1))*REF_SchoolConfig!$D$27,0)+IFERROR((SCORE_H12_Liberation!$C$30/IF(ABS(REF_SchoolConfig!$D$28)&gt;0,REF_SchoolConfig!$D$28,1))*REF_SchoolConfig!$D$28,0)+IFERROR((SCORE_H12_Liberation!$F$31/IF(ABS(REF_SchoolConfig!$D$29)&gt;0,REF_SchoolConfig!$D$29,1))*REF_SchoolConfig!$D$29,0))),0)</f>
        <v>-0.25</v>
      </c>
      <c r="D15" s="1033">
        <f>IFERROR(MAX(-10,MIN(10,IFERROR((SCORE_H12_Liberation!$C$5/IF(ABS(REF_SchoolConfig!$D$7)&gt;0,REF_SchoolConfig!$D$7,1))*REF_SchoolConfig!$E$7,0)+IFERROR((SCORE_H12_Liberation!$C$6/IF(ABS(REF_SchoolConfig!$D$8)&gt;0,REF_SchoolConfig!$D$8,1))*REF_SchoolConfig!$E$8,0)+IFERROR((SCORE_H12_Liberation!$C$7/IF(ABS(REF_SchoolConfig!$D$9)&gt;0,REF_SchoolConfig!$D$9,1))*REF_SchoolConfig!$E$9,0)+IFERROR((SCORE_H12_Liberation!$C$9/IF(ABS(REF_SchoolConfig!$D$10)&gt;0,REF_SchoolConfig!$D$10,1))*REF_SchoolConfig!$E$10,0)+IFERROR((SCORE_H12_Liberation!$C$10/IF(ABS(REF_SchoolConfig!$D$11)&gt;0,REF_SchoolConfig!$D$11,1))*REF_SchoolConfig!$E$11,0)+IFERROR((SCORE_H12_Liberation!$C$11/IF(ABS(REF_SchoolConfig!$D$12)&gt;0,REF_SchoolConfig!$D$12,1))*REF_SchoolConfig!$E$12,0)+IFERROR((SCORE_H12_Liberation!$C$12/IF(ABS(REF_SchoolConfig!$D$13)&gt;0,REF_SchoolConfig!$D$13,1))*REF_SchoolConfig!$E$13,0)+IFERROR((SCORE_H12_Liberation!$C$13/IF(ABS(REF_SchoolConfig!$D$14)&gt;0,REF_SchoolConfig!$D$14,1))*REF_SchoolConfig!$E$14,0)+IFERROR((SCORE_H12_Liberation!$C$15/IF(ABS(REF_SchoolConfig!$D$15)&gt;0,REF_SchoolConfig!$D$15,1))*REF_SchoolConfig!$E$15,0)+IFERROR((SCORE_H12_Liberation!$C$16/IF(ABS(REF_SchoolConfig!$D$16)&gt;0,REF_SchoolConfig!$D$16,1))*REF_SchoolConfig!$E$16,0)+IFERROR((SCORE_H12_Liberation!$C$17/IF(ABS(REF_SchoolConfig!$D$17)&gt;0,REF_SchoolConfig!$D$17,1))*REF_SchoolConfig!$E$17,0)+IFERROR((SCORE_H12_Liberation!$C$18/IF(ABS(REF_SchoolConfig!$D$18)&gt;0,REF_SchoolConfig!$D$18,1))*REF_SchoolConfig!$E$18,0)+IFERROR((SCORE_H12_Liberation!$C$20/IF(ABS(REF_SchoolConfig!$D$19)&gt;0,REF_SchoolConfig!$D$19,1))*REF_SchoolConfig!$E$19,0)+IFERROR((SCORE_H12_Liberation!$C$21/IF(ABS(REF_SchoolConfig!$D$20)&gt;0,REF_SchoolConfig!$D$20,1))*REF_SchoolConfig!$E$20,0)+IFERROR((SCORE_H12_Liberation!$C$22/IF(ABS(REF_SchoolConfig!$D$21)&gt;0,REF_SchoolConfig!$D$21,1))*REF_SchoolConfig!$E$21,0)+IFERROR((SCORE_H12_Liberation!$C$23/IF(ABS(REF_SchoolConfig!$D$22)&gt;0,REF_SchoolConfig!$D$22,1))*REF_SchoolConfig!$E$22,0)+IFERROR((SCORE_H12_Liberation!$C$25/IF(ABS(REF_SchoolConfig!$D$23)&gt;0,REF_SchoolConfig!$D$23,1))*REF_SchoolConfig!$E$23,0)+IFERROR((SCORE_H12_Liberation!$C$26/IF(ABS(REF_SchoolConfig!$D$24)&gt;0,REF_SchoolConfig!$D$24,1))*REF_SchoolConfig!$E$24,0)+IFERROR((SCORE_H12_Liberation!$C$27/IF(ABS(REF_SchoolConfig!$D$25)&gt;0,REF_SchoolConfig!$D$25,1))*REF_SchoolConfig!$E$25,0)+IFERROR((SCORE_H12_Liberation!$C$28/IF(ABS(REF_SchoolConfig!$D$26)&gt;0,REF_SchoolConfig!$D$26,1))*REF_SchoolConfig!$E$26,0)+IFERROR((SCORE_H12_Liberation!$C$29/IF(ABS(REF_SchoolConfig!$D$27)&gt;0,REF_SchoolConfig!$D$27,1))*REF_SchoolConfig!$E$27,0)+IFERROR((SCORE_H12_Liberation!$C$30/IF(ABS(REF_SchoolConfig!$D$28)&gt;0,REF_SchoolConfig!$D$28,1))*REF_SchoolConfig!$E$28,0)+IFERROR((SCORE_H12_Liberation!$F$31/IF(ABS(REF_SchoolConfig!$D$29)&gt;0,REF_SchoolConfig!$D$29,1))*REF_SchoolConfig!$E$29,0))),0)</f>
        <v>-0.25</v>
      </c>
      <c r="E15" s="1033">
        <f>IFERROR(MAX(-10,MIN(10,IFERROR((SCORE_H12_Liberation!$C$5/IF(ABS(REF_SchoolConfig!$D$7)&gt;0,REF_SchoolConfig!$D$7,1))*REF_SchoolConfig!$F$7,0)+IFERROR((SCORE_H12_Liberation!$C$6/IF(ABS(REF_SchoolConfig!$D$8)&gt;0,REF_SchoolConfig!$D$8,1))*REF_SchoolConfig!$F$8,0)+IFERROR((SCORE_H12_Liberation!$C$7/IF(ABS(REF_SchoolConfig!$D$9)&gt;0,REF_SchoolConfig!$D$9,1))*REF_SchoolConfig!$F$9,0)+IFERROR((SCORE_H12_Liberation!$C$9/IF(ABS(REF_SchoolConfig!$D$10)&gt;0,REF_SchoolConfig!$D$10,1))*REF_SchoolConfig!$F$10,0)+IFERROR((SCORE_H12_Liberation!$C$10/IF(ABS(REF_SchoolConfig!$D$11)&gt;0,REF_SchoolConfig!$D$11,1))*REF_SchoolConfig!$F$11,0)+IFERROR((SCORE_H12_Liberation!$C$11/IF(ABS(REF_SchoolConfig!$D$12)&gt;0,REF_SchoolConfig!$D$12,1))*REF_SchoolConfig!$F$12,0)+IFERROR((SCORE_H12_Liberation!$C$12/IF(ABS(REF_SchoolConfig!$D$13)&gt;0,REF_SchoolConfig!$D$13,1))*REF_SchoolConfig!$F$13,0)+IFERROR((SCORE_H12_Liberation!$C$13/IF(ABS(REF_SchoolConfig!$D$14)&gt;0,REF_SchoolConfig!$D$14,1))*REF_SchoolConfig!$F$14,0)+IFERROR((SCORE_H12_Liberation!$C$15/IF(ABS(REF_SchoolConfig!$D$15)&gt;0,REF_SchoolConfig!$D$15,1))*REF_SchoolConfig!$F$15,0)+IFERROR((SCORE_H12_Liberation!$C$16/IF(ABS(REF_SchoolConfig!$D$16)&gt;0,REF_SchoolConfig!$D$16,1))*REF_SchoolConfig!$F$16,0)+IFERROR((SCORE_H12_Liberation!$C$17/IF(ABS(REF_SchoolConfig!$D$17)&gt;0,REF_SchoolConfig!$D$17,1))*REF_SchoolConfig!$F$17,0)+IFERROR((SCORE_H12_Liberation!$C$18/IF(ABS(REF_SchoolConfig!$D$18)&gt;0,REF_SchoolConfig!$D$18,1))*REF_SchoolConfig!$F$18,0)+IFERROR((SCORE_H12_Liberation!$C$20/IF(ABS(REF_SchoolConfig!$D$19)&gt;0,REF_SchoolConfig!$D$19,1))*REF_SchoolConfig!$F$19,0)+IFERROR((SCORE_H12_Liberation!$C$21/IF(ABS(REF_SchoolConfig!$D$20)&gt;0,REF_SchoolConfig!$D$20,1))*REF_SchoolConfig!$F$20,0)+IFERROR((SCORE_H12_Liberation!$C$22/IF(ABS(REF_SchoolConfig!$D$21)&gt;0,REF_SchoolConfig!$D$21,1))*REF_SchoolConfig!$F$21,0)+IFERROR((SCORE_H12_Liberation!$C$23/IF(ABS(REF_SchoolConfig!$D$22)&gt;0,REF_SchoolConfig!$D$22,1))*REF_SchoolConfig!$F$22,0)+IFERROR((SCORE_H12_Liberation!$C$25/IF(ABS(REF_SchoolConfig!$D$23)&gt;0,REF_SchoolConfig!$D$23,1))*REF_SchoolConfig!$F$23,0)+IFERROR((SCORE_H12_Liberation!$C$26/IF(ABS(REF_SchoolConfig!$D$24)&gt;0,REF_SchoolConfig!$D$24,1))*REF_SchoolConfig!$F$24,0)+IFERROR((SCORE_H12_Liberation!$C$27/IF(ABS(REF_SchoolConfig!$D$25)&gt;0,REF_SchoolConfig!$D$25,1))*REF_SchoolConfig!$F$25,0)+IFERROR((SCORE_H12_Liberation!$C$28/IF(ABS(REF_SchoolConfig!$D$26)&gt;0,REF_SchoolConfig!$D$26,1))*REF_SchoolConfig!$F$26,0)+IFERROR((SCORE_H12_Liberation!$C$29/IF(ABS(REF_SchoolConfig!$D$27)&gt;0,REF_SchoolConfig!$D$27,1))*REF_SchoolConfig!$F$27,0)+IFERROR((SCORE_H12_Liberation!$C$30/IF(ABS(REF_SchoolConfig!$D$28)&gt;0,REF_SchoolConfig!$D$28,1))*REF_SchoolConfig!$F$28,0)+IFERROR((SCORE_H12_Liberation!$F$31/IF(ABS(REF_SchoolConfig!$D$29)&gt;0,REF_SchoolConfig!$D$29,1))*REF_SchoolConfig!$F$29,0))),0)</f>
        <v>5.5511151231257827E-17</v>
      </c>
      <c r="F15" s="1033">
        <f>IFERROR(IF(REF_Config!$B$6="KP",D15,IF(REF_Config!$B$6="Jaimini",E15,C15)),C15)</f>
        <v>-0.25</v>
      </c>
      <c r="G15" s="1033">
        <f t="shared" si="0"/>
        <v>0.25000000000000006</v>
      </c>
      <c r="H15" s="1033">
        <f>IFERROR(SCORE_H12_Liberation!$C$9,0)</f>
        <v>0</v>
      </c>
      <c r="I15" s="1033">
        <f>IFERROR(SCORE_H12_Liberation!$C$22,0)</f>
        <v>0</v>
      </c>
      <c r="J15" s="1034"/>
      <c r="K15" s="1034"/>
      <c r="L15" s="1034"/>
      <c r="M15" s="4"/>
    </row>
    <row r="16" spans="1:13" ht="15.75" customHeight="1" x14ac:dyDescent="0.2">
      <c r="A16" s="1029"/>
      <c r="B16" s="1035"/>
      <c r="C16" s="1034"/>
      <c r="D16" s="1034"/>
      <c r="E16" s="1034"/>
      <c r="F16" s="1034"/>
      <c r="G16" s="1034"/>
      <c r="H16" s="1034"/>
      <c r="I16" s="1034"/>
      <c r="J16" s="1034"/>
      <c r="K16" s="1034"/>
      <c r="L16" s="1034"/>
      <c r="M16" s="4"/>
    </row>
    <row r="17" spans="1:13" ht="15" customHeight="1" x14ac:dyDescent="0.2">
      <c r="A17" s="4"/>
      <c r="B17" s="862" t="s">
        <v>4452</v>
      </c>
      <c r="C17" s="4">
        <f>IFERROR(AVERAGE(C4:C15),0)</f>
        <v>-1.1666666666666667</v>
      </c>
      <c r="D17" s="4">
        <f>IFERROR(AVERAGE(D4:D15),0)</f>
        <v>-1.5277777777777779</v>
      </c>
      <c r="E17" s="4">
        <f>IFERROR(AVERAGE(E4:E15),0)</f>
        <v>-1.2291666666666665</v>
      </c>
      <c r="F17" s="4"/>
      <c r="G17" s="4">
        <f>IFERROR(MAX(G4:G15),0)</f>
        <v>0.91666666666666696</v>
      </c>
      <c r="H17" s="4"/>
      <c r="I17" s="4"/>
      <c r="J17" s="4"/>
      <c r="K17" s="4"/>
      <c r="L17" s="4"/>
      <c r="M17" s="4"/>
    </row>
    <row r="18" spans="1:13" ht="24" customHeight="1" x14ac:dyDescent="0.2">
      <c r="A18" s="46" t="s">
        <v>4453</v>
      </c>
      <c r="B18" s="4"/>
      <c r="C18" s="4"/>
      <c r="D18" s="4"/>
      <c r="E18" s="4"/>
      <c r="F18" s="4"/>
      <c r="G18" s="4"/>
      <c r="H18" s="4"/>
      <c r="I18" s="4"/>
      <c r="J18" s="4"/>
      <c r="K18" s="4"/>
      <c r="L18" s="4"/>
      <c r="M18" s="4"/>
    </row>
    <row r="20" spans="1:13" ht="30" customHeight="1" x14ac:dyDescent="0.2">
      <c r="A20" s="557" t="s">
        <v>4454</v>
      </c>
    </row>
    <row r="21" spans="1:13" ht="23.25" customHeight="1" x14ac:dyDescent="0.2">
      <c r="A21" s="330" t="s">
        <v>2393</v>
      </c>
      <c r="B21" s="330" t="s">
        <v>3360</v>
      </c>
      <c r="C21" s="330" t="s">
        <v>4455</v>
      </c>
      <c r="D21" s="330" t="s">
        <v>4456</v>
      </c>
      <c r="E21" s="330" t="s">
        <v>4457</v>
      </c>
      <c r="F21" s="330" t="s">
        <v>4458</v>
      </c>
      <c r="G21" s="330" t="s">
        <v>4459</v>
      </c>
    </row>
    <row r="22" spans="1:13" ht="15" customHeight="1" x14ac:dyDescent="0.2">
      <c r="A22" s="331" t="s">
        <v>3365</v>
      </c>
      <c r="B22" s="331" t="s">
        <v>3366</v>
      </c>
      <c r="C22" s="331">
        <v>0.5</v>
      </c>
      <c r="D22" s="331">
        <v>0.5</v>
      </c>
      <c r="E22" s="331">
        <v>0.5</v>
      </c>
      <c r="F22" s="515">
        <f>IF(REF_Config!$B$6="Parashari",0.5,IF(REF_Config!$B$6="KP",0.5,IF(REF_Config!$B$6="Jaimini",0.5,0.5)))</f>
        <v>0.5</v>
      </c>
      <c r="G22" s="332" t="str">
        <f>IF(REF_Config!$B$6="Parashari","D (Parashari)",IF(REF_Config!$B$6="KP","E (KP)",IF(REF_Config!$B$6="Jaimini","F (Jaimini)","D (Parashari — default)")))</f>
        <v>D (Parashari)</v>
      </c>
    </row>
    <row r="23" spans="1:13" ht="15" customHeight="1" x14ac:dyDescent="0.2">
      <c r="A23" s="335" t="s">
        <v>3016</v>
      </c>
      <c r="B23" s="335" t="s">
        <v>3369</v>
      </c>
      <c r="C23" s="335">
        <v>1</v>
      </c>
      <c r="D23" s="335">
        <v>1</v>
      </c>
      <c r="E23" s="335">
        <v>1</v>
      </c>
      <c r="F23" s="515">
        <f>IF(REF_Config!$B$6="Parashari",1,IF(REF_Config!$B$6="KP",1,IF(REF_Config!$B$6="Jaimini",1,1)))</f>
        <v>1</v>
      </c>
      <c r="G23" s="332" t="str">
        <f>IF(REF_Config!$B$6="Parashari","D (Parashari)",IF(REF_Config!$B$6="KP","E (KP)",IF(REF_Config!$B$6="Jaimini","F (Jaimini)","D (Parashari — default)")))</f>
        <v>D (Parashari)</v>
      </c>
    </row>
    <row r="24" spans="1:13" ht="15" customHeight="1" x14ac:dyDescent="0.2">
      <c r="A24" s="331" t="s">
        <v>3065</v>
      </c>
      <c r="B24" s="331" t="s">
        <v>3067</v>
      </c>
      <c r="C24" s="331">
        <v>0.75</v>
      </c>
      <c r="D24" s="331">
        <v>0.5</v>
      </c>
      <c r="E24" s="331">
        <v>0.75</v>
      </c>
      <c r="F24" s="515">
        <f>IF(REF_Config!$B$6="Parashari",0.75,IF(REF_Config!$B$6="KP",0.5,IF(REF_Config!$B$6="Jaimini",0.75,0.75)))</f>
        <v>0.75</v>
      </c>
      <c r="G24" s="332" t="str">
        <f>IF(REF_Config!$B$6="Parashari","D (Parashari)",IF(REF_Config!$B$6="KP","E (KP)",IF(REF_Config!$B$6="Jaimini","F (Jaimini)","D (Parashari — default)")))</f>
        <v>D (Parashari)</v>
      </c>
    </row>
    <row r="25" spans="1:13" ht="15" customHeight="1" x14ac:dyDescent="0.2">
      <c r="A25" s="335" t="s">
        <v>3015</v>
      </c>
      <c r="B25" s="335" t="s">
        <v>3017</v>
      </c>
      <c r="C25" s="335">
        <v>2</v>
      </c>
      <c r="D25" s="335">
        <v>1.5</v>
      </c>
      <c r="E25" s="335">
        <v>1.5</v>
      </c>
      <c r="F25" s="515">
        <f>IF(REF_Config!$B$6="Parashari",2,IF(REF_Config!$B$6="KP",1.5,IF(REF_Config!$B$6="Jaimini",1.5,2)))</f>
        <v>2</v>
      </c>
      <c r="G25" s="332" t="str">
        <f>IF(REF_Config!$B$6="Parashari","D (Parashari)",IF(REF_Config!$B$6="KP","E (KP)",IF(REF_Config!$B$6="Jaimini","F (Jaimini)","D (Parashari — default)")))</f>
        <v>D (Parashari)</v>
      </c>
    </row>
    <row r="26" spans="1:13" ht="15" customHeight="1" x14ac:dyDescent="0.2">
      <c r="A26" s="331" t="s">
        <v>3050</v>
      </c>
      <c r="B26" s="331" t="s">
        <v>3051</v>
      </c>
      <c r="C26" s="331">
        <v>-1</v>
      </c>
      <c r="D26" s="331">
        <v>-1</v>
      </c>
      <c r="E26" s="331">
        <v>-1</v>
      </c>
      <c r="F26" s="515">
        <f>IF(REF_Config!$B$6="Parashari",-1,IF(REF_Config!$B$6="KP",-1,IF(REF_Config!$B$6="Jaimini",-1,-1)))</f>
        <v>-1</v>
      </c>
      <c r="G26" s="332" t="str">
        <f>IF(REF_Config!$B$6="Parashari","D (Parashari)",IF(REF_Config!$B$6="KP","E (KP)",IF(REF_Config!$B$6="Jaimini","F (Jaimini)","D (Parashari — default)")))</f>
        <v>D (Parashari)</v>
      </c>
    </row>
    <row r="27" spans="1:13" ht="15" customHeight="1" x14ac:dyDescent="0.2">
      <c r="A27" s="335" t="s">
        <v>3061</v>
      </c>
      <c r="B27" s="335" t="s">
        <v>3062</v>
      </c>
      <c r="C27" s="335">
        <v>-1.25</v>
      </c>
      <c r="D27" s="335">
        <v>-1.25</v>
      </c>
      <c r="E27" s="335">
        <v>-1</v>
      </c>
      <c r="F27" s="515">
        <f>IF(REF_Config!$B$6="Parashari",-1.25,IF(REF_Config!$B$6="KP",-1.25,IF(REF_Config!$B$6="Jaimini",-1,-1.25)))</f>
        <v>-1.25</v>
      </c>
      <c r="G27" s="332" t="str">
        <f>IF(REF_Config!$B$6="Parashari","D (Parashari)",IF(REF_Config!$B$6="KP","E (KP)",IF(REF_Config!$B$6="Jaimini","F (Jaimini)","D (Parashari — default)")))</f>
        <v>D (Parashari)</v>
      </c>
    </row>
    <row r="28" spans="1:13" ht="15" customHeight="1" x14ac:dyDescent="0.2">
      <c r="A28" s="331" t="s">
        <v>3041</v>
      </c>
      <c r="B28" s="331" t="s">
        <v>3042</v>
      </c>
      <c r="C28" s="331">
        <v>-2</v>
      </c>
      <c r="D28" s="331">
        <v>-1.75</v>
      </c>
      <c r="E28" s="331">
        <v>-2</v>
      </c>
      <c r="F28" s="515">
        <f>IF(REF_Config!$B$6="Parashari",-2,IF(REF_Config!$B$6="KP",-1.75,IF(REF_Config!$B$6="Jaimini",-2,-2)))</f>
        <v>-2</v>
      </c>
      <c r="G28" s="332" t="str">
        <f>IF(REF_Config!$B$6="Parashari","D (Parashari)",IF(REF_Config!$B$6="KP","E (KP)",IF(REF_Config!$B$6="Jaimini","F (Jaimini)","D (Parashari — default)")))</f>
        <v>D (Parashari)</v>
      </c>
    </row>
    <row r="29" spans="1:13" ht="15" customHeight="1" x14ac:dyDescent="0.2">
      <c r="A29" s="335" t="s">
        <v>3083</v>
      </c>
      <c r="B29" s="335" t="s">
        <v>3387</v>
      </c>
      <c r="C29" s="335">
        <v>0.5</v>
      </c>
      <c r="D29" s="335">
        <v>0.5</v>
      </c>
      <c r="E29" s="335">
        <v>0.75</v>
      </c>
      <c r="F29" s="515">
        <f>IF(REF_Config!$B$6="Parashari",0.5,IF(REF_Config!$B$6="KP",0.5,IF(REF_Config!$B$6="Jaimini",0.75,0.5)))</f>
        <v>0.5</v>
      </c>
      <c r="G29" s="332" t="str">
        <f>IF(REF_Config!$B$6="Parashari","D (Parashari)",IF(REF_Config!$B$6="KP","E (KP)",IF(REF_Config!$B$6="Jaimini","F (Jaimini)","D (Parashari — default)")))</f>
        <v>D (Parashari)</v>
      </c>
    </row>
    <row r="30" spans="1:13" ht="15" customHeight="1" x14ac:dyDescent="0.2">
      <c r="A30" s="331" t="s">
        <v>3079</v>
      </c>
      <c r="B30" s="331" t="s">
        <v>3397</v>
      </c>
      <c r="C30" s="331">
        <v>0.25</v>
      </c>
      <c r="D30" s="331">
        <v>0.25</v>
      </c>
      <c r="E30" s="331">
        <v>0.25</v>
      </c>
      <c r="F30" s="515">
        <f>IF(REF_Config!$B$6="Parashari",0.25,IF(REF_Config!$B$6="KP",0.25,IF(REF_Config!$B$6="Jaimini",0.25,0.25)))</f>
        <v>0.25</v>
      </c>
      <c r="G30" s="332" t="str">
        <f>IF(REF_Config!$B$6="Parashari","D (Parashari)",IF(REF_Config!$B$6="KP","E (KP)",IF(REF_Config!$B$6="Jaimini","F (Jaimini)","D (Parashari — default)")))</f>
        <v>D (Parashari)</v>
      </c>
    </row>
    <row r="31" spans="1:13" ht="15" customHeight="1" x14ac:dyDescent="0.2">
      <c r="A31" s="335" t="s">
        <v>3399</v>
      </c>
      <c r="B31" s="335" t="s">
        <v>3400</v>
      </c>
      <c r="C31" s="335">
        <v>0.5</v>
      </c>
      <c r="D31" s="335">
        <v>0.25</v>
      </c>
      <c r="E31" s="335">
        <v>0.5</v>
      </c>
      <c r="F31" s="515">
        <f>IF(REF_Config!$B$6="Parashari",0.5,IF(REF_Config!$B$6="KP",0.25,IF(REF_Config!$B$6="Jaimini",0.5,0.5)))</f>
        <v>0.5</v>
      </c>
      <c r="G31" s="332" t="str">
        <f>IF(REF_Config!$B$6="Parashari","D (Parashari)",IF(REF_Config!$B$6="KP","E (KP)",IF(REF_Config!$B$6="Jaimini","F (Jaimini)","D (Parashari — default)")))</f>
        <v>D (Parashari)</v>
      </c>
    </row>
  </sheetData>
  <pageMargins left="0.75" right="0.75" top="1" bottom="1" header="0.511811023622047" footer="0.511811023622047"/>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6A1B9A"/>
  </sheetPr>
  <dimension ref="A1:K23"/>
  <sheetViews>
    <sheetView zoomScaleNormal="100" workbookViewId="0"/>
  </sheetViews>
  <sheetFormatPr defaultColWidth="8.609375" defaultRowHeight="15" x14ac:dyDescent="0.2"/>
  <cols>
    <col min="1" max="1" width="6.05078125" customWidth="1"/>
    <col min="2" max="2" width="16.0078125" customWidth="1"/>
    <col min="3" max="7" width="11.97265625" customWidth="1"/>
    <col min="8" max="8" width="13.98828125" customWidth="1"/>
    <col min="9" max="9" width="39.953125" customWidth="1"/>
  </cols>
  <sheetData>
    <row r="1" spans="1:11" ht="21.75" customHeight="1" x14ac:dyDescent="0.2">
      <c r="A1" s="1522" t="s">
        <v>4460</v>
      </c>
      <c r="B1" s="1522"/>
      <c r="C1" s="1522"/>
      <c r="D1" s="1522"/>
      <c r="E1" s="1522"/>
      <c r="F1" s="1522"/>
      <c r="G1" s="1522"/>
      <c r="H1" s="1522"/>
      <c r="I1" s="1522"/>
      <c r="K1" s="601" t="s">
        <v>2214</v>
      </c>
    </row>
    <row r="2" spans="1:11" ht="24" customHeight="1" x14ac:dyDescent="0.2">
      <c r="A2" s="1523" t="s">
        <v>4461</v>
      </c>
      <c r="B2" s="1523"/>
      <c r="C2" s="1523"/>
      <c r="D2" s="1523"/>
      <c r="E2" s="1523"/>
      <c r="F2" s="1523"/>
      <c r="G2" s="1523"/>
      <c r="H2" s="1523"/>
      <c r="I2" s="1523"/>
    </row>
    <row r="4" spans="1:11" ht="18" customHeight="1" x14ac:dyDescent="0.2">
      <c r="A4" s="1524" t="s">
        <v>4462</v>
      </c>
      <c r="B4" s="1524"/>
      <c r="C4" s="1524"/>
      <c r="D4" s="1524"/>
      <c r="E4" s="1524"/>
      <c r="F4" s="1524"/>
      <c r="G4" s="1524"/>
      <c r="H4" s="1524"/>
      <c r="I4" s="1524"/>
    </row>
    <row r="5" spans="1:11" ht="15.75" customHeight="1" x14ac:dyDescent="0.2">
      <c r="A5" s="545" t="s">
        <v>2276</v>
      </c>
      <c r="B5" s="545" t="s">
        <v>3192</v>
      </c>
      <c r="C5" s="545" t="s">
        <v>4463</v>
      </c>
      <c r="D5" s="545" t="s">
        <v>4464</v>
      </c>
      <c r="E5" s="545" t="s">
        <v>4465</v>
      </c>
      <c r="F5" s="545" t="s">
        <v>4466</v>
      </c>
      <c r="G5" s="545" t="s">
        <v>4467</v>
      </c>
      <c r="H5" s="545" t="s">
        <v>4468</v>
      </c>
      <c r="I5" s="545" t="s">
        <v>4469</v>
      </c>
    </row>
    <row r="6" spans="1:11" ht="21.75" customHeight="1" x14ac:dyDescent="0.2">
      <c r="A6" s="632">
        <v>1</v>
      </c>
      <c r="B6" s="551" t="s">
        <v>3728</v>
      </c>
      <c r="C6" s="950">
        <f ca="1">IFERROR(SCORE_AllHouses!$S$5,0)</f>
        <v>1.25</v>
      </c>
      <c r="D6" s="1036"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1,"▶ Maha","·"),"·")</f>
        <v>·</v>
      </c>
      <c r="E6" s="1036"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1,"▶ Antara","·"),"·")</f>
        <v>·</v>
      </c>
      <c r="F6" s="950">
        <f>IFERROR(IF(MOD(MATCH(INPUT_Gochar!$B$4,{"Aries","Taurus","Gemini","Cancer","Leo","Virgo","Libra","Scorpio","Sagittarius","Capricorn","Aquarius","Pisces"},0)-MATCH(INPUT_Chart!$C$5,{"Aries","Taurus","Gemini","Cancer","Leo","Virgo","Libra","Scorpio","Sagittarius","Capricorn","Aquarius","Pisces"},0),12)+1=1,-0.5,0)+IF(MOD(MATCH(INPUT_Gochar!$B$5,{"Aries","Taurus","Gemini","Cancer","Leo","Virgo","Libra","Scorpio","Sagittarius","Capricorn","Aquarius","Pisces"},0)-MATCH(INPUT_Chart!$C$5,{"Aries","Taurus","Gemini","Cancer","Leo","Virgo","Libra","Scorpio","Sagittarius","Capricorn","Aquarius","Pisces"},0),12)+1=1,-0.5,0)+IF(MOD(MATCH(INPUT_Gochar!$B$6,{"Aries","Taurus","Gemini","Cancer","Leo","Virgo","Libra","Scorpio","Sagittarius","Capricorn","Aquarius","Pisces"},0)-MATCH(INPUT_Chart!$C$5,{"Aries","Taurus","Gemini","Cancer","Leo","Virgo","Libra","Scorpio","Sagittarius","Capricorn","Aquarius","Pisces"},0),12)+1=1,-0.5,0)+IF(MOD(MATCH(INPUT_Gochar!$B$7,{"Aries","Taurus","Gemini","Cancer","Leo","Virgo","Libra","Scorpio","Sagittarius","Capricorn","Aquarius","Pisces"},0)-MATCH(INPUT_Chart!$C$5,{"Aries","Taurus","Gemini","Cancer","Leo","Virgo","Libra","Scorpio","Sagittarius","Capricorn","Aquarius","Pisces"},0),12)+1=1,0.5,0)+IF(MOD(MATCH(INPUT_Gochar!$B$8,{"Aries","Taurus","Gemini","Cancer","Leo","Virgo","Libra","Scorpio","Sagittarius","Capricorn","Aquarius","Pisces"},0)-MATCH(INPUT_Chart!$C$5,{"Aries","Taurus","Gemini","Cancer","Leo","Virgo","Libra","Scorpio","Sagittarius","Capricorn","Aquarius","Pisces"},0),12)+1=1,1,0)+IF(MOD(MATCH(INPUT_Gochar!$B$9,{"Aries","Taurus","Gemini","Cancer","Leo","Virgo","Libra","Scorpio","Sagittarius","Capricorn","Aquarius","Pisces"},0)-MATCH(INPUT_Chart!$C$5,{"Aries","Taurus","Gemini","Cancer","Leo","Virgo","Libra","Scorpio","Sagittarius","Capricorn","Aquarius","Pisces"},0),12)+1=1,0.5,0)+IF(MOD(MATCH(INPUT_Gochar!$B$10,{"Aries","Taurus","Gemini","Cancer","Leo","Virgo","Libra","Scorpio","Sagittarius","Capricorn","Aquarius","Pisces"},0)-MATCH(INPUT_Chart!$C$5,{"Aries","Taurus","Gemini","Cancer","Leo","Virgo","Libra","Scorpio","Sagittarius","Capricorn","Aquarius","Pisces"},0),12)+1=1,-0.5,0)+IF(MOD(MATCH(INPUT_Gochar!$B$11,{"Aries","Taurus","Gemini","Cancer","Leo","Virgo","Libra","Scorpio","Sagittarius","Capricorn","Aquarius","Pisces"},0)-MATCH(INPUT_Chart!$C$5,{"Aries","Taurus","Gemini","Cancer","Leo","Virgo","Libra","Scorpio","Sagittarius","Capricorn","Aquarius","Pisces"},0),12)+1=1,-0.5,0)+IF(MOD(MATCH(INPUT_Gochar!$B$12,{"Aries","Taurus","Gemini","Cancer","Leo","Virgo","Libra","Scorpio","Sagittarius","Capricorn","Aquarius","Pisces"},0)-MATCH(INPUT_Chart!$C$5,{"Aries","Taurus","Gemini","Cancer","Leo","Virgo","Libra","Scorpio","Sagittarius","Capricorn","Aquarius","Pisces"},0),12)+1=1,-0.5,0),0)</f>
        <v>0</v>
      </c>
      <c r="G6" s="1037">
        <f t="shared" ref="G6:G17" ca="1" si="0">IFERROR(ROUND(C6*0.4+IF(D6="▶ Maha",1.5,0)+IF(E6="▶ Antara",0.75,0)+F6*0.5,2),0)</f>
        <v>0.5</v>
      </c>
      <c r="H6" s="551" t="str">
        <f t="shared" ref="H6:H17" ca="1" si="1">IFERROR(IF(G6&gt;=3,"🟢 Activated",IF(G6&gt;=1,"🟡 Mild activation",IF(G6&gt;=-1,"⚪ Neutral",IF(G6&gt;=-3,"🟠 Under pressure","🔴 Severely pressured")))),"—")</f>
        <v>⚪ Neutral</v>
      </c>
      <c r="I6" s="554" t="str">
        <f ca="1">IFERROR(IF(G6&gt;=4,CONCATENATE("H1 Self strongly activated by ",IF(D6="▶ Maha","Mahadasha ",""),IF(E6="▶ Antara","Antardasha ",""),IF(F6&gt;0.5,"+ benefic transits","")),IF(G6&lt;=-3,CONCATENATE("H1 Self under karmic pressure — ",IF(D6="▶ Maha","Mahadasha activating a natal affliction ",""),IF(F6&lt;-0.5,"malefic transits","")),"H1 Self — no significant timing activation today")),"—")</f>
        <v>H1 Self — no significant timing activation today</v>
      </c>
    </row>
    <row r="7" spans="1:11" ht="21.75" customHeight="1" x14ac:dyDescent="0.2">
      <c r="A7" s="627">
        <v>2</v>
      </c>
      <c r="B7" s="546" t="s">
        <v>3729</v>
      </c>
      <c r="C7" s="949">
        <f ca="1">IFERROR(SCORE_AllHouses!$S$6,0)</f>
        <v>-5.25</v>
      </c>
      <c r="D7" s="1038"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2,"▶ Maha","·"),"·")</f>
        <v>▶ Maha</v>
      </c>
      <c r="E7" s="1038"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2,"▶ Antara","·"),"·")</f>
        <v>·</v>
      </c>
      <c r="F7" s="949">
        <f>IFERROR(IF(MOD(MATCH(INPUT_Gochar!$B$4,{"Aries","Taurus","Gemini","Cancer","Leo","Virgo","Libra","Scorpio","Sagittarius","Capricorn","Aquarius","Pisces"},0)-MATCH(INPUT_Chart!$C$5,{"Aries","Taurus","Gemini","Cancer","Leo","Virgo","Libra","Scorpio","Sagittarius","Capricorn","Aquarius","Pisces"},0),12)+1=2,-0.5,0)+IF(MOD(MATCH(INPUT_Gochar!$B$5,{"Aries","Taurus","Gemini","Cancer","Leo","Virgo","Libra","Scorpio","Sagittarius","Capricorn","Aquarius","Pisces"},0)-MATCH(INPUT_Chart!$C$5,{"Aries","Taurus","Gemini","Cancer","Leo","Virgo","Libra","Scorpio","Sagittarius","Capricorn","Aquarius","Pisces"},0),12)+1=2,-0.5,0)+IF(MOD(MATCH(INPUT_Gochar!$B$6,{"Aries","Taurus","Gemini","Cancer","Leo","Virgo","Libra","Scorpio","Sagittarius","Capricorn","Aquarius","Pisces"},0)-MATCH(INPUT_Chart!$C$5,{"Aries","Taurus","Gemini","Cancer","Leo","Virgo","Libra","Scorpio","Sagittarius","Capricorn","Aquarius","Pisces"},0),12)+1=2,-0.5,0)+IF(MOD(MATCH(INPUT_Gochar!$B$7,{"Aries","Taurus","Gemini","Cancer","Leo","Virgo","Libra","Scorpio","Sagittarius","Capricorn","Aquarius","Pisces"},0)-MATCH(INPUT_Chart!$C$5,{"Aries","Taurus","Gemini","Cancer","Leo","Virgo","Libra","Scorpio","Sagittarius","Capricorn","Aquarius","Pisces"},0),12)+1=2,0.5,0)+IF(MOD(MATCH(INPUT_Gochar!$B$8,{"Aries","Taurus","Gemini","Cancer","Leo","Virgo","Libra","Scorpio","Sagittarius","Capricorn","Aquarius","Pisces"},0)-MATCH(INPUT_Chart!$C$5,{"Aries","Taurus","Gemini","Cancer","Leo","Virgo","Libra","Scorpio","Sagittarius","Capricorn","Aquarius","Pisces"},0),12)+1=2,1,0)+IF(MOD(MATCH(INPUT_Gochar!$B$9,{"Aries","Taurus","Gemini","Cancer","Leo","Virgo","Libra","Scorpio","Sagittarius","Capricorn","Aquarius","Pisces"},0)-MATCH(INPUT_Chart!$C$5,{"Aries","Taurus","Gemini","Cancer","Leo","Virgo","Libra","Scorpio","Sagittarius","Capricorn","Aquarius","Pisces"},0),12)+1=2,0.5,0)+IF(MOD(MATCH(INPUT_Gochar!$B$10,{"Aries","Taurus","Gemini","Cancer","Leo","Virgo","Libra","Scorpio","Sagittarius","Capricorn","Aquarius","Pisces"},0)-MATCH(INPUT_Chart!$C$5,{"Aries","Taurus","Gemini","Cancer","Leo","Virgo","Libra","Scorpio","Sagittarius","Capricorn","Aquarius","Pisces"},0),12)+1=2,-0.5,0)+IF(MOD(MATCH(INPUT_Gochar!$B$11,{"Aries","Taurus","Gemini","Cancer","Leo","Virgo","Libra","Scorpio","Sagittarius","Capricorn","Aquarius","Pisces"},0)-MATCH(INPUT_Chart!$C$5,{"Aries","Taurus","Gemini","Cancer","Leo","Virgo","Libra","Scorpio","Sagittarius","Capricorn","Aquarius","Pisces"},0),12)+1=2,-0.5,0)+IF(MOD(MATCH(INPUT_Gochar!$B$12,{"Aries","Taurus","Gemini","Cancer","Leo","Virgo","Libra","Scorpio","Sagittarius","Capricorn","Aquarius","Pisces"},0)-MATCH(INPUT_Chart!$C$5,{"Aries","Taurus","Gemini","Cancer","Leo","Virgo","Libra","Scorpio","Sagittarius","Capricorn","Aquarius","Pisces"},0),12)+1=2,-0.5,0),0)</f>
        <v>1</v>
      </c>
      <c r="G7" s="1039">
        <f t="shared" ca="1" si="0"/>
        <v>-0.1</v>
      </c>
      <c r="H7" s="546" t="str">
        <f t="shared" ca="1" si="1"/>
        <v>⚪ Neutral</v>
      </c>
      <c r="I7" s="550" t="str">
        <f ca="1">IFERROR(IF(G7&gt;=4,CONCATENATE("H2 Wealth strongly activated by ",IF(D7="▶ Maha","Mahadasha ",""),IF(E7="▶ Antara","Antardasha ",""),IF(F7&gt;0.5,"+ benefic transits","")),IF(G7&lt;=-3,CONCATENATE("H2 Wealth under karmic pressure — ",IF(D7="▶ Maha","Mahadasha activating a natal affliction ",""),IF(F7&lt;-0.5,"malefic transits","")),"H2 Wealth — no significant timing activation today")),"—")</f>
        <v>H2 Wealth — no significant timing activation today</v>
      </c>
    </row>
    <row r="8" spans="1:11" ht="21.75" customHeight="1" x14ac:dyDescent="0.2">
      <c r="A8" s="632">
        <v>3</v>
      </c>
      <c r="B8" s="551" t="s">
        <v>3730</v>
      </c>
      <c r="C8" s="950">
        <f ca="1">IFERROR(SCORE_AllHouses!$S$7,0)</f>
        <v>1</v>
      </c>
      <c r="D8" s="1036"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3,"▶ Maha","·"),"·")</f>
        <v>·</v>
      </c>
      <c r="E8" s="1036"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3,"▶ Antara","·"),"·")</f>
        <v>·</v>
      </c>
      <c r="F8" s="950">
        <f>IFERROR(IF(MOD(MATCH(INPUT_Gochar!$B$4,{"Aries","Taurus","Gemini","Cancer","Leo","Virgo","Libra","Scorpio","Sagittarius","Capricorn","Aquarius","Pisces"},0)-MATCH(INPUT_Chart!$C$5,{"Aries","Taurus","Gemini","Cancer","Leo","Virgo","Libra","Scorpio","Sagittarius","Capricorn","Aquarius","Pisces"},0),12)+1=3,-0.5,0)+IF(MOD(MATCH(INPUT_Gochar!$B$5,{"Aries","Taurus","Gemini","Cancer","Leo","Virgo","Libra","Scorpio","Sagittarius","Capricorn","Aquarius","Pisces"},0)-MATCH(INPUT_Chart!$C$5,{"Aries","Taurus","Gemini","Cancer","Leo","Virgo","Libra","Scorpio","Sagittarius","Capricorn","Aquarius","Pisces"},0),12)+1=3,-0.5,0)+IF(MOD(MATCH(INPUT_Gochar!$B$6,{"Aries","Taurus","Gemini","Cancer","Leo","Virgo","Libra","Scorpio","Sagittarius","Capricorn","Aquarius","Pisces"},0)-MATCH(INPUT_Chart!$C$5,{"Aries","Taurus","Gemini","Cancer","Leo","Virgo","Libra","Scorpio","Sagittarius","Capricorn","Aquarius","Pisces"},0),12)+1=3,-0.5,0)+IF(MOD(MATCH(INPUT_Gochar!$B$7,{"Aries","Taurus","Gemini","Cancer","Leo","Virgo","Libra","Scorpio","Sagittarius","Capricorn","Aquarius","Pisces"},0)-MATCH(INPUT_Chart!$C$5,{"Aries","Taurus","Gemini","Cancer","Leo","Virgo","Libra","Scorpio","Sagittarius","Capricorn","Aquarius","Pisces"},0),12)+1=3,0.5,0)+IF(MOD(MATCH(INPUT_Gochar!$B$8,{"Aries","Taurus","Gemini","Cancer","Leo","Virgo","Libra","Scorpio","Sagittarius","Capricorn","Aquarius","Pisces"},0)-MATCH(INPUT_Chart!$C$5,{"Aries","Taurus","Gemini","Cancer","Leo","Virgo","Libra","Scorpio","Sagittarius","Capricorn","Aquarius","Pisces"},0),12)+1=3,1,0)+IF(MOD(MATCH(INPUT_Gochar!$B$9,{"Aries","Taurus","Gemini","Cancer","Leo","Virgo","Libra","Scorpio","Sagittarius","Capricorn","Aquarius","Pisces"},0)-MATCH(INPUT_Chart!$C$5,{"Aries","Taurus","Gemini","Cancer","Leo","Virgo","Libra","Scorpio","Sagittarius","Capricorn","Aquarius","Pisces"},0),12)+1=3,0.5,0)+IF(MOD(MATCH(INPUT_Gochar!$B$10,{"Aries","Taurus","Gemini","Cancer","Leo","Virgo","Libra","Scorpio","Sagittarius","Capricorn","Aquarius","Pisces"},0)-MATCH(INPUT_Chart!$C$5,{"Aries","Taurus","Gemini","Cancer","Leo","Virgo","Libra","Scorpio","Sagittarius","Capricorn","Aquarius","Pisces"},0),12)+1=3,-0.5,0)+IF(MOD(MATCH(INPUT_Gochar!$B$11,{"Aries","Taurus","Gemini","Cancer","Leo","Virgo","Libra","Scorpio","Sagittarius","Capricorn","Aquarius","Pisces"},0)-MATCH(INPUT_Chart!$C$5,{"Aries","Taurus","Gemini","Cancer","Leo","Virgo","Libra","Scorpio","Sagittarius","Capricorn","Aquarius","Pisces"},0),12)+1=3,-0.5,0)+IF(MOD(MATCH(INPUT_Gochar!$B$12,{"Aries","Taurus","Gemini","Cancer","Leo","Virgo","Libra","Scorpio","Sagittarius","Capricorn","Aquarius","Pisces"},0)-MATCH(INPUT_Chart!$C$5,{"Aries","Taurus","Gemini","Cancer","Leo","Virgo","Libra","Scorpio","Sagittarius","Capricorn","Aquarius","Pisces"},0),12)+1=3,-0.5,0),0)</f>
        <v>0</v>
      </c>
      <c r="G8" s="1037">
        <f t="shared" ca="1" si="0"/>
        <v>0.4</v>
      </c>
      <c r="H8" s="551" t="str">
        <f t="shared" ca="1" si="1"/>
        <v>⚪ Neutral</v>
      </c>
      <c r="I8" s="554" t="str">
        <f ca="1">IFERROR(IF(G8&gt;=4,CONCATENATE("H3 Courage strongly activated by ",IF(D8="▶ Maha","Mahadasha ",""),IF(E8="▶ Antara","Antardasha ",""),IF(F8&gt;0.5,"+ benefic transits","")),IF(G8&lt;=-3,CONCATENATE("H3 Courage under karmic pressure — ",IF(D8="▶ Maha","Mahadasha activating a natal affliction ",""),IF(F8&lt;-0.5,"malefic transits","")),"H3 Courage — no significant timing activation today")),"—")</f>
        <v>H3 Courage — no significant timing activation today</v>
      </c>
    </row>
    <row r="9" spans="1:11" ht="21.75" customHeight="1" x14ac:dyDescent="0.2">
      <c r="A9" s="627">
        <v>4</v>
      </c>
      <c r="B9" s="546" t="s">
        <v>3731</v>
      </c>
      <c r="C9" s="949">
        <f ca="1">IFERROR(SCORE_AllHouses!$S$8,0)</f>
        <v>1.25</v>
      </c>
      <c r="D9" s="1038"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4,"▶ Maha","·"),"·")</f>
        <v>·</v>
      </c>
      <c r="E9" s="1038"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4,"▶ Antara","·"),"·")</f>
        <v>·</v>
      </c>
      <c r="F9" s="949">
        <f>IFERROR(IF(MOD(MATCH(INPUT_Gochar!$B$4,{"Aries","Taurus","Gemini","Cancer","Leo","Virgo","Libra","Scorpio","Sagittarius","Capricorn","Aquarius","Pisces"},0)-MATCH(INPUT_Chart!$C$5,{"Aries","Taurus","Gemini","Cancer","Leo","Virgo","Libra","Scorpio","Sagittarius","Capricorn","Aquarius","Pisces"},0),12)+1=4,-0.5,0)+IF(MOD(MATCH(INPUT_Gochar!$B$5,{"Aries","Taurus","Gemini","Cancer","Leo","Virgo","Libra","Scorpio","Sagittarius","Capricorn","Aquarius","Pisces"},0)-MATCH(INPUT_Chart!$C$5,{"Aries","Taurus","Gemini","Cancer","Leo","Virgo","Libra","Scorpio","Sagittarius","Capricorn","Aquarius","Pisces"},0),12)+1=4,-0.5,0)+IF(MOD(MATCH(INPUT_Gochar!$B$6,{"Aries","Taurus","Gemini","Cancer","Leo","Virgo","Libra","Scorpio","Sagittarius","Capricorn","Aquarius","Pisces"},0)-MATCH(INPUT_Chart!$C$5,{"Aries","Taurus","Gemini","Cancer","Leo","Virgo","Libra","Scorpio","Sagittarius","Capricorn","Aquarius","Pisces"},0),12)+1=4,-0.5,0)+IF(MOD(MATCH(INPUT_Gochar!$B$7,{"Aries","Taurus","Gemini","Cancer","Leo","Virgo","Libra","Scorpio","Sagittarius","Capricorn","Aquarius","Pisces"},0)-MATCH(INPUT_Chart!$C$5,{"Aries","Taurus","Gemini","Cancer","Leo","Virgo","Libra","Scorpio","Sagittarius","Capricorn","Aquarius","Pisces"},0),12)+1=4,0.5,0)+IF(MOD(MATCH(INPUT_Gochar!$B$8,{"Aries","Taurus","Gemini","Cancer","Leo","Virgo","Libra","Scorpio","Sagittarius","Capricorn","Aquarius","Pisces"},0)-MATCH(INPUT_Chart!$C$5,{"Aries","Taurus","Gemini","Cancer","Leo","Virgo","Libra","Scorpio","Sagittarius","Capricorn","Aquarius","Pisces"},0),12)+1=4,1,0)+IF(MOD(MATCH(INPUT_Gochar!$B$9,{"Aries","Taurus","Gemini","Cancer","Leo","Virgo","Libra","Scorpio","Sagittarius","Capricorn","Aquarius","Pisces"},0)-MATCH(INPUT_Chart!$C$5,{"Aries","Taurus","Gemini","Cancer","Leo","Virgo","Libra","Scorpio","Sagittarius","Capricorn","Aquarius","Pisces"},0),12)+1=4,0.5,0)+IF(MOD(MATCH(INPUT_Gochar!$B$10,{"Aries","Taurus","Gemini","Cancer","Leo","Virgo","Libra","Scorpio","Sagittarius","Capricorn","Aquarius","Pisces"},0)-MATCH(INPUT_Chart!$C$5,{"Aries","Taurus","Gemini","Cancer","Leo","Virgo","Libra","Scorpio","Sagittarius","Capricorn","Aquarius","Pisces"},0),12)+1=4,-0.5,0)+IF(MOD(MATCH(INPUT_Gochar!$B$11,{"Aries","Taurus","Gemini","Cancer","Leo","Virgo","Libra","Scorpio","Sagittarius","Capricorn","Aquarius","Pisces"},0)-MATCH(INPUT_Chart!$C$5,{"Aries","Taurus","Gemini","Cancer","Leo","Virgo","Libra","Scorpio","Sagittarius","Capricorn","Aquarius","Pisces"},0),12)+1=4,-0.5,0)+IF(MOD(MATCH(INPUT_Gochar!$B$12,{"Aries","Taurus","Gemini","Cancer","Leo","Virgo","Libra","Scorpio","Sagittarius","Capricorn","Aquarius","Pisces"},0)-MATCH(INPUT_Chart!$C$5,{"Aries","Taurus","Gemini","Cancer","Leo","Virgo","Libra","Scorpio","Sagittarius","Capricorn","Aquarius","Pisces"},0),12)+1=4,-0.5,0),0)</f>
        <v>-0.5</v>
      </c>
      <c r="G9" s="1039">
        <f t="shared" ca="1" si="0"/>
        <v>0.25</v>
      </c>
      <c r="H9" s="546" t="str">
        <f t="shared" ca="1" si="1"/>
        <v>⚪ Neutral</v>
      </c>
      <c r="I9" s="550" t="str">
        <f ca="1">IFERROR(IF(G9&gt;=4,CONCATENATE("H4 Home strongly activated by ",IF(D9="▶ Maha","Mahadasha ",""),IF(E9="▶ Antara","Antardasha ",""),IF(F9&gt;0.5,"+ benefic transits","")),IF(G9&lt;=-3,CONCATENATE("H4 Home under karmic pressure — ",IF(D9="▶ Maha","Mahadasha activating a natal affliction ",""),IF(F9&lt;-0.5,"malefic transits","")),"H4 Home — no significant timing activation today")),"—")</f>
        <v>H4 Home — no significant timing activation today</v>
      </c>
    </row>
    <row r="10" spans="1:11" ht="21.75" customHeight="1" x14ac:dyDescent="0.2">
      <c r="A10" s="632">
        <v>5</v>
      </c>
      <c r="B10" s="551" t="s">
        <v>3732</v>
      </c>
      <c r="C10" s="950">
        <f ca="1">IFERROR(SCORE_AllHouses!$S$9,0)</f>
        <v>-1.5</v>
      </c>
      <c r="D10" s="1036"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5,"▶ Maha","·"),"·")</f>
        <v>·</v>
      </c>
      <c r="E10" s="1036"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5,"▶ Antara","·"),"·")</f>
        <v>·</v>
      </c>
      <c r="F10" s="950">
        <f>IFERROR(IF(MOD(MATCH(INPUT_Gochar!$B$4,{"Aries","Taurus","Gemini","Cancer","Leo","Virgo","Libra","Scorpio","Sagittarius","Capricorn","Aquarius","Pisces"},0)-MATCH(INPUT_Chart!$C$5,{"Aries","Taurus","Gemini","Cancer","Leo","Virgo","Libra","Scorpio","Sagittarius","Capricorn","Aquarius","Pisces"},0),12)+1=5,-0.5,0)+IF(MOD(MATCH(INPUT_Gochar!$B$5,{"Aries","Taurus","Gemini","Cancer","Leo","Virgo","Libra","Scorpio","Sagittarius","Capricorn","Aquarius","Pisces"},0)-MATCH(INPUT_Chart!$C$5,{"Aries","Taurus","Gemini","Cancer","Leo","Virgo","Libra","Scorpio","Sagittarius","Capricorn","Aquarius","Pisces"},0),12)+1=5,-0.5,0)+IF(MOD(MATCH(INPUT_Gochar!$B$6,{"Aries","Taurus","Gemini","Cancer","Leo","Virgo","Libra","Scorpio","Sagittarius","Capricorn","Aquarius","Pisces"},0)-MATCH(INPUT_Chart!$C$5,{"Aries","Taurus","Gemini","Cancer","Leo","Virgo","Libra","Scorpio","Sagittarius","Capricorn","Aquarius","Pisces"},0),12)+1=5,-0.5,0)+IF(MOD(MATCH(INPUT_Gochar!$B$7,{"Aries","Taurus","Gemini","Cancer","Leo","Virgo","Libra","Scorpio","Sagittarius","Capricorn","Aquarius","Pisces"},0)-MATCH(INPUT_Chart!$C$5,{"Aries","Taurus","Gemini","Cancer","Leo","Virgo","Libra","Scorpio","Sagittarius","Capricorn","Aquarius","Pisces"},0),12)+1=5,0.5,0)+IF(MOD(MATCH(INPUT_Gochar!$B$8,{"Aries","Taurus","Gemini","Cancer","Leo","Virgo","Libra","Scorpio","Sagittarius","Capricorn","Aquarius","Pisces"},0)-MATCH(INPUT_Chart!$C$5,{"Aries","Taurus","Gemini","Cancer","Leo","Virgo","Libra","Scorpio","Sagittarius","Capricorn","Aquarius","Pisces"},0),12)+1=5,1,0)+IF(MOD(MATCH(INPUT_Gochar!$B$9,{"Aries","Taurus","Gemini","Cancer","Leo","Virgo","Libra","Scorpio","Sagittarius","Capricorn","Aquarius","Pisces"},0)-MATCH(INPUT_Chart!$C$5,{"Aries","Taurus","Gemini","Cancer","Leo","Virgo","Libra","Scorpio","Sagittarius","Capricorn","Aquarius","Pisces"},0),12)+1=5,0.5,0)+IF(MOD(MATCH(INPUT_Gochar!$B$10,{"Aries","Taurus","Gemini","Cancer","Leo","Virgo","Libra","Scorpio","Sagittarius","Capricorn","Aquarius","Pisces"},0)-MATCH(INPUT_Chart!$C$5,{"Aries","Taurus","Gemini","Cancer","Leo","Virgo","Libra","Scorpio","Sagittarius","Capricorn","Aquarius","Pisces"},0),12)+1=5,-0.5,0)+IF(MOD(MATCH(INPUT_Gochar!$B$11,{"Aries","Taurus","Gemini","Cancer","Leo","Virgo","Libra","Scorpio","Sagittarius","Capricorn","Aquarius","Pisces"},0)-MATCH(INPUT_Chart!$C$5,{"Aries","Taurus","Gemini","Cancer","Leo","Virgo","Libra","Scorpio","Sagittarius","Capricorn","Aquarius","Pisces"},0),12)+1=5,-0.5,0)+IF(MOD(MATCH(INPUT_Gochar!$B$12,{"Aries","Taurus","Gemini","Cancer","Leo","Virgo","Libra","Scorpio","Sagittarius","Capricorn","Aquarius","Pisces"},0)-MATCH(INPUT_Chart!$C$5,{"Aries","Taurus","Gemini","Cancer","Leo","Virgo","Libra","Scorpio","Sagittarius","Capricorn","Aquarius","Pisces"},0),12)+1=5,-0.5,0),0)</f>
        <v>0</v>
      </c>
      <c r="G10" s="1037">
        <f t="shared" ca="1" si="0"/>
        <v>-0.6</v>
      </c>
      <c r="H10" s="551" t="str">
        <f t="shared" ca="1" si="1"/>
        <v>⚪ Neutral</v>
      </c>
      <c r="I10" s="554" t="str">
        <f ca="1">IFERROR(IF(G10&gt;=4,CONCATENATE("H5 Intellect strongly activated by ",IF(D10="▶ Maha","Mahadasha ",""),IF(E10="▶ Antara","Antardasha ",""),IF(F10&gt;0.5,"+ benefic transits","")),IF(G10&lt;=-3,CONCATENATE("H5 Intellect under karmic pressure — ",IF(D10="▶ Maha","Mahadasha activating a natal affliction ",""),IF(F10&lt;-0.5,"malefic transits","")),"H5 Intellect — no significant timing activation today")),"—")</f>
        <v>H5 Intellect — no significant timing activation today</v>
      </c>
    </row>
    <row r="11" spans="1:11" ht="21.75" customHeight="1" x14ac:dyDescent="0.2">
      <c r="A11" s="627">
        <v>6</v>
      </c>
      <c r="B11" s="546" t="s">
        <v>3205</v>
      </c>
      <c r="C11" s="949">
        <f ca="1">IFERROR(SCORE_AllHouses!$S$10,0)</f>
        <v>2.25</v>
      </c>
      <c r="D11" s="1038"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6,"▶ Maha","·"),"·")</f>
        <v>·</v>
      </c>
      <c r="E11" s="1038"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6,"▶ Antara","·"),"·")</f>
        <v>·</v>
      </c>
      <c r="F11" s="949">
        <f>IFERROR(IF(MOD(MATCH(INPUT_Gochar!$B$4,{"Aries","Taurus","Gemini","Cancer","Leo","Virgo","Libra","Scorpio","Sagittarius","Capricorn","Aquarius","Pisces"},0)-MATCH(INPUT_Chart!$C$5,{"Aries","Taurus","Gemini","Cancer","Leo","Virgo","Libra","Scorpio","Sagittarius","Capricorn","Aquarius","Pisces"},0),12)+1=6,-0.5,0)+IF(MOD(MATCH(INPUT_Gochar!$B$5,{"Aries","Taurus","Gemini","Cancer","Leo","Virgo","Libra","Scorpio","Sagittarius","Capricorn","Aquarius","Pisces"},0)-MATCH(INPUT_Chart!$C$5,{"Aries","Taurus","Gemini","Cancer","Leo","Virgo","Libra","Scorpio","Sagittarius","Capricorn","Aquarius","Pisces"},0),12)+1=6,-0.5,0)+IF(MOD(MATCH(INPUT_Gochar!$B$6,{"Aries","Taurus","Gemini","Cancer","Leo","Virgo","Libra","Scorpio","Sagittarius","Capricorn","Aquarius","Pisces"},0)-MATCH(INPUT_Chart!$C$5,{"Aries","Taurus","Gemini","Cancer","Leo","Virgo","Libra","Scorpio","Sagittarius","Capricorn","Aquarius","Pisces"},0),12)+1=6,-0.5,0)+IF(MOD(MATCH(INPUT_Gochar!$B$7,{"Aries","Taurus","Gemini","Cancer","Leo","Virgo","Libra","Scorpio","Sagittarius","Capricorn","Aquarius","Pisces"},0)-MATCH(INPUT_Chart!$C$5,{"Aries","Taurus","Gemini","Cancer","Leo","Virgo","Libra","Scorpio","Sagittarius","Capricorn","Aquarius","Pisces"},0),12)+1=6,0.5,0)+IF(MOD(MATCH(INPUT_Gochar!$B$8,{"Aries","Taurus","Gemini","Cancer","Leo","Virgo","Libra","Scorpio","Sagittarius","Capricorn","Aquarius","Pisces"},0)-MATCH(INPUT_Chart!$C$5,{"Aries","Taurus","Gemini","Cancer","Leo","Virgo","Libra","Scorpio","Sagittarius","Capricorn","Aquarius","Pisces"},0),12)+1=6,1,0)+IF(MOD(MATCH(INPUT_Gochar!$B$9,{"Aries","Taurus","Gemini","Cancer","Leo","Virgo","Libra","Scorpio","Sagittarius","Capricorn","Aquarius","Pisces"},0)-MATCH(INPUT_Chart!$C$5,{"Aries","Taurus","Gemini","Cancer","Leo","Virgo","Libra","Scorpio","Sagittarius","Capricorn","Aquarius","Pisces"},0),12)+1=6,0.5,0)+IF(MOD(MATCH(INPUT_Gochar!$B$10,{"Aries","Taurus","Gemini","Cancer","Leo","Virgo","Libra","Scorpio","Sagittarius","Capricorn","Aquarius","Pisces"},0)-MATCH(INPUT_Chart!$C$5,{"Aries","Taurus","Gemini","Cancer","Leo","Virgo","Libra","Scorpio","Sagittarius","Capricorn","Aquarius","Pisces"},0),12)+1=6,-0.5,0)+IF(MOD(MATCH(INPUT_Gochar!$B$11,{"Aries","Taurus","Gemini","Cancer","Leo","Virgo","Libra","Scorpio","Sagittarius","Capricorn","Aquarius","Pisces"},0)-MATCH(INPUT_Chart!$C$5,{"Aries","Taurus","Gemini","Cancer","Leo","Virgo","Libra","Scorpio","Sagittarius","Capricorn","Aquarius","Pisces"},0),12)+1=6,-0.5,0)+IF(MOD(MATCH(INPUT_Gochar!$B$12,{"Aries","Taurus","Gemini","Cancer","Leo","Virgo","Libra","Scorpio","Sagittarius","Capricorn","Aquarius","Pisces"},0)-MATCH(INPUT_Chart!$C$5,{"Aries","Taurus","Gemini","Cancer","Leo","Virgo","Libra","Scorpio","Sagittarius","Capricorn","Aquarius","Pisces"},0),12)+1=6,-0.5,0),0)</f>
        <v>0</v>
      </c>
      <c r="G11" s="1039">
        <f t="shared" ca="1" si="0"/>
        <v>0.9</v>
      </c>
      <c r="H11" s="546" t="str">
        <f t="shared" ca="1" si="1"/>
        <v>⚪ Neutral</v>
      </c>
      <c r="I11" s="550" t="str">
        <f ca="1">IFERROR(IF(G11&gt;=4,CONCATENATE("H6 Conflicts strongly activated by ",IF(D11="▶ Maha","Mahadasha ",""),IF(E11="▶ Antara","Antardasha ",""),IF(F11&gt;0.5,"+ benefic transits","")),IF(G11&lt;=-3,CONCATENATE("H6 Conflicts under karmic pressure — ",IF(D11="▶ Maha","Mahadasha activating a natal affliction ",""),IF(F11&lt;-0.5,"malefic transits","")),"H6 Conflicts — no significant timing activation today")),"—")</f>
        <v>H6 Conflicts — no significant timing activation today</v>
      </c>
    </row>
    <row r="12" spans="1:11" ht="21.75" customHeight="1" x14ac:dyDescent="0.2">
      <c r="A12" s="632">
        <v>7</v>
      </c>
      <c r="B12" s="551" t="s">
        <v>3733</v>
      </c>
      <c r="C12" s="950">
        <f ca="1">IFERROR(SCORE_AllHouses!$S$11,0)</f>
        <v>-4.25</v>
      </c>
      <c r="D12" s="1036"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7,"▶ Maha","·"),"·")</f>
        <v>·</v>
      </c>
      <c r="E12" s="1036"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7,"▶ Antara","·"),"·")</f>
        <v>·</v>
      </c>
      <c r="F12" s="950">
        <f>IFERROR(IF(MOD(MATCH(INPUT_Gochar!$B$4,{"Aries","Taurus","Gemini","Cancer","Leo","Virgo","Libra","Scorpio","Sagittarius","Capricorn","Aquarius","Pisces"},0)-MATCH(INPUT_Chart!$C$5,{"Aries","Taurus","Gemini","Cancer","Leo","Virgo","Libra","Scorpio","Sagittarius","Capricorn","Aquarius","Pisces"},0),12)+1=7,-0.5,0)+IF(MOD(MATCH(INPUT_Gochar!$B$5,{"Aries","Taurus","Gemini","Cancer","Leo","Virgo","Libra","Scorpio","Sagittarius","Capricorn","Aquarius","Pisces"},0)-MATCH(INPUT_Chart!$C$5,{"Aries","Taurus","Gemini","Cancer","Leo","Virgo","Libra","Scorpio","Sagittarius","Capricorn","Aquarius","Pisces"},0),12)+1=7,-0.5,0)+IF(MOD(MATCH(INPUT_Gochar!$B$6,{"Aries","Taurus","Gemini","Cancer","Leo","Virgo","Libra","Scorpio","Sagittarius","Capricorn","Aquarius","Pisces"},0)-MATCH(INPUT_Chart!$C$5,{"Aries","Taurus","Gemini","Cancer","Leo","Virgo","Libra","Scorpio","Sagittarius","Capricorn","Aquarius","Pisces"},0),12)+1=7,-0.5,0)+IF(MOD(MATCH(INPUT_Gochar!$B$7,{"Aries","Taurus","Gemini","Cancer","Leo","Virgo","Libra","Scorpio","Sagittarius","Capricorn","Aquarius","Pisces"},0)-MATCH(INPUT_Chart!$C$5,{"Aries","Taurus","Gemini","Cancer","Leo","Virgo","Libra","Scorpio","Sagittarius","Capricorn","Aquarius","Pisces"},0),12)+1=7,0.5,0)+IF(MOD(MATCH(INPUT_Gochar!$B$8,{"Aries","Taurus","Gemini","Cancer","Leo","Virgo","Libra","Scorpio","Sagittarius","Capricorn","Aquarius","Pisces"},0)-MATCH(INPUT_Chart!$C$5,{"Aries","Taurus","Gemini","Cancer","Leo","Virgo","Libra","Scorpio","Sagittarius","Capricorn","Aquarius","Pisces"},0),12)+1=7,1,0)+IF(MOD(MATCH(INPUT_Gochar!$B$9,{"Aries","Taurus","Gemini","Cancer","Leo","Virgo","Libra","Scorpio","Sagittarius","Capricorn","Aquarius","Pisces"},0)-MATCH(INPUT_Chart!$C$5,{"Aries","Taurus","Gemini","Cancer","Leo","Virgo","Libra","Scorpio","Sagittarius","Capricorn","Aquarius","Pisces"},0),12)+1=7,0.5,0)+IF(MOD(MATCH(INPUT_Gochar!$B$10,{"Aries","Taurus","Gemini","Cancer","Leo","Virgo","Libra","Scorpio","Sagittarius","Capricorn","Aquarius","Pisces"},0)-MATCH(INPUT_Chart!$C$5,{"Aries","Taurus","Gemini","Cancer","Leo","Virgo","Libra","Scorpio","Sagittarius","Capricorn","Aquarius","Pisces"},0),12)+1=7,-0.5,0)+IF(MOD(MATCH(INPUT_Gochar!$B$11,{"Aries","Taurus","Gemini","Cancer","Leo","Virgo","Libra","Scorpio","Sagittarius","Capricorn","Aquarius","Pisces"},0)-MATCH(INPUT_Chart!$C$5,{"Aries","Taurus","Gemini","Cancer","Leo","Virgo","Libra","Scorpio","Sagittarius","Capricorn","Aquarius","Pisces"},0),12)+1=7,-0.5,0)+IF(MOD(MATCH(INPUT_Gochar!$B$12,{"Aries","Taurus","Gemini","Cancer","Leo","Virgo","Libra","Scorpio","Sagittarius","Capricorn","Aquarius","Pisces"},0)-MATCH(INPUT_Chart!$C$5,{"Aries","Taurus","Gemini","Cancer","Leo","Virgo","Libra","Scorpio","Sagittarius","Capricorn","Aquarius","Pisces"},0),12)+1=7,-0.5,0),0)</f>
        <v>0</v>
      </c>
      <c r="G12" s="1037">
        <f t="shared" ca="1" si="0"/>
        <v>-1.7</v>
      </c>
      <c r="H12" s="551" t="str">
        <f t="shared" ca="1" si="1"/>
        <v>🟠 Under pressure</v>
      </c>
      <c r="I12" s="554" t="str">
        <f ca="1">IFERROR(IF(G12&gt;=4,CONCATENATE("H7 Partnerships strongly activated by ",IF(D12="▶ Maha","Mahadasha ",""),IF(E12="▶ Antara","Antardasha ",""),IF(F12&gt;0.5,"+ benefic transits","")),IF(G12&lt;=-3,CONCATENATE("H7 Partnerships under karmic pressure — ",IF(D12="▶ Maha","Mahadasha activating a natal affliction ",""),IF(F12&lt;-0.5,"malefic transits","")),"H7 Partnerships — no significant timing activation today")),"—")</f>
        <v>H7 Partnerships — no significant timing activation today</v>
      </c>
    </row>
    <row r="13" spans="1:11" ht="21.75" customHeight="1" x14ac:dyDescent="0.2">
      <c r="A13" s="627">
        <v>8</v>
      </c>
      <c r="B13" s="546" t="s">
        <v>3734</v>
      </c>
      <c r="C13" s="949">
        <f ca="1">IFERROR(SCORE_AllHouses!$S$12,0)</f>
        <v>-2</v>
      </c>
      <c r="D13" s="1038"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8,"▶ Maha","·"),"·")</f>
        <v>·</v>
      </c>
      <c r="E13" s="1038"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8,"▶ Antara","·"),"·")</f>
        <v>·</v>
      </c>
      <c r="F13" s="949">
        <f>IFERROR(IF(MOD(MATCH(INPUT_Gochar!$B$4,{"Aries","Taurus","Gemini","Cancer","Leo","Virgo","Libra","Scorpio","Sagittarius","Capricorn","Aquarius","Pisces"},0)-MATCH(INPUT_Chart!$C$5,{"Aries","Taurus","Gemini","Cancer","Leo","Virgo","Libra","Scorpio","Sagittarius","Capricorn","Aquarius","Pisces"},0),12)+1=8,-0.5,0)+IF(MOD(MATCH(INPUT_Gochar!$B$5,{"Aries","Taurus","Gemini","Cancer","Leo","Virgo","Libra","Scorpio","Sagittarius","Capricorn","Aquarius","Pisces"},0)-MATCH(INPUT_Chart!$C$5,{"Aries","Taurus","Gemini","Cancer","Leo","Virgo","Libra","Scorpio","Sagittarius","Capricorn","Aquarius","Pisces"},0),12)+1=8,-0.5,0)+IF(MOD(MATCH(INPUT_Gochar!$B$6,{"Aries","Taurus","Gemini","Cancer","Leo","Virgo","Libra","Scorpio","Sagittarius","Capricorn","Aquarius","Pisces"},0)-MATCH(INPUT_Chart!$C$5,{"Aries","Taurus","Gemini","Cancer","Leo","Virgo","Libra","Scorpio","Sagittarius","Capricorn","Aquarius","Pisces"},0),12)+1=8,-0.5,0)+IF(MOD(MATCH(INPUT_Gochar!$B$7,{"Aries","Taurus","Gemini","Cancer","Leo","Virgo","Libra","Scorpio","Sagittarius","Capricorn","Aquarius","Pisces"},0)-MATCH(INPUT_Chart!$C$5,{"Aries","Taurus","Gemini","Cancer","Leo","Virgo","Libra","Scorpio","Sagittarius","Capricorn","Aquarius","Pisces"},0),12)+1=8,0.5,0)+IF(MOD(MATCH(INPUT_Gochar!$B$8,{"Aries","Taurus","Gemini","Cancer","Leo","Virgo","Libra","Scorpio","Sagittarius","Capricorn","Aquarius","Pisces"},0)-MATCH(INPUT_Chart!$C$5,{"Aries","Taurus","Gemini","Cancer","Leo","Virgo","Libra","Scorpio","Sagittarius","Capricorn","Aquarius","Pisces"},0),12)+1=8,1,0)+IF(MOD(MATCH(INPUT_Gochar!$B$9,{"Aries","Taurus","Gemini","Cancer","Leo","Virgo","Libra","Scorpio","Sagittarius","Capricorn","Aquarius","Pisces"},0)-MATCH(INPUT_Chart!$C$5,{"Aries","Taurus","Gemini","Cancer","Leo","Virgo","Libra","Scorpio","Sagittarius","Capricorn","Aquarius","Pisces"},0),12)+1=8,0.5,0)+IF(MOD(MATCH(INPUT_Gochar!$B$10,{"Aries","Taurus","Gemini","Cancer","Leo","Virgo","Libra","Scorpio","Sagittarius","Capricorn","Aquarius","Pisces"},0)-MATCH(INPUT_Chart!$C$5,{"Aries","Taurus","Gemini","Cancer","Leo","Virgo","Libra","Scorpio","Sagittarius","Capricorn","Aquarius","Pisces"},0),12)+1=8,-0.5,0)+IF(MOD(MATCH(INPUT_Gochar!$B$11,{"Aries","Taurus","Gemini","Cancer","Leo","Virgo","Libra","Scorpio","Sagittarius","Capricorn","Aquarius","Pisces"},0)-MATCH(INPUT_Chart!$C$5,{"Aries","Taurus","Gemini","Cancer","Leo","Virgo","Libra","Scorpio","Sagittarius","Capricorn","Aquarius","Pisces"},0),12)+1=8,-0.5,0)+IF(MOD(MATCH(INPUT_Gochar!$B$12,{"Aries","Taurus","Gemini","Cancer","Leo","Virgo","Libra","Scorpio","Sagittarius","Capricorn","Aquarius","Pisces"},0)-MATCH(INPUT_Chart!$C$5,{"Aries","Taurus","Gemini","Cancer","Leo","Virgo","Libra","Scorpio","Sagittarius","Capricorn","Aquarius","Pisces"},0),12)+1=8,-0.5,0),0)</f>
        <v>0</v>
      </c>
      <c r="G13" s="1039">
        <f t="shared" ca="1" si="0"/>
        <v>-0.8</v>
      </c>
      <c r="H13" s="546" t="str">
        <f t="shared" ca="1" si="1"/>
        <v>⚪ Neutral</v>
      </c>
      <c r="I13" s="550" t="str">
        <f ca="1">IFERROR(IF(G13&gt;=4,CONCATENATE("H8 Longevity strongly activated by ",IF(D13="▶ Maha","Mahadasha ",""),IF(E13="▶ Antara","Antardasha ",""),IF(F13&gt;0.5,"+ benefic transits","")),IF(G13&lt;=-3,CONCATENATE("H8 Longevity under karmic pressure — ",IF(D13="▶ Maha","Mahadasha activating a natal affliction ",""),IF(F13&lt;-0.5,"malefic transits","")),"H8 Longevity — no significant timing activation today")),"—")</f>
        <v>H8 Longevity — no significant timing activation today</v>
      </c>
    </row>
    <row r="14" spans="1:11" ht="21.75" customHeight="1" x14ac:dyDescent="0.2">
      <c r="A14" s="632">
        <v>9</v>
      </c>
      <c r="B14" s="551" t="s">
        <v>3735</v>
      </c>
      <c r="C14" s="950">
        <f ca="1">IFERROR(SCORE_AllHouses!$S$13,0)</f>
        <v>-2.75</v>
      </c>
      <c r="D14" s="1036"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9,"▶ Maha","·"),"·")</f>
        <v>·</v>
      </c>
      <c r="E14" s="1036"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9,"▶ Antara","·"),"·")</f>
        <v>·</v>
      </c>
      <c r="F14" s="950">
        <f>IFERROR(IF(MOD(MATCH(INPUT_Gochar!$B$4,{"Aries","Taurus","Gemini","Cancer","Leo","Virgo","Libra","Scorpio","Sagittarius","Capricorn","Aquarius","Pisces"},0)-MATCH(INPUT_Chart!$C$5,{"Aries","Taurus","Gemini","Cancer","Leo","Virgo","Libra","Scorpio","Sagittarius","Capricorn","Aquarius","Pisces"},0),12)+1=9,-0.5,0)+IF(MOD(MATCH(INPUT_Gochar!$B$5,{"Aries","Taurus","Gemini","Cancer","Leo","Virgo","Libra","Scorpio","Sagittarius","Capricorn","Aquarius","Pisces"},0)-MATCH(INPUT_Chart!$C$5,{"Aries","Taurus","Gemini","Cancer","Leo","Virgo","Libra","Scorpio","Sagittarius","Capricorn","Aquarius","Pisces"},0),12)+1=9,-0.5,0)+IF(MOD(MATCH(INPUT_Gochar!$B$6,{"Aries","Taurus","Gemini","Cancer","Leo","Virgo","Libra","Scorpio","Sagittarius","Capricorn","Aquarius","Pisces"},0)-MATCH(INPUT_Chart!$C$5,{"Aries","Taurus","Gemini","Cancer","Leo","Virgo","Libra","Scorpio","Sagittarius","Capricorn","Aquarius","Pisces"},0),12)+1=9,-0.5,0)+IF(MOD(MATCH(INPUT_Gochar!$B$7,{"Aries","Taurus","Gemini","Cancer","Leo","Virgo","Libra","Scorpio","Sagittarius","Capricorn","Aquarius","Pisces"},0)-MATCH(INPUT_Chart!$C$5,{"Aries","Taurus","Gemini","Cancer","Leo","Virgo","Libra","Scorpio","Sagittarius","Capricorn","Aquarius","Pisces"},0),12)+1=9,0.5,0)+IF(MOD(MATCH(INPUT_Gochar!$B$8,{"Aries","Taurus","Gemini","Cancer","Leo","Virgo","Libra","Scorpio","Sagittarius","Capricorn","Aquarius","Pisces"},0)-MATCH(INPUT_Chart!$C$5,{"Aries","Taurus","Gemini","Cancer","Leo","Virgo","Libra","Scorpio","Sagittarius","Capricorn","Aquarius","Pisces"},0),12)+1=9,1,0)+IF(MOD(MATCH(INPUT_Gochar!$B$9,{"Aries","Taurus","Gemini","Cancer","Leo","Virgo","Libra","Scorpio","Sagittarius","Capricorn","Aquarius","Pisces"},0)-MATCH(INPUT_Chart!$C$5,{"Aries","Taurus","Gemini","Cancer","Leo","Virgo","Libra","Scorpio","Sagittarius","Capricorn","Aquarius","Pisces"},0),12)+1=9,0.5,0)+IF(MOD(MATCH(INPUT_Gochar!$B$10,{"Aries","Taurus","Gemini","Cancer","Leo","Virgo","Libra","Scorpio","Sagittarius","Capricorn","Aquarius","Pisces"},0)-MATCH(INPUT_Chart!$C$5,{"Aries","Taurus","Gemini","Cancer","Leo","Virgo","Libra","Scorpio","Sagittarius","Capricorn","Aquarius","Pisces"},0),12)+1=9,-0.5,0)+IF(MOD(MATCH(INPUT_Gochar!$B$11,{"Aries","Taurus","Gemini","Cancer","Leo","Virgo","Libra","Scorpio","Sagittarius","Capricorn","Aquarius","Pisces"},0)-MATCH(INPUT_Chart!$C$5,{"Aries","Taurus","Gemini","Cancer","Leo","Virgo","Libra","Scorpio","Sagittarius","Capricorn","Aquarius","Pisces"},0),12)+1=9,-0.5,0)+IF(MOD(MATCH(INPUT_Gochar!$B$12,{"Aries","Taurus","Gemini","Cancer","Leo","Virgo","Libra","Scorpio","Sagittarius","Capricorn","Aquarius","Pisces"},0)-MATCH(INPUT_Chart!$C$5,{"Aries","Taurus","Gemini","Cancer","Leo","Virgo","Libra","Scorpio","Sagittarius","Capricorn","Aquarius","Pisces"},0),12)+1=9,-0.5,0),0)</f>
        <v>0</v>
      </c>
      <c r="G14" s="1037">
        <f t="shared" ca="1" si="0"/>
        <v>-1.1000000000000001</v>
      </c>
      <c r="H14" s="551" t="str">
        <f t="shared" ca="1" si="1"/>
        <v>🟠 Under pressure</v>
      </c>
      <c r="I14" s="554" t="str">
        <f ca="1">IFERROR(IF(G14&gt;=4,CONCATENATE("H9 Fortune strongly activated by ",IF(D14="▶ Maha","Mahadasha ",""),IF(E14="▶ Antara","Antardasha ",""),IF(F14&gt;0.5,"+ benefic transits","")),IF(G14&lt;=-3,CONCATENATE("H9 Fortune under karmic pressure — ",IF(D14="▶ Maha","Mahadasha activating a natal affliction ",""),IF(F14&lt;-0.5,"malefic transits","")),"H9 Fortune — no significant timing activation today")),"—")</f>
        <v>H9 Fortune — no significant timing activation today</v>
      </c>
    </row>
    <row r="15" spans="1:11" ht="21.75" customHeight="1" x14ac:dyDescent="0.2">
      <c r="A15" s="627">
        <v>10</v>
      </c>
      <c r="B15" s="546" t="s">
        <v>3197</v>
      </c>
      <c r="C15" s="949">
        <f ca="1">IFERROR(SCORE_AllHouses!$S$14,0)</f>
        <v>-1.5</v>
      </c>
      <c r="D15" s="1038"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10,"▶ Maha","·"),"·")</f>
        <v>·</v>
      </c>
      <c r="E15" s="1038"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10,"▶ Antara","·"),"·")</f>
        <v>·</v>
      </c>
      <c r="F15" s="949">
        <f>IFERROR(IF(MOD(MATCH(INPUT_Gochar!$B$4,{"Aries","Taurus","Gemini","Cancer","Leo","Virgo","Libra","Scorpio","Sagittarius","Capricorn","Aquarius","Pisces"},0)-MATCH(INPUT_Chart!$C$5,{"Aries","Taurus","Gemini","Cancer","Leo","Virgo","Libra","Scorpio","Sagittarius","Capricorn","Aquarius","Pisces"},0),12)+1=10,-0.5,0)+IF(MOD(MATCH(INPUT_Gochar!$B$5,{"Aries","Taurus","Gemini","Cancer","Leo","Virgo","Libra","Scorpio","Sagittarius","Capricorn","Aquarius","Pisces"},0)-MATCH(INPUT_Chart!$C$5,{"Aries","Taurus","Gemini","Cancer","Leo","Virgo","Libra","Scorpio","Sagittarius","Capricorn","Aquarius","Pisces"},0),12)+1=10,-0.5,0)+IF(MOD(MATCH(INPUT_Gochar!$B$6,{"Aries","Taurus","Gemini","Cancer","Leo","Virgo","Libra","Scorpio","Sagittarius","Capricorn","Aquarius","Pisces"},0)-MATCH(INPUT_Chart!$C$5,{"Aries","Taurus","Gemini","Cancer","Leo","Virgo","Libra","Scorpio","Sagittarius","Capricorn","Aquarius","Pisces"},0),12)+1=10,-0.5,0)+IF(MOD(MATCH(INPUT_Gochar!$B$7,{"Aries","Taurus","Gemini","Cancer","Leo","Virgo","Libra","Scorpio","Sagittarius","Capricorn","Aquarius","Pisces"},0)-MATCH(INPUT_Chart!$C$5,{"Aries","Taurus","Gemini","Cancer","Leo","Virgo","Libra","Scorpio","Sagittarius","Capricorn","Aquarius","Pisces"},0),12)+1=10,0.5,0)+IF(MOD(MATCH(INPUT_Gochar!$B$8,{"Aries","Taurus","Gemini","Cancer","Leo","Virgo","Libra","Scorpio","Sagittarius","Capricorn","Aquarius","Pisces"},0)-MATCH(INPUT_Chart!$C$5,{"Aries","Taurus","Gemini","Cancer","Leo","Virgo","Libra","Scorpio","Sagittarius","Capricorn","Aquarius","Pisces"},0),12)+1=10,1,0)+IF(MOD(MATCH(INPUT_Gochar!$B$9,{"Aries","Taurus","Gemini","Cancer","Leo","Virgo","Libra","Scorpio","Sagittarius","Capricorn","Aquarius","Pisces"},0)-MATCH(INPUT_Chart!$C$5,{"Aries","Taurus","Gemini","Cancer","Leo","Virgo","Libra","Scorpio","Sagittarius","Capricorn","Aquarius","Pisces"},0),12)+1=10,0.5,0)+IF(MOD(MATCH(INPUT_Gochar!$B$10,{"Aries","Taurus","Gemini","Cancer","Leo","Virgo","Libra","Scorpio","Sagittarius","Capricorn","Aquarius","Pisces"},0)-MATCH(INPUT_Chart!$C$5,{"Aries","Taurus","Gemini","Cancer","Leo","Virgo","Libra","Scorpio","Sagittarius","Capricorn","Aquarius","Pisces"},0),12)+1=10,-0.5,0)+IF(MOD(MATCH(INPUT_Gochar!$B$11,{"Aries","Taurus","Gemini","Cancer","Leo","Virgo","Libra","Scorpio","Sagittarius","Capricorn","Aquarius","Pisces"},0)-MATCH(INPUT_Chart!$C$5,{"Aries","Taurus","Gemini","Cancer","Leo","Virgo","Libra","Scorpio","Sagittarius","Capricorn","Aquarius","Pisces"},0),12)+1=10,-0.5,0)+IF(MOD(MATCH(INPUT_Gochar!$B$12,{"Aries","Taurus","Gemini","Cancer","Leo","Virgo","Libra","Scorpio","Sagittarius","Capricorn","Aquarius","Pisces"},0)-MATCH(INPUT_Chart!$C$5,{"Aries","Taurus","Gemini","Cancer","Leo","Virgo","Libra","Scorpio","Sagittarius","Capricorn","Aquarius","Pisces"},0),12)+1=10,-0.5,0),0)</f>
        <v>-1</v>
      </c>
      <c r="G15" s="1039">
        <f t="shared" ca="1" si="0"/>
        <v>-1.1000000000000001</v>
      </c>
      <c r="H15" s="546" t="str">
        <f t="shared" ca="1" si="1"/>
        <v>🟠 Under pressure</v>
      </c>
      <c r="I15" s="550" t="str">
        <f ca="1">IFERROR(IF(G15&gt;=4,CONCATENATE("H10 Career strongly activated by ",IF(D15="▶ Maha","Mahadasha ",""),IF(E15="▶ Antara","Antardasha ",""),IF(F15&gt;0.5,"+ benefic transits","")),IF(G15&lt;=-3,CONCATENATE("H10 Career under karmic pressure — ",IF(D15="▶ Maha","Mahadasha activating a natal affliction ",""),IF(F15&lt;-0.5,"malefic transits","")),"H10 Career — no significant timing activation today")),"—")</f>
        <v>H10 Career — no significant timing activation today</v>
      </c>
    </row>
    <row r="16" spans="1:11" ht="21.75" customHeight="1" x14ac:dyDescent="0.2">
      <c r="A16" s="632">
        <v>11</v>
      </c>
      <c r="B16" s="551" t="s">
        <v>3736</v>
      </c>
      <c r="C16" s="950">
        <f ca="1">IFERROR(SCORE_AllHouses!$S$15,0)</f>
        <v>-1.75</v>
      </c>
      <c r="D16" s="1036"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11,"▶ Maha","·"),"·")</f>
        <v>·</v>
      </c>
      <c r="E16" s="1036"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11,"▶ Antara","·"),"·")</f>
        <v>·</v>
      </c>
      <c r="F16" s="950">
        <f>IFERROR(IF(MOD(MATCH(INPUT_Gochar!$B$4,{"Aries","Taurus","Gemini","Cancer","Leo","Virgo","Libra","Scorpio","Sagittarius","Capricorn","Aquarius","Pisces"},0)-MATCH(INPUT_Chart!$C$5,{"Aries","Taurus","Gemini","Cancer","Leo","Virgo","Libra","Scorpio","Sagittarius","Capricorn","Aquarius","Pisces"},0),12)+1=11,-0.5,0)+IF(MOD(MATCH(INPUT_Gochar!$B$5,{"Aries","Taurus","Gemini","Cancer","Leo","Virgo","Libra","Scorpio","Sagittarius","Capricorn","Aquarius","Pisces"},0)-MATCH(INPUT_Chart!$C$5,{"Aries","Taurus","Gemini","Cancer","Leo","Virgo","Libra","Scorpio","Sagittarius","Capricorn","Aquarius","Pisces"},0),12)+1=11,-0.5,0)+IF(MOD(MATCH(INPUT_Gochar!$B$6,{"Aries","Taurus","Gemini","Cancer","Leo","Virgo","Libra","Scorpio","Sagittarius","Capricorn","Aquarius","Pisces"},0)-MATCH(INPUT_Chart!$C$5,{"Aries","Taurus","Gemini","Cancer","Leo","Virgo","Libra","Scorpio","Sagittarius","Capricorn","Aquarius","Pisces"},0),12)+1=11,-0.5,0)+IF(MOD(MATCH(INPUT_Gochar!$B$7,{"Aries","Taurus","Gemini","Cancer","Leo","Virgo","Libra","Scorpio","Sagittarius","Capricorn","Aquarius","Pisces"},0)-MATCH(INPUT_Chart!$C$5,{"Aries","Taurus","Gemini","Cancer","Leo","Virgo","Libra","Scorpio","Sagittarius","Capricorn","Aquarius","Pisces"},0),12)+1=11,0.5,0)+IF(MOD(MATCH(INPUT_Gochar!$B$8,{"Aries","Taurus","Gemini","Cancer","Leo","Virgo","Libra","Scorpio","Sagittarius","Capricorn","Aquarius","Pisces"},0)-MATCH(INPUT_Chart!$C$5,{"Aries","Taurus","Gemini","Cancer","Leo","Virgo","Libra","Scorpio","Sagittarius","Capricorn","Aquarius","Pisces"},0),12)+1=11,1,0)+IF(MOD(MATCH(INPUT_Gochar!$B$9,{"Aries","Taurus","Gemini","Cancer","Leo","Virgo","Libra","Scorpio","Sagittarius","Capricorn","Aquarius","Pisces"},0)-MATCH(INPUT_Chart!$C$5,{"Aries","Taurus","Gemini","Cancer","Leo","Virgo","Libra","Scorpio","Sagittarius","Capricorn","Aquarius","Pisces"},0),12)+1=11,0.5,0)+IF(MOD(MATCH(INPUT_Gochar!$B$10,{"Aries","Taurus","Gemini","Cancer","Leo","Virgo","Libra","Scorpio","Sagittarius","Capricorn","Aquarius","Pisces"},0)-MATCH(INPUT_Chart!$C$5,{"Aries","Taurus","Gemini","Cancer","Leo","Virgo","Libra","Scorpio","Sagittarius","Capricorn","Aquarius","Pisces"},0),12)+1=11,-0.5,0)+IF(MOD(MATCH(INPUT_Gochar!$B$11,{"Aries","Taurus","Gemini","Cancer","Leo","Virgo","Libra","Scorpio","Sagittarius","Capricorn","Aquarius","Pisces"},0)-MATCH(INPUT_Chart!$C$5,{"Aries","Taurus","Gemini","Cancer","Leo","Virgo","Libra","Scorpio","Sagittarius","Capricorn","Aquarius","Pisces"},0),12)+1=11,-0.5,0)+IF(MOD(MATCH(INPUT_Gochar!$B$12,{"Aries","Taurus","Gemini","Cancer","Leo","Virgo","Libra","Scorpio","Sagittarius","Capricorn","Aquarius","Pisces"},0)-MATCH(INPUT_Chart!$C$5,{"Aries","Taurus","Gemini","Cancer","Leo","Virgo","Libra","Scorpio","Sagittarius","Capricorn","Aquarius","Pisces"},0),12)+1=11,-0.5,0),0)</f>
        <v>-0.5</v>
      </c>
      <c r="G16" s="1037">
        <f t="shared" ca="1" si="0"/>
        <v>-0.95</v>
      </c>
      <c r="H16" s="551" t="str">
        <f t="shared" ca="1" si="1"/>
        <v>⚪ Neutral</v>
      </c>
      <c r="I16" s="554" t="str">
        <f ca="1">IFERROR(IF(G16&gt;=4,CONCATENATE("H11 Gains strongly activated by ",IF(D16="▶ Maha","Mahadasha ",""),IF(E16="▶ Antara","Antardasha ",""),IF(F16&gt;0.5,"+ benefic transits","")),IF(G16&lt;=-3,CONCATENATE("H11 Gains under karmic pressure — ",IF(D16="▶ Maha","Mahadasha activating a natal affliction ",""),IF(F16&lt;-0.5,"malefic transits","")),"H11 Gains — no significant timing activation today")),"—")</f>
        <v>H11 Gains — no significant timing activation today</v>
      </c>
    </row>
    <row r="17" spans="1:9" ht="21.75" customHeight="1" x14ac:dyDescent="0.2">
      <c r="A17" s="627">
        <v>12</v>
      </c>
      <c r="B17" s="546" t="s">
        <v>3737</v>
      </c>
      <c r="C17" s="949">
        <f ca="1">IFERROR(SCORE_AllHouses!$S$16,0)</f>
        <v>-1</v>
      </c>
      <c r="D17" s="1038" t="str">
        <f ca="1">IFERROR(IF(MOD(MATCH(INDEX(CALC_PlanetPositions!$B$7:$B$15,MATCH(CALC_DashaActive!$B$14,{"Sun","Moon","Mars","Mercury","Jupiter","Venus","Saturn","Rahu","Ketu"},0)),{"Aries","Taurus","Gemini","Cancer","Leo","Virgo","Libra","Scorpio","Sagittarius","Capricorn","Aquarius","Pisces"},0)-MATCH(INPUT_Chart!$C$5,{"Aries","Taurus","Gemini","Cancer","Leo","Virgo","Libra","Scorpio","Sagittarius","Capricorn","Aquarius","Pisces"},0),12)+1=12,"▶ Maha","·"),"·")</f>
        <v>·</v>
      </c>
      <c r="E17" s="1038" t="str">
        <f ca="1">IFERROR(IF(MOD(MATCH(INDEX(CALC_PlanetPositions!$B$7:$B$15,MATCH(IFERROR(INDEX(CALC_AntarDasha!$B$14:$B$22,MATCH("▶ ACTIVE",CALC_AntarDasha!$F$14:$F$22,0)),"—"),{"Sun","Moon","Mars","Mercury","Jupiter","Venus","Saturn","Rahu","Ketu"},0)),{"Aries","Taurus","Gemini","Cancer","Leo","Virgo","Libra","Scorpio","Sagittarius","Capricorn","Aquarius","Pisces"},0)-MATCH(INPUT_Chart!$C$5,{"Aries","Taurus","Gemini","Cancer","Leo","Virgo","Libra","Scorpio","Sagittarius","Capricorn","Aquarius","Pisces"},0),12)+1=12,"▶ Antara","·"),"·")</f>
        <v>·</v>
      </c>
      <c r="F17" s="949">
        <f>IFERROR(IF(MOD(MATCH(INPUT_Gochar!$B$4,{"Aries","Taurus","Gemini","Cancer","Leo","Virgo","Libra","Scorpio","Sagittarius","Capricorn","Aquarius","Pisces"},0)-MATCH(INPUT_Chart!$C$5,{"Aries","Taurus","Gemini","Cancer","Leo","Virgo","Libra","Scorpio","Sagittarius","Capricorn","Aquarius","Pisces"},0),12)+1=12,-0.5,0)+IF(MOD(MATCH(INPUT_Gochar!$B$5,{"Aries","Taurus","Gemini","Cancer","Leo","Virgo","Libra","Scorpio","Sagittarius","Capricorn","Aquarius","Pisces"},0)-MATCH(INPUT_Chart!$C$5,{"Aries","Taurus","Gemini","Cancer","Leo","Virgo","Libra","Scorpio","Sagittarius","Capricorn","Aquarius","Pisces"},0),12)+1=12,-0.5,0)+IF(MOD(MATCH(INPUT_Gochar!$B$6,{"Aries","Taurus","Gemini","Cancer","Leo","Virgo","Libra","Scorpio","Sagittarius","Capricorn","Aquarius","Pisces"},0)-MATCH(INPUT_Chart!$C$5,{"Aries","Taurus","Gemini","Cancer","Leo","Virgo","Libra","Scorpio","Sagittarius","Capricorn","Aquarius","Pisces"},0),12)+1=12,-0.5,0)+IF(MOD(MATCH(INPUT_Gochar!$B$7,{"Aries","Taurus","Gemini","Cancer","Leo","Virgo","Libra","Scorpio","Sagittarius","Capricorn","Aquarius","Pisces"},0)-MATCH(INPUT_Chart!$C$5,{"Aries","Taurus","Gemini","Cancer","Leo","Virgo","Libra","Scorpio","Sagittarius","Capricorn","Aquarius","Pisces"},0),12)+1=12,0.5,0)+IF(MOD(MATCH(INPUT_Gochar!$B$8,{"Aries","Taurus","Gemini","Cancer","Leo","Virgo","Libra","Scorpio","Sagittarius","Capricorn","Aquarius","Pisces"},0)-MATCH(INPUT_Chart!$C$5,{"Aries","Taurus","Gemini","Cancer","Leo","Virgo","Libra","Scorpio","Sagittarius","Capricorn","Aquarius","Pisces"},0),12)+1=12,1,0)+IF(MOD(MATCH(INPUT_Gochar!$B$9,{"Aries","Taurus","Gemini","Cancer","Leo","Virgo","Libra","Scorpio","Sagittarius","Capricorn","Aquarius","Pisces"},0)-MATCH(INPUT_Chart!$C$5,{"Aries","Taurus","Gemini","Cancer","Leo","Virgo","Libra","Scorpio","Sagittarius","Capricorn","Aquarius","Pisces"},0),12)+1=12,0.5,0)+IF(MOD(MATCH(INPUT_Gochar!$B$10,{"Aries","Taurus","Gemini","Cancer","Leo","Virgo","Libra","Scorpio","Sagittarius","Capricorn","Aquarius","Pisces"},0)-MATCH(INPUT_Chart!$C$5,{"Aries","Taurus","Gemini","Cancer","Leo","Virgo","Libra","Scorpio","Sagittarius","Capricorn","Aquarius","Pisces"},0),12)+1=12,-0.5,0)+IF(MOD(MATCH(INPUT_Gochar!$B$11,{"Aries","Taurus","Gemini","Cancer","Leo","Virgo","Libra","Scorpio","Sagittarius","Capricorn","Aquarius","Pisces"},0)-MATCH(INPUT_Chart!$C$5,{"Aries","Taurus","Gemini","Cancer","Leo","Virgo","Libra","Scorpio","Sagittarius","Capricorn","Aquarius","Pisces"},0),12)+1=12,-0.5,0)+IF(MOD(MATCH(INPUT_Gochar!$B$12,{"Aries","Taurus","Gemini","Cancer","Leo","Virgo","Libra","Scorpio","Sagittarius","Capricorn","Aquarius","Pisces"},0)-MATCH(INPUT_Chart!$C$5,{"Aries","Taurus","Gemini","Cancer","Leo","Virgo","Libra","Scorpio","Sagittarius","Capricorn","Aquarius","Pisces"},0),12)+1=12,-0.5,0),0)</f>
        <v>0</v>
      </c>
      <c r="G17" s="1039">
        <f t="shared" ca="1" si="0"/>
        <v>-0.4</v>
      </c>
      <c r="H17" s="546" t="str">
        <f t="shared" ca="1" si="1"/>
        <v>⚪ Neutral</v>
      </c>
      <c r="I17" s="550" t="str">
        <f ca="1">IFERROR(IF(G17&gt;=4,CONCATENATE("H12 Liberation strongly activated by ",IF(D17="▶ Maha","Mahadasha ",""),IF(E17="▶ Antara","Antardasha ",""),IF(F17&gt;0.5,"+ benefic transits","")),IF(G17&lt;=-3,CONCATENATE("H12 Liberation under karmic pressure — ",IF(D17="▶ Maha","Mahadasha activating a natal affliction ",""),IF(F17&lt;-0.5,"malefic transits","")),"H12 Liberation — no significant timing activation today")),"—")</f>
        <v>H12 Liberation — no significant timing activation today</v>
      </c>
    </row>
    <row r="19" spans="1:9" ht="18" customHeight="1" x14ac:dyDescent="0.2">
      <c r="A19" s="1524" t="s">
        <v>4470</v>
      </c>
      <c r="B19" s="1524"/>
      <c r="C19" s="1524"/>
      <c r="D19" s="1524"/>
      <c r="E19" s="1524"/>
      <c r="F19" s="1524"/>
      <c r="G19" s="1524"/>
      <c r="H19" s="1524"/>
      <c r="I19" s="1524"/>
    </row>
    <row r="20" spans="1:9" ht="18" customHeight="1" x14ac:dyDescent="0.2">
      <c r="A20" s="882" t="s">
        <v>2425</v>
      </c>
      <c r="B20" s="882" t="s">
        <v>3192</v>
      </c>
      <c r="C20" s="882" t="s">
        <v>4471</v>
      </c>
      <c r="D20" s="882" t="s">
        <v>4468</v>
      </c>
      <c r="E20" s="882" t="s">
        <v>3848</v>
      </c>
      <c r="F20" s="882"/>
      <c r="G20" s="882"/>
      <c r="H20" s="882"/>
      <c r="I20" s="882"/>
    </row>
    <row r="21" spans="1:9" ht="18" customHeight="1" x14ac:dyDescent="0.2">
      <c r="A21" s="632">
        <v>1</v>
      </c>
      <c r="B21" s="1040" t="str">
        <f ca="1">IFERROR(INDEX($B$6:$B$17,MATCH(LARGE($G$6:$G$17,1),$G$6:$G$17,0)),"—")</f>
        <v>Conflicts</v>
      </c>
      <c r="C21" s="633">
        <f ca="1">IFERROR(LARGE($G$6:$G$17,1),0)</f>
        <v>0.9</v>
      </c>
      <c r="D21" s="551" t="str">
        <f ca="1">IFERROR(INDEX($H$6:$H$17,MATCH(LARGE($G$6:$G$17,1),$G$6:$G$17,0)),"—")</f>
        <v>⚪ Neutral</v>
      </c>
      <c r="E21" s="554" t="str">
        <f ca="1">IFERROR(INDEX($I$6:$I$17,MATCH(LARGE($G$6:$G$17,1),$G$6:$G$17,0)),"—")</f>
        <v>H6 Conflicts — no significant timing activation today</v>
      </c>
      <c r="F21" s="576"/>
      <c r="G21" s="576"/>
      <c r="H21" s="576"/>
      <c r="I21" s="576"/>
    </row>
    <row r="22" spans="1:9" ht="18" customHeight="1" x14ac:dyDescent="0.2">
      <c r="A22" s="627">
        <v>2</v>
      </c>
      <c r="B22" s="1041" t="str">
        <f ca="1">IFERROR(INDEX($B$6:$B$17,MATCH(LARGE($G$6:$G$17,2),$G$6:$G$17,0)),"—")</f>
        <v>Self</v>
      </c>
      <c r="C22" s="628">
        <f ca="1">IFERROR(LARGE($G$6:$G$17,2),0)</f>
        <v>0.5</v>
      </c>
      <c r="D22" s="546" t="str">
        <f ca="1">IFERROR(INDEX($H$6:$H$17,MATCH(LARGE($G$6:$G$17,2),$G$6:$G$17,0)),"—")</f>
        <v>⚪ Neutral</v>
      </c>
      <c r="E22" s="550" t="str">
        <f ca="1">IFERROR(INDEX($I$6:$I$17,MATCH(LARGE($G$6:$G$17,2),$G$6:$G$17,0)),"—")</f>
        <v>H1 Self — no significant timing activation today</v>
      </c>
      <c r="F22" s="574"/>
      <c r="G22" s="574"/>
      <c r="H22" s="574"/>
      <c r="I22" s="574"/>
    </row>
    <row r="23" spans="1:9" ht="18" customHeight="1" x14ac:dyDescent="0.2">
      <c r="A23" s="632">
        <v>3</v>
      </c>
      <c r="B23" s="1040" t="str">
        <f ca="1">IFERROR(INDEX($B$6:$B$17,MATCH(LARGE($G$6:$G$17,3),$G$6:$G$17,0)),"—")</f>
        <v>Courage</v>
      </c>
      <c r="C23" s="633">
        <f ca="1">IFERROR(LARGE($G$6:$G$17,3),0)</f>
        <v>0.4</v>
      </c>
      <c r="D23" s="551" t="str">
        <f ca="1">IFERROR(INDEX($H$6:$H$17,MATCH(LARGE($G$6:$G$17,3),$G$6:$G$17,0)),"—")</f>
        <v>⚪ Neutral</v>
      </c>
      <c r="E23" s="554" t="str">
        <f ca="1">IFERROR(INDEX($I$6:$I$17,MATCH(LARGE($G$6:$G$17,3),$G$6:$G$17,0)),"—")</f>
        <v>H3 Courage — no significant timing activation today</v>
      </c>
      <c r="F23" s="576"/>
      <c r="G23" s="576"/>
      <c r="H23" s="576"/>
      <c r="I23" s="576"/>
    </row>
  </sheetData>
  <mergeCells count="4">
    <mergeCell ref="A1:I1"/>
    <mergeCell ref="A2:I2"/>
    <mergeCell ref="A4:I4"/>
    <mergeCell ref="A19:I19"/>
  </mergeCells>
  <pageMargins left="0.75" right="0.75" top="1" bottom="1" header="0.511811023622047" footer="0.511811023622047"/>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B71C1C"/>
  </sheetPr>
  <dimension ref="A1:V25"/>
  <sheetViews>
    <sheetView zoomScaleNormal="100" workbookViewId="0"/>
  </sheetViews>
  <sheetFormatPr defaultColWidth="8.609375" defaultRowHeight="15" x14ac:dyDescent="0.2"/>
  <cols>
    <col min="1" max="1" width="7.93359375" customWidth="1"/>
    <col min="2" max="2" width="16.0078125" customWidth="1"/>
    <col min="3" max="3" width="37.93359375" customWidth="1"/>
    <col min="4" max="4" width="13.046875" customWidth="1"/>
    <col min="5" max="5" width="14.9296875" customWidth="1"/>
    <col min="6" max="6" width="13.98828125" customWidth="1"/>
    <col min="7" max="7" width="18.0234375" customWidth="1"/>
    <col min="8" max="8" width="13.046875" customWidth="1"/>
    <col min="9" max="9" width="11.97265625" customWidth="1"/>
    <col min="10" max="10" width="13.98828125" customWidth="1"/>
    <col min="11" max="11" width="20.04296875" customWidth="1"/>
    <col min="12" max="13" width="13.98828125" customWidth="1"/>
    <col min="14" max="14" width="16.0078125" customWidth="1"/>
    <col min="15" max="15" width="39.953125" customWidth="1"/>
    <col min="16" max="16" width="13.98828125" customWidth="1"/>
    <col min="17" max="18" width="11.97265625" customWidth="1"/>
    <col min="19" max="19" width="13.98828125" customWidth="1"/>
  </cols>
  <sheetData>
    <row r="1" spans="1:22" ht="30" customHeight="1" x14ac:dyDescent="0.2">
      <c r="A1" s="1585" t="s">
        <v>4472</v>
      </c>
      <c r="B1" s="1585"/>
      <c r="C1" s="1585"/>
      <c r="D1" s="1585"/>
      <c r="E1" s="1585"/>
      <c r="F1" s="1585"/>
      <c r="G1" s="1585"/>
      <c r="H1" s="1585"/>
      <c r="I1" s="1585"/>
      <c r="J1" s="1585"/>
      <c r="K1" s="1585"/>
      <c r="L1" s="1585"/>
      <c r="M1" s="1585"/>
      <c r="N1" s="29" t="str">
        <f>HYPERLINK("#'00_INDEX'!A1","&lt;- Index")</f>
        <v>&lt;- Index</v>
      </c>
    </row>
    <row r="2" spans="1:22" ht="18" customHeight="1" x14ac:dyDescent="0.2">
      <c r="A2" s="1586" t="s">
        <v>4473</v>
      </c>
      <c r="B2" s="1586"/>
      <c r="C2" s="1586"/>
      <c r="D2" s="1586"/>
      <c r="E2" s="1586"/>
      <c r="F2" s="1586"/>
      <c r="G2" s="1586"/>
      <c r="H2" s="1586"/>
      <c r="I2" s="1586"/>
      <c r="J2" s="1586"/>
      <c r="K2" s="1586"/>
      <c r="L2" s="1586"/>
      <c r="M2" s="1586"/>
    </row>
    <row r="3" spans="1:22" ht="15" customHeight="1" x14ac:dyDescent="0.2">
      <c r="N3" s="882" t="s">
        <v>4474</v>
      </c>
      <c r="O3" s="882" t="s">
        <v>4475</v>
      </c>
      <c r="P3" s="882" t="s">
        <v>4476</v>
      </c>
      <c r="Q3" s="882" t="s">
        <v>4477</v>
      </c>
      <c r="R3" s="1042" t="s">
        <v>4478</v>
      </c>
      <c r="S3" s="1043" t="s">
        <v>4479</v>
      </c>
      <c r="T3" s="614" t="s">
        <v>4480</v>
      </c>
      <c r="U3" s="776" t="s">
        <v>3338</v>
      </c>
    </row>
    <row r="4" spans="1:22" ht="31.5" customHeight="1" x14ac:dyDescent="0.2">
      <c r="A4" s="1044" t="s">
        <v>2276</v>
      </c>
      <c r="B4" s="1044" t="s">
        <v>3192</v>
      </c>
      <c r="C4" s="1044" t="s">
        <v>4481</v>
      </c>
      <c r="D4" s="1044"/>
      <c r="E4" s="1044"/>
      <c r="F4" s="1044"/>
      <c r="G4" s="1044"/>
      <c r="H4" s="1044"/>
      <c r="I4" s="1044"/>
      <c r="J4" s="1044"/>
      <c r="K4" s="1044"/>
      <c r="L4" s="1044"/>
      <c r="M4" s="1045" t="s">
        <v>4482</v>
      </c>
      <c r="R4" s="555" t="s">
        <v>4483</v>
      </c>
      <c r="T4" s="614" t="s">
        <v>4484</v>
      </c>
      <c r="U4" s="776" t="s">
        <v>4485</v>
      </c>
      <c r="V4" s="853" t="s">
        <v>4486</v>
      </c>
    </row>
    <row r="5" spans="1:22" ht="21.75" customHeight="1" x14ac:dyDescent="0.2">
      <c r="A5" s="1046">
        <v>1</v>
      </c>
      <c r="B5" s="1047" t="s">
        <v>3728</v>
      </c>
      <c r="C5" s="1048" t="s">
        <v>4487</v>
      </c>
      <c r="D5" s="1049">
        <f>IFERROR(SCORE_H1_Self!$C$32,0)</f>
        <v>0.5</v>
      </c>
      <c r="E5" s="1049">
        <f>IFERROR(SCORE_H1_Self!$C$33,0)</f>
        <v>2.5</v>
      </c>
      <c r="F5" s="1049">
        <f>IFERROR(SCORE_H1_Self!$C$34,0)</f>
        <v>-2</v>
      </c>
      <c r="G5" s="1049">
        <f>IFERROR(SCORE_H1_Self!$C$35,0)</f>
        <v>-1.5</v>
      </c>
      <c r="H5" s="1049">
        <f>IFERROR(SCORE_H1_Self!$C$36,0)</f>
        <v>0</v>
      </c>
      <c r="I5" s="1050">
        <f>IFERROR(SCORE_H1_Self!$C$37,0)</f>
        <v>-0.5</v>
      </c>
      <c r="J5" s="1051">
        <f>IFERROR(SCORE_H1_Self!$C$40,0)</f>
        <v>-0.5</v>
      </c>
      <c r="K5" s="512" t="str">
        <f>IFERROR(IF(SCORE_H1_Self!$C$40&gt;=7,"Excellent",IF(SCORE_H1_Self!$C$40&gt;=4,"Good",IF(SCORE_H1_Self!$C$40&gt;=1,"Moderate",IF(SCORE_H1_Self!$C$40&gt;=-2,"Mixed",IF(SCORE_H1_Self!$C$40&gt;=-5,"Weak","Very Weak"))))),"—")</f>
        <v>Mixed</v>
      </c>
      <c r="L5" s="512" t="str">
        <f>IFERROR(SCORE_H1_Self!$C$41,"—")</f>
        <v>Vivadit</v>
      </c>
      <c r="M5" s="1052">
        <f ca="1">IFERROR(J5*CALC_DashaModifier!$F$5,J5)</f>
        <v>-0.5</v>
      </c>
      <c r="N5" s="1053">
        <f ca="1">IFERROR(ROUND(J5*(IFERROR(_xludf.let(p,CALC_BhaveshMap!$D$5,IF(ISNUMBER(MATCH(p,{"Sun","Moon","Mars","Mercury","Jupiter","Venus","Saturn"},0)),INDEX(CALC_Avasthas!$F$5:$F$11,MATCH(p,{"Sun","Moon","Mars","Mercury","Jupiter","Venus","Saturn"},0))/100,1)),1))+IFERROR(_xludf.let(p,CALC_BhaveshMap!$D$5,IF(ISNUMBER(MATCH(p,{"Sun","Moon","Mars","Mercury","Jupiter","Venus","Saturn"},0)),INDEX(CALC_Avasthas!$H$5:$H$11,MATCH(p,{"Sun","Moon","Mars","Mercury","Jupiter","Venus","Saturn"},0)),0)),0),2),0)</f>
        <v>-0.5</v>
      </c>
      <c r="O5" s="552" t="str">
        <f ca="1">IFERROR("Lord="&amp;CALC_BhaveshMap!$D$5&amp;" "&amp;IFERROR(INDEX(CALC_Avasthas!$E$5:$E$11,MATCH(CALC_BhaveshMap!$D$5,{"Sun","Moon","Mars","Mercury","Jupiter","Venus","Saturn"},0)),"—")&amp;" "&amp;IFERROR(INDEX(CALC_Avasthas!$F$5:$F$11,MATCH(CALC_BhaveshMap!$D$5,{"Sun","Moon","Mars","Mercury","Jupiter","Venus","Saturn"},0)),"")&amp;"%","—")</f>
        <v>Lord=Venus Kumar (Child) 100%</v>
      </c>
      <c r="P5" s="1054">
        <f>IFERROR(CALC_Argala!$H$5,0)</f>
        <v>2.5</v>
      </c>
      <c r="Q5" s="1055">
        <f ca="1">IFERROR(_xludf.switch(CALC_BhaveshMap!$D$5,"Sun",CALC_GrahaYuddha!$D$19,"Moon",CALC_GrahaYuddha!$D$20,"Mars",CALC_GrahaYuddha!$D$21,"Mercury",CALC_GrahaYuddha!$D$22,"Jupiter",CALC_GrahaYuddha!$D$23,"Venus",CALC_GrahaYuddha!$D$24,"Saturn",CALC_GrahaYuddha!$D$25,0),0)</f>
        <v>0</v>
      </c>
      <c r="R5" s="1056" t="str">
        <f t="shared" ref="R5:R16" si="0">IFERROR(IF((F5+G5)&lt;-3,"⚠ Cap: penalty ≤ −3.0 (actual "&amp;TEXT(F5+G5,"0.00")&amp;")","✓ Within cap"),"—")</f>
        <v>⚠ Cap: penalty ≤ −3.0 (actual -3.50)</v>
      </c>
      <c r="S5" s="1057">
        <f t="shared" ref="S5:S16" ca="1" si="1">IFERROR(MAX(-10,MIN(10,J5+P5+Q5+T5+U5+V5)),0)</f>
        <v>1.25</v>
      </c>
      <c r="T5">
        <f>IFERROR(IF(REF_Config!$B$6&lt;&gt;"KP",0,_xludf.let(bl,CALC_BhaveshMap!$D$5,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5">
        <f>IFERROR(CALC_RasiDrishti!$G$35,0)</f>
        <v>0</v>
      </c>
      <c r="V5" s="4">
        <f>IFERROR(CALC_RuleInteractionEngine!$H$6,0)</f>
        <v>-0.75</v>
      </c>
    </row>
    <row r="6" spans="1:22" ht="21.75" customHeight="1" x14ac:dyDescent="0.2">
      <c r="A6" s="1058">
        <v>2</v>
      </c>
      <c r="B6" s="261" t="s">
        <v>3729</v>
      </c>
      <c r="C6" s="1059" t="s">
        <v>4488</v>
      </c>
      <c r="D6" s="1049">
        <f>IFERROR(SCORE_H2_Wealth!$C$32,0)</f>
        <v>0.5</v>
      </c>
      <c r="E6" s="1049">
        <f>IFERROR(SCORE_H2_Wealth!$C$33,0)</f>
        <v>2</v>
      </c>
      <c r="F6" s="1049">
        <f>IFERROR(SCORE_H2_Wealth!$C$34,0)</f>
        <v>-2.75</v>
      </c>
      <c r="G6" s="1049">
        <f>IFERROR(SCORE_H2_Wealth!$C$35,0)</f>
        <v>-1.5</v>
      </c>
      <c r="H6" s="1049">
        <f>IFERROR(SCORE_H2_Wealth!$C$36,0)</f>
        <v>-0.5</v>
      </c>
      <c r="I6" s="1060">
        <f>IFERROR(SCORE_H2_Wealth!$C$37,0)</f>
        <v>-2.25</v>
      </c>
      <c r="J6" s="1051">
        <f>IFERROR(SCORE_H2_Wealth!$C$40,0)</f>
        <v>-2.25</v>
      </c>
      <c r="K6" s="63" t="str">
        <f>IFERROR(IF(SCORE_H2_Wealth!$C$40&gt;=7,"Excellent",IF(SCORE_H2_Wealth!$C$40&gt;=4,"Good",IF(SCORE_H2_Wealth!$C$40&gt;=1,"Moderate",IF(SCORE_H2_Wealth!$C$40&gt;=-2,"Mixed",IF(SCORE_H2_Wealth!$C$40&gt;=-5,"Weak","Very Weak"))))),"—")</f>
        <v>Weak</v>
      </c>
      <c r="L6" s="63" t="str">
        <f>IFERROR(SCORE_H2_Wealth!$C$41,"—")</f>
        <v>Vivadit</v>
      </c>
      <c r="M6" s="1061">
        <f ca="1">IFERROR(J6*CALC_DashaModifier!$F$6,J6)</f>
        <v>-2.25</v>
      </c>
      <c r="N6" s="1062">
        <f ca="1">IFERROR(ROUND(J6*(IFERROR(_xludf.let(p,CALC_BhaveshMap!$D$6,IF(ISNUMBER(MATCH(p,{"Sun","Moon","Mars","Mercury","Jupiter","Venus","Saturn"},0)),INDEX(CALC_Avasthas!$F$5:$F$11,MATCH(p,{"Sun","Moon","Mars","Mercury","Jupiter","Venus","Saturn"},0))/100,1)),1))+IFERROR(_xludf.let(p,CALC_BhaveshMap!$D$6,IF(ISNUMBER(MATCH(p,{"Sun","Moon","Mars","Mercury","Jupiter","Venus","Saturn"},0)),INDEX(CALC_Avasthas!$H$5:$H$11,MATCH(p,{"Sun","Moon","Mars","Mercury","Jupiter","Venus","Saturn"},0)),0)),0),2),0)</f>
        <v>-2.25</v>
      </c>
      <c r="O6" s="548" t="str">
        <f ca="1">IFERROR("Lord="&amp;CALC_BhaveshMap!$D$6&amp;" "&amp;IFERROR(INDEX(CALC_Avasthas!$E$5:$E$11,MATCH(CALC_BhaveshMap!$D$6,{"Sun","Moon","Mars","Mercury","Jupiter","Venus","Saturn"},0)),"—")&amp;" "&amp;IFERROR(INDEX(CALC_Avasthas!$F$5:$F$11,MATCH(CALC_BhaveshMap!$D$6,{"Sun","Moon","Mars","Mercury","Jupiter","Venus","Saturn"},0)),"")&amp;"%","—")</f>
        <v>Lord=Mercury Yuva (Prime) 100%</v>
      </c>
      <c r="P6" s="1063">
        <f>IFERROR(CALC_Argala!$H$6,0)</f>
        <v>-1.75</v>
      </c>
      <c r="Q6" s="1064">
        <f ca="1">IFERROR(_xludf.switch(CALC_BhaveshMap!$D$6,"Sun",CALC_GrahaYuddha!$D$19,"Moon",CALC_GrahaYuddha!$D$20,"Mars",CALC_GrahaYuddha!$D$21,"Mercury",CALC_GrahaYuddha!$D$22,"Jupiter",CALC_GrahaYuddha!$D$23,"Venus",CALC_GrahaYuddha!$D$24,"Saturn",CALC_GrahaYuddha!$D$25,0),0)</f>
        <v>0</v>
      </c>
      <c r="R6" s="1065" t="str">
        <f t="shared" si="0"/>
        <v>⚠ Cap: penalty ≤ −3.0 (actual -4.25)</v>
      </c>
      <c r="S6" s="1066">
        <f t="shared" ca="1" si="1"/>
        <v>-5.25</v>
      </c>
      <c r="T6">
        <f>IFERROR(IF(REF_Config!$B$6&lt;&gt;"KP",0,_xludf.let(bl,CALC_BhaveshMap!$D$6,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6">
        <f>IFERROR(CALC_RasiDrishti!$G$36,0)</f>
        <v>0</v>
      </c>
      <c r="V6" s="4">
        <f>IFERROR(CALC_RuleInteractionEngine!$H$7,0)</f>
        <v>-1.25</v>
      </c>
    </row>
    <row r="7" spans="1:22" ht="21.75" customHeight="1" x14ac:dyDescent="0.2">
      <c r="A7" s="1046">
        <v>3</v>
      </c>
      <c r="B7" s="1047" t="s">
        <v>3730</v>
      </c>
      <c r="C7" s="1048" t="s">
        <v>4489</v>
      </c>
      <c r="D7" s="1049">
        <f>IFERROR(SCORE_H3_Courage!$C$32,0)</f>
        <v>0.5</v>
      </c>
      <c r="E7" s="1049">
        <f>IFERROR(SCORE_H3_Courage!$C$33,0)</f>
        <v>2.5</v>
      </c>
      <c r="F7" s="1049">
        <f>IFERROR(SCORE_H3_Courage!$C$34,0)</f>
        <v>-2</v>
      </c>
      <c r="G7" s="1049">
        <f>IFERROR(SCORE_H3_Courage!$C$35,0)</f>
        <v>-1.5</v>
      </c>
      <c r="H7" s="1049">
        <f>IFERROR(SCORE_H3_Courage!$C$36,0)</f>
        <v>0</v>
      </c>
      <c r="I7" s="1050">
        <f>IFERROR(SCORE_H3_Courage!$C$37,0)</f>
        <v>-0.5</v>
      </c>
      <c r="J7" s="1051">
        <f>IFERROR(SCORE_H3_Courage!$C$40,0)</f>
        <v>-0.5</v>
      </c>
      <c r="K7" s="512" t="str">
        <f>IFERROR(IF(SCORE_H3_Courage!$C$40&gt;=7,"Excellent",IF(SCORE_H3_Courage!$C$40&gt;=4,"Good",IF(SCORE_H3_Courage!$C$40&gt;=1,"Moderate",IF(SCORE_H3_Courage!$C$40&gt;=-2,"Mixed",IF(SCORE_H3_Courage!$C$40&gt;=-5,"Weak","Very Weak"))))),"—")</f>
        <v>Mixed</v>
      </c>
      <c r="L7" s="512" t="str">
        <f>IFERROR(SCORE_H3_Courage!$C$41,"—")</f>
        <v>Vivadit</v>
      </c>
      <c r="M7" s="1052">
        <f ca="1">IFERROR(J7*CALC_DashaModifier!$F$7,J7)</f>
        <v>-0.5</v>
      </c>
      <c r="N7" s="1053">
        <f ca="1">IFERROR(ROUND(J7*(IFERROR(_xludf.let(p,CALC_BhaveshMap!$D$7,IF(ISNUMBER(MATCH(p,{"Sun","Moon","Mars","Mercury","Jupiter","Venus","Saturn"},0)),INDEX(CALC_Avasthas!$F$5:$F$11,MATCH(p,{"Sun","Moon","Mars","Mercury","Jupiter","Venus","Saturn"},0))/100,1)),1))+IFERROR(_xludf.let(p,CALC_BhaveshMap!$D$7,IF(ISNUMBER(MATCH(p,{"Sun","Moon","Mars","Mercury","Jupiter","Venus","Saturn"},0)),INDEX(CALC_Avasthas!$H$5:$H$11,MATCH(p,{"Sun","Moon","Mars","Mercury","Jupiter","Venus","Saturn"},0)),0)),0),2),0)</f>
        <v>-0.5</v>
      </c>
      <c r="O7" s="552" t="str">
        <f ca="1">IFERROR("Lord="&amp;CALC_BhaveshMap!$D$7&amp;" "&amp;IFERROR(INDEX(CALC_Avasthas!$E$5:$E$11,MATCH(CALC_BhaveshMap!$D$7,{"Sun","Moon","Mars","Mercury","Jupiter","Venus","Saturn"},0)),"—")&amp;" "&amp;IFERROR(INDEX(CALC_Avasthas!$F$5:$F$11,MATCH(CALC_BhaveshMap!$D$7,{"Sun","Moon","Mars","Mercury","Jupiter","Venus","Saturn"},0)),"")&amp;"%","—")</f>
        <v>Lord=Moon Mrita (Dead) 100%</v>
      </c>
      <c r="P7" s="1054">
        <f>IFERROR(CALC_Argala!$H$7,0)</f>
        <v>2.25</v>
      </c>
      <c r="Q7" s="1055">
        <f ca="1">IFERROR(_xludf.switch(CALC_BhaveshMap!$D$7,"Sun",CALC_GrahaYuddha!$D$19,"Moon",CALC_GrahaYuddha!$D$20,"Mars",CALC_GrahaYuddha!$D$21,"Mercury",CALC_GrahaYuddha!$D$22,"Jupiter",CALC_GrahaYuddha!$D$23,"Venus",CALC_GrahaYuddha!$D$24,"Saturn",CALC_GrahaYuddha!$D$25,0),0)</f>
        <v>0</v>
      </c>
      <c r="R7" s="1056" t="str">
        <f t="shared" si="0"/>
        <v>⚠ Cap: penalty ≤ −3.0 (actual -3.50)</v>
      </c>
      <c r="S7" s="1057">
        <f t="shared" ca="1" si="1"/>
        <v>1</v>
      </c>
      <c r="T7">
        <f>IFERROR(IF(REF_Config!$B$6&lt;&gt;"KP",0,_xludf.let(bl,CALC_BhaveshMap!$D$7,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7">
        <f>IFERROR(CALC_RasiDrishti!$G$37,0)</f>
        <v>0</v>
      </c>
      <c r="V7" s="4">
        <f>IFERROR(CALC_RuleInteractionEngine!$H$8,0)</f>
        <v>-0.75</v>
      </c>
    </row>
    <row r="8" spans="1:22" ht="21.75" customHeight="1" x14ac:dyDescent="0.2">
      <c r="A8" s="1058">
        <v>4</v>
      </c>
      <c r="B8" s="261" t="s">
        <v>3731</v>
      </c>
      <c r="C8" s="1059" t="s">
        <v>4490</v>
      </c>
      <c r="D8" s="1049">
        <f>IFERROR(SCORE_H4_Home!$C$32,0)</f>
        <v>0</v>
      </c>
      <c r="E8" s="1049">
        <f>IFERROR(SCORE_H4_Home!$C$33,0)</f>
        <v>2.5</v>
      </c>
      <c r="F8" s="1049">
        <f>IFERROR(SCORE_H4_Home!$C$34,0)</f>
        <v>0</v>
      </c>
      <c r="G8" s="1049">
        <f>IFERROR(SCORE_H4_Home!$C$35,0)</f>
        <v>-1.5</v>
      </c>
      <c r="H8" s="1049">
        <f>IFERROR(SCORE_H4_Home!$C$36,0)</f>
        <v>0</v>
      </c>
      <c r="I8" s="1060">
        <f>IFERROR(SCORE_H4_Home!$C$37,0)</f>
        <v>1</v>
      </c>
      <c r="J8" s="1051">
        <f>IFERROR(SCORE_H4_Home!$C$40,0)</f>
        <v>1</v>
      </c>
      <c r="K8" s="63" t="str">
        <f>IFERROR(IF(SCORE_H4_Home!$C$40&gt;=7,"Excellent",IF(SCORE_H4_Home!$C$40&gt;=4,"Good",IF(SCORE_H4_Home!$C$40&gt;=1,"Moderate",IF(SCORE_H4_Home!$C$40&gt;=-2,"Mixed",IF(SCORE_H4_Home!$C$40&gt;=-5,"Weak","Very Weak"))))),"—")</f>
        <v>Moderate</v>
      </c>
      <c r="L8" s="63" t="str">
        <f>IFERROR(SCORE_H4_Home!$C$41,"—")</f>
        <v>Vivadit</v>
      </c>
      <c r="M8" s="1061">
        <f ca="1">IFERROR(J8*CALC_DashaModifier!$F$8,J8)</f>
        <v>1</v>
      </c>
      <c r="N8" s="1062">
        <f ca="1">IFERROR(ROUND(J8*(IFERROR(_xludf.let(p,CALC_BhaveshMap!$D$8,IF(ISNUMBER(MATCH(p,{"Sun","Moon","Mars","Mercury","Jupiter","Venus","Saturn"},0)),INDEX(CALC_Avasthas!$F$5:$F$11,MATCH(p,{"Sun","Moon","Mars","Mercury","Jupiter","Venus","Saturn"},0))/100,1)),1))+IFERROR(_xludf.let(p,CALC_BhaveshMap!$D$8,IF(ISNUMBER(MATCH(p,{"Sun","Moon","Mars","Mercury","Jupiter","Venus","Saturn"},0)),INDEX(CALC_Avasthas!$H$5:$H$11,MATCH(p,{"Sun","Moon","Mars","Mercury","Jupiter","Venus","Saturn"},0)),0)),0),2),0)</f>
        <v>1</v>
      </c>
      <c r="O8" s="548" t="str">
        <f ca="1">IFERROR("Lord="&amp;CALC_BhaveshMap!$D$8&amp;" "&amp;IFERROR(INDEX(CALC_Avasthas!$E$5:$E$11,MATCH(CALC_BhaveshMap!$D$8,{"Sun","Moon","Mars","Mercury","Jupiter","Venus","Saturn"},0)),"—")&amp;" "&amp;IFERROR(INDEX(CALC_Avasthas!$F$5:$F$11,MATCH(CALC_BhaveshMap!$D$8,{"Sun","Moon","Mars","Mercury","Jupiter","Venus","Saturn"},0)),"")&amp;"%","—")</f>
        <v>Lord=Sun Bala (Infant) 100%</v>
      </c>
      <c r="P8" s="1063">
        <f>IFERROR(CALC_Argala!$H$8,0)</f>
        <v>0.5</v>
      </c>
      <c r="Q8" s="1064">
        <f ca="1">IFERROR(_xludf.switch(CALC_BhaveshMap!$D$8,"Sun",CALC_GrahaYuddha!$D$19,"Moon",CALC_GrahaYuddha!$D$20,"Mars",CALC_GrahaYuddha!$D$21,"Mercury",CALC_GrahaYuddha!$D$22,"Jupiter",CALC_GrahaYuddha!$D$23,"Venus",CALC_GrahaYuddha!$D$24,"Saturn",CALC_GrahaYuddha!$D$25,0),0)</f>
        <v>0</v>
      </c>
      <c r="R8" s="1065" t="str">
        <f t="shared" si="0"/>
        <v>✓ Within cap</v>
      </c>
      <c r="S8" s="1066">
        <f t="shared" ca="1" si="1"/>
        <v>1.25</v>
      </c>
      <c r="T8">
        <f>IFERROR(IF(REF_Config!$B$6&lt;&gt;"KP",0,_xludf.let(bl,CALC_BhaveshMap!$D$8,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8">
        <f>IFERROR(CALC_RasiDrishti!$G$38,0)</f>
        <v>0</v>
      </c>
      <c r="V8" s="4">
        <f>IFERROR(CALC_RuleInteractionEngine!$H$9,0)</f>
        <v>-0.25</v>
      </c>
    </row>
    <row r="9" spans="1:22" ht="21.75" customHeight="1" x14ac:dyDescent="0.2">
      <c r="A9" s="1046">
        <v>5</v>
      </c>
      <c r="B9" s="1047" t="s">
        <v>3732</v>
      </c>
      <c r="C9" s="1048" t="s">
        <v>4491</v>
      </c>
      <c r="D9" s="1049">
        <f>IFERROR(SCORE_H5_Intellect!$C$32,0)</f>
        <v>1.25</v>
      </c>
      <c r="E9" s="1049">
        <f>IFERROR(SCORE_H5_Intellect!$C$33,0)</f>
        <v>3</v>
      </c>
      <c r="F9" s="1049">
        <f>IFERROR(SCORE_H5_Intellect!$C$34,0)</f>
        <v>-1</v>
      </c>
      <c r="G9" s="1049">
        <f>IFERROR(SCORE_H5_Intellect!$C$35,0)</f>
        <v>-1.5</v>
      </c>
      <c r="H9" s="1049">
        <f>IFERROR(SCORE_H5_Intellect!$C$36,0)</f>
        <v>-0.5</v>
      </c>
      <c r="I9" s="1050">
        <f>IFERROR(SCORE_H5_Intellect!$C$37,0)</f>
        <v>1.25</v>
      </c>
      <c r="J9" s="1051">
        <f>IFERROR(SCORE_H5_Intellect!$C$40,0)</f>
        <v>1.25</v>
      </c>
      <c r="K9" s="512" t="str">
        <f>IFERROR(IF(SCORE_H5_Intellect!$C$40&gt;=7,"Excellent",IF(SCORE_H5_Intellect!$C$40&gt;=4,"Good",IF(SCORE_H5_Intellect!$C$40&gt;=1,"Moderate",IF(SCORE_H5_Intellect!$C$40&gt;=-2,"Mixed",IF(SCORE_H5_Intellect!$C$40&gt;=-5,"Weak","Very Weak"))))),"—")</f>
        <v>Moderate</v>
      </c>
      <c r="L9" s="512" t="str">
        <f>IFERROR(SCORE_H5_Intellect!$C$41,"—")</f>
        <v>Vivadit</v>
      </c>
      <c r="M9" s="1052">
        <f ca="1">IFERROR(J9*CALC_DashaModifier!$F$9,J9)</f>
        <v>1.25</v>
      </c>
      <c r="N9" s="1053">
        <f ca="1">IFERROR(ROUND(J9*(IFERROR(_xludf.let(p,CALC_BhaveshMap!$D$9,IF(ISNUMBER(MATCH(p,{"Sun","Moon","Mars","Mercury","Jupiter","Venus","Saturn"},0)),INDEX(CALC_Avasthas!$F$5:$F$11,MATCH(p,{"Sun","Moon","Mars","Mercury","Jupiter","Venus","Saturn"},0))/100,1)),1))+IFERROR(_xludf.let(p,CALC_BhaveshMap!$D$9,IF(ISNUMBER(MATCH(p,{"Sun","Moon","Mars","Mercury","Jupiter","Venus","Saturn"},0)),INDEX(CALC_Avasthas!$H$5:$H$11,MATCH(p,{"Sun","Moon","Mars","Mercury","Jupiter","Venus","Saturn"},0)),0)),0),2),0)</f>
        <v>1.25</v>
      </c>
      <c r="O9" s="552" t="str">
        <f ca="1">IFERROR("Lord="&amp;CALC_BhaveshMap!$D$9&amp;" "&amp;IFERROR(INDEX(CALC_Avasthas!$E$5:$E$11,MATCH(CALC_BhaveshMap!$D$9,{"Sun","Moon","Mars","Mercury","Jupiter","Venus","Saturn"},0)),"—")&amp;" "&amp;IFERROR(INDEX(CALC_Avasthas!$F$5:$F$11,MATCH(CALC_BhaveshMap!$D$9,{"Sun","Moon","Mars","Mercury","Jupiter","Venus","Saturn"},0)),"")&amp;"%","—")</f>
        <v>Lord=Mercury Yuva (Prime) 100%</v>
      </c>
      <c r="P9" s="1054">
        <f>IFERROR(CALC_Argala!$H$9,0)</f>
        <v>-1.5</v>
      </c>
      <c r="Q9" s="1055">
        <f ca="1">IFERROR(_xludf.switch(CALC_BhaveshMap!$D$9,"Sun",CALC_GrahaYuddha!$D$19,"Moon",CALC_GrahaYuddha!$D$20,"Mars",CALC_GrahaYuddha!$D$21,"Mercury",CALC_GrahaYuddha!$D$22,"Jupiter",CALC_GrahaYuddha!$D$23,"Venus",CALC_GrahaYuddha!$D$24,"Saturn",CALC_GrahaYuddha!$D$25,0),0)</f>
        <v>0</v>
      </c>
      <c r="R9" s="1056" t="str">
        <f t="shared" si="0"/>
        <v>✓ Within cap</v>
      </c>
      <c r="S9" s="1057">
        <f t="shared" ca="1" si="1"/>
        <v>-1.5</v>
      </c>
      <c r="T9">
        <f>IFERROR(IF(REF_Config!$B$6&lt;&gt;"KP",0,_xludf.let(bl,CALC_BhaveshMap!$D$9,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9">
        <f>IFERROR(CALC_RasiDrishti!$G$39,0)</f>
        <v>0</v>
      </c>
      <c r="V9" s="4">
        <f>IFERROR(CALC_RuleInteractionEngine!$H$10,0)</f>
        <v>-1.25</v>
      </c>
    </row>
    <row r="10" spans="1:22" ht="21.75" customHeight="1" x14ac:dyDescent="0.2">
      <c r="A10" s="1067">
        <v>6</v>
      </c>
      <c r="B10" s="1068" t="s">
        <v>3205</v>
      </c>
      <c r="C10" s="1069" t="s">
        <v>4492</v>
      </c>
      <c r="D10" s="1049">
        <f>IFERROR(SCORE_H6_Conflicts!$C$32,0)</f>
        <v>0.5</v>
      </c>
      <c r="E10" s="1049">
        <f>IFERROR(SCORE_H6_Conflicts!$C$33,0)</f>
        <v>2</v>
      </c>
      <c r="F10" s="1049">
        <f>IFERROR(SCORE_H6_Conflicts!$C$34,0)</f>
        <v>-1</v>
      </c>
      <c r="G10" s="1049">
        <f>IFERROR(SCORE_H6_Conflicts!$C$35,0)</f>
        <v>-1.5</v>
      </c>
      <c r="H10" s="1049">
        <f>IFERROR(SCORE_H6_Conflicts!$C$36,0)</f>
        <v>0</v>
      </c>
      <c r="I10" s="1070">
        <f>IFERROR(SCORE_H6_Conflicts!$C$37,0)</f>
        <v>0</v>
      </c>
      <c r="J10" s="1051">
        <f>IFERROR(SCORE_H6_Conflicts!$C$40,0)</f>
        <v>0</v>
      </c>
      <c r="K10" s="1071" t="str">
        <f>IFERROR(IF(SCORE_H6_Conflicts!$C$40&gt;=7,"Excellent",IF(SCORE_H6_Conflicts!$C$40&gt;=4,"Good",IF(SCORE_H6_Conflicts!$C$40&gt;=1,"Moderate",IF(SCORE_H6_Conflicts!$C$40&gt;=-2,"Mixed",IF(SCORE_H6_Conflicts!$C$40&gt;=-5,"Weak","Very Weak"))))),"—")</f>
        <v>Mixed</v>
      </c>
      <c r="L10" s="1071" t="str">
        <f>IFERROR(SCORE_H6_Conflicts!$C$41,"—")</f>
        <v>Vivadit</v>
      </c>
      <c r="M10" s="1072">
        <f ca="1">IFERROR(J10*CALC_DashaModifier!$F$10,J10)</f>
        <v>0</v>
      </c>
      <c r="N10" s="1062">
        <f ca="1">IFERROR(ROUND(J10*(IFERROR(_xludf.let(p,CALC_BhaveshMap!$D$10,IF(ISNUMBER(MATCH(p,{"Sun","Moon","Mars","Mercury","Jupiter","Venus","Saturn"},0)),INDEX(CALC_Avasthas!$F$5:$F$11,MATCH(p,{"Sun","Moon","Mars","Mercury","Jupiter","Venus","Saturn"},0))/100,1)),1))+IFERROR(_xludf.let(p,CALC_BhaveshMap!$D$10,IF(ISNUMBER(MATCH(p,{"Sun","Moon","Mars","Mercury","Jupiter","Venus","Saturn"},0)),INDEX(CALC_Avasthas!$H$5:$H$11,MATCH(p,{"Sun","Moon","Mars","Mercury","Jupiter","Venus","Saturn"},0)),0)),0),2),0)</f>
        <v>0</v>
      </c>
      <c r="O10" s="548" t="str">
        <f ca="1">IFERROR("Lord="&amp;CALC_BhaveshMap!$D$10&amp;" "&amp;IFERROR(INDEX(CALC_Avasthas!$E$5:$E$11,MATCH(CALC_BhaveshMap!$D$10,{"Sun","Moon","Mars","Mercury","Jupiter","Venus","Saturn"},0)),"—")&amp;" "&amp;IFERROR(INDEX(CALC_Avasthas!$F$5:$F$11,MATCH(CALC_BhaveshMap!$D$10,{"Sun","Moon","Mars","Mercury","Jupiter","Venus","Saturn"},0)),"")&amp;"%","—")</f>
        <v>Lord=Venus Kumar (Child) 100%</v>
      </c>
      <c r="P10" s="1063">
        <f>IFERROR(CALC_Argala!$H$10,0)</f>
        <v>2.5</v>
      </c>
      <c r="Q10" s="1064">
        <f ca="1">IFERROR(_xludf.switch(CALC_BhaveshMap!$D$10,"Sun",CALC_GrahaYuddha!$D$19,"Moon",CALC_GrahaYuddha!$D$20,"Mars",CALC_GrahaYuddha!$D$21,"Mercury",CALC_GrahaYuddha!$D$22,"Jupiter",CALC_GrahaYuddha!$D$23,"Venus",CALC_GrahaYuddha!$D$24,"Saturn",CALC_GrahaYuddha!$D$25,0),0)</f>
        <v>0</v>
      </c>
      <c r="R10" s="1065" t="str">
        <f t="shared" si="0"/>
        <v>✓ Within cap</v>
      </c>
      <c r="S10" s="1066">
        <f t="shared" ca="1" si="1"/>
        <v>2.25</v>
      </c>
      <c r="T10">
        <f>IFERROR(IF(REF_Config!$B$6&lt;&gt;"KP",0,_xludf.let(bl,CALC_BhaveshMap!$D$10,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10">
        <f>IFERROR(CALC_RasiDrishti!$G$40,0)</f>
        <v>0</v>
      </c>
      <c r="V10" s="4">
        <f>IFERROR(CALC_RuleInteractionEngine!$H$11,0)</f>
        <v>-0.25</v>
      </c>
    </row>
    <row r="11" spans="1:22" ht="21.75" customHeight="1" x14ac:dyDescent="0.2">
      <c r="A11" s="1046">
        <v>7</v>
      </c>
      <c r="B11" s="1047" t="s">
        <v>3733</v>
      </c>
      <c r="C11" s="1048" t="s">
        <v>4493</v>
      </c>
      <c r="D11" s="1049">
        <f>IFERROR(SCORE_H7_Partnerships!$C$32,0)</f>
        <v>0</v>
      </c>
      <c r="E11" s="1049">
        <f>IFERROR(SCORE_H7_Partnerships!$C$33,0)</f>
        <v>0</v>
      </c>
      <c r="F11" s="1049">
        <f>IFERROR(SCORE_H7_Partnerships!$C$34,0)</f>
        <v>-2</v>
      </c>
      <c r="G11" s="1049">
        <f>IFERROR(SCORE_H7_Partnerships!$C$35,0)</f>
        <v>-0.5</v>
      </c>
      <c r="H11" s="1049">
        <f>IFERROR(SCORE_H7_Partnerships!$C$36,0)</f>
        <v>0</v>
      </c>
      <c r="I11" s="1050">
        <f>IFERROR(SCORE_H7_Partnerships!$C$37,0)</f>
        <v>-2.5</v>
      </c>
      <c r="J11" s="1051">
        <f>IFERROR(SCORE_H7_Partnerships!$C$40,0)</f>
        <v>-2.5</v>
      </c>
      <c r="K11" s="512" t="str">
        <f>IFERROR(IF(SCORE_H7_Partnerships!$C$40&gt;=7,"Excellent",IF(SCORE_H7_Partnerships!$C$40&gt;=4,"Good",IF(SCORE_H7_Partnerships!$C$40&gt;=1,"Moderate",IF(SCORE_H7_Partnerships!$C$40&gt;=-2,"Mixed",IF(SCORE_H7_Partnerships!$C$40&gt;=-5,"Weak","Very Weak"))))),"—")</f>
        <v>Weak</v>
      </c>
      <c r="L11" s="512" t="str">
        <f>IFERROR(SCORE_H7_Partnerships!$C$41,"—")</f>
        <v>Vivadit</v>
      </c>
      <c r="M11" s="1052">
        <f ca="1">IFERROR(J11*CALC_DashaModifier!$F$11,J11)</f>
        <v>-2.875</v>
      </c>
      <c r="N11" s="1053">
        <f ca="1">IFERROR(ROUND(J11*(IFERROR(_xludf.let(p,CALC_BhaveshMap!$D$11,IF(ISNUMBER(MATCH(p,{"Sun","Moon","Mars","Mercury","Jupiter","Venus","Saturn"},0)),INDEX(CALC_Avasthas!$F$5:$F$11,MATCH(p,{"Sun","Moon","Mars","Mercury","Jupiter","Venus","Saturn"},0))/100,1)),1))+IFERROR(_xludf.let(p,CALC_BhaveshMap!$D$11,IF(ISNUMBER(MATCH(p,{"Sun","Moon","Mars","Mercury","Jupiter","Venus","Saturn"},0)),INDEX(CALC_Avasthas!$H$5:$H$11,MATCH(p,{"Sun","Moon","Mars","Mercury","Jupiter","Venus","Saturn"},0)),0)),0),2),0)</f>
        <v>-2.5</v>
      </c>
      <c r="O11" s="552" t="str">
        <f ca="1">IFERROR("Lord="&amp;CALC_BhaveshMap!$D$11&amp;" "&amp;IFERROR(INDEX(CALC_Avasthas!$E$5:$E$11,MATCH(CALC_BhaveshMap!$D$11,{"Sun","Moon","Mars","Mercury","Jupiter","Venus","Saturn"},0)),"—")&amp;" "&amp;IFERROR(INDEX(CALC_Avasthas!$F$5:$F$11,MATCH(CALC_BhaveshMap!$D$11,{"Sun","Moon","Mars","Mercury","Jupiter","Venus","Saturn"},0)),"")&amp;"%","—")</f>
        <v>Lord=Mars Kumar (Child) 100%</v>
      </c>
      <c r="P11" s="1054">
        <f>IFERROR(CALC_Argala!$H$11,0)</f>
        <v>-1.75</v>
      </c>
      <c r="Q11" s="1055">
        <f ca="1">IFERROR(_xludf.switch(CALC_BhaveshMap!$D$11,"Sun",CALC_GrahaYuddha!$D$19,"Moon",CALC_GrahaYuddha!$D$20,"Mars",CALC_GrahaYuddha!$D$21,"Mercury",CALC_GrahaYuddha!$D$22,"Jupiter",CALC_GrahaYuddha!$D$23,"Venus",CALC_GrahaYuddha!$D$24,"Saturn",CALC_GrahaYuddha!$D$25,0),0)</f>
        <v>0</v>
      </c>
      <c r="R11" s="1056" t="str">
        <f t="shared" si="0"/>
        <v>✓ Within cap</v>
      </c>
      <c r="S11" s="1057">
        <f t="shared" ca="1" si="1"/>
        <v>-4.25</v>
      </c>
      <c r="T11">
        <f>IFERROR(IF(REF_Config!$B$6&lt;&gt;"KP",0,_xludf.let(bl,CALC_BhaveshMap!$D$11,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11">
        <f>IFERROR(CALC_RasiDrishti!$G$41,0)</f>
        <v>0</v>
      </c>
      <c r="V11" s="4">
        <f>IFERROR(CALC_RuleInteractionEngine!$H$12,0)</f>
        <v>0</v>
      </c>
    </row>
    <row r="12" spans="1:22" ht="21.75" customHeight="1" x14ac:dyDescent="0.2">
      <c r="A12" s="1067">
        <v>8</v>
      </c>
      <c r="B12" s="1068" t="s">
        <v>3734</v>
      </c>
      <c r="C12" s="1069" t="s">
        <v>4494</v>
      </c>
      <c r="D12" s="1049">
        <f>IFERROR(SCORE_H8_Longevity!$C$32,0)</f>
        <v>0.5</v>
      </c>
      <c r="E12" s="1049">
        <f>IFERROR(SCORE_H8_Longevity!$C$33,0)</f>
        <v>0.5</v>
      </c>
      <c r="F12" s="1049">
        <f>IFERROR(SCORE_H8_Longevity!$C$34,0)</f>
        <v>-1</v>
      </c>
      <c r="G12" s="1049">
        <f>IFERROR(SCORE_H8_Longevity!$C$35,0)</f>
        <v>-2</v>
      </c>
      <c r="H12" s="1049">
        <f>IFERROR(SCORE_H8_Longevity!$C$36,0)</f>
        <v>0</v>
      </c>
      <c r="I12" s="1070">
        <f>IFERROR(SCORE_H8_Longevity!$C$37,0)</f>
        <v>-2</v>
      </c>
      <c r="J12" s="1051">
        <f>IFERROR(SCORE_H8_Longevity!$C$40,0)</f>
        <v>-2</v>
      </c>
      <c r="K12" s="1071" t="str">
        <f>IFERROR(IF(SCORE_H8_Longevity!$C$40&gt;=7,"Excellent",IF(SCORE_H8_Longevity!$C$40&gt;=4,"Good",IF(SCORE_H8_Longevity!$C$40&gt;=1,"Moderate",IF(SCORE_H8_Longevity!$C$40&gt;=-2,"Mixed",IF(SCORE_H8_Longevity!$C$40&gt;=-5,"Weak","Very Weak"))))),"—")</f>
        <v>Mixed</v>
      </c>
      <c r="L12" s="1071" t="str">
        <f>IFERROR(SCORE_H8_Longevity!$C$41,"—")</f>
        <v>Vivadit</v>
      </c>
      <c r="M12" s="1072">
        <f ca="1">IFERROR(J12*CALC_DashaModifier!$F$12,J12)</f>
        <v>-2</v>
      </c>
      <c r="N12" s="1062">
        <f ca="1">IFERROR(ROUND(J12*(IFERROR(_xludf.let(p,CALC_BhaveshMap!$D$12,IF(ISNUMBER(MATCH(p,{"Sun","Moon","Mars","Mercury","Jupiter","Venus","Saturn"},0)),INDEX(CALC_Avasthas!$F$5:$F$11,MATCH(p,{"Sun","Moon","Mars","Mercury","Jupiter","Venus","Saturn"},0))/100,1)),1))+IFERROR(_xludf.let(p,CALC_BhaveshMap!$D$12,IF(ISNUMBER(MATCH(p,{"Sun","Moon","Mars","Mercury","Jupiter","Venus","Saturn"},0)),INDEX(CALC_Avasthas!$H$5:$H$11,MATCH(p,{"Sun","Moon","Mars","Mercury","Jupiter","Venus","Saturn"},0)),0)),0),2),0)</f>
        <v>-2</v>
      </c>
      <c r="O12" s="548" t="str">
        <f ca="1">IFERROR("Lord="&amp;CALC_BhaveshMap!$D$12&amp;" "&amp;IFERROR(INDEX(CALC_Avasthas!$E$5:$E$11,MATCH(CALC_BhaveshMap!$D$12,{"Sun","Moon","Mars","Mercury","Jupiter","Venus","Saturn"},0)),"—")&amp;" "&amp;IFERROR(INDEX(CALC_Avasthas!$F$5:$F$11,MATCH(CALC_BhaveshMap!$D$12,{"Sun","Moon","Mars","Mercury","Jupiter","Venus","Saturn"},0)),"")&amp;"%","—")</f>
        <v>Lord=Jupiter Mrita (Dead) 100%</v>
      </c>
      <c r="P12" s="1063">
        <f>IFERROR(CALC_Argala!$H$12,0)</f>
        <v>0</v>
      </c>
      <c r="Q12" s="1064">
        <f ca="1">IFERROR(_xludf.switch(CALC_BhaveshMap!$D$12,"Sun",CALC_GrahaYuddha!$D$19,"Moon",CALC_GrahaYuddha!$D$20,"Mars",CALC_GrahaYuddha!$D$21,"Mercury",CALC_GrahaYuddha!$D$22,"Jupiter",CALC_GrahaYuddha!$D$23,"Venus",CALC_GrahaYuddha!$D$24,"Saturn",CALC_GrahaYuddha!$D$25,0),0)</f>
        <v>0</v>
      </c>
      <c r="R12" s="1065" t="str">
        <f t="shared" si="0"/>
        <v>✓ Within cap</v>
      </c>
      <c r="S12" s="1066">
        <f t="shared" ca="1" si="1"/>
        <v>-2</v>
      </c>
      <c r="T12">
        <f>IFERROR(IF(REF_Config!$B$6&lt;&gt;"KP",0,_xludf.let(bl,CALC_BhaveshMap!$D$12,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12">
        <f>IFERROR(CALC_RasiDrishti!$G$42,0)</f>
        <v>0</v>
      </c>
      <c r="V12" s="4">
        <f>IFERROR(CALC_RuleInteractionEngine!$H$13,0)</f>
        <v>0</v>
      </c>
    </row>
    <row r="13" spans="1:22" ht="21.75" customHeight="1" x14ac:dyDescent="0.2">
      <c r="A13" s="1046">
        <v>9</v>
      </c>
      <c r="B13" s="1047" t="s">
        <v>3735</v>
      </c>
      <c r="C13" s="1048" t="s">
        <v>4495</v>
      </c>
      <c r="D13" s="1049">
        <f>IFERROR(SCORE_H9_Fortune!$C$32,0)</f>
        <v>0.75</v>
      </c>
      <c r="E13" s="1049">
        <f>IFERROR(SCORE_H9_Fortune!$C$33,0)</f>
        <v>1.5</v>
      </c>
      <c r="F13" s="1049">
        <f>IFERROR(SCORE_H9_Fortune!$C$34,0)</f>
        <v>-1</v>
      </c>
      <c r="G13" s="1049">
        <f>IFERROR(SCORE_H9_Fortune!$C$35,0)</f>
        <v>-2.5</v>
      </c>
      <c r="H13" s="1049">
        <f>IFERROR(SCORE_H9_Fortune!$C$36,0)</f>
        <v>-0.5</v>
      </c>
      <c r="I13" s="1050">
        <f>IFERROR(SCORE_H9_Fortune!$C$37,0)</f>
        <v>-1.75</v>
      </c>
      <c r="J13" s="1051">
        <f>IFERROR(SCORE_H9_Fortune!$C$40,0)</f>
        <v>-1.75</v>
      </c>
      <c r="K13" s="512" t="str">
        <f>IFERROR(IF(SCORE_H9_Fortune!$C$40&gt;=7,"Excellent",IF(SCORE_H9_Fortune!$C$40&gt;=4,"Good",IF(SCORE_H9_Fortune!$C$40&gt;=1,"Moderate",IF(SCORE_H9_Fortune!$C$40&gt;=-2,"Mixed",IF(SCORE_H9_Fortune!$C$40&gt;=-5,"Weak","Very Weak"))))),"—")</f>
        <v>Mixed</v>
      </c>
      <c r="L13" s="512" t="str">
        <f>IFERROR(SCORE_H9_Fortune!$C$41,"—")</f>
        <v>Vivadit</v>
      </c>
      <c r="M13" s="1052">
        <f ca="1">IFERROR(J13*CALC_DashaModifier!$F$13,J13)</f>
        <v>-1.75</v>
      </c>
      <c r="N13" s="1053">
        <f ca="1">IFERROR(ROUND(J13*(IFERROR(_xludf.let(p,CALC_BhaveshMap!$D$13,IF(ISNUMBER(MATCH(p,{"Sun","Moon","Mars","Mercury","Jupiter","Venus","Saturn"},0)),INDEX(CALC_Avasthas!$F$5:$F$11,MATCH(p,{"Sun","Moon","Mars","Mercury","Jupiter","Venus","Saturn"},0))/100,1)),1))+IFERROR(_xludf.let(p,CALC_BhaveshMap!$D$13,IF(ISNUMBER(MATCH(p,{"Sun","Moon","Mars","Mercury","Jupiter","Venus","Saturn"},0)),INDEX(CALC_Avasthas!$H$5:$H$11,MATCH(p,{"Sun","Moon","Mars","Mercury","Jupiter","Venus","Saturn"},0)),0)),0),2),0)</f>
        <v>-1.75</v>
      </c>
      <c r="O13" s="552" t="str">
        <f ca="1">IFERROR("Lord="&amp;CALC_BhaveshMap!$D$13&amp;" "&amp;IFERROR(INDEX(CALC_Avasthas!$E$5:$E$11,MATCH(CALC_BhaveshMap!$D$13,{"Sun","Moon","Mars","Mercury","Jupiter","Venus","Saturn"},0)),"—")&amp;" "&amp;IFERROR(INDEX(CALC_Avasthas!$F$5:$F$11,MATCH(CALC_BhaveshMap!$D$13,{"Sun","Moon","Mars","Mercury","Jupiter","Venus","Saturn"},0)),"")&amp;"%","—")</f>
        <v>Lord=Saturn Kumar (Child) 100%</v>
      </c>
      <c r="P13" s="1054">
        <f>IFERROR(CALC_Argala!$H$13,0)</f>
        <v>0.25</v>
      </c>
      <c r="Q13" s="1055">
        <f ca="1">IFERROR(_xludf.switch(CALC_BhaveshMap!$D$13,"Sun",CALC_GrahaYuddha!$D$19,"Moon",CALC_GrahaYuddha!$D$20,"Mars",CALC_GrahaYuddha!$D$21,"Mercury",CALC_GrahaYuddha!$D$22,"Jupiter",CALC_GrahaYuddha!$D$23,"Venus",CALC_GrahaYuddha!$D$24,"Saturn",CALC_GrahaYuddha!$D$25,0),0)</f>
        <v>0</v>
      </c>
      <c r="R13" s="1056" t="str">
        <f t="shared" si="0"/>
        <v>⚠ Cap: penalty ≤ −3.0 (actual -3.50)</v>
      </c>
      <c r="S13" s="1057">
        <f t="shared" ca="1" si="1"/>
        <v>-2.75</v>
      </c>
      <c r="T13">
        <f>IFERROR(IF(REF_Config!$B$6&lt;&gt;"KP",0,_xludf.let(bl,CALC_BhaveshMap!$D$13,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13">
        <f>IFERROR(CALC_RasiDrishti!$G$43,0)</f>
        <v>0</v>
      </c>
      <c r="V13" s="4">
        <f>IFERROR(CALC_RuleInteractionEngine!$H$14,0)</f>
        <v>-1.25</v>
      </c>
    </row>
    <row r="14" spans="1:22" ht="21.75" customHeight="1" x14ac:dyDescent="0.2">
      <c r="A14" s="1058">
        <v>10</v>
      </c>
      <c r="B14" s="261" t="s">
        <v>3197</v>
      </c>
      <c r="C14" s="1059" t="s">
        <v>4496</v>
      </c>
      <c r="D14" s="1049">
        <f>IFERROR(SCORE_H10_Career!$C$32,0)</f>
        <v>0</v>
      </c>
      <c r="E14" s="1049">
        <f>IFERROR(SCORE_H10_Career!$C$33,0)</f>
        <v>2.5</v>
      </c>
      <c r="F14" s="1049">
        <f>IFERROR(SCORE_H10_Career!$C$34,0)</f>
        <v>-1</v>
      </c>
      <c r="G14" s="1049">
        <f>IFERROR(SCORE_H10_Career!$C$35,0)</f>
        <v>-2.5</v>
      </c>
      <c r="H14" s="1049">
        <f>IFERROR(SCORE_H10_Career!$C$36,0)</f>
        <v>0</v>
      </c>
      <c r="I14" s="1060">
        <f>IFERROR(SCORE_H10_Career!$C$37,0)</f>
        <v>-1</v>
      </c>
      <c r="J14" s="1051">
        <f>IFERROR(SCORE_H10_Career!$C$40,0)</f>
        <v>-1</v>
      </c>
      <c r="K14" s="63" t="str">
        <f>IFERROR(IF(SCORE_H10_Career!$C$40&gt;=7,"Excellent",IF(SCORE_H10_Career!$C$40&gt;=4,"Good",IF(SCORE_H10_Career!$C$40&gt;=1,"Moderate",IF(SCORE_H10_Career!$C$40&gt;=-2,"Mixed",IF(SCORE_H10_Career!$C$40&gt;=-5,"Weak","Very Weak"))))),"—")</f>
        <v>Mixed</v>
      </c>
      <c r="L14" s="63" t="str">
        <f>IFERROR(SCORE_H10_Career!$C$41,"—")</f>
        <v>Vivadit</v>
      </c>
      <c r="M14" s="1061">
        <f ca="1">IFERROR(J14*CALC_DashaModifier!$F$14,J14)</f>
        <v>-1</v>
      </c>
      <c r="N14" s="1062">
        <f ca="1">IFERROR(ROUND(J14*(IFERROR(_xludf.let(p,CALC_BhaveshMap!$D$14,IF(ISNUMBER(MATCH(p,{"Sun","Moon","Mars","Mercury","Jupiter","Venus","Saturn"},0)),INDEX(CALC_Avasthas!$F$5:$F$11,MATCH(p,{"Sun","Moon","Mars","Mercury","Jupiter","Venus","Saturn"},0))/100,1)),1))+IFERROR(_xludf.let(p,CALC_BhaveshMap!$D$14,IF(ISNUMBER(MATCH(p,{"Sun","Moon","Mars","Mercury","Jupiter","Venus","Saturn"},0)),INDEX(CALC_Avasthas!$H$5:$H$11,MATCH(p,{"Sun","Moon","Mars","Mercury","Jupiter","Venus","Saturn"},0)),0)),0),2),0)</f>
        <v>-1</v>
      </c>
      <c r="O14" s="548" t="str">
        <f ca="1">IFERROR("Lord="&amp;CALC_BhaveshMap!$D$14&amp;" "&amp;IFERROR(INDEX(CALC_Avasthas!$E$5:$E$11,MATCH(CALC_BhaveshMap!$D$14,{"Sun","Moon","Mars","Mercury","Jupiter","Venus","Saturn"},0)),"—")&amp;" "&amp;IFERROR(INDEX(CALC_Avasthas!$F$5:$F$11,MATCH(CALC_BhaveshMap!$D$14,{"Sun","Moon","Mars","Mercury","Jupiter","Venus","Saturn"},0)),"")&amp;"%","—")</f>
        <v>Lord=Saturn Kumar (Child) 100%</v>
      </c>
      <c r="P14" s="1063">
        <f>IFERROR(CALC_Argala!$H$14,0)</f>
        <v>0.25</v>
      </c>
      <c r="Q14" s="1064">
        <f ca="1">IFERROR(_xludf.switch(CALC_BhaveshMap!$D$14,"Sun",CALC_GrahaYuddha!$D$19,"Moon",CALC_GrahaYuddha!$D$20,"Mars",CALC_GrahaYuddha!$D$21,"Mercury",CALC_GrahaYuddha!$D$22,"Jupiter",CALC_GrahaYuddha!$D$23,"Venus",CALC_GrahaYuddha!$D$24,"Saturn",CALC_GrahaYuddha!$D$25,0),0)</f>
        <v>0</v>
      </c>
      <c r="R14" s="1065" t="str">
        <f t="shared" si="0"/>
        <v>⚠ Cap: penalty ≤ −3.0 (actual -3.50)</v>
      </c>
      <c r="S14" s="1066">
        <f t="shared" ca="1" si="1"/>
        <v>-1.5</v>
      </c>
      <c r="T14">
        <f>IFERROR(IF(REF_Config!$B$6&lt;&gt;"KP",0,_xludf.let(bl,CALC_BhaveshMap!$D$14,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14">
        <f>IFERROR(CALC_RasiDrishti!$G$44,0)</f>
        <v>0</v>
      </c>
      <c r="V14" s="4">
        <f>IFERROR(CALC_RuleInteractionEngine!$H$15,0)</f>
        <v>-0.75</v>
      </c>
    </row>
    <row r="15" spans="1:22" ht="21.75" customHeight="1" x14ac:dyDescent="0.2">
      <c r="A15" s="1046">
        <v>11</v>
      </c>
      <c r="B15" s="1047" t="s">
        <v>3736</v>
      </c>
      <c r="C15" s="1048" t="s">
        <v>4497</v>
      </c>
      <c r="D15" s="1049">
        <f>IFERROR(SCORE_H11_Gains!$C$32,0)</f>
        <v>0.5</v>
      </c>
      <c r="E15" s="1049">
        <f>IFERROR(SCORE_H11_Gains!$C$33,0)</f>
        <v>1</v>
      </c>
      <c r="F15" s="1049">
        <f>IFERROR(SCORE_H11_Gains!$C$34,0)</f>
        <v>-1</v>
      </c>
      <c r="G15" s="1049">
        <f>IFERROR(SCORE_H11_Gains!$C$35,0)</f>
        <v>-2</v>
      </c>
      <c r="H15" s="1049">
        <f>IFERROR(SCORE_H11_Gains!$C$36,0)</f>
        <v>-0.5</v>
      </c>
      <c r="I15" s="1050">
        <f>IFERROR(SCORE_H11_Gains!$C$37,0)</f>
        <v>-2</v>
      </c>
      <c r="J15" s="1051">
        <f>IFERROR(SCORE_H11_Gains!$C$40,0)</f>
        <v>-2</v>
      </c>
      <c r="K15" s="512" t="str">
        <f>IFERROR(IF(SCORE_H11_Gains!$C$40&gt;=7,"Excellent",IF(SCORE_H11_Gains!$C$40&gt;=4,"Good",IF(SCORE_H11_Gains!$C$40&gt;=1,"Moderate",IF(SCORE_H11_Gains!$C$40&gt;=-2,"Mixed",IF(SCORE_H11_Gains!$C$40&gt;=-5,"Weak","Very Weak"))))),"—")</f>
        <v>Mixed</v>
      </c>
      <c r="L15" s="512" t="str">
        <f>IFERROR(SCORE_H11_Gains!$C$41,"—")</f>
        <v>Vivadit</v>
      </c>
      <c r="M15" s="1052">
        <f ca="1">IFERROR(J15*CALC_DashaModifier!$F$15,J15)</f>
        <v>-2</v>
      </c>
      <c r="N15" s="1053">
        <f ca="1">IFERROR(ROUND(J15*(IFERROR(_xludf.let(p,CALC_BhaveshMap!$D$15,IF(ISNUMBER(MATCH(p,{"Sun","Moon","Mars","Mercury","Jupiter","Venus","Saturn"},0)),INDEX(CALC_Avasthas!$F$5:$F$11,MATCH(p,{"Sun","Moon","Mars","Mercury","Jupiter","Venus","Saturn"},0))/100,1)),1))+IFERROR(_xludf.let(p,CALC_BhaveshMap!$D$15,IF(ISNUMBER(MATCH(p,{"Sun","Moon","Mars","Mercury","Jupiter","Venus","Saturn"},0)),INDEX(CALC_Avasthas!$H$5:$H$11,MATCH(p,{"Sun","Moon","Mars","Mercury","Jupiter","Venus","Saturn"},0)),0)),0),2),0)</f>
        <v>-2</v>
      </c>
      <c r="O15" s="552" t="str">
        <f ca="1">IFERROR("Lord="&amp;CALC_BhaveshMap!$D$15&amp;" "&amp;IFERROR(INDEX(CALC_Avasthas!$E$5:$E$11,MATCH(CALC_BhaveshMap!$D$15,{"Sun","Moon","Mars","Mercury","Jupiter","Venus","Saturn"},0)),"—")&amp;" "&amp;IFERROR(INDEX(CALC_Avasthas!$F$5:$F$11,MATCH(CALC_BhaveshMap!$D$15,{"Sun","Moon","Mars","Mercury","Jupiter","Venus","Saturn"},0)),"")&amp;"%","—")</f>
        <v>Lord=Jupiter Mrita (Dead) 100%</v>
      </c>
      <c r="P15" s="1054">
        <f>IFERROR(CALC_Argala!$H$15,0)</f>
        <v>0.25</v>
      </c>
      <c r="Q15" s="1055">
        <f ca="1">IFERROR(_xludf.switch(CALC_BhaveshMap!$D$15,"Sun",CALC_GrahaYuddha!$D$19,"Moon",CALC_GrahaYuddha!$D$20,"Mars",CALC_GrahaYuddha!$D$21,"Mercury",CALC_GrahaYuddha!$D$22,"Jupiter",CALC_GrahaYuddha!$D$23,"Venus",CALC_GrahaYuddha!$D$24,"Saturn",CALC_GrahaYuddha!$D$25,0),0)</f>
        <v>0</v>
      </c>
      <c r="R15" s="1056" t="str">
        <f t="shared" si="0"/>
        <v>✓ Within cap</v>
      </c>
      <c r="S15" s="1057">
        <f t="shared" ca="1" si="1"/>
        <v>-1.75</v>
      </c>
      <c r="T15">
        <f>IFERROR(IF(REF_Config!$B$6&lt;&gt;"KP",0,_xludf.let(bl,CALC_BhaveshMap!$D$15,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15">
        <f>IFERROR(CALC_RasiDrishti!$G$45,0)</f>
        <v>0</v>
      </c>
      <c r="V15" s="4">
        <f>IFERROR(CALC_RuleInteractionEngine!$H$16,0)</f>
        <v>0</v>
      </c>
    </row>
    <row r="16" spans="1:22" ht="21.75" customHeight="1" x14ac:dyDescent="0.2">
      <c r="A16" s="1067">
        <v>12</v>
      </c>
      <c r="B16" s="1068" t="s">
        <v>3737</v>
      </c>
      <c r="C16" s="1069" t="s">
        <v>4498</v>
      </c>
      <c r="D16" s="1049">
        <f>IFERROR(SCORE_H12_Liberation!$C$32,0)</f>
        <v>0.75</v>
      </c>
      <c r="E16" s="1049">
        <f>IFERROR(SCORE_H12_Liberation!$C$33,0)</f>
        <v>0.5</v>
      </c>
      <c r="F16" s="1049">
        <f>IFERROR(SCORE_H12_Liberation!$C$34,0)</f>
        <v>-1</v>
      </c>
      <c r="G16" s="1049">
        <f>IFERROR(SCORE_H12_Liberation!$C$35,0)</f>
        <v>-0.5</v>
      </c>
      <c r="H16" s="1049">
        <f>IFERROR(SCORE_H12_Liberation!$C$36,0)</f>
        <v>0</v>
      </c>
      <c r="I16" s="1070">
        <f>IFERROR(SCORE_H12_Liberation!$C$37,0)</f>
        <v>-0.25</v>
      </c>
      <c r="J16" s="1051">
        <f>IFERROR(SCORE_H12_Liberation!$C$40,0)</f>
        <v>-0.25</v>
      </c>
      <c r="K16" s="1071" t="str">
        <f>IFERROR(IF(SCORE_H12_Liberation!$C$40&gt;=7,"Excellent",IF(SCORE_H12_Liberation!$C$40&gt;=4,"Good",IF(SCORE_H12_Liberation!$C$40&gt;=1,"Moderate",IF(SCORE_H12_Liberation!$C$40&gt;=-2,"Mixed",IF(SCORE_H12_Liberation!$C$40&gt;=-5,"Weak","Very Weak"))))),"—")</f>
        <v>Mixed</v>
      </c>
      <c r="L16" s="1071" t="str">
        <f>IFERROR(SCORE_H12_Liberation!$C$41,"—")</f>
        <v>Vivadit</v>
      </c>
      <c r="M16" s="1072">
        <f ca="1">IFERROR(J16*CALC_DashaModifier!$F$16,J16)</f>
        <v>-0.28749999999999998</v>
      </c>
      <c r="N16" s="1062">
        <f ca="1">IFERROR(ROUND(J16*(IFERROR(_xludf.let(p,CALC_BhaveshMap!$D$16,IF(ISNUMBER(MATCH(p,{"Sun","Moon","Mars","Mercury","Jupiter","Venus","Saturn"},0)),INDEX(CALC_Avasthas!$F$5:$F$11,MATCH(p,{"Sun","Moon","Mars","Mercury","Jupiter","Venus","Saturn"},0))/100,1)),1))+IFERROR(_xludf.let(p,CALC_BhaveshMap!$D$16,IF(ISNUMBER(MATCH(p,{"Sun","Moon","Mars","Mercury","Jupiter","Venus","Saturn"},0)),INDEX(CALC_Avasthas!$H$5:$H$11,MATCH(p,{"Sun","Moon","Mars","Mercury","Jupiter","Venus","Saturn"},0)),0)),0),2),0)</f>
        <v>-0.25</v>
      </c>
      <c r="O16" s="548" t="str">
        <f ca="1">IFERROR("Lord="&amp;CALC_BhaveshMap!$D$16&amp;" "&amp;IFERROR(INDEX(CALC_Avasthas!$E$5:$E$11,MATCH(CALC_BhaveshMap!$D$16,{"Sun","Moon","Mars","Mercury","Jupiter","Venus","Saturn"},0)),"—")&amp;" "&amp;IFERROR(INDEX(CALC_Avasthas!$F$5:$F$11,MATCH(CALC_BhaveshMap!$D$16,{"Sun","Moon","Mars","Mercury","Jupiter","Venus","Saturn"},0)),"")&amp;"%","—")</f>
        <v>Lord=Mars Kumar (Child) 100%</v>
      </c>
      <c r="P16" s="1063">
        <f>IFERROR(CALC_Argala!$H$16,0)</f>
        <v>0.25</v>
      </c>
      <c r="Q16" s="1064">
        <f ca="1">IFERROR(_xludf.switch(CALC_BhaveshMap!$D$16,"Sun",CALC_GrahaYuddha!$D$19,"Moon",CALC_GrahaYuddha!$D$20,"Mars",CALC_GrahaYuddha!$D$21,"Mercury",CALC_GrahaYuddha!$D$22,"Jupiter",CALC_GrahaYuddha!$D$23,"Venus",CALC_GrahaYuddha!$D$24,"Saturn",CALC_GrahaYuddha!$D$25,0),0)</f>
        <v>0</v>
      </c>
      <c r="R16" s="1065" t="str">
        <f t="shared" si="0"/>
        <v>✓ Within cap</v>
      </c>
      <c r="S16" s="1066">
        <f t="shared" ca="1" si="1"/>
        <v>-1</v>
      </c>
      <c r="T16">
        <f>IFERROR(IF(REF_Config!$B$6&lt;&gt;"KP",0,_xludf.let(bl,CALC_BhaveshMap!$D$16,sl_house,_xludf.switch(bl,"Sun",CALC_KPSubLord!$G$6,"Moon",CALC_KPSubLord!$G$7,"Mars",CALC_KPSubLord!$G$8,"Mercury",CALC_KPSubLord!$G$9,"Jupiter",CALC_KPSubLord!$G$10,"Venus",CALC_KPSubLord!$G$11,"Saturn",CALC_KPSubLord!$G$12,"Rahu",CALC_KPSubLord!$G$13,"Ketu",CALC_KPSubLord!$G$14,0),IF(ISNUMBER(MATCH(sl_house,{1,5,9,11},0)),0.5,IF(ISNUMBER(MATCH(sl_house,{6,8,12},0)),-0.5,0)))),0)</f>
        <v>0</v>
      </c>
      <c r="U16">
        <f>IFERROR(CALC_RasiDrishti!$G$46,0)</f>
        <v>0</v>
      </c>
      <c r="V16" s="4">
        <f>IFERROR(CALC_RuleInteractionEngine!$H$17,0)</f>
        <v>-1</v>
      </c>
    </row>
    <row r="17" spans="1:19" ht="24" customHeight="1" x14ac:dyDescent="0.2">
      <c r="A17" s="1587" t="s">
        <v>4499</v>
      </c>
      <c r="B17" s="1587"/>
      <c r="C17" s="1587"/>
      <c r="D17" s="1073"/>
      <c r="E17" s="1073"/>
      <c r="F17" s="1073"/>
      <c r="G17" s="1073"/>
      <c r="H17" s="1073">
        <f>IFERROR(CALC_LagneshStrength!$I$4,0)</f>
        <v>0</v>
      </c>
      <c r="I17" s="1074">
        <f>IFERROR(AVERAGE(I5:I16),0)</f>
        <v>-0.875</v>
      </c>
      <c r="J17" s="1075">
        <f>IFERROR(AVERAGE(J5:J16),0)</f>
        <v>-0.875</v>
      </c>
      <c r="K17" s="1588" t="s">
        <v>4500</v>
      </c>
      <c r="L17" s="1588"/>
      <c r="M17" s="1588"/>
      <c r="S17" s="4">
        <f ca="1">IFERROR(AVERAGE(S5:S16),0)</f>
        <v>-1.1875</v>
      </c>
    </row>
    <row r="18" spans="1:19" ht="15.75" customHeight="1" x14ac:dyDescent="0.2">
      <c r="A18" s="1076" t="s">
        <v>4501</v>
      </c>
      <c r="D18" s="1077" t="s">
        <v>36</v>
      </c>
      <c r="K18" s="1078" t="s">
        <v>4502</v>
      </c>
    </row>
    <row r="19" spans="1:19" ht="49.5" customHeight="1" x14ac:dyDescent="0.2">
      <c r="A19" s="844" t="s">
        <v>4503</v>
      </c>
      <c r="C19" s="1079">
        <f>IFERROR(YOGA_Mahapurush!G18,0)</f>
        <v>0</v>
      </c>
      <c r="D19" s="1080" t="s">
        <v>4504</v>
      </c>
      <c r="K19" s="1081" t="s">
        <v>4505</v>
      </c>
    </row>
    <row r="20" spans="1:19" ht="15.75" customHeight="1" x14ac:dyDescent="0.2">
      <c r="A20" s="1082" t="s">
        <v>4506</v>
      </c>
      <c r="C20" s="1083">
        <f>IFERROR(YOGA_DhanaRaja!G21,0)</f>
        <v>16</v>
      </c>
      <c r="D20" s="1084" t="s">
        <v>4507</v>
      </c>
      <c r="K20" s="1085" t="s">
        <v>4508</v>
      </c>
    </row>
    <row r="21" spans="1:19" ht="15.75" customHeight="1" x14ac:dyDescent="0.2">
      <c r="A21" s="826" t="s">
        <v>4509</v>
      </c>
      <c r="C21" s="1079">
        <f>IFERROR(YOGA_Graha!G16,0)</f>
        <v>8</v>
      </c>
      <c r="D21" s="1080" t="s">
        <v>4510</v>
      </c>
      <c r="K21" s="1081" t="s">
        <v>4511</v>
      </c>
    </row>
    <row r="22" spans="1:19" ht="15.75" customHeight="1" x14ac:dyDescent="0.2">
      <c r="A22" s="1082" t="s">
        <v>4512</v>
      </c>
      <c r="C22" s="1083">
        <f>IFERROR(YOGA_Viparita!G12,0)</f>
        <v>2</v>
      </c>
      <c r="D22" s="1084" t="s">
        <v>3353</v>
      </c>
      <c r="K22" s="1085" t="s">
        <v>4513</v>
      </c>
    </row>
    <row r="23" spans="1:19" ht="15.75" customHeight="1" x14ac:dyDescent="0.2">
      <c r="A23" s="826" t="s">
        <v>1118</v>
      </c>
      <c r="C23" s="1079">
        <f>IFERROR(YOGA_NeechaBhanga!G13,0)</f>
        <v>0</v>
      </c>
      <c r="D23" s="1080" t="s">
        <v>4514</v>
      </c>
      <c r="K23" s="1081" t="s">
        <v>4515</v>
      </c>
    </row>
    <row r="24" spans="1:19" ht="15.75" customHeight="1" x14ac:dyDescent="0.2">
      <c r="A24" s="1086" t="s">
        <v>4516</v>
      </c>
      <c r="C24" s="1083">
        <f>IFERROR(SUM(C19:C23),0)</f>
        <v>26</v>
      </c>
      <c r="D24" s="1084" t="s">
        <v>36</v>
      </c>
      <c r="K24" s="1085" t="s">
        <v>4517</v>
      </c>
    </row>
    <row r="25" spans="1:19" ht="15.75" customHeight="1" x14ac:dyDescent="0.2">
      <c r="A25" s="826" t="s">
        <v>4518</v>
      </c>
      <c r="C25" s="1079">
        <f>IFERROR(C24/12,0)</f>
        <v>2.1666666666666665</v>
      </c>
      <c r="D25" s="1080" t="s">
        <v>36</v>
      </c>
      <c r="K25" s="1081" t="s">
        <v>4519</v>
      </c>
    </row>
  </sheetData>
  <mergeCells count="4">
    <mergeCell ref="A1:M1"/>
    <mergeCell ref="A2:M2"/>
    <mergeCell ref="A17:C17"/>
    <mergeCell ref="K17:M17"/>
  </mergeCells>
  <pageMargins left="0.75" right="0.75" top="1" bottom="1" header="0.511811023622047" footer="0.511811023622047"/>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B71C1C"/>
  </sheetPr>
  <dimension ref="A1:L267"/>
  <sheetViews>
    <sheetView zoomScaleNormal="100" workbookViewId="0"/>
  </sheetViews>
  <sheetFormatPr defaultColWidth="8.609375" defaultRowHeight="15" x14ac:dyDescent="0.2"/>
  <cols>
    <col min="1" max="1" width="7.93359375" customWidth="1"/>
    <col min="2" max="2" width="22.05859375" customWidth="1"/>
    <col min="3" max="3" width="18.0234375" customWidth="1"/>
    <col min="4" max="4" width="39.953125" customWidth="1"/>
    <col min="5" max="6" width="9.953125" customWidth="1"/>
    <col min="7" max="7" width="11.97265625" customWidth="1"/>
    <col min="8" max="8" width="36.05078125" customWidth="1"/>
  </cols>
  <sheetData>
    <row r="1" spans="1:12" ht="27.75" customHeight="1" x14ac:dyDescent="0.2">
      <c r="A1" s="1589" t="s">
        <v>4520</v>
      </c>
      <c r="B1" s="1589"/>
      <c r="C1" s="1589"/>
      <c r="D1" s="1589"/>
      <c r="E1" s="1589"/>
      <c r="F1" s="1589"/>
      <c r="G1" s="1589"/>
      <c r="H1" s="1589"/>
      <c r="L1" s="29" t="str">
        <f>HYPERLINK("#'00_INDEX'!A1","&lt;- Index")</f>
        <v>&lt;- Index</v>
      </c>
    </row>
    <row r="2" spans="1:12" ht="24" customHeight="1" x14ac:dyDescent="0.2">
      <c r="A2" s="1590" t="s">
        <v>4521</v>
      </c>
      <c r="B2" s="1590"/>
      <c r="C2" s="1590"/>
      <c r="D2" s="1590"/>
      <c r="E2" s="1590"/>
      <c r="F2" s="1590"/>
      <c r="G2" s="1590"/>
      <c r="H2" s="1590"/>
    </row>
    <row r="4" spans="1:12" ht="21.75" customHeight="1" x14ac:dyDescent="0.2">
      <c r="A4" s="1591" t="s">
        <v>4522</v>
      </c>
      <c r="B4" s="1591"/>
      <c r="C4" s="1591"/>
      <c r="D4" s="1591"/>
      <c r="E4" s="1591"/>
      <c r="F4" s="1591"/>
      <c r="G4" s="1591"/>
      <c r="H4" s="1591"/>
    </row>
    <row r="5" spans="1:12" ht="18" customHeight="1" x14ac:dyDescent="0.2">
      <c r="A5" s="1087" t="s">
        <v>2393</v>
      </c>
      <c r="B5" s="1087" t="s">
        <v>3141</v>
      </c>
      <c r="C5" s="1087" t="s">
        <v>4523</v>
      </c>
      <c r="D5" s="1087" t="s">
        <v>3617</v>
      </c>
      <c r="E5" s="1087" t="s">
        <v>2043</v>
      </c>
      <c r="F5" s="1087" t="s">
        <v>4524</v>
      </c>
      <c r="G5" s="1087" t="s">
        <v>4525</v>
      </c>
      <c r="H5" s="1087" t="s">
        <v>4526</v>
      </c>
    </row>
    <row r="6" spans="1:12" ht="18" customHeight="1" x14ac:dyDescent="0.2">
      <c r="A6" s="316" t="s">
        <v>3365</v>
      </c>
      <c r="B6" s="1088" t="s">
        <v>4527</v>
      </c>
      <c r="C6" s="467" t="s">
        <v>4528</v>
      </c>
      <c r="D6" s="1089" t="s">
        <v>4529</v>
      </c>
      <c r="E6" s="100" t="s">
        <v>3546</v>
      </c>
      <c r="F6" s="1090">
        <f>IFERROR(IF(INDEX(REF_Zodiac!$D$17:$O$17,MATCH(CALC_BhaveshMap!$C$5,REF_Zodiac!$D$3:$O$3,0))="Gentle",1,0),0)</f>
        <v>1</v>
      </c>
      <c r="G6" s="1091">
        <f>F6*0.5</f>
        <v>0.5</v>
      </c>
      <c r="H6" s="1092" t="s">
        <v>4530</v>
      </c>
    </row>
    <row r="7" spans="1:12" ht="18" customHeight="1" x14ac:dyDescent="0.2">
      <c r="A7" s="316" t="s">
        <v>3016</v>
      </c>
      <c r="B7" s="1088" t="s">
        <v>4527</v>
      </c>
      <c r="C7" s="467" t="s">
        <v>4528</v>
      </c>
      <c r="D7" s="1089" t="s">
        <v>4531</v>
      </c>
      <c r="E7" s="100" t="s">
        <v>1081</v>
      </c>
      <c r="F7"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AND(FALSE(),(MOD(MATCH(CALC_PlanetPositions!$B$14,{"Aries","Taurus","Gemini","Cancer","Leo","Virgo","Libra","Scorpio","Sagittarius","Capricorn","Aquarius","Pisces"},0)-MATCH(INPUT_Chart!$C$5,{"Aries","Taurus","Gemini","Cancer","Leo","Virgo","Libra","Scorpio","Sagittarius","Capricorn","Aquarius","Pisces"},0),12)+1)=1),AND(FALSE(),(MOD(MATCH(CALC_PlanetPositions!$B$15,{"Aries","Taurus","Gemini","Cancer","Leo","Virgo","Libra","Scorpio","Sagittarius","Capricorn","Aquarius","Pisces"},0)-MATCH(INPUT_Chart!$C$5,{"Aries","Taurus","Gemini","Cancer","Leo","Virgo","Libra","Scorpio","Sagittarius","Capricorn","Aquarius","Pisces"},0),12)+1)=1)),1,0),0)</f>
        <v>0</v>
      </c>
      <c r="G7" s="1091">
        <f>F7*1</f>
        <v>0</v>
      </c>
      <c r="H7" s="1092" t="s">
        <v>4532</v>
      </c>
    </row>
    <row r="8" spans="1:12" ht="18" customHeight="1" x14ac:dyDescent="0.2">
      <c r="A8" s="316" t="s">
        <v>3065</v>
      </c>
      <c r="B8" s="1088" t="s">
        <v>4527</v>
      </c>
      <c r="C8" s="467" t="s">
        <v>4533</v>
      </c>
      <c r="D8" s="1089" t="s">
        <v>4534</v>
      </c>
      <c r="E8" s="100" t="s">
        <v>1085</v>
      </c>
      <c r="F8" s="1090">
        <f>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f>
        <v>0</v>
      </c>
      <c r="G8" s="1091">
        <f>F8*0.75</f>
        <v>0</v>
      </c>
      <c r="H8" s="1092" t="s">
        <v>4535</v>
      </c>
    </row>
    <row r="9" spans="1:12" ht="18" customHeight="1" x14ac:dyDescent="0.2">
      <c r="A9" s="356" t="s">
        <v>3015</v>
      </c>
      <c r="B9" s="1093" t="s">
        <v>4536</v>
      </c>
      <c r="C9" s="463" t="s">
        <v>4528</v>
      </c>
      <c r="D9" s="1094" t="s">
        <v>4537</v>
      </c>
      <c r="E9" s="101" t="s">
        <v>1075</v>
      </c>
      <c r="F9" s="1090">
        <f>IFERROR(IF(AND(OR(CALC_BhaveshMap!$I$5="Yes",CALC_BhaveshMap!$J$5="Yes"),NOT(CALC_BhaveshMap!$K$5="Yes")),1,0),0)</f>
        <v>0</v>
      </c>
      <c r="G9" s="1095">
        <f>F9*2</f>
        <v>0</v>
      </c>
      <c r="H9" s="1092" t="s">
        <v>4538</v>
      </c>
    </row>
    <row r="10" spans="1:12" ht="18" customHeight="1" x14ac:dyDescent="0.2">
      <c r="A10" s="356" t="s">
        <v>3092</v>
      </c>
      <c r="B10" s="1093" t="s">
        <v>4536</v>
      </c>
      <c r="C10" s="463" t="s">
        <v>4533</v>
      </c>
      <c r="D10" s="1094" t="s">
        <v>3093</v>
      </c>
      <c r="E10" s="101" t="s">
        <v>1081</v>
      </c>
      <c r="F10" s="1090">
        <f>IFERROR(IF(OR(AND(CALC_BhaveshMap!$G$5=CALC_BhaveshMap!$G$5,CALC_BhaveshMap!$D$5&lt;&gt;CALC_BhaveshMap!$D$5),AND(CALC_BhaveshMap!$G$8=CALC_BhaveshMap!$G$5,CALC_BhaveshMap!$D$8&lt;&gt;CALC_BhaveshMap!$D$5),AND(CALC_BhaveshMap!$G$9=CALC_BhaveshMap!$G$5,CALC_BhaveshMap!$D$9&lt;&gt;CALC_BhaveshMap!$D$5),AND(CALC_BhaveshMap!$G$11=CALC_BhaveshMap!$G$5,CALC_BhaveshMap!$D$11&lt;&gt;CALC_BhaveshMap!$D$5),AND(CALC_BhaveshMap!$G$13=CALC_BhaveshMap!$G$5,CALC_BhaveshMap!$D$13&lt;&gt;CALC_BhaveshMap!$D$5),AND(CALC_BhaveshMap!$G$14=CALC_BhaveshMap!$G$5,CALC_BhaveshMap!$D$14&lt;&gt;CALC_BhaveshMap!$D$5)),1,0),0)</f>
        <v>1</v>
      </c>
      <c r="G10" s="1095">
        <f>F10*0.5</f>
        <v>0.5</v>
      </c>
      <c r="H10" s="1092" t="s">
        <v>4539</v>
      </c>
    </row>
    <row r="11" spans="1:12" ht="18" customHeight="1" x14ac:dyDescent="0.2">
      <c r="A11" s="356" t="s">
        <v>3028</v>
      </c>
      <c r="B11" s="1093" t="s">
        <v>4536</v>
      </c>
      <c r="C11" s="463" t="s">
        <v>4528</v>
      </c>
      <c r="D11" s="1094" t="s">
        <v>4540</v>
      </c>
      <c r="E11" s="101" t="s">
        <v>1081</v>
      </c>
      <c r="F11" s="1090">
        <v>0</v>
      </c>
      <c r="G11" s="1095">
        <f>F11*1</f>
        <v>0</v>
      </c>
      <c r="H11" s="1092" t="s">
        <v>4541</v>
      </c>
    </row>
    <row r="12" spans="1:12" ht="18" customHeight="1" x14ac:dyDescent="0.2">
      <c r="A12" s="356" t="s">
        <v>3112</v>
      </c>
      <c r="B12" s="1093" t="s">
        <v>4536</v>
      </c>
      <c r="C12" s="463" t="s">
        <v>4533</v>
      </c>
      <c r="D12" s="1094" t="s">
        <v>4542</v>
      </c>
      <c r="E12" s="101" t="s">
        <v>1081</v>
      </c>
      <c r="F12" s="1090">
        <f>IFERROR(IF(OR(AND(OR(CALC_PlanetPositions!$M$7="Benefic",CALC_PlanetPositions!$M$7="Yogakaraka"),INDEX(REF_Aspects!$D$5:$O$13,1,MOD(CALC_BhaveshMap!$H$5-(MOD(MATCH(CALC_PlanetPositions!$B$7,{"Aries","Taurus","Gemini","Cancer","Leo","Virgo","Libra","Scorpio","Sagittarius","Capricorn","Aquarius","Pisces"},0)-MATCH(INPUT_Chart!$C$5,{"Aries","Taurus","Gemini","Cancer","Leo","Virgo","Libra","Scorpio","Sagittarius","Capricorn","Aquarius","Pisces"},0),12)+1),12)+1)="FULL",NOT(CALC_PlanetPositions!$B$7=CALC_BhaveshMap!$G$5)),AND(OR(CALC_PlanetPositions!$M$8="Benefic",CALC_PlanetPositions!$M$8="Yogakaraka"),INDEX(REF_Aspects!$D$5:$O$13,2,MOD(CALC_BhaveshMap!$H$5-(MOD(MATCH(CALC_PlanetPositions!$B$8,{"Aries","Taurus","Gemini","Cancer","Leo","Virgo","Libra","Scorpio","Sagittarius","Capricorn","Aquarius","Pisces"},0)-MATCH(INPUT_Chart!$C$5,{"Aries","Taurus","Gemini","Cancer","Leo","Virgo","Libra","Scorpio","Sagittarius","Capricorn","Aquarius","Pisces"},0),12)+1),12)+1)="FULL",NOT(CALC_PlanetPositions!$B$8=CALC_BhaveshMap!$G$5)),AND(OR(CALC_PlanetPositions!$M$9="Benefic",CALC_PlanetPositions!$M$9="Yogakaraka"),INDEX(REF_Aspects!$D$5:$O$13,3,MOD(CALC_BhaveshMap!$H$5-(MOD(MATCH(CALC_PlanetPositions!$B$9,{"Aries","Taurus","Gemini","Cancer","Leo","Virgo","Libra","Scorpio","Sagittarius","Capricorn","Aquarius","Pisces"},0)-MATCH(INPUT_Chart!$C$5,{"Aries","Taurus","Gemini","Cancer","Leo","Virgo","Libra","Scorpio","Sagittarius","Capricorn","Aquarius","Pisces"},0),12)+1),12)+1)="FULL",NOT(CALC_PlanetPositions!$B$9=CALC_BhaveshMap!$G$5)),AND(OR(CALC_PlanetPositions!$M$10="Benefic",CALC_PlanetPositions!$M$10="Yogakaraka"),INDEX(REF_Aspects!$D$5:$O$13,4,MOD(CALC_BhaveshMap!$H$5-(MOD(MATCH(CALC_PlanetPositions!$B$10,{"Aries","Taurus","Gemini","Cancer","Leo","Virgo","Libra","Scorpio","Sagittarius","Capricorn","Aquarius","Pisces"},0)-MATCH(INPUT_Chart!$C$5,{"Aries","Taurus","Gemini","Cancer","Leo","Virgo","Libra","Scorpio","Sagittarius","Capricorn","Aquarius","Pisces"},0),12)+1),12)+1)="FULL",NOT(CALC_PlanetPositions!$B$10=CALC_BhaveshMap!$G$5)),AND(OR(CALC_PlanetPositions!$M$11="Benefic",CALC_PlanetPositions!$M$11="Yogakaraka"),INDEX(REF_Aspects!$D$5:$O$13,5,MOD(CALC_BhaveshMap!$H$5-(MOD(MATCH(CALC_PlanetPositions!$B$11,{"Aries","Taurus","Gemini","Cancer","Leo","Virgo","Libra","Scorpio","Sagittarius","Capricorn","Aquarius","Pisces"},0)-MATCH(INPUT_Chart!$C$5,{"Aries","Taurus","Gemini","Cancer","Leo","Virgo","Libra","Scorpio","Sagittarius","Capricorn","Aquarius","Pisces"},0),12)+1),12)+1)="FULL",NOT(CALC_PlanetPositions!$B$11=CALC_BhaveshMap!$G$5)),AND(OR(CALC_PlanetPositions!$M$12="Benefic",CALC_PlanetPositions!$M$12="Yogakaraka"),INDEX(REF_Aspects!$D$5:$O$13,6,MOD(CALC_BhaveshMap!$H$5-(MOD(MATCH(CALC_PlanetPositions!$B$12,{"Aries","Taurus","Gemini","Cancer","Leo","Virgo","Libra","Scorpio","Sagittarius","Capricorn","Aquarius","Pisces"},0)-MATCH(INPUT_Chart!$C$5,{"Aries","Taurus","Gemini","Cancer","Leo","Virgo","Libra","Scorpio","Sagittarius","Capricorn","Aquarius","Pisces"},0),12)+1),12)+1)="FULL",NOT(CALC_PlanetPositions!$B$12=CALC_BhaveshMap!$G$5)),AND(OR(CALC_PlanetPositions!$M$13="Benefic",CALC_PlanetPositions!$M$13="Yogakaraka"),INDEX(REF_Aspects!$D$5:$O$13,7,MOD(CALC_BhaveshMap!$H$5-(MOD(MATCH(CALC_PlanetPositions!$B$13,{"Aries","Taurus","Gemini","Cancer","Leo","Virgo","Libra","Scorpio","Sagittarius","Capricorn","Aquarius","Pisces"},0)-MATCH(INPUT_Chart!$C$5,{"Aries","Taurus","Gemini","Cancer","Leo","Virgo","Libra","Scorpio","Sagittarius","Capricorn","Aquarius","Pisces"},0),12)+1),12)+1)="FULL",NOT(CALC_PlanetPositions!$B$13=CALC_BhaveshMap!$G$5)),AND(FALSE(),INDEX(REF_Aspects!$D$5:$O$13,8,MOD(CALC_BhaveshMap!$H$5-(MOD(MATCH(CALC_PlanetPositions!$B$14,{"Aries","Taurus","Gemini","Cancer","Leo","Virgo","Libra","Scorpio","Sagittarius","Capricorn","Aquarius","Pisces"},0)-MATCH(INPUT_Chart!$C$5,{"Aries","Taurus","Gemini","Cancer","Leo","Virgo","Libra","Scorpio","Sagittarius","Capricorn","Aquarius","Pisces"},0),12)+1),12)+1)="FULL",NOT(CALC_PlanetPositions!$B$14=CALC_BhaveshMap!$G$5)),AND(FALSE(),INDEX(REF_Aspects!$D$5:$O$13,9,MOD(CALC_BhaveshMap!$H$5-(MOD(MATCH(CALC_PlanetPositions!$B$15,{"Aries","Taurus","Gemini","Cancer","Leo","Virgo","Libra","Scorpio","Sagittarius","Capricorn","Aquarius","Pisces"},0)-MATCH(INPUT_Chart!$C$5,{"Aries","Taurus","Gemini","Cancer","Leo","Virgo","Libra","Scorpio","Sagittarius","Capricorn","Aquarius","Pisces"},0),12)+1),12)+1)="FULL",NOT(CALC_PlanetPositions!$B$15=CALC_BhaveshMap!$G$5))),1,0),0)</f>
        <v>0</v>
      </c>
      <c r="G12" s="1095">
        <f>F12*0.5</f>
        <v>0</v>
      </c>
      <c r="H12" s="1092" t="s">
        <v>4543</v>
      </c>
    </row>
    <row r="13" spans="1:12" ht="18" customHeight="1" x14ac:dyDescent="0.2">
      <c r="A13" s="356" t="s">
        <v>3033</v>
      </c>
      <c r="B13" s="1093" t="s">
        <v>4536</v>
      </c>
      <c r="C13" s="463" t="s">
        <v>4528</v>
      </c>
      <c r="D13" s="1094" t="s">
        <v>3034</v>
      </c>
      <c r="E13" s="101" t="s">
        <v>1085</v>
      </c>
      <c r="F13"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$5-2,12)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$5-2,12)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$5-2,12)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$5-2,12)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$5-2,12)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$5-2,12)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$5-2,12)+1)),AND(FALSE(),MOD(MATCH(CALC_PlanetPositions!$B$14,{"Aries","Taurus","Gemini","Cancer","Leo","Virgo","Libra","Scorpio","Sagittarius","Capricorn","Aquarius","Pisces"},0)-MATCH(INPUT_Chart!$C$5,{"Aries","Taurus","Gemini","Cancer","Leo","Virgo","Libra","Scorpio","Sagittarius","Capricorn","Aquarius","Pisces"},0),12)+1=(MOD(CALC_BhaveshMap!$H$5-2,12)+1)),AND(FALSE(),MOD(MATCH(CALC_PlanetPositions!$B$15,{"Aries","Taurus","Gemini","Cancer","Leo","Virgo","Libra","Scorpio","Sagittarius","Capricorn","Aquarius","Pisces"},0)-MATCH(INPUT_Chart!$C$5,{"Aries","Taurus","Gemini","Cancer","Leo","Virgo","Libra","Scorpio","Sagittarius","Capricorn","Aquarius","Pisces"},0),12)+1=(MOD(CALC_BhaveshMap!$H$5-2,12)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$5,12)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$5,12)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$5,12)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$5,12)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$5,12)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$5,12)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$5,12)+1)),AND(FALSE(),MOD(MATCH(CALC_PlanetPositions!$B$14,{"Aries","Taurus","Gemini","Cancer","Leo","Virgo","Libra","Scorpio","Sagittarius","Capricorn","Aquarius","Pisces"},0)-MATCH(INPUT_Chart!$C$5,{"Aries","Taurus","Gemini","Cancer","Leo","Virgo","Libra","Scorpio","Sagittarius","Capricorn","Aquarius","Pisces"},0),12)+1=(MOD(CALC_BhaveshMap!$H$5,12)+1)),AND(FALSE(),MOD(MATCH(CALC_PlanetPositions!$B$15,{"Aries","Taurus","Gemini","Cancer","Leo","Virgo","Libra","Scorpio","Sagittarius","Capricorn","Aquarius","Pisces"},0)-MATCH(INPUT_Chart!$C$5,{"Aries","Taurus","Gemini","Cancer","Leo","Virgo","Libra","Scorpio","Sagittarius","Capricorn","Aquarius","Pisces"},0),12)+1=(MOD(CALC_BhaveshMap!$H$5,12)+1)))),1,0),0)</f>
        <v>0</v>
      </c>
      <c r="G13" s="1095">
        <f>F13*0.75</f>
        <v>0</v>
      </c>
      <c r="H13" s="1092" t="s">
        <v>4544</v>
      </c>
    </row>
    <row r="14" spans="1:12" ht="18" customHeight="1" x14ac:dyDescent="0.2">
      <c r="A14" s="315" t="s">
        <v>3050</v>
      </c>
      <c r="B14" s="1096" t="s">
        <v>4545</v>
      </c>
      <c r="C14" s="480" t="s">
        <v>4528</v>
      </c>
      <c r="D14" s="1097" t="s">
        <v>4546</v>
      </c>
      <c r="E14" s="99" t="s">
        <v>1109</v>
      </c>
      <c r="F14" s="1090">
        <f>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f>
        <v>1</v>
      </c>
      <c r="G14" s="1098">
        <f>F14*-1</f>
        <v>-1</v>
      </c>
      <c r="H14" s="1092" t="s">
        <v>4547</v>
      </c>
    </row>
    <row r="15" spans="1:12" ht="18" customHeight="1" x14ac:dyDescent="0.2">
      <c r="A15" s="315" t="s">
        <v>3066</v>
      </c>
      <c r="B15" s="1096" t="s">
        <v>4545</v>
      </c>
      <c r="C15" s="480" t="s">
        <v>4528</v>
      </c>
      <c r="D15" s="1097" t="s">
        <v>4548</v>
      </c>
      <c r="E15" s="99" t="s">
        <v>1109</v>
      </c>
      <c r="F15" s="1090">
        <f>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f>
        <v>1</v>
      </c>
      <c r="G15" s="1098">
        <f>F15*-1</f>
        <v>-1</v>
      </c>
      <c r="H15" s="1092" t="s">
        <v>4549</v>
      </c>
    </row>
    <row r="16" spans="1:12" ht="18" customHeight="1" x14ac:dyDescent="0.2">
      <c r="A16" s="315" t="s">
        <v>3061</v>
      </c>
      <c r="B16" s="1096" t="s">
        <v>4545</v>
      </c>
      <c r="C16" s="480" t="s">
        <v>4528</v>
      </c>
      <c r="D16" s="1097" t="s">
        <v>3062</v>
      </c>
      <c r="E16" s="99" t="s">
        <v>4550</v>
      </c>
      <c r="F16" s="1090">
        <v>0</v>
      </c>
      <c r="G16" s="1098">
        <f>F16*-1.25</f>
        <v>0</v>
      </c>
      <c r="H16" s="1092" t="s">
        <v>4551</v>
      </c>
    </row>
    <row r="17" spans="1:8" ht="18" customHeight="1" x14ac:dyDescent="0.2">
      <c r="A17" s="315" t="s">
        <v>3095</v>
      </c>
      <c r="B17" s="1096" t="s">
        <v>4545</v>
      </c>
      <c r="C17" s="480" t="s">
        <v>4528</v>
      </c>
      <c r="D17" s="1097" t="s">
        <v>4552</v>
      </c>
      <c r="E17" s="99" t="s">
        <v>3564</v>
      </c>
      <c r="F17" s="1090">
        <f>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f>
        <v>0</v>
      </c>
      <c r="G17" s="1098">
        <f>F17*-0.75</f>
        <v>0</v>
      </c>
      <c r="H17" s="1092" t="s">
        <v>4553</v>
      </c>
    </row>
    <row r="18" spans="1:8" ht="18" customHeight="1" x14ac:dyDescent="0.2">
      <c r="A18" s="1099" t="s">
        <v>3036</v>
      </c>
      <c r="B18" s="1100" t="s">
        <v>4554</v>
      </c>
      <c r="C18" s="1101" t="s">
        <v>4528</v>
      </c>
      <c r="D18" s="1102" t="s">
        <v>4555</v>
      </c>
      <c r="E18" s="1103" t="s">
        <v>1109</v>
      </c>
      <c r="F18" s="1090">
        <v>0</v>
      </c>
      <c r="G18" s="1104">
        <f>F18*-1</f>
        <v>0</v>
      </c>
      <c r="H18" s="1092" t="s">
        <v>4556</v>
      </c>
    </row>
    <row r="19" spans="1:8" ht="18" customHeight="1" x14ac:dyDescent="0.2">
      <c r="A19" s="1099" t="s">
        <v>3054</v>
      </c>
      <c r="B19" s="1100" t="s">
        <v>4554</v>
      </c>
      <c r="C19" s="1101" t="s">
        <v>4533</v>
      </c>
      <c r="D19" s="1102" t="s">
        <v>4557</v>
      </c>
      <c r="E19" s="1103" t="s">
        <v>1109</v>
      </c>
      <c r="F19" s="1090">
        <f>IFERROR(IF(OR(AND(CALC_PlanetPositions!$M$7="Malefic",INDEX(REF_Aspects!$D$5:$O$13,1,MOD(CALC_BhaveshMap!$H$5-(MOD(MATCH(CALC_PlanetPositions!$B$7,{"Aries","Taurus","Gemini","Cancer","Leo","Virgo","Libra","Scorpio","Sagittarius","Capricorn","Aquarius","Pisces"},0)-MATCH(INPUT_Chart!$C$5,{"Aries","Taurus","Gemini","Cancer","Leo","Virgo","Libra","Scorpio","Sagittarius","Capricorn","Aquarius","Pisces"},0),12)+1),12)+1)="FULL",NOT(CALC_PlanetPositions!$B$7=CALC_BhaveshMap!$G$5)),AND(CALC_PlanetPositions!$M$8="Malefic",INDEX(REF_Aspects!$D$5:$O$13,2,MOD(CALC_BhaveshMap!$H$5-(MOD(MATCH(CALC_PlanetPositions!$B$8,{"Aries","Taurus","Gemini","Cancer","Leo","Virgo","Libra","Scorpio","Sagittarius","Capricorn","Aquarius","Pisces"},0)-MATCH(INPUT_Chart!$C$5,{"Aries","Taurus","Gemini","Cancer","Leo","Virgo","Libra","Scorpio","Sagittarius","Capricorn","Aquarius","Pisces"},0),12)+1),12)+1)="FULL",NOT(CALC_PlanetPositions!$B$8=CALC_BhaveshMap!$G$5)),AND(CALC_PlanetPositions!$M$9="Malefic",INDEX(REF_Aspects!$D$5:$O$13,3,MOD(CALC_BhaveshMap!$H$5-(MOD(MATCH(CALC_PlanetPositions!$B$9,{"Aries","Taurus","Gemini","Cancer","Leo","Virgo","Libra","Scorpio","Sagittarius","Capricorn","Aquarius","Pisces"},0)-MATCH(INPUT_Chart!$C$5,{"Aries","Taurus","Gemini","Cancer","Leo","Virgo","Libra","Scorpio","Sagittarius","Capricorn","Aquarius","Pisces"},0),12)+1),12)+1)="FULL",NOT(CALC_PlanetPositions!$B$9=CALC_BhaveshMap!$G$5)),AND(CALC_PlanetPositions!$M$10="Malefic",INDEX(REF_Aspects!$D$5:$O$13,4,MOD(CALC_BhaveshMap!$H$5-(MOD(MATCH(CALC_PlanetPositions!$B$10,{"Aries","Taurus","Gemini","Cancer","Leo","Virgo","Libra","Scorpio","Sagittarius","Capricorn","Aquarius","Pisces"},0)-MATCH(INPUT_Chart!$C$5,{"Aries","Taurus","Gemini","Cancer","Leo","Virgo","Libra","Scorpio","Sagittarius","Capricorn","Aquarius","Pisces"},0),12)+1),12)+1)="FULL",NOT(CALC_PlanetPositions!$B$10=CALC_BhaveshMap!$G$5)),AND(CALC_PlanetPositions!$M$11="Malefic",INDEX(REF_Aspects!$D$5:$O$13,5,MOD(CALC_BhaveshMap!$H$5-(MOD(MATCH(CALC_PlanetPositions!$B$11,{"Aries","Taurus","Gemini","Cancer","Leo","Virgo","Libra","Scorpio","Sagittarius","Capricorn","Aquarius","Pisces"},0)-MATCH(INPUT_Chart!$C$5,{"Aries","Taurus","Gemini","Cancer","Leo","Virgo","Libra","Scorpio","Sagittarius","Capricorn","Aquarius","Pisces"},0),12)+1),12)+1)="FULL",NOT(CALC_PlanetPositions!$B$11=CALC_BhaveshMap!$G$5)),AND(CALC_PlanetPositions!$M$12="Malefic",INDEX(REF_Aspects!$D$5:$O$13,6,MOD(CALC_BhaveshMap!$H$5-(MOD(MATCH(CALC_PlanetPositions!$B$12,{"Aries","Taurus","Gemini","Cancer","Leo","Virgo","Libra","Scorpio","Sagittarius","Capricorn","Aquarius","Pisces"},0)-MATCH(INPUT_Chart!$C$5,{"Aries","Taurus","Gemini","Cancer","Leo","Virgo","Libra","Scorpio","Sagittarius","Capricorn","Aquarius","Pisces"},0),12)+1),12)+1)="FULL",NOT(CALC_PlanetPositions!$B$12=CALC_BhaveshMap!$G$5)),AND(CALC_PlanetPositions!$M$13="Malefic",INDEX(REF_Aspects!$D$5:$O$13,7,MOD(CALC_BhaveshMap!$H$5-(MOD(MATCH(CALC_PlanetPositions!$B$13,{"Aries","Taurus","Gemini","Cancer","Leo","Virgo","Libra","Scorpio","Sagittarius","Capricorn","Aquarius","Pisces"},0)-MATCH(INPUT_Chart!$C$5,{"Aries","Taurus","Gemini","Cancer","Leo","Virgo","Libra","Scorpio","Sagittarius","Capricorn","Aquarius","Pisces"},0),12)+1),12)+1)="FULL",NOT(CALC_PlanetPositions!$B$13=CALC_BhaveshMap!$G$5)),AND(TRUE(),INDEX(REF_Aspects!$D$5:$O$13,8,MOD(CALC_BhaveshMap!$H$5-(MOD(MATCH(CALC_PlanetPositions!$B$14,{"Aries","Taurus","Gemini","Cancer","Leo","Virgo","Libra","Scorpio","Sagittarius","Capricorn","Aquarius","Pisces"},0)-MATCH(INPUT_Chart!$C$5,{"Aries","Taurus","Gemini","Cancer","Leo","Virgo","Libra","Scorpio","Sagittarius","Capricorn","Aquarius","Pisces"},0),12)+1),12)+1)="FULL",NOT(CALC_PlanetPositions!$B$14=CALC_BhaveshMap!$G$5)),AND(TRUE(),INDEX(REF_Aspects!$D$5:$O$13,9,MOD(CALC_BhaveshMap!$H$5-(MOD(MATCH(CALC_PlanetPositions!$B$15,{"Aries","Taurus","Gemini","Cancer","Leo","Virgo","Libra","Scorpio","Sagittarius","Capricorn","Aquarius","Pisces"},0)-MATCH(INPUT_Chart!$C$5,{"Aries","Taurus","Gemini","Cancer","Leo","Virgo","Libra","Scorpio","Sagittarius","Capricorn","Aquarius","Pisces"},0),12)+1),12)+1)="FULL",NOT(CALC_PlanetPositions!$B$15=CALC_BhaveshMap!$G$5))),1,0),0)</f>
        <v>1</v>
      </c>
      <c r="G19" s="1104">
        <f>F19*-0.5</f>
        <v>-0.5</v>
      </c>
      <c r="H19" s="1092" t="s">
        <v>4558</v>
      </c>
    </row>
    <row r="20" spans="1:8" ht="18" customHeight="1" x14ac:dyDescent="0.2">
      <c r="A20" s="1099" t="s">
        <v>3041</v>
      </c>
      <c r="B20" s="1100" t="s">
        <v>4554</v>
      </c>
      <c r="C20" s="1101" t="s">
        <v>4528</v>
      </c>
      <c r="D20" s="1102" t="s">
        <v>3042</v>
      </c>
      <c r="E20" s="1103" t="s">
        <v>4559</v>
      </c>
      <c r="F20" s="1090">
        <f>IFERROR(IF(CALC_BhaveshMap!$K$5="Yes",1,0),0)</f>
        <v>0</v>
      </c>
      <c r="G20" s="1104">
        <f>F20*-2</f>
        <v>0</v>
      </c>
      <c r="H20" s="1092" t="s">
        <v>4560</v>
      </c>
    </row>
    <row r="21" spans="1:8" ht="18" customHeight="1" x14ac:dyDescent="0.2">
      <c r="A21" s="1099" t="s">
        <v>3058</v>
      </c>
      <c r="B21" s="1100" t="s">
        <v>4554</v>
      </c>
      <c r="C21" s="1101" t="s">
        <v>4528</v>
      </c>
      <c r="D21" s="1102" t="s">
        <v>3059</v>
      </c>
      <c r="E21" s="1103" t="s">
        <v>1109</v>
      </c>
      <c r="F21" s="1090">
        <f>IFERROR(IF(OR(AND(CALC_BhaveshMap!$G$10=CALC_BhaveshMap!$G$5,CALC_BhaveshMap!$D$10&lt;&gt;CALC_BhaveshMap!$D$5),AND(CALC_BhaveshMap!$G$12=CALC_BhaveshMap!$G$5,CALC_BhaveshMap!$D$12&lt;&gt;CALC_BhaveshMap!$D$5),AND(CALC_BhaveshMap!$G$16=CALC_BhaveshMap!$G$5,CALC_BhaveshMap!$D$16&lt;&gt;CALC_BhaveshMap!$D$5)),1,0),0)</f>
        <v>0</v>
      </c>
      <c r="G21" s="1104">
        <f>F21*-1</f>
        <v>0</v>
      </c>
      <c r="H21" s="1092" t="s">
        <v>4561</v>
      </c>
    </row>
    <row r="22" spans="1:8" ht="18" customHeight="1" x14ac:dyDescent="0.2">
      <c r="A22" s="1105" t="s">
        <v>3083</v>
      </c>
      <c r="B22" s="1106" t="s">
        <v>4562</v>
      </c>
      <c r="C22" s="1107" t="s">
        <v>4528</v>
      </c>
      <c r="D22" s="1108" t="s">
        <v>3084</v>
      </c>
      <c r="E22" s="1109" t="s">
        <v>1089</v>
      </c>
      <c r="F22" s="1110">
        <f>IFERROR(IF(CALC_KarakMap!$M$5&gt;0,CALC_KarakMap!$M$5,0),0)</f>
        <v>0</v>
      </c>
      <c r="G22" s="1111">
        <f>F22</f>
        <v>0</v>
      </c>
      <c r="H22" s="1092" t="s">
        <v>4563</v>
      </c>
    </row>
    <row r="23" spans="1:8" ht="18" customHeight="1" x14ac:dyDescent="0.2">
      <c r="A23" s="1105" t="s">
        <v>3390</v>
      </c>
      <c r="B23" s="1106" t="s">
        <v>4562</v>
      </c>
      <c r="C23" s="1107" t="s">
        <v>4528</v>
      </c>
      <c r="D23" s="1108" t="s">
        <v>4564</v>
      </c>
      <c r="E23" s="1109" t="s">
        <v>1097</v>
      </c>
      <c r="F23" s="1090">
        <f>IFERROR(IF(CALC_KarakMap!$M$5&lt;0,CALC_KarakMap!$M$5,0),0)</f>
        <v>0</v>
      </c>
      <c r="G23" s="1111">
        <f>F23</f>
        <v>0</v>
      </c>
      <c r="H23" s="1092" t="s">
        <v>4565</v>
      </c>
    </row>
    <row r="24" spans="1:8" ht="21.75" customHeight="1" x14ac:dyDescent="0.2">
      <c r="A24" s="1592" t="s">
        <v>4566</v>
      </c>
      <c r="B24" s="1592"/>
      <c r="C24" s="1592"/>
      <c r="D24" s="1592"/>
      <c r="E24" s="1592"/>
      <c r="F24" s="1592"/>
      <c r="G24" s="1112">
        <f>SUM(G6:G23)</f>
        <v>-1.5</v>
      </c>
      <c r="H24" s="1113" t="s">
        <v>4567</v>
      </c>
    </row>
    <row r="25" spans="1:8" ht="24" customHeight="1" x14ac:dyDescent="0.2">
      <c r="A25" s="1114" t="s">
        <v>4568</v>
      </c>
      <c r="D25" s="1115" t="s">
        <v>5578</v>
      </c>
    </row>
    <row r="26" spans="1:8" ht="21.75" customHeight="1" x14ac:dyDescent="0.2">
      <c r="A26" s="1591" t="s">
        <v>4569</v>
      </c>
      <c r="B26" s="1591"/>
      <c r="C26" s="1591"/>
      <c r="D26" s="1591"/>
      <c r="E26" s="1591"/>
      <c r="F26" s="1591"/>
      <c r="G26" s="1591"/>
      <c r="H26" s="1591"/>
    </row>
    <row r="27" spans="1:8" ht="18" customHeight="1" x14ac:dyDescent="0.2">
      <c r="A27" s="1087" t="s">
        <v>2393</v>
      </c>
      <c r="B27" s="1087" t="s">
        <v>3141</v>
      </c>
      <c r="C27" s="1087" t="s">
        <v>4523</v>
      </c>
      <c r="D27" s="1087" t="s">
        <v>3617</v>
      </c>
      <c r="E27" s="1087" t="s">
        <v>2043</v>
      </c>
      <c r="F27" s="1087" t="s">
        <v>4524</v>
      </c>
      <c r="G27" s="1087" t="s">
        <v>4525</v>
      </c>
      <c r="H27" s="1087" t="s">
        <v>4526</v>
      </c>
    </row>
    <row r="28" spans="1:8" ht="18" customHeight="1" x14ac:dyDescent="0.2">
      <c r="A28" s="316" t="s">
        <v>3365</v>
      </c>
      <c r="B28" s="1088" t="s">
        <v>4527</v>
      </c>
      <c r="C28" s="467" t="s">
        <v>4528</v>
      </c>
      <c r="D28" s="1089" t="s">
        <v>4529</v>
      </c>
      <c r="E28" s="100" t="s">
        <v>3546</v>
      </c>
      <c r="F28" s="1090">
        <f>IFERROR(IF(INDEX(REF_Zodiac!$D$17:$O$17,MATCH(CALC_BhaveshMap!$C$6,REF_Zodiac!$D$3:$O$3,0))="Gentle",1,0),0)</f>
        <v>1</v>
      </c>
      <c r="G28" s="1091">
        <f>F28*0.5</f>
        <v>0.5</v>
      </c>
      <c r="H28" s="1092" t="s">
        <v>4530</v>
      </c>
    </row>
    <row r="29" spans="1:8" ht="18" customHeight="1" x14ac:dyDescent="0.2">
      <c r="A29" s="316" t="s">
        <v>3016</v>
      </c>
      <c r="B29" s="1088" t="s">
        <v>4527</v>
      </c>
      <c r="C29" s="467" t="s">
        <v>4528</v>
      </c>
      <c r="D29" s="1089" t="s">
        <v>4531</v>
      </c>
      <c r="E29" s="100" t="s">
        <v>1081</v>
      </c>
      <c r="F29"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2),AND(OR(CALC_PlanetPositions!$M$8="Benefic",CALC_PlanetPositions!$M$8="Yogakaraka"),(MOD(MATCH(CALC_PlanetPositions!$B$8,{"Aries","Taurus","Gemini","Cancer","Leo","Virgo","Libra","Scorpio","Sagittarius","Capricorn","Aquarius","Pisces"},0)-MATCH(INPUT_Chart!$C$5,{"Aries","Taurus","Gemini","Cancer","Leo","Virgo","Libra","Scorpio","Sagittarius","Capricorn","Aquarius","Pisces"},0),12)+1)=2),AND(OR(CALC_PlanetPositions!$M$9="Benefic",CALC_PlanetPositions!$M$9="Yogakaraka"),(MOD(MATCH(CALC_PlanetPositions!$B$9,{"Aries","Taurus","Gemini","Cancer","Leo","Virgo","Libra","Scorpio","Sagittarius","Capricorn","Aquarius","Pisces"},0)-MATCH(INPUT_Chart!$C$5,{"Aries","Taurus","Gemini","Cancer","Leo","Virgo","Libra","Scorpio","Sagittarius","Capricorn","Aquarius","Pisces"},0),12)+1)=2),AND(OR(CALC_PlanetPositions!$M$10="Benefic",CALC_PlanetPositions!$M$10="Yogakaraka"),(MOD(MATCH(CALC_PlanetPositions!$B$10,{"Aries","Taurus","Gemini","Cancer","Leo","Virgo","Libra","Scorpio","Sagittarius","Capricorn","Aquarius","Pisces"},0)-MATCH(INPUT_Chart!$C$5,{"Aries","Taurus","Gemini","Cancer","Leo","Virgo","Libra","Scorpio","Sagittarius","Capricorn","Aquarius","Pisces"},0),12)+1)=2),AND(OR(CALC_PlanetPositions!$M$11="Benefic",CALC_PlanetPositions!$M$11="Yogakaraka"),(MOD(MATCH(CALC_PlanetPositions!$B$11,{"Aries","Taurus","Gemini","Cancer","Leo","Virgo","Libra","Scorpio","Sagittarius","Capricorn","Aquarius","Pisces"},0)-MATCH(INPUT_Chart!$C$5,{"Aries","Taurus","Gemini","Cancer","Leo","Virgo","Libra","Scorpio","Sagittarius","Capricorn","Aquarius","Pisces"},0),12)+1)=2),AND(OR(CALC_PlanetPositions!$M$12="Benefic",CALC_PlanetPositions!$M$12="Yogakaraka"),(MOD(MATCH(CALC_PlanetPositions!$B$12,{"Aries","Taurus","Gemini","Cancer","Leo","Virgo","Libra","Scorpio","Sagittarius","Capricorn","Aquarius","Pisces"},0)-MATCH(INPUT_Chart!$C$5,{"Aries","Taurus","Gemini","Cancer","Leo","Virgo","Libra","Scorpio","Sagittarius","Capricorn","Aquarius","Pisces"},0),12)+1)=2),AND(OR(CALC_PlanetPositions!$M$13="Benefic",CALC_PlanetPositions!$M$13="Yogakaraka"),(MOD(MATCH(CALC_PlanetPositions!$B$13,{"Aries","Taurus","Gemini","Cancer","Leo","Virgo","Libra","Scorpio","Sagittarius","Capricorn","Aquarius","Pisces"},0)-MATCH(INPUT_Chart!$C$5,{"Aries","Taurus","Gemini","Cancer","Leo","Virgo","Libra","Scorpio","Sagittarius","Capricorn","Aquarius","Pisces"},0),12)+1)=2),AND(FALSE(),(MOD(MATCH(CALC_PlanetPositions!$B$14,{"Aries","Taurus","Gemini","Cancer","Leo","Virgo","Libra","Scorpio","Sagittarius","Capricorn","Aquarius","Pisces"},0)-MATCH(INPUT_Chart!$C$5,{"Aries","Taurus","Gemini","Cancer","Leo","Virgo","Libra","Scorpio","Sagittarius","Capricorn","Aquarius","Pisces"},0),12)+1)=2),AND(FALSE(),(MOD(MATCH(CALC_PlanetPositions!$B$15,{"Aries","Taurus","Gemini","Cancer","Leo","Virgo","Libra","Scorpio","Sagittarius","Capricorn","Aquarius","Pisces"},0)-MATCH(INPUT_Chart!$C$5,{"Aries","Taurus","Gemini","Cancer","Leo","Virgo","Libra","Scorpio","Sagittarius","Capricorn","Aquarius","Pisces"},0),12)+1)=2)),1,0),0)</f>
        <v>0</v>
      </c>
      <c r="G29" s="1091">
        <f>F29*1</f>
        <v>0</v>
      </c>
      <c r="H29" s="1092" t="s">
        <v>4532</v>
      </c>
    </row>
    <row r="30" spans="1:8" ht="18" customHeight="1" x14ac:dyDescent="0.2">
      <c r="A30" s="316" t="s">
        <v>3065</v>
      </c>
      <c r="B30" s="1088" t="s">
        <v>4527</v>
      </c>
      <c r="C30" s="467" t="s">
        <v>4533</v>
      </c>
      <c r="D30" s="1089" t="s">
        <v>4534</v>
      </c>
      <c r="E30" s="100" t="s">
        <v>1085</v>
      </c>
      <c r="F30" s="1090">
        <f>IFERROR(IF(OR(AND(OR(CALC_PlanetPositions!$M$7="Benefic",CALC_PlanetPositions!$M$7="Yogakaraka"),INDEX(REF_Aspects!$D$5:$O$13,1,MOD(2-(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2)),AND(OR(CALC_PlanetPositions!$M$8="Benefic",CALC_PlanetPositions!$M$8="Yogakaraka"),INDEX(REF_Aspects!$D$5:$O$13,2,MOD(2-(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2)),AND(OR(CALC_PlanetPositions!$M$9="Benefic",CALC_PlanetPositions!$M$9="Yogakaraka"),INDEX(REF_Aspects!$D$5:$O$13,3,MOD(2-(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2)),AND(OR(CALC_PlanetPositions!$M$10="Benefic",CALC_PlanetPositions!$M$10="Yogakaraka"),INDEX(REF_Aspects!$D$5:$O$13,4,MOD(2-(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2)),AND(OR(CALC_PlanetPositions!$M$11="Benefic",CALC_PlanetPositions!$M$11="Yogakaraka"),INDEX(REF_Aspects!$D$5:$O$13,5,MOD(2-(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2)),AND(OR(CALC_PlanetPositions!$M$12="Benefic",CALC_PlanetPositions!$M$12="Yogakaraka"),INDEX(REF_Aspects!$D$5:$O$13,6,MOD(2-(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2)),AND(OR(CALC_PlanetPositions!$M$13="Benefic",CALC_PlanetPositions!$M$13="Yogakaraka"),INDEX(REF_Aspects!$D$5:$O$13,7,MOD(2-(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2)),AND(FALSE(),INDEX(REF_Aspects!$D$5:$O$13,8,MOD(2-(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2)),AND(FALSE(),INDEX(REF_Aspects!$D$5:$O$13,9,MOD(2-(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2))),1,0),0)</f>
        <v>0</v>
      </c>
      <c r="G30" s="1091">
        <f>F30*0.75</f>
        <v>0</v>
      </c>
      <c r="H30" s="1092" t="s">
        <v>4535</v>
      </c>
    </row>
    <row r="31" spans="1:8" ht="18" customHeight="1" x14ac:dyDescent="0.2">
      <c r="A31" s="356" t="s">
        <v>3015</v>
      </c>
      <c r="B31" s="1093" t="s">
        <v>4536</v>
      </c>
      <c r="C31" s="463" t="s">
        <v>4528</v>
      </c>
      <c r="D31" s="1094" t="s">
        <v>4537</v>
      </c>
      <c r="E31" s="101" t="s">
        <v>1075</v>
      </c>
      <c r="F31" s="1090">
        <f>IFERROR(IF(AND(OR(CALC_BhaveshMap!$I$6="Yes",CALC_BhaveshMap!$J$6="Yes"),NOT(CALC_BhaveshMap!$K$6="Yes")),1,0),0)</f>
        <v>0</v>
      </c>
      <c r="G31" s="1095">
        <f>F31*2</f>
        <v>0</v>
      </c>
      <c r="H31" s="1092" t="s">
        <v>4538</v>
      </c>
    </row>
    <row r="32" spans="1:8" ht="18" customHeight="1" x14ac:dyDescent="0.2">
      <c r="A32" s="356" t="s">
        <v>3092</v>
      </c>
      <c r="B32" s="1093" t="s">
        <v>4536</v>
      </c>
      <c r="C32" s="463" t="s">
        <v>4533</v>
      </c>
      <c r="D32" s="1094" t="s">
        <v>3093</v>
      </c>
      <c r="E32" s="101" t="s">
        <v>1081</v>
      </c>
      <c r="F32" s="1090">
        <f>IFERROR(IF(OR(AND(CALC_BhaveshMap!$G$5=CALC_BhaveshMap!$G$6,CALC_BhaveshMap!$D$5&lt;&gt;CALC_BhaveshMap!$D$6),AND(CALC_BhaveshMap!$G$8=CALC_BhaveshMap!$G$6,CALC_BhaveshMap!$D$8&lt;&gt;CALC_BhaveshMap!$D$6),AND(CALC_BhaveshMap!$G$9=CALC_BhaveshMap!$G$6,CALC_BhaveshMap!$D$9&lt;&gt;CALC_BhaveshMap!$D$6),AND(CALC_BhaveshMap!$G$11=CALC_BhaveshMap!$G$6,CALC_BhaveshMap!$D$11&lt;&gt;CALC_BhaveshMap!$D$6),AND(CALC_BhaveshMap!$G$13=CALC_BhaveshMap!$G$6,CALC_BhaveshMap!$D$13&lt;&gt;CALC_BhaveshMap!$D$6),AND(CALC_BhaveshMap!$G$14=CALC_BhaveshMap!$G$6,CALC_BhaveshMap!$D$14&lt;&gt;CALC_BhaveshMap!$D$6)),1,0),0)</f>
        <v>1</v>
      </c>
      <c r="G32" s="1095">
        <f>F32*0.5</f>
        <v>0.5</v>
      </c>
      <c r="H32" s="1092" t="s">
        <v>4539</v>
      </c>
    </row>
    <row r="33" spans="1:8" ht="18" customHeight="1" x14ac:dyDescent="0.2">
      <c r="A33" s="356" t="s">
        <v>3028</v>
      </c>
      <c r="B33" s="1093" t="s">
        <v>4536</v>
      </c>
      <c r="C33" s="463" t="s">
        <v>4528</v>
      </c>
      <c r="D33" s="1094" t="s">
        <v>4540</v>
      </c>
      <c r="E33" s="101" t="s">
        <v>1081</v>
      </c>
      <c r="F33" s="1090">
        <v>0</v>
      </c>
      <c r="G33" s="1095">
        <f>F33*1</f>
        <v>0</v>
      </c>
      <c r="H33" s="1092" t="s">
        <v>4541</v>
      </c>
    </row>
    <row r="34" spans="1:8" ht="18" customHeight="1" x14ac:dyDescent="0.2">
      <c r="A34" s="356" t="s">
        <v>3112</v>
      </c>
      <c r="B34" s="1093" t="s">
        <v>4536</v>
      </c>
      <c r="C34" s="463" t="s">
        <v>4533</v>
      </c>
      <c r="D34" s="1094" t="s">
        <v>4542</v>
      </c>
      <c r="E34" s="101" t="s">
        <v>1081</v>
      </c>
      <c r="F34" s="1090">
        <f>IFERROR(IF(OR(AND(OR(CALC_PlanetPositions!$M$7="Benefic",CALC_PlanetPositions!$M$7="Yogakaraka"),INDEX(REF_Aspects!$D$5:$O$13,1,MOD(CALC_BhaveshMap!$H$6-(MOD(MATCH(CALC_PlanetPositions!$B$7,{"Aries","Taurus","Gemini","Cancer","Leo","Virgo","Libra","Scorpio","Sagittarius","Capricorn","Aquarius","Pisces"},0)-MATCH(INPUT_Chart!$C$5,{"Aries","Taurus","Gemini","Cancer","Leo","Virgo","Libra","Scorpio","Sagittarius","Capricorn","Aquarius","Pisces"},0),12)+1),12)+1)="FULL",NOT(CALC_PlanetPositions!$B$7=CALC_BhaveshMap!$G$6)),AND(OR(CALC_PlanetPositions!$M$8="Benefic",CALC_PlanetPositions!$M$8="Yogakaraka"),INDEX(REF_Aspects!$D$5:$O$13,2,MOD(CALC_BhaveshMap!$H$6-(MOD(MATCH(CALC_PlanetPositions!$B$8,{"Aries","Taurus","Gemini","Cancer","Leo","Virgo","Libra","Scorpio","Sagittarius","Capricorn","Aquarius","Pisces"},0)-MATCH(INPUT_Chart!$C$5,{"Aries","Taurus","Gemini","Cancer","Leo","Virgo","Libra","Scorpio","Sagittarius","Capricorn","Aquarius","Pisces"},0),12)+1),12)+1)="FULL",NOT(CALC_PlanetPositions!$B$8=CALC_BhaveshMap!$G$6)),AND(OR(CALC_PlanetPositions!$M$9="Benefic",CALC_PlanetPositions!$M$9="Yogakaraka"),INDEX(REF_Aspects!$D$5:$O$13,3,MOD(CALC_BhaveshMap!$H$6-(MOD(MATCH(CALC_PlanetPositions!$B$9,{"Aries","Taurus","Gemini","Cancer","Leo","Virgo","Libra","Scorpio","Sagittarius","Capricorn","Aquarius","Pisces"},0)-MATCH(INPUT_Chart!$C$5,{"Aries","Taurus","Gemini","Cancer","Leo","Virgo","Libra","Scorpio","Sagittarius","Capricorn","Aquarius","Pisces"},0),12)+1),12)+1)="FULL",NOT(CALC_PlanetPositions!$B$9=CALC_BhaveshMap!$G$6)),AND(OR(CALC_PlanetPositions!$M$10="Benefic",CALC_PlanetPositions!$M$10="Yogakaraka"),INDEX(REF_Aspects!$D$5:$O$13,4,MOD(CALC_BhaveshMap!$H$6-(MOD(MATCH(CALC_PlanetPositions!$B$10,{"Aries","Taurus","Gemini","Cancer","Leo","Virgo","Libra","Scorpio","Sagittarius","Capricorn","Aquarius","Pisces"},0)-MATCH(INPUT_Chart!$C$5,{"Aries","Taurus","Gemini","Cancer","Leo","Virgo","Libra","Scorpio","Sagittarius","Capricorn","Aquarius","Pisces"},0),12)+1),12)+1)="FULL",NOT(CALC_PlanetPositions!$B$10=CALC_BhaveshMap!$G$6)),AND(OR(CALC_PlanetPositions!$M$11="Benefic",CALC_PlanetPositions!$M$11="Yogakaraka"),INDEX(REF_Aspects!$D$5:$O$13,5,MOD(CALC_BhaveshMap!$H$6-(MOD(MATCH(CALC_PlanetPositions!$B$11,{"Aries","Taurus","Gemini","Cancer","Leo","Virgo","Libra","Scorpio","Sagittarius","Capricorn","Aquarius","Pisces"},0)-MATCH(INPUT_Chart!$C$5,{"Aries","Taurus","Gemini","Cancer","Leo","Virgo","Libra","Scorpio","Sagittarius","Capricorn","Aquarius","Pisces"},0),12)+1),12)+1)="FULL",NOT(CALC_PlanetPositions!$B$11=CALC_BhaveshMap!$G$6)),AND(OR(CALC_PlanetPositions!$M$12="Benefic",CALC_PlanetPositions!$M$12="Yogakaraka"),INDEX(REF_Aspects!$D$5:$O$13,6,MOD(CALC_BhaveshMap!$H$6-(MOD(MATCH(CALC_PlanetPositions!$B$12,{"Aries","Taurus","Gemini","Cancer","Leo","Virgo","Libra","Scorpio","Sagittarius","Capricorn","Aquarius","Pisces"},0)-MATCH(INPUT_Chart!$C$5,{"Aries","Taurus","Gemini","Cancer","Leo","Virgo","Libra","Scorpio","Sagittarius","Capricorn","Aquarius","Pisces"},0),12)+1),12)+1)="FULL",NOT(CALC_PlanetPositions!$B$12=CALC_BhaveshMap!$G$6)),AND(OR(CALC_PlanetPositions!$M$13="Benefic",CALC_PlanetPositions!$M$13="Yogakaraka"),INDEX(REF_Aspects!$D$5:$O$13,7,MOD(CALC_BhaveshMap!$H$6-(MOD(MATCH(CALC_PlanetPositions!$B$13,{"Aries","Taurus","Gemini","Cancer","Leo","Virgo","Libra","Scorpio","Sagittarius","Capricorn","Aquarius","Pisces"},0)-MATCH(INPUT_Chart!$C$5,{"Aries","Taurus","Gemini","Cancer","Leo","Virgo","Libra","Scorpio","Sagittarius","Capricorn","Aquarius","Pisces"},0),12)+1),12)+1)="FULL",NOT(CALC_PlanetPositions!$B$13=CALC_BhaveshMap!$G$6)),AND(FALSE(),INDEX(REF_Aspects!$D$5:$O$13,8,MOD(CALC_BhaveshMap!$H$6-(MOD(MATCH(CALC_PlanetPositions!$B$14,{"Aries","Taurus","Gemini","Cancer","Leo","Virgo","Libra","Scorpio","Sagittarius","Capricorn","Aquarius","Pisces"},0)-MATCH(INPUT_Chart!$C$5,{"Aries","Taurus","Gemini","Cancer","Leo","Virgo","Libra","Scorpio","Sagittarius","Capricorn","Aquarius","Pisces"},0),12)+1),12)+1)="FULL",NOT(CALC_PlanetPositions!$B$14=CALC_BhaveshMap!$G$6)),AND(FALSE(),INDEX(REF_Aspects!$D$5:$O$13,9,MOD(CALC_BhaveshMap!$H$6-(MOD(MATCH(CALC_PlanetPositions!$B$15,{"Aries","Taurus","Gemini","Cancer","Leo","Virgo","Libra","Scorpio","Sagittarius","Capricorn","Aquarius","Pisces"},0)-MATCH(INPUT_Chart!$C$5,{"Aries","Taurus","Gemini","Cancer","Leo","Virgo","Libra","Scorpio","Sagittarius","Capricorn","Aquarius","Pisces"},0),12)+1),12)+1)="FULL",NOT(CALC_PlanetPositions!$B$15=CALC_BhaveshMap!$G$6))),1,0),0)</f>
        <v>0</v>
      </c>
      <c r="G34" s="1095">
        <f>F34*0.5</f>
        <v>0</v>
      </c>
      <c r="H34" s="1092" t="s">
        <v>4543</v>
      </c>
    </row>
    <row r="35" spans="1:8" ht="18" customHeight="1" x14ac:dyDescent="0.2">
      <c r="A35" s="356" t="s">
        <v>3033</v>
      </c>
      <c r="B35" s="1093" t="s">
        <v>4536</v>
      </c>
      <c r="C35" s="463" t="s">
        <v>4528</v>
      </c>
      <c r="D35" s="1094" t="s">
        <v>3034</v>
      </c>
      <c r="E35" s="101" t="s">
        <v>1085</v>
      </c>
      <c r="F35"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$6-2,12)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$6-2,12)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$6-2,12)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$6-2,12)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$6-2,12)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$6-2,12)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$6-2,12)+1)),AND(FALSE(),MOD(MATCH(CALC_PlanetPositions!$B$14,{"Aries","Taurus","Gemini","Cancer","Leo","Virgo","Libra","Scorpio","Sagittarius","Capricorn","Aquarius","Pisces"},0)-MATCH(INPUT_Chart!$C$5,{"Aries","Taurus","Gemini","Cancer","Leo","Virgo","Libra","Scorpio","Sagittarius","Capricorn","Aquarius","Pisces"},0),12)+1=(MOD(CALC_BhaveshMap!$H$6-2,12)+1)),AND(FALSE(),MOD(MATCH(CALC_PlanetPositions!$B$15,{"Aries","Taurus","Gemini","Cancer","Leo","Virgo","Libra","Scorpio","Sagittarius","Capricorn","Aquarius","Pisces"},0)-MATCH(INPUT_Chart!$C$5,{"Aries","Taurus","Gemini","Cancer","Leo","Virgo","Libra","Scorpio","Sagittarius","Capricorn","Aquarius","Pisces"},0),12)+1=(MOD(CALC_BhaveshMap!$H$6-2,12)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$6,12)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$6,12)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$6,12)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$6,12)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$6,12)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$6,12)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$6,12)+1)),AND(FALSE(),MOD(MATCH(CALC_PlanetPositions!$B$14,{"Aries","Taurus","Gemini","Cancer","Leo","Virgo","Libra","Scorpio","Sagittarius","Capricorn","Aquarius","Pisces"},0)-MATCH(INPUT_Chart!$C$5,{"Aries","Taurus","Gemini","Cancer","Leo","Virgo","Libra","Scorpio","Sagittarius","Capricorn","Aquarius","Pisces"},0),12)+1=(MOD(CALC_BhaveshMap!$H$6,12)+1)),AND(FALSE(),MOD(MATCH(CALC_PlanetPositions!$B$15,{"Aries","Taurus","Gemini","Cancer","Leo","Virgo","Libra","Scorpio","Sagittarius","Capricorn","Aquarius","Pisces"},0)-MATCH(INPUT_Chart!$C$5,{"Aries","Taurus","Gemini","Cancer","Leo","Virgo","Libra","Scorpio","Sagittarius","Capricorn","Aquarius","Pisces"},0),12)+1=(MOD(CALC_BhaveshMap!$H$6,12)+1)))),1,0),0)</f>
        <v>0</v>
      </c>
      <c r="G35" s="1095">
        <f>F35*0.75</f>
        <v>0</v>
      </c>
      <c r="H35" s="1092" t="s">
        <v>4544</v>
      </c>
    </row>
    <row r="36" spans="1:8" ht="18" customHeight="1" x14ac:dyDescent="0.2">
      <c r="A36" s="315" t="s">
        <v>3050</v>
      </c>
      <c r="B36" s="1096" t="s">
        <v>4545</v>
      </c>
      <c r="C36" s="480" t="s">
        <v>4528</v>
      </c>
      <c r="D36" s="1097" t="s">
        <v>4546</v>
      </c>
      <c r="E36" s="99" t="s">
        <v>1109</v>
      </c>
      <c r="F36" s="1090">
        <f>IFERROR(IF(OR(AND(CALC_PlanetPositions!$M$7="Malefic",(MOD(MATCH(CALC_PlanetPositions!$B$7,{"Aries","Taurus","Gemini","Cancer","Leo","Virgo","Libra","Scorpio","Sagittarius","Capricorn","Aquarius","Pisces"},0)-MATCH(INPUT_Chart!$C$5,{"Aries","Taurus","Gemini","Cancer","Leo","Virgo","Libra","Scorpio","Sagittarius","Capricorn","Aquarius","Pisces"},0),12)+1)=2),AND(CALC_PlanetPositions!$M$8="Malefic",(MOD(MATCH(CALC_PlanetPositions!$B$8,{"Aries","Taurus","Gemini","Cancer","Leo","Virgo","Libra","Scorpio","Sagittarius","Capricorn","Aquarius","Pisces"},0)-MATCH(INPUT_Chart!$C$5,{"Aries","Taurus","Gemini","Cancer","Leo","Virgo","Libra","Scorpio","Sagittarius","Capricorn","Aquarius","Pisces"},0),12)+1)=2),AND(CALC_PlanetPositions!$M$9="Malefic",(MOD(MATCH(CALC_PlanetPositions!$B$9,{"Aries","Taurus","Gemini","Cancer","Leo","Virgo","Libra","Scorpio","Sagittarius","Capricorn","Aquarius","Pisces"},0)-MATCH(INPUT_Chart!$C$5,{"Aries","Taurus","Gemini","Cancer","Leo","Virgo","Libra","Scorpio","Sagittarius","Capricorn","Aquarius","Pisces"},0),12)+1)=2),AND(CALC_PlanetPositions!$M$10="Malefic",(MOD(MATCH(CALC_PlanetPositions!$B$10,{"Aries","Taurus","Gemini","Cancer","Leo","Virgo","Libra","Scorpio","Sagittarius","Capricorn","Aquarius","Pisces"},0)-MATCH(INPUT_Chart!$C$5,{"Aries","Taurus","Gemini","Cancer","Leo","Virgo","Libra","Scorpio","Sagittarius","Capricorn","Aquarius","Pisces"},0),12)+1)=2),AND(CALC_PlanetPositions!$M$11="Malefic",(MOD(MATCH(CALC_PlanetPositions!$B$11,{"Aries","Taurus","Gemini","Cancer","Leo","Virgo","Libra","Scorpio","Sagittarius","Capricorn","Aquarius","Pisces"},0)-MATCH(INPUT_Chart!$C$5,{"Aries","Taurus","Gemini","Cancer","Leo","Virgo","Libra","Scorpio","Sagittarius","Capricorn","Aquarius","Pisces"},0),12)+1)=2),AND(CALC_PlanetPositions!$M$12="Malefic",(MOD(MATCH(CALC_PlanetPositions!$B$12,{"Aries","Taurus","Gemini","Cancer","Leo","Virgo","Libra","Scorpio","Sagittarius","Capricorn","Aquarius","Pisces"},0)-MATCH(INPUT_Chart!$C$5,{"Aries","Taurus","Gemini","Cancer","Leo","Virgo","Libra","Scorpio","Sagittarius","Capricorn","Aquarius","Pisces"},0),12)+1)=2),AND(CALC_PlanetPositions!$M$13="Malefic",(MOD(MATCH(CALC_PlanetPositions!$B$13,{"Aries","Taurus","Gemini","Cancer","Leo","Virgo","Libra","Scorpio","Sagittarius","Capricorn","Aquarius","Pisces"},0)-MATCH(INPUT_Chart!$C$5,{"Aries","Taurus","Gemini","Cancer","Leo","Virgo","Libra","Scorpio","Sagittarius","Capricorn","Aquarius","Pisces"},0),12)+1)=2),AND(TRUE(),(MOD(MATCH(CALC_PlanetPositions!$B$14,{"Aries","Taurus","Gemini","Cancer","Leo","Virgo","Libra","Scorpio","Sagittarius","Capricorn","Aquarius","Pisces"},0)-MATCH(INPUT_Chart!$C$5,{"Aries","Taurus","Gemini","Cancer","Leo","Virgo","Libra","Scorpio","Sagittarius","Capricorn","Aquarius","Pisces"},0),12)+1)=2),AND(TRUE(),(MOD(MATCH(CALC_PlanetPositions!$B$15,{"Aries","Taurus","Gemini","Cancer","Leo","Virgo","Libra","Scorpio","Sagittarius","Capricorn","Aquarius","Pisces"},0)-MATCH(INPUT_Chart!$C$5,{"Aries","Taurus","Gemini","Cancer","Leo","Virgo","Libra","Scorpio","Sagittarius","Capricorn","Aquarius","Pisces"},0),12)+1)=2)),1,0),0)</f>
        <v>1</v>
      </c>
      <c r="G36" s="1098">
        <f>F36*-1</f>
        <v>-1</v>
      </c>
      <c r="H36" s="1092" t="s">
        <v>4547</v>
      </c>
    </row>
    <row r="37" spans="1:8" ht="18" customHeight="1" x14ac:dyDescent="0.2">
      <c r="A37" s="315" t="s">
        <v>3066</v>
      </c>
      <c r="B37" s="1096" t="s">
        <v>4545</v>
      </c>
      <c r="C37" s="480" t="s">
        <v>4528</v>
      </c>
      <c r="D37" s="1097" t="s">
        <v>4548</v>
      </c>
      <c r="E37" s="99" t="s">
        <v>1109</v>
      </c>
      <c r="F37" s="1090">
        <f>IFERROR(IF(OR(AND(CALC_PlanetPositions!$M$7="Malefic",INDEX(REF_Aspects!$D$5:$O$13,1,MOD(2-(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2)),AND(CALC_PlanetPositions!$M$8="Malefic",INDEX(REF_Aspects!$D$5:$O$13,2,MOD(2-(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2)),AND(CALC_PlanetPositions!$M$9="Malefic",INDEX(REF_Aspects!$D$5:$O$13,3,MOD(2-(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2)),AND(CALC_PlanetPositions!$M$10="Malefic",INDEX(REF_Aspects!$D$5:$O$13,4,MOD(2-(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2)),AND(CALC_PlanetPositions!$M$11="Malefic",INDEX(REF_Aspects!$D$5:$O$13,5,MOD(2-(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2)),AND(CALC_PlanetPositions!$M$12="Malefic",INDEX(REF_Aspects!$D$5:$O$13,6,MOD(2-(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2)),AND(CALC_PlanetPositions!$M$13="Malefic",INDEX(REF_Aspects!$D$5:$O$13,7,MOD(2-(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2)),AND(TRUE(),INDEX(REF_Aspects!$D$5:$O$13,8,MOD(2-(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2)),AND(TRUE(),INDEX(REF_Aspects!$D$5:$O$13,9,MOD(2-(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2))),1,0),0)</f>
        <v>1</v>
      </c>
      <c r="G37" s="1098">
        <f>F37*-1</f>
        <v>-1</v>
      </c>
      <c r="H37" s="1092" t="s">
        <v>4549</v>
      </c>
    </row>
    <row r="38" spans="1:8" ht="18" customHeight="1" x14ac:dyDescent="0.2">
      <c r="A38" s="315" t="s">
        <v>3061</v>
      </c>
      <c r="B38" s="1096" t="s">
        <v>4545</v>
      </c>
      <c r="C38" s="480" t="s">
        <v>4528</v>
      </c>
      <c r="D38" s="1097" t="s">
        <v>3062</v>
      </c>
      <c r="E38" s="99" t="s">
        <v>4550</v>
      </c>
      <c r="F38" s="1090">
        <v>0</v>
      </c>
      <c r="G38" s="1098">
        <f>F38*-1.25</f>
        <v>0</v>
      </c>
      <c r="H38" s="1092" t="s">
        <v>4551</v>
      </c>
    </row>
    <row r="39" spans="1:8" ht="18" customHeight="1" x14ac:dyDescent="0.2">
      <c r="A39" s="315" t="s">
        <v>3095</v>
      </c>
      <c r="B39" s="1096" t="s">
        <v>4545</v>
      </c>
      <c r="C39" s="480" t="s">
        <v>4528</v>
      </c>
      <c r="D39" s="1097" t="s">
        <v>4552</v>
      </c>
      <c r="E39" s="99" t="s">
        <v>3564</v>
      </c>
      <c r="F39" s="1090">
        <f>IFERROR(IF(AND(OR(AND(CALC_PlanetPositions!$M$7="Malefic",MOD(MATCH(CALC_PlanetPositions!$B$7,{"Aries","Taurus","Gemini","Cancer","Leo","Virgo","Libra","Scorpio","Sagittarius","Capricorn","Aquarius","Pisces"},0)-MATCH(INPUT_Chart!$C$5,{"Aries","Taurus","Gemini","Cancer","Leo","Virgo","Libra","Scorpio","Sagittarius","Capricorn","Aquarius","Pisces"},0),12)+1=(MOD(2-2,12)+1)),AND(CALC_PlanetPositions!$M$8="Malefic",MOD(MATCH(CALC_PlanetPositions!$B$8,{"Aries","Taurus","Gemini","Cancer","Leo","Virgo","Libra","Scorpio","Sagittarius","Capricorn","Aquarius","Pisces"},0)-MATCH(INPUT_Chart!$C$5,{"Aries","Taurus","Gemini","Cancer","Leo","Virgo","Libra","Scorpio","Sagittarius","Capricorn","Aquarius","Pisces"},0),12)+1=(MOD(2-2,12)+1)),AND(CALC_PlanetPositions!$M$9="Malefic",MOD(MATCH(CALC_PlanetPositions!$B$9,{"Aries","Taurus","Gemini","Cancer","Leo","Virgo","Libra","Scorpio","Sagittarius","Capricorn","Aquarius","Pisces"},0)-MATCH(INPUT_Chart!$C$5,{"Aries","Taurus","Gemini","Cancer","Leo","Virgo","Libra","Scorpio","Sagittarius","Capricorn","Aquarius","Pisces"},0),12)+1=(MOD(2-2,12)+1)),AND(CALC_PlanetPositions!$M$10="Malefic",MOD(MATCH(CALC_PlanetPositions!$B$10,{"Aries","Taurus","Gemini","Cancer","Leo","Virgo","Libra","Scorpio","Sagittarius","Capricorn","Aquarius","Pisces"},0)-MATCH(INPUT_Chart!$C$5,{"Aries","Taurus","Gemini","Cancer","Leo","Virgo","Libra","Scorpio","Sagittarius","Capricorn","Aquarius","Pisces"},0),12)+1=(MOD(2-2,12)+1)),AND(CALC_PlanetPositions!$M$11="Malefic",MOD(MATCH(CALC_PlanetPositions!$B$11,{"Aries","Taurus","Gemini","Cancer","Leo","Virgo","Libra","Scorpio","Sagittarius","Capricorn","Aquarius","Pisces"},0)-MATCH(INPUT_Chart!$C$5,{"Aries","Taurus","Gemini","Cancer","Leo","Virgo","Libra","Scorpio","Sagittarius","Capricorn","Aquarius","Pisces"},0),12)+1=(MOD(2-2,12)+1)),AND(CALC_PlanetPositions!$M$12="Malefic",MOD(MATCH(CALC_PlanetPositions!$B$12,{"Aries","Taurus","Gemini","Cancer","Leo","Virgo","Libra","Scorpio","Sagittarius","Capricorn","Aquarius","Pisces"},0)-MATCH(INPUT_Chart!$C$5,{"Aries","Taurus","Gemini","Cancer","Leo","Virgo","Libra","Scorpio","Sagittarius","Capricorn","Aquarius","Pisces"},0),12)+1=(MOD(2-2,12)+1)),AND(CALC_PlanetPositions!$M$13="Malefic",MOD(MATCH(CALC_PlanetPositions!$B$13,{"Aries","Taurus","Gemini","Cancer","Leo","Virgo","Libra","Scorpio","Sagittarius","Capricorn","Aquarius","Pisces"},0)-MATCH(INPUT_Chart!$C$5,{"Aries","Taurus","Gemini","Cancer","Leo","Virgo","Libra","Scorpio","Sagittarius","Capricorn","Aquarius","Pisces"},0),12)+1=(MOD(2-2,12)+1)),AND(TRUE(),MOD(MATCH(CALC_PlanetPositions!$B$14,{"Aries","Taurus","Gemini","Cancer","Leo","Virgo","Libra","Scorpio","Sagittarius","Capricorn","Aquarius","Pisces"},0)-MATCH(INPUT_Chart!$C$5,{"Aries","Taurus","Gemini","Cancer","Leo","Virgo","Libra","Scorpio","Sagittarius","Capricorn","Aquarius","Pisces"},0),12)+1=(MOD(2-2,12)+1)),AND(TRUE(),MOD(MATCH(CALC_PlanetPositions!$B$15,{"Aries","Taurus","Gemini","Cancer","Leo","Virgo","Libra","Scorpio","Sagittarius","Capricorn","Aquarius","Pisces"},0)-MATCH(INPUT_Chart!$C$5,{"Aries","Taurus","Gemini","Cancer","Leo","Virgo","Libra","Scorpio","Sagittarius","Capricorn","Aquarius","Pisces"},0),12)+1=(MOD(2-2,12)+1))),OR(AND(CALC_PlanetPositions!$M$7="Malefic",MOD(MATCH(CALC_PlanetPositions!$B$7,{"Aries","Taurus","Gemini","Cancer","Leo","Virgo","Libra","Scorpio","Sagittarius","Capricorn","Aquarius","Pisces"},0)-MATCH(INPUT_Chart!$C$5,{"Aries","Taurus","Gemini","Cancer","Leo","Virgo","Libra","Scorpio","Sagittarius","Capricorn","Aquarius","Pisces"},0),12)+1=(MOD(2,12)+1)),AND(CALC_PlanetPositions!$M$8="Malefic",MOD(MATCH(CALC_PlanetPositions!$B$8,{"Aries","Taurus","Gemini","Cancer","Leo","Virgo","Libra","Scorpio","Sagittarius","Capricorn","Aquarius","Pisces"},0)-MATCH(INPUT_Chart!$C$5,{"Aries","Taurus","Gemini","Cancer","Leo","Virgo","Libra","Scorpio","Sagittarius","Capricorn","Aquarius","Pisces"},0),12)+1=(MOD(2,12)+1)),AND(CALC_PlanetPositions!$M$9="Malefic",MOD(MATCH(CALC_PlanetPositions!$B$9,{"Aries","Taurus","Gemini","Cancer","Leo","Virgo","Libra","Scorpio","Sagittarius","Capricorn","Aquarius","Pisces"},0)-MATCH(INPUT_Chart!$C$5,{"Aries","Taurus","Gemini","Cancer","Leo","Virgo","Libra","Scorpio","Sagittarius","Capricorn","Aquarius","Pisces"},0),12)+1=(MOD(2,12)+1)),AND(CALC_PlanetPositions!$M$10="Malefic",MOD(MATCH(CALC_PlanetPositions!$B$10,{"Aries","Taurus","Gemini","Cancer","Leo","Virgo","Libra","Scorpio","Sagittarius","Capricorn","Aquarius","Pisces"},0)-MATCH(INPUT_Chart!$C$5,{"Aries","Taurus","Gemini","Cancer","Leo","Virgo","Libra","Scorpio","Sagittarius","Capricorn","Aquarius","Pisces"},0),12)+1=(MOD(2,12)+1)),AND(CALC_PlanetPositions!$M$11="Malefic",MOD(MATCH(CALC_PlanetPositions!$B$11,{"Aries","Taurus","Gemini","Cancer","Leo","Virgo","Libra","Scorpio","Sagittarius","Capricorn","Aquarius","Pisces"},0)-MATCH(INPUT_Chart!$C$5,{"Aries","Taurus","Gemini","Cancer","Leo","Virgo","Libra","Scorpio","Sagittarius","Capricorn","Aquarius","Pisces"},0),12)+1=(MOD(2,12)+1)),AND(CALC_PlanetPositions!$M$12="Malefic",MOD(MATCH(CALC_PlanetPositions!$B$12,{"Aries","Taurus","Gemini","Cancer","Leo","Virgo","Libra","Scorpio","Sagittarius","Capricorn","Aquarius","Pisces"},0)-MATCH(INPUT_Chart!$C$5,{"Aries","Taurus","Gemini","Cancer","Leo","Virgo","Libra","Scorpio","Sagittarius","Capricorn","Aquarius","Pisces"},0),12)+1=(MOD(2,12)+1)),AND(CALC_PlanetPositions!$M$13="Malefic",MOD(MATCH(CALC_PlanetPositions!$B$13,{"Aries","Taurus","Gemini","Cancer","Leo","Virgo","Libra","Scorpio","Sagittarius","Capricorn","Aquarius","Pisces"},0)-MATCH(INPUT_Chart!$C$5,{"Aries","Taurus","Gemini","Cancer","Leo","Virgo","Libra","Scorpio","Sagittarius","Capricorn","Aquarius","Pisces"},0),12)+1=(MOD(2,12)+1)),AND(TRUE(),MOD(MATCH(CALC_PlanetPositions!$B$14,{"Aries","Taurus","Gemini","Cancer","Leo","Virgo","Libra","Scorpio","Sagittarius","Capricorn","Aquarius","Pisces"},0)-MATCH(INPUT_Chart!$C$5,{"Aries","Taurus","Gemini","Cancer","Leo","Virgo","Libra","Scorpio","Sagittarius","Capricorn","Aquarius","Pisces"},0),12)+1=(MOD(2,12)+1)),AND(TRUE(),MOD(MATCH(CALC_PlanetPositions!$B$15,{"Aries","Taurus","Gemini","Cancer","Leo","Virgo","Libra","Scorpio","Sagittarius","Capricorn","Aquarius","Pisces"},0)-MATCH(INPUT_Chart!$C$5,{"Aries","Taurus","Gemini","Cancer","Leo","Virgo","Libra","Scorpio","Sagittarius","Capricorn","Aquarius","Pisces"},0),12)+1=(MOD(2,12)+1)))),1,0),0)</f>
        <v>1</v>
      </c>
      <c r="G39" s="1098">
        <f>F39*-0.75</f>
        <v>-0.75</v>
      </c>
      <c r="H39" s="1092" t="s">
        <v>4553</v>
      </c>
    </row>
    <row r="40" spans="1:8" ht="18" customHeight="1" x14ac:dyDescent="0.2">
      <c r="A40" s="1099" t="s">
        <v>3036</v>
      </c>
      <c r="B40" s="1100" t="s">
        <v>4554</v>
      </c>
      <c r="C40" s="1101" t="s">
        <v>4528</v>
      </c>
      <c r="D40" s="1102" t="s">
        <v>4555</v>
      </c>
      <c r="E40" s="1103" t="s">
        <v>1109</v>
      </c>
      <c r="F40" s="1090">
        <v>0</v>
      </c>
      <c r="G40" s="1104">
        <f>F40*-1</f>
        <v>0</v>
      </c>
      <c r="H40" s="1092" t="s">
        <v>4556</v>
      </c>
    </row>
    <row r="41" spans="1:8" ht="18" customHeight="1" x14ac:dyDescent="0.2">
      <c r="A41" s="1099" t="s">
        <v>3054</v>
      </c>
      <c r="B41" s="1100" t="s">
        <v>4554</v>
      </c>
      <c r="C41" s="1101" t="s">
        <v>4533</v>
      </c>
      <c r="D41" s="1102" t="s">
        <v>4557</v>
      </c>
      <c r="E41" s="1103" t="s">
        <v>1109</v>
      </c>
      <c r="F41" s="1090">
        <f>IFERROR(IF(OR(AND(CALC_PlanetPositions!$M$7="Malefic",INDEX(REF_Aspects!$D$5:$O$13,1,MOD(CALC_BhaveshMap!$H$6-(MOD(MATCH(CALC_PlanetPositions!$B$7,{"Aries","Taurus","Gemini","Cancer","Leo","Virgo","Libra","Scorpio","Sagittarius","Capricorn","Aquarius","Pisces"},0)-MATCH(INPUT_Chart!$C$5,{"Aries","Taurus","Gemini","Cancer","Leo","Virgo","Libra","Scorpio","Sagittarius","Capricorn","Aquarius","Pisces"},0),12)+1),12)+1)="FULL",NOT(CALC_PlanetPositions!$B$7=CALC_BhaveshMap!$G$6)),AND(CALC_PlanetPositions!$M$8="Malefic",INDEX(REF_Aspects!$D$5:$O$13,2,MOD(CALC_BhaveshMap!$H$6-(MOD(MATCH(CALC_PlanetPositions!$B$8,{"Aries","Taurus","Gemini","Cancer","Leo","Virgo","Libra","Scorpio","Sagittarius","Capricorn","Aquarius","Pisces"},0)-MATCH(INPUT_Chart!$C$5,{"Aries","Taurus","Gemini","Cancer","Leo","Virgo","Libra","Scorpio","Sagittarius","Capricorn","Aquarius","Pisces"},0),12)+1),12)+1)="FULL",NOT(CALC_PlanetPositions!$B$8=CALC_BhaveshMap!$G$6)),AND(CALC_PlanetPositions!$M$9="Malefic",INDEX(REF_Aspects!$D$5:$O$13,3,MOD(CALC_BhaveshMap!$H$6-(MOD(MATCH(CALC_PlanetPositions!$B$9,{"Aries","Taurus","Gemini","Cancer","Leo","Virgo","Libra","Scorpio","Sagittarius","Capricorn","Aquarius","Pisces"},0)-MATCH(INPUT_Chart!$C$5,{"Aries","Taurus","Gemini","Cancer","Leo","Virgo","Libra","Scorpio","Sagittarius","Capricorn","Aquarius","Pisces"},0),12)+1),12)+1)="FULL",NOT(CALC_PlanetPositions!$B$9=CALC_BhaveshMap!$G$6)),AND(CALC_PlanetPositions!$M$10="Malefic",INDEX(REF_Aspects!$D$5:$O$13,4,MOD(CALC_BhaveshMap!$H$6-(MOD(MATCH(CALC_PlanetPositions!$B$10,{"Aries","Taurus","Gemini","Cancer","Leo","Virgo","Libra","Scorpio","Sagittarius","Capricorn","Aquarius","Pisces"},0)-MATCH(INPUT_Chart!$C$5,{"Aries","Taurus","Gemini","Cancer","Leo","Virgo","Libra","Scorpio","Sagittarius","Capricorn","Aquarius","Pisces"},0),12)+1),12)+1)="FULL",NOT(CALC_PlanetPositions!$B$10=CALC_BhaveshMap!$G$6)),AND(CALC_PlanetPositions!$M$11="Malefic",INDEX(REF_Aspects!$D$5:$O$13,5,MOD(CALC_BhaveshMap!$H$6-(MOD(MATCH(CALC_PlanetPositions!$B$11,{"Aries","Taurus","Gemini","Cancer","Leo","Virgo","Libra","Scorpio","Sagittarius","Capricorn","Aquarius","Pisces"},0)-MATCH(INPUT_Chart!$C$5,{"Aries","Taurus","Gemini","Cancer","Leo","Virgo","Libra","Scorpio","Sagittarius","Capricorn","Aquarius","Pisces"},0),12)+1),12)+1)="FULL",NOT(CALC_PlanetPositions!$B$11=CALC_BhaveshMap!$G$6)),AND(CALC_PlanetPositions!$M$12="Malefic",INDEX(REF_Aspects!$D$5:$O$13,6,MOD(CALC_BhaveshMap!$H$6-(MOD(MATCH(CALC_PlanetPositions!$B$12,{"Aries","Taurus","Gemini","Cancer","Leo","Virgo","Libra","Scorpio","Sagittarius","Capricorn","Aquarius","Pisces"},0)-MATCH(INPUT_Chart!$C$5,{"Aries","Taurus","Gemini","Cancer","Leo","Virgo","Libra","Scorpio","Sagittarius","Capricorn","Aquarius","Pisces"},0),12)+1),12)+1)="FULL",NOT(CALC_PlanetPositions!$B$12=CALC_BhaveshMap!$G$6)),AND(CALC_PlanetPositions!$M$13="Malefic",INDEX(REF_Aspects!$D$5:$O$13,7,MOD(CALC_BhaveshMap!$H$6-(MOD(MATCH(CALC_PlanetPositions!$B$13,{"Aries","Taurus","Gemini","Cancer","Leo","Virgo","Libra","Scorpio","Sagittarius","Capricorn","Aquarius","Pisces"},0)-MATCH(INPUT_Chart!$C$5,{"Aries","Taurus","Gemini","Cancer","Leo","Virgo","Libra","Scorpio","Sagittarius","Capricorn","Aquarius","Pisces"},0),12)+1),12)+1)="FULL",NOT(CALC_PlanetPositions!$B$13=CALC_BhaveshMap!$G$6)),AND(TRUE(),INDEX(REF_Aspects!$D$5:$O$13,8,MOD(CALC_BhaveshMap!$H$6-(MOD(MATCH(CALC_PlanetPositions!$B$14,{"Aries","Taurus","Gemini","Cancer","Leo","Virgo","Libra","Scorpio","Sagittarius","Capricorn","Aquarius","Pisces"},0)-MATCH(INPUT_Chart!$C$5,{"Aries","Taurus","Gemini","Cancer","Leo","Virgo","Libra","Scorpio","Sagittarius","Capricorn","Aquarius","Pisces"},0),12)+1),12)+1)="FULL",NOT(CALC_PlanetPositions!$B$14=CALC_BhaveshMap!$G$6)),AND(TRUE(),INDEX(REF_Aspects!$D$5:$O$13,9,MOD(CALC_BhaveshMap!$H$6-(MOD(MATCH(CALC_PlanetPositions!$B$15,{"Aries","Taurus","Gemini","Cancer","Leo","Virgo","Libra","Scorpio","Sagittarius","Capricorn","Aquarius","Pisces"},0)-MATCH(INPUT_Chart!$C$5,{"Aries","Taurus","Gemini","Cancer","Leo","Virgo","Libra","Scorpio","Sagittarius","Capricorn","Aquarius","Pisces"},0),12)+1),12)+1)="FULL",NOT(CALC_PlanetPositions!$B$15=CALC_BhaveshMap!$G$6))),1,0),0)</f>
        <v>1</v>
      </c>
      <c r="G41" s="1104">
        <f>F41*-0.5</f>
        <v>-0.5</v>
      </c>
      <c r="H41" s="1092" t="s">
        <v>4558</v>
      </c>
    </row>
    <row r="42" spans="1:8" ht="18" customHeight="1" x14ac:dyDescent="0.2">
      <c r="A42" s="1099" t="s">
        <v>3041</v>
      </c>
      <c r="B42" s="1100" t="s">
        <v>4554</v>
      </c>
      <c r="C42" s="1101" t="s">
        <v>4528</v>
      </c>
      <c r="D42" s="1102" t="s">
        <v>3042</v>
      </c>
      <c r="E42" s="1103" t="s">
        <v>4559</v>
      </c>
      <c r="F42" s="1090">
        <f>IFERROR(IF(CALC_BhaveshMap!$K$6="Yes",1,0),0)</f>
        <v>0</v>
      </c>
      <c r="G42" s="1104">
        <f>F42*-2</f>
        <v>0</v>
      </c>
      <c r="H42" s="1092" t="s">
        <v>4560</v>
      </c>
    </row>
    <row r="43" spans="1:8" ht="18" customHeight="1" x14ac:dyDescent="0.2">
      <c r="A43" s="1099" t="s">
        <v>3058</v>
      </c>
      <c r="B43" s="1100" t="s">
        <v>4554</v>
      </c>
      <c r="C43" s="1101" t="s">
        <v>4528</v>
      </c>
      <c r="D43" s="1102" t="s">
        <v>3059</v>
      </c>
      <c r="E43" s="1103" t="s">
        <v>1109</v>
      </c>
      <c r="F43" s="1090">
        <f>IFERROR(IF(OR(AND(CALC_BhaveshMap!$G$10=CALC_BhaveshMap!$G$6,CALC_BhaveshMap!$D$10&lt;&gt;CALC_BhaveshMap!$D$6),AND(CALC_BhaveshMap!$G$12=CALC_BhaveshMap!$G$6,CALC_BhaveshMap!$D$12&lt;&gt;CALC_BhaveshMap!$D$6),AND(CALC_BhaveshMap!$G$16=CALC_BhaveshMap!$G$6,CALC_BhaveshMap!$D$16&lt;&gt;CALC_BhaveshMap!$D$6)),1,0),0)</f>
        <v>1</v>
      </c>
      <c r="G43" s="1104">
        <f>F43*-1</f>
        <v>-1</v>
      </c>
      <c r="H43" s="1092" t="s">
        <v>4561</v>
      </c>
    </row>
    <row r="44" spans="1:8" ht="18" customHeight="1" x14ac:dyDescent="0.2">
      <c r="A44" s="1105" t="s">
        <v>3083</v>
      </c>
      <c r="B44" s="1106" t="s">
        <v>4562</v>
      </c>
      <c r="C44" s="1107" t="s">
        <v>4528</v>
      </c>
      <c r="D44" s="1108" t="s">
        <v>3084</v>
      </c>
      <c r="E44" s="1109" t="s">
        <v>1089</v>
      </c>
      <c r="F44" s="1110">
        <f>IFERROR(IF(CALC_KarakMap!$M$6&gt;0,CALC_KarakMap!$M$6,0),0)</f>
        <v>0</v>
      </c>
      <c r="G44" s="1111">
        <f>F44</f>
        <v>0</v>
      </c>
      <c r="H44" s="1092" t="s">
        <v>4563</v>
      </c>
    </row>
    <row r="45" spans="1:8" ht="18" customHeight="1" x14ac:dyDescent="0.2">
      <c r="A45" s="1105" t="s">
        <v>3390</v>
      </c>
      <c r="B45" s="1106" t="s">
        <v>4562</v>
      </c>
      <c r="C45" s="1107" t="s">
        <v>4528</v>
      </c>
      <c r="D45" s="1108" t="s">
        <v>4564</v>
      </c>
      <c r="E45" s="1109" t="s">
        <v>1097</v>
      </c>
      <c r="F45" s="1110">
        <f>IFERROR(IF(CALC_KarakMap!$M$6&lt;0,CALC_KarakMap!$M$6,0),0)</f>
        <v>-0.5</v>
      </c>
      <c r="G45" s="1111">
        <f>F45</f>
        <v>-0.5</v>
      </c>
      <c r="H45" s="1092" t="s">
        <v>4565</v>
      </c>
    </row>
    <row r="46" spans="1:8" ht="21.75" customHeight="1" x14ac:dyDescent="0.2">
      <c r="A46" s="1592" t="s">
        <v>4570</v>
      </c>
      <c r="B46" s="1592"/>
      <c r="C46" s="1592"/>
      <c r="D46" s="1592"/>
      <c r="E46" s="1592"/>
      <c r="F46" s="1592"/>
      <c r="G46" s="1112">
        <f>SUM(G28:G45)</f>
        <v>-3.75</v>
      </c>
      <c r="H46" s="1113" t="s">
        <v>4571</v>
      </c>
    </row>
    <row r="47" spans="1:8" ht="24" customHeight="1" x14ac:dyDescent="0.2">
      <c r="A47" s="1114" t="s">
        <v>4568</v>
      </c>
      <c r="D47" s="1115" t="s">
        <v>5578</v>
      </c>
    </row>
    <row r="48" spans="1:8" ht="21.75" customHeight="1" x14ac:dyDescent="0.2">
      <c r="A48" s="1591" t="s">
        <v>4572</v>
      </c>
      <c r="B48" s="1591"/>
      <c r="C48" s="1591"/>
      <c r="D48" s="1591"/>
      <c r="E48" s="1591"/>
      <c r="F48" s="1591"/>
      <c r="G48" s="1591"/>
      <c r="H48" s="1591"/>
    </row>
    <row r="49" spans="1:8" ht="18" customHeight="1" x14ac:dyDescent="0.2">
      <c r="A49" s="1087" t="s">
        <v>2393</v>
      </c>
      <c r="B49" s="1087" t="s">
        <v>3141</v>
      </c>
      <c r="C49" s="1087" t="s">
        <v>4523</v>
      </c>
      <c r="D49" s="1087" t="s">
        <v>3617</v>
      </c>
      <c r="E49" s="1087" t="s">
        <v>2043</v>
      </c>
      <c r="F49" s="1087" t="s">
        <v>4524</v>
      </c>
      <c r="G49" s="1087" t="s">
        <v>4525</v>
      </c>
      <c r="H49" s="1087" t="s">
        <v>4526</v>
      </c>
    </row>
    <row r="50" spans="1:8" ht="18" customHeight="1" x14ac:dyDescent="0.2">
      <c r="A50" s="316" t="s">
        <v>3365</v>
      </c>
      <c r="B50" s="1088" t="s">
        <v>4527</v>
      </c>
      <c r="C50" s="467" t="s">
        <v>4528</v>
      </c>
      <c r="D50" s="1089" t="s">
        <v>4529</v>
      </c>
      <c r="E50" s="100" t="s">
        <v>3546</v>
      </c>
      <c r="F50" s="1090">
        <f>IFERROR(IF(INDEX(REF_Zodiac!$D$17:$O$17,MATCH(CALC_BhaveshMap!$C$7,REF_Zodiac!$D$3:$O$3,0))="Gentle",1,0),0)</f>
        <v>1</v>
      </c>
      <c r="G50" s="1091">
        <f>F50*0.5</f>
        <v>0.5</v>
      </c>
      <c r="H50" s="1092" t="s">
        <v>4530</v>
      </c>
    </row>
    <row r="51" spans="1:8" ht="18" customHeight="1" x14ac:dyDescent="0.2">
      <c r="A51" s="316" t="s">
        <v>3016</v>
      </c>
      <c r="B51" s="1088" t="s">
        <v>4527</v>
      </c>
      <c r="C51" s="467" t="s">
        <v>4528</v>
      </c>
      <c r="D51" s="1089" t="s">
        <v>4531</v>
      </c>
      <c r="E51" s="100" t="s">
        <v>1081</v>
      </c>
      <c r="F51"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3),AND(OR(CALC_PlanetPositions!$M$8="Benefic",CALC_PlanetPositions!$M$8="Yogakaraka"),(MOD(MATCH(CALC_PlanetPositions!$B$8,{"Aries","Taurus","Gemini","Cancer","Leo","Virgo","Libra","Scorpio","Sagittarius","Capricorn","Aquarius","Pisces"},0)-MATCH(INPUT_Chart!$C$5,{"Aries","Taurus","Gemini","Cancer","Leo","Virgo","Libra","Scorpio","Sagittarius","Capricorn","Aquarius","Pisces"},0),12)+1)=3),AND(OR(CALC_PlanetPositions!$M$9="Benefic",CALC_PlanetPositions!$M$9="Yogakaraka"),(MOD(MATCH(CALC_PlanetPositions!$B$9,{"Aries","Taurus","Gemini","Cancer","Leo","Virgo","Libra","Scorpio","Sagittarius","Capricorn","Aquarius","Pisces"},0)-MATCH(INPUT_Chart!$C$5,{"Aries","Taurus","Gemini","Cancer","Leo","Virgo","Libra","Scorpio","Sagittarius","Capricorn","Aquarius","Pisces"},0),12)+1)=3),AND(OR(CALC_PlanetPositions!$M$10="Benefic",CALC_PlanetPositions!$M$10="Yogakaraka"),(MOD(MATCH(CALC_PlanetPositions!$B$10,{"Aries","Taurus","Gemini","Cancer","Leo","Virgo","Libra","Scorpio","Sagittarius","Capricorn","Aquarius","Pisces"},0)-MATCH(INPUT_Chart!$C$5,{"Aries","Taurus","Gemini","Cancer","Leo","Virgo","Libra","Scorpio","Sagittarius","Capricorn","Aquarius","Pisces"},0),12)+1)=3),AND(OR(CALC_PlanetPositions!$M$11="Benefic",CALC_PlanetPositions!$M$11="Yogakaraka"),(MOD(MATCH(CALC_PlanetPositions!$B$11,{"Aries","Taurus","Gemini","Cancer","Leo","Virgo","Libra","Scorpio","Sagittarius","Capricorn","Aquarius","Pisces"},0)-MATCH(INPUT_Chart!$C$5,{"Aries","Taurus","Gemini","Cancer","Leo","Virgo","Libra","Scorpio","Sagittarius","Capricorn","Aquarius","Pisces"},0),12)+1)=3),AND(OR(CALC_PlanetPositions!$M$12="Benefic",CALC_PlanetPositions!$M$12="Yogakaraka"),(MOD(MATCH(CALC_PlanetPositions!$B$12,{"Aries","Taurus","Gemini","Cancer","Leo","Virgo","Libra","Scorpio","Sagittarius","Capricorn","Aquarius","Pisces"},0)-MATCH(INPUT_Chart!$C$5,{"Aries","Taurus","Gemini","Cancer","Leo","Virgo","Libra","Scorpio","Sagittarius","Capricorn","Aquarius","Pisces"},0),12)+1)=3),AND(OR(CALC_PlanetPositions!$M$13="Benefic",CALC_PlanetPositions!$M$13="Yogakaraka"),(MOD(MATCH(CALC_PlanetPositions!$B$13,{"Aries","Taurus","Gemini","Cancer","Leo","Virgo","Libra","Scorpio","Sagittarius","Capricorn","Aquarius","Pisces"},0)-MATCH(INPUT_Chart!$C$5,{"Aries","Taurus","Gemini","Cancer","Leo","Virgo","Libra","Scorpio","Sagittarius","Capricorn","Aquarius","Pisces"},0),12)+1)=3),AND(FALSE(),(MOD(MATCH(CALC_PlanetPositions!$B$14,{"Aries","Taurus","Gemini","Cancer","Leo","Virgo","Libra","Scorpio","Sagittarius","Capricorn","Aquarius","Pisces"},0)-MATCH(INPUT_Chart!$C$5,{"Aries","Taurus","Gemini","Cancer","Leo","Virgo","Libra","Scorpio","Sagittarius","Capricorn","Aquarius","Pisces"},0),12)+1)=3),AND(FALSE(),(MOD(MATCH(CALC_PlanetPositions!$B$15,{"Aries","Taurus","Gemini","Cancer","Leo","Virgo","Libra","Scorpio","Sagittarius","Capricorn","Aquarius","Pisces"},0)-MATCH(INPUT_Chart!$C$5,{"Aries","Taurus","Gemini","Cancer","Leo","Virgo","Libra","Scorpio","Sagittarius","Capricorn","Aquarius","Pisces"},0),12)+1)=3)),1,0),0)</f>
        <v>1</v>
      </c>
      <c r="G51" s="1091">
        <f>F51*1</f>
        <v>1</v>
      </c>
      <c r="H51" s="1092" t="s">
        <v>4532</v>
      </c>
    </row>
    <row r="52" spans="1:8" ht="18" customHeight="1" x14ac:dyDescent="0.2">
      <c r="A52" s="316" t="s">
        <v>3065</v>
      </c>
      <c r="B52" s="1088" t="s">
        <v>4527</v>
      </c>
      <c r="C52" s="467" t="s">
        <v>4533</v>
      </c>
      <c r="D52" s="1089" t="s">
        <v>4534</v>
      </c>
      <c r="E52" s="100" t="s">
        <v>1085</v>
      </c>
      <c r="F52" s="1090">
        <f>IFERROR(IF(OR(AND(OR(CALC_PlanetPositions!$M$7="Benefic",CALC_PlanetPositions!$M$7="Yogakaraka"),INDEX(REF_Aspects!$D$5:$O$13,1,MOD(3-(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3)),AND(OR(CALC_PlanetPositions!$M$8="Benefic",CALC_PlanetPositions!$M$8="Yogakaraka"),INDEX(REF_Aspects!$D$5:$O$13,2,MOD(3-(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3)),AND(OR(CALC_PlanetPositions!$M$9="Benefic",CALC_PlanetPositions!$M$9="Yogakaraka"),INDEX(REF_Aspects!$D$5:$O$13,3,MOD(3-(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3)),AND(OR(CALC_PlanetPositions!$M$10="Benefic",CALC_PlanetPositions!$M$10="Yogakaraka"),INDEX(REF_Aspects!$D$5:$O$13,4,MOD(3-(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3)),AND(OR(CALC_PlanetPositions!$M$11="Benefic",CALC_PlanetPositions!$M$11="Yogakaraka"),INDEX(REF_Aspects!$D$5:$O$13,5,MOD(3-(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3)),AND(OR(CALC_PlanetPositions!$M$12="Benefic",CALC_PlanetPositions!$M$12="Yogakaraka"),INDEX(REF_Aspects!$D$5:$O$13,6,MOD(3-(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3)),AND(OR(CALC_PlanetPositions!$M$13="Benefic",CALC_PlanetPositions!$M$13="Yogakaraka"),INDEX(REF_Aspects!$D$5:$O$13,7,MOD(3-(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3)),AND(FALSE(),INDEX(REF_Aspects!$D$5:$O$13,8,MOD(3-(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3)),AND(FALSE(),INDEX(REF_Aspects!$D$5:$O$13,9,MOD(3-(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3))),1,0),0)</f>
        <v>0</v>
      </c>
      <c r="G52" s="1091">
        <f>F52*0.75</f>
        <v>0</v>
      </c>
      <c r="H52" s="1092" t="s">
        <v>4535</v>
      </c>
    </row>
    <row r="53" spans="1:8" ht="18" customHeight="1" x14ac:dyDescent="0.2">
      <c r="A53" s="356" t="s">
        <v>3015</v>
      </c>
      <c r="B53" s="1093" t="s">
        <v>4536</v>
      </c>
      <c r="C53" s="463" t="s">
        <v>4528</v>
      </c>
      <c r="D53" s="1094" t="s">
        <v>4537</v>
      </c>
      <c r="E53" s="101" t="s">
        <v>1075</v>
      </c>
      <c r="F53" s="1090">
        <f>IFERROR(IF(AND(OR(CALC_BhaveshMap!$I$7="Yes",CALC_BhaveshMap!$J$7="Yes"),NOT(CALC_BhaveshMap!$K$7="Yes")),1,0),0)</f>
        <v>0</v>
      </c>
      <c r="G53" s="1095">
        <f>F53*2</f>
        <v>0</v>
      </c>
      <c r="H53" s="1092" t="s">
        <v>4538</v>
      </c>
    </row>
    <row r="54" spans="1:8" ht="18" customHeight="1" x14ac:dyDescent="0.2">
      <c r="A54" s="356" t="s">
        <v>3092</v>
      </c>
      <c r="B54" s="1093" t="s">
        <v>4536</v>
      </c>
      <c r="C54" s="463" t="s">
        <v>4533</v>
      </c>
      <c r="D54" s="1094" t="s">
        <v>3093</v>
      </c>
      <c r="E54" s="101" t="s">
        <v>1081</v>
      </c>
      <c r="F54" s="1090">
        <f>IFERROR(IF(OR(AND(CALC_BhaveshMap!$G$5=CALC_BhaveshMap!$G$7,CALC_BhaveshMap!$D$5&lt;&gt;CALC_BhaveshMap!$D$7),AND(CALC_BhaveshMap!$G$8=CALC_BhaveshMap!$G$7,CALC_BhaveshMap!$D$8&lt;&gt;CALC_BhaveshMap!$D$7),AND(CALC_BhaveshMap!$G$9=CALC_BhaveshMap!$G$7,CALC_BhaveshMap!$D$9&lt;&gt;CALC_BhaveshMap!$D$7),AND(CALC_BhaveshMap!$G$11=CALC_BhaveshMap!$G$7,CALC_BhaveshMap!$D$11&lt;&gt;CALC_BhaveshMap!$D$7),AND(CALC_BhaveshMap!$G$13=CALC_BhaveshMap!$G$7,CALC_BhaveshMap!$D$13&lt;&gt;CALC_BhaveshMap!$D$7),AND(CALC_BhaveshMap!$G$14=CALC_BhaveshMap!$G$7,CALC_BhaveshMap!$D$14&lt;&gt;CALC_BhaveshMap!$D$7)),1,0),0)</f>
        <v>1</v>
      </c>
      <c r="G54" s="1095">
        <f>F54*0.5</f>
        <v>0.5</v>
      </c>
      <c r="H54" s="1092" t="s">
        <v>4539</v>
      </c>
    </row>
    <row r="55" spans="1:8" ht="18" customHeight="1" x14ac:dyDescent="0.2">
      <c r="A55" s="356" t="s">
        <v>3028</v>
      </c>
      <c r="B55" s="1093" t="s">
        <v>4536</v>
      </c>
      <c r="C55" s="463" t="s">
        <v>4528</v>
      </c>
      <c r="D55" s="1094" t="s">
        <v>4540</v>
      </c>
      <c r="E55" s="101" t="s">
        <v>1081</v>
      </c>
      <c r="F55" s="1090">
        <v>0</v>
      </c>
      <c r="G55" s="1095">
        <f>F55*1</f>
        <v>0</v>
      </c>
      <c r="H55" s="1092" t="s">
        <v>4541</v>
      </c>
    </row>
    <row r="56" spans="1:8" ht="18" customHeight="1" x14ac:dyDescent="0.2">
      <c r="A56" s="356" t="s">
        <v>3112</v>
      </c>
      <c r="B56" s="1093" t="s">
        <v>4536</v>
      </c>
      <c r="C56" s="463" t="s">
        <v>4533</v>
      </c>
      <c r="D56" s="1094" t="s">
        <v>4542</v>
      </c>
      <c r="E56" s="101" t="s">
        <v>1081</v>
      </c>
      <c r="F56" s="1090">
        <f>IFERROR(IF(OR(AND(OR(CALC_PlanetPositions!$M$7="Benefic",CALC_PlanetPositions!$M$7="Yogakaraka"),INDEX(REF_Aspects!$D$5:$O$13,1,MOD(CALC_BhaveshMap!$H$7-(MOD(MATCH(CALC_PlanetPositions!$B$7,{"Aries","Taurus","Gemini","Cancer","Leo","Virgo","Libra","Scorpio","Sagittarius","Capricorn","Aquarius","Pisces"},0)-MATCH(INPUT_Chart!$C$5,{"Aries","Taurus","Gemini","Cancer","Leo","Virgo","Libra","Scorpio","Sagittarius","Capricorn","Aquarius","Pisces"},0),12)+1),12)+1)="FULL",NOT(CALC_PlanetPositions!$B$7=CALC_BhaveshMap!$G$7)),AND(OR(CALC_PlanetPositions!$M$8="Benefic",CALC_PlanetPositions!$M$8="Yogakaraka"),INDEX(REF_Aspects!$D$5:$O$13,2,MOD(CALC_BhaveshMap!$H$7-(MOD(MATCH(CALC_PlanetPositions!$B$8,{"Aries","Taurus","Gemini","Cancer","Leo","Virgo","Libra","Scorpio","Sagittarius","Capricorn","Aquarius","Pisces"},0)-MATCH(INPUT_Chart!$C$5,{"Aries","Taurus","Gemini","Cancer","Leo","Virgo","Libra","Scorpio","Sagittarius","Capricorn","Aquarius","Pisces"},0),12)+1),12)+1)="FULL",NOT(CALC_PlanetPositions!$B$8=CALC_BhaveshMap!$G$7)),AND(OR(CALC_PlanetPositions!$M$9="Benefic",CALC_PlanetPositions!$M$9="Yogakaraka"),INDEX(REF_Aspects!$D$5:$O$13,3,MOD(CALC_BhaveshMap!$H$7-(MOD(MATCH(CALC_PlanetPositions!$B$9,{"Aries","Taurus","Gemini","Cancer","Leo","Virgo","Libra","Scorpio","Sagittarius","Capricorn","Aquarius","Pisces"},0)-MATCH(INPUT_Chart!$C$5,{"Aries","Taurus","Gemini","Cancer","Leo","Virgo","Libra","Scorpio","Sagittarius","Capricorn","Aquarius","Pisces"},0),12)+1),12)+1)="FULL",NOT(CALC_PlanetPositions!$B$9=CALC_BhaveshMap!$G$7)),AND(OR(CALC_PlanetPositions!$M$10="Benefic",CALC_PlanetPositions!$M$10="Yogakaraka"),INDEX(REF_Aspects!$D$5:$O$13,4,MOD(CALC_BhaveshMap!$H$7-(MOD(MATCH(CALC_PlanetPositions!$B$10,{"Aries","Taurus","Gemini","Cancer","Leo","Virgo","Libra","Scorpio","Sagittarius","Capricorn","Aquarius","Pisces"},0)-MATCH(INPUT_Chart!$C$5,{"Aries","Taurus","Gemini","Cancer","Leo","Virgo","Libra","Scorpio","Sagittarius","Capricorn","Aquarius","Pisces"},0),12)+1),12)+1)="FULL",NOT(CALC_PlanetPositions!$B$10=CALC_BhaveshMap!$G$7)),AND(OR(CALC_PlanetPositions!$M$11="Benefic",CALC_PlanetPositions!$M$11="Yogakaraka"),INDEX(REF_Aspects!$D$5:$O$13,5,MOD(CALC_BhaveshMap!$H$7-(MOD(MATCH(CALC_PlanetPositions!$B$11,{"Aries","Taurus","Gemini","Cancer","Leo","Virgo","Libra","Scorpio","Sagittarius","Capricorn","Aquarius","Pisces"},0)-MATCH(INPUT_Chart!$C$5,{"Aries","Taurus","Gemini","Cancer","Leo","Virgo","Libra","Scorpio","Sagittarius","Capricorn","Aquarius","Pisces"},0),12)+1),12)+1)="FULL",NOT(CALC_PlanetPositions!$B$11=CALC_BhaveshMap!$G$7)),AND(OR(CALC_PlanetPositions!$M$12="Benefic",CALC_PlanetPositions!$M$12="Yogakaraka"),INDEX(REF_Aspects!$D$5:$O$13,6,MOD(CALC_BhaveshMap!$H$7-(MOD(MATCH(CALC_PlanetPositions!$B$12,{"Aries","Taurus","Gemini","Cancer","Leo","Virgo","Libra","Scorpio","Sagittarius","Capricorn","Aquarius","Pisces"},0)-MATCH(INPUT_Chart!$C$5,{"Aries","Taurus","Gemini","Cancer","Leo","Virgo","Libra","Scorpio","Sagittarius","Capricorn","Aquarius","Pisces"},0),12)+1),12)+1)="FULL",NOT(CALC_PlanetPositions!$B$12=CALC_BhaveshMap!$G$7)),AND(OR(CALC_PlanetPositions!$M$13="Benefic",CALC_PlanetPositions!$M$13="Yogakaraka"),INDEX(REF_Aspects!$D$5:$O$13,7,MOD(CALC_BhaveshMap!$H$7-(MOD(MATCH(CALC_PlanetPositions!$B$13,{"Aries","Taurus","Gemini","Cancer","Leo","Virgo","Libra","Scorpio","Sagittarius","Capricorn","Aquarius","Pisces"},0)-MATCH(INPUT_Chart!$C$5,{"Aries","Taurus","Gemini","Cancer","Leo","Virgo","Libra","Scorpio","Sagittarius","Capricorn","Aquarius","Pisces"},0),12)+1),12)+1)="FULL",NOT(CALC_PlanetPositions!$B$13=CALC_BhaveshMap!$G$7)),AND(FALSE(),INDEX(REF_Aspects!$D$5:$O$13,8,MOD(CALC_BhaveshMap!$H$7-(MOD(MATCH(CALC_PlanetPositions!$B$14,{"Aries","Taurus","Gemini","Cancer","Leo","Virgo","Libra","Scorpio","Sagittarius","Capricorn","Aquarius","Pisces"},0)-MATCH(INPUT_Chart!$C$5,{"Aries","Taurus","Gemini","Cancer","Leo","Virgo","Libra","Scorpio","Sagittarius","Capricorn","Aquarius","Pisces"},0),12)+1),12)+1)="FULL",NOT(CALC_PlanetPositions!$B$14=CALC_BhaveshMap!$G$7)),AND(FALSE(),INDEX(REF_Aspects!$D$5:$O$13,9,MOD(CALC_BhaveshMap!$H$7-(MOD(MATCH(CALC_PlanetPositions!$B$15,{"Aries","Taurus","Gemini","Cancer","Leo","Virgo","Libra","Scorpio","Sagittarius","Capricorn","Aquarius","Pisces"},0)-MATCH(INPUT_Chart!$C$5,{"Aries","Taurus","Gemini","Cancer","Leo","Virgo","Libra","Scorpio","Sagittarius","Capricorn","Aquarius","Pisces"},0),12)+1),12)+1)="FULL",NOT(CALC_PlanetPositions!$B$15=CALC_BhaveshMap!$G$7))),1,0),0)</f>
        <v>0</v>
      </c>
      <c r="G56" s="1095">
        <f>F56*0.5</f>
        <v>0</v>
      </c>
      <c r="H56" s="1092" t="s">
        <v>4543</v>
      </c>
    </row>
    <row r="57" spans="1:8" ht="18" customHeight="1" x14ac:dyDescent="0.2">
      <c r="A57" s="356" t="s">
        <v>3033</v>
      </c>
      <c r="B57" s="1093" t="s">
        <v>4536</v>
      </c>
      <c r="C57" s="463" t="s">
        <v>4528</v>
      </c>
      <c r="D57" s="1094" t="s">
        <v>3034</v>
      </c>
      <c r="E57" s="101" t="s">
        <v>1085</v>
      </c>
      <c r="F57"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$7-2,12)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$7-2,12)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$7-2,12)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$7-2,12)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$7-2,12)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$7-2,12)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$7-2,12)+1)),AND(FALSE(),MOD(MATCH(CALC_PlanetPositions!$B$14,{"Aries","Taurus","Gemini","Cancer","Leo","Virgo","Libra","Scorpio","Sagittarius","Capricorn","Aquarius","Pisces"},0)-MATCH(INPUT_Chart!$C$5,{"Aries","Taurus","Gemini","Cancer","Leo","Virgo","Libra","Scorpio","Sagittarius","Capricorn","Aquarius","Pisces"},0),12)+1=(MOD(CALC_BhaveshMap!$H$7-2,12)+1)),AND(FALSE(),MOD(MATCH(CALC_PlanetPositions!$B$15,{"Aries","Taurus","Gemini","Cancer","Leo","Virgo","Libra","Scorpio","Sagittarius","Capricorn","Aquarius","Pisces"},0)-MATCH(INPUT_Chart!$C$5,{"Aries","Taurus","Gemini","Cancer","Leo","Virgo","Libra","Scorpio","Sagittarius","Capricorn","Aquarius","Pisces"},0),12)+1=(MOD(CALC_BhaveshMap!$H$7-2,12)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$7,12)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$7,12)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$7,12)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$7,12)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$7,12)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$7,12)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$7,12)+1)),AND(FALSE(),MOD(MATCH(CALC_PlanetPositions!$B$14,{"Aries","Taurus","Gemini","Cancer","Leo","Virgo","Libra","Scorpio","Sagittarius","Capricorn","Aquarius","Pisces"},0)-MATCH(INPUT_Chart!$C$5,{"Aries","Taurus","Gemini","Cancer","Leo","Virgo","Libra","Scorpio","Sagittarius","Capricorn","Aquarius","Pisces"},0),12)+1=(MOD(CALC_BhaveshMap!$H$7,12)+1)),AND(FALSE(),MOD(MATCH(CALC_PlanetPositions!$B$15,{"Aries","Taurus","Gemini","Cancer","Leo","Virgo","Libra","Scorpio","Sagittarius","Capricorn","Aquarius","Pisces"},0)-MATCH(INPUT_Chart!$C$5,{"Aries","Taurus","Gemini","Cancer","Leo","Virgo","Libra","Scorpio","Sagittarius","Capricorn","Aquarius","Pisces"},0),12)+1=(MOD(CALC_BhaveshMap!$H$7,12)+1)))),1,0),0)</f>
        <v>0</v>
      </c>
      <c r="G57" s="1095">
        <f>F57*0.75</f>
        <v>0</v>
      </c>
      <c r="H57" s="1092" t="s">
        <v>4544</v>
      </c>
    </row>
    <row r="58" spans="1:8" ht="18" customHeight="1" x14ac:dyDescent="0.2">
      <c r="A58" s="315" t="s">
        <v>3050</v>
      </c>
      <c r="B58" s="1096" t="s">
        <v>4545</v>
      </c>
      <c r="C58" s="480" t="s">
        <v>4528</v>
      </c>
      <c r="D58" s="1097" t="s">
        <v>4546</v>
      </c>
      <c r="E58" s="99" t="s">
        <v>1109</v>
      </c>
      <c r="F58" s="1090">
        <f>IFERROR(IF(OR(AND(CALC_PlanetPositions!$M$7="Malefic",(MOD(MATCH(CALC_PlanetPositions!$B$7,{"Aries","Taurus","Gemini","Cancer","Leo","Virgo","Libra","Scorpio","Sagittarius","Capricorn","Aquarius","Pisces"},0)-MATCH(INPUT_Chart!$C$5,{"Aries","Taurus","Gemini","Cancer","Leo","Virgo","Libra","Scorpio","Sagittarius","Capricorn","Aquarius","Pisces"},0),12)+1)=3),AND(CALC_PlanetPositions!$M$8="Malefic",(MOD(MATCH(CALC_PlanetPositions!$B$8,{"Aries","Taurus","Gemini","Cancer","Leo","Virgo","Libra","Scorpio","Sagittarius","Capricorn","Aquarius","Pisces"},0)-MATCH(INPUT_Chart!$C$5,{"Aries","Taurus","Gemini","Cancer","Leo","Virgo","Libra","Scorpio","Sagittarius","Capricorn","Aquarius","Pisces"},0),12)+1)=3),AND(CALC_PlanetPositions!$M$9="Malefic",(MOD(MATCH(CALC_PlanetPositions!$B$9,{"Aries","Taurus","Gemini","Cancer","Leo","Virgo","Libra","Scorpio","Sagittarius","Capricorn","Aquarius","Pisces"},0)-MATCH(INPUT_Chart!$C$5,{"Aries","Taurus","Gemini","Cancer","Leo","Virgo","Libra","Scorpio","Sagittarius","Capricorn","Aquarius","Pisces"},0),12)+1)=3),AND(CALC_PlanetPositions!$M$10="Malefic",(MOD(MATCH(CALC_PlanetPositions!$B$10,{"Aries","Taurus","Gemini","Cancer","Leo","Virgo","Libra","Scorpio","Sagittarius","Capricorn","Aquarius","Pisces"},0)-MATCH(INPUT_Chart!$C$5,{"Aries","Taurus","Gemini","Cancer","Leo","Virgo","Libra","Scorpio","Sagittarius","Capricorn","Aquarius","Pisces"},0),12)+1)=3),AND(CALC_PlanetPositions!$M$11="Malefic",(MOD(MATCH(CALC_PlanetPositions!$B$11,{"Aries","Taurus","Gemini","Cancer","Leo","Virgo","Libra","Scorpio","Sagittarius","Capricorn","Aquarius","Pisces"},0)-MATCH(INPUT_Chart!$C$5,{"Aries","Taurus","Gemini","Cancer","Leo","Virgo","Libra","Scorpio","Sagittarius","Capricorn","Aquarius","Pisces"},0),12)+1)=3),AND(CALC_PlanetPositions!$M$12="Malefic",(MOD(MATCH(CALC_PlanetPositions!$B$12,{"Aries","Taurus","Gemini","Cancer","Leo","Virgo","Libra","Scorpio","Sagittarius","Capricorn","Aquarius","Pisces"},0)-MATCH(INPUT_Chart!$C$5,{"Aries","Taurus","Gemini","Cancer","Leo","Virgo","Libra","Scorpio","Sagittarius","Capricorn","Aquarius","Pisces"},0),12)+1)=3),AND(CALC_PlanetPositions!$M$13="Malefic",(MOD(MATCH(CALC_PlanetPositions!$B$13,{"Aries","Taurus","Gemini","Cancer","Leo","Virgo","Libra","Scorpio","Sagittarius","Capricorn","Aquarius","Pisces"},0)-MATCH(INPUT_Chart!$C$5,{"Aries","Taurus","Gemini","Cancer","Leo","Virgo","Libra","Scorpio","Sagittarius","Capricorn","Aquarius","Pisces"},0),12)+1)=3),AND(TRUE(),(MOD(MATCH(CALC_PlanetPositions!$B$14,{"Aries","Taurus","Gemini","Cancer","Leo","Virgo","Libra","Scorpio","Sagittarius","Capricorn","Aquarius","Pisces"},0)-MATCH(INPUT_Chart!$C$5,{"Aries","Taurus","Gemini","Cancer","Leo","Virgo","Libra","Scorpio","Sagittarius","Capricorn","Aquarius","Pisces"},0),12)+1)=3),AND(TRUE(),(MOD(MATCH(CALC_PlanetPositions!$B$15,{"Aries","Taurus","Gemini","Cancer","Leo","Virgo","Libra","Scorpio","Sagittarius","Capricorn","Aquarius","Pisces"},0)-MATCH(INPUT_Chart!$C$5,{"Aries","Taurus","Gemini","Cancer","Leo","Virgo","Libra","Scorpio","Sagittarius","Capricorn","Aquarius","Pisces"},0),12)+1)=3)),1,0),0)</f>
        <v>1</v>
      </c>
      <c r="G58" s="1098">
        <f>F58*-1</f>
        <v>-1</v>
      </c>
      <c r="H58" s="1092" t="s">
        <v>4547</v>
      </c>
    </row>
    <row r="59" spans="1:8" ht="18" customHeight="1" x14ac:dyDescent="0.2">
      <c r="A59" s="315" t="s">
        <v>3066</v>
      </c>
      <c r="B59" s="1096" t="s">
        <v>4545</v>
      </c>
      <c r="C59" s="480" t="s">
        <v>4528</v>
      </c>
      <c r="D59" s="1097" t="s">
        <v>4548</v>
      </c>
      <c r="E59" s="99" t="s">
        <v>1109</v>
      </c>
      <c r="F59" s="1090">
        <f>IFERROR(IF(OR(AND(CALC_PlanetPositions!$M$7="Malefic",INDEX(REF_Aspects!$D$5:$O$13,1,MOD(3-(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3)),AND(CALC_PlanetPositions!$M$8="Malefic",INDEX(REF_Aspects!$D$5:$O$13,2,MOD(3-(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3)),AND(CALC_PlanetPositions!$M$9="Malefic",INDEX(REF_Aspects!$D$5:$O$13,3,MOD(3-(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3)),AND(CALC_PlanetPositions!$M$10="Malefic",INDEX(REF_Aspects!$D$5:$O$13,4,MOD(3-(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3)),AND(CALC_PlanetPositions!$M$11="Malefic",INDEX(REF_Aspects!$D$5:$O$13,5,MOD(3-(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3)),AND(CALC_PlanetPositions!$M$12="Malefic",INDEX(REF_Aspects!$D$5:$O$13,6,MOD(3-(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3)),AND(CALC_PlanetPositions!$M$13="Malefic",INDEX(REF_Aspects!$D$5:$O$13,7,MOD(3-(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3)),AND(TRUE(),INDEX(REF_Aspects!$D$5:$O$13,8,MOD(3-(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3)),AND(TRUE(),INDEX(REF_Aspects!$D$5:$O$13,9,MOD(3-(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3))),1,0),0)</f>
        <v>1</v>
      </c>
      <c r="G59" s="1098">
        <f>F59*-1</f>
        <v>-1</v>
      </c>
      <c r="H59" s="1092" t="s">
        <v>4549</v>
      </c>
    </row>
    <row r="60" spans="1:8" ht="18" customHeight="1" x14ac:dyDescent="0.2">
      <c r="A60" s="315" t="s">
        <v>3061</v>
      </c>
      <c r="B60" s="1096" t="s">
        <v>4545</v>
      </c>
      <c r="C60" s="480" t="s">
        <v>4528</v>
      </c>
      <c r="D60" s="1097" t="s">
        <v>3062</v>
      </c>
      <c r="E60" s="99" t="s">
        <v>4550</v>
      </c>
      <c r="F60" s="1090">
        <v>0</v>
      </c>
      <c r="G60" s="1098">
        <f>F60*-1.25</f>
        <v>0</v>
      </c>
      <c r="H60" s="1092" t="s">
        <v>4551</v>
      </c>
    </row>
    <row r="61" spans="1:8" ht="18" customHeight="1" x14ac:dyDescent="0.2">
      <c r="A61" s="315" t="s">
        <v>3095</v>
      </c>
      <c r="B61" s="1096" t="s">
        <v>4545</v>
      </c>
      <c r="C61" s="480" t="s">
        <v>4528</v>
      </c>
      <c r="D61" s="1097" t="s">
        <v>4552</v>
      </c>
      <c r="E61" s="99" t="s">
        <v>3564</v>
      </c>
      <c r="F61" s="1090">
        <f>IFERROR(IF(AND(OR(AND(CALC_PlanetPositions!$M$7="Malefic",MOD(MATCH(CALC_PlanetPositions!$B$7,{"Aries","Taurus","Gemini","Cancer","Leo","Virgo","Libra","Scorpio","Sagittarius","Capricorn","Aquarius","Pisces"},0)-MATCH(INPUT_Chart!$C$5,{"Aries","Taurus","Gemini","Cancer","Leo","Virgo","Libra","Scorpio","Sagittarius","Capricorn","Aquarius","Pisces"},0),12)+1=(MOD(3-2,12)+1)),AND(CALC_PlanetPositions!$M$8="Malefic",MOD(MATCH(CALC_PlanetPositions!$B$8,{"Aries","Taurus","Gemini","Cancer","Leo","Virgo","Libra","Scorpio","Sagittarius","Capricorn","Aquarius","Pisces"},0)-MATCH(INPUT_Chart!$C$5,{"Aries","Taurus","Gemini","Cancer","Leo","Virgo","Libra","Scorpio","Sagittarius","Capricorn","Aquarius","Pisces"},0),12)+1=(MOD(3-2,12)+1)),AND(CALC_PlanetPositions!$M$9="Malefic",MOD(MATCH(CALC_PlanetPositions!$B$9,{"Aries","Taurus","Gemini","Cancer","Leo","Virgo","Libra","Scorpio","Sagittarius","Capricorn","Aquarius","Pisces"},0)-MATCH(INPUT_Chart!$C$5,{"Aries","Taurus","Gemini","Cancer","Leo","Virgo","Libra","Scorpio","Sagittarius","Capricorn","Aquarius","Pisces"},0),12)+1=(MOD(3-2,12)+1)),AND(CALC_PlanetPositions!$M$10="Malefic",MOD(MATCH(CALC_PlanetPositions!$B$10,{"Aries","Taurus","Gemini","Cancer","Leo","Virgo","Libra","Scorpio","Sagittarius","Capricorn","Aquarius","Pisces"},0)-MATCH(INPUT_Chart!$C$5,{"Aries","Taurus","Gemini","Cancer","Leo","Virgo","Libra","Scorpio","Sagittarius","Capricorn","Aquarius","Pisces"},0),12)+1=(MOD(3-2,12)+1)),AND(CALC_PlanetPositions!$M$11="Malefic",MOD(MATCH(CALC_PlanetPositions!$B$11,{"Aries","Taurus","Gemini","Cancer","Leo","Virgo","Libra","Scorpio","Sagittarius","Capricorn","Aquarius","Pisces"},0)-MATCH(INPUT_Chart!$C$5,{"Aries","Taurus","Gemini","Cancer","Leo","Virgo","Libra","Scorpio","Sagittarius","Capricorn","Aquarius","Pisces"},0),12)+1=(MOD(3-2,12)+1)),AND(CALC_PlanetPositions!$M$12="Malefic",MOD(MATCH(CALC_PlanetPositions!$B$12,{"Aries","Taurus","Gemini","Cancer","Leo","Virgo","Libra","Scorpio","Sagittarius","Capricorn","Aquarius","Pisces"},0)-MATCH(INPUT_Chart!$C$5,{"Aries","Taurus","Gemini","Cancer","Leo","Virgo","Libra","Scorpio","Sagittarius","Capricorn","Aquarius","Pisces"},0),12)+1=(MOD(3-2,12)+1)),AND(CALC_PlanetPositions!$M$13="Malefic",MOD(MATCH(CALC_PlanetPositions!$B$13,{"Aries","Taurus","Gemini","Cancer","Leo","Virgo","Libra","Scorpio","Sagittarius","Capricorn","Aquarius","Pisces"},0)-MATCH(INPUT_Chart!$C$5,{"Aries","Taurus","Gemini","Cancer","Leo","Virgo","Libra","Scorpio","Sagittarius","Capricorn","Aquarius","Pisces"},0),12)+1=(MOD(3-2,12)+1)),AND(TRUE(),MOD(MATCH(CALC_PlanetPositions!$B$14,{"Aries","Taurus","Gemini","Cancer","Leo","Virgo","Libra","Scorpio","Sagittarius","Capricorn","Aquarius","Pisces"},0)-MATCH(INPUT_Chart!$C$5,{"Aries","Taurus","Gemini","Cancer","Leo","Virgo","Libra","Scorpio","Sagittarius","Capricorn","Aquarius","Pisces"},0),12)+1=(MOD(3-2,12)+1)),AND(TRUE(),MOD(MATCH(CALC_PlanetPositions!$B$15,{"Aries","Taurus","Gemini","Cancer","Leo","Virgo","Libra","Scorpio","Sagittarius","Capricorn","Aquarius","Pisces"},0)-MATCH(INPUT_Chart!$C$5,{"Aries","Taurus","Gemini","Cancer","Leo","Virgo","Libra","Scorpio","Sagittarius","Capricorn","Aquarius","Pisces"},0),12)+1=(MOD(3-2,12)+1))),OR(AND(CALC_PlanetPositions!$M$7="Malefic",MOD(MATCH(CALC_PlanetPositions!$B$7,{"Aries","Taurus","Gemini","Cancer","Leo","Virgo","Libra","Scorpio","Sagittarius","Capricorn","Aquarius","Pisces"},0)-MATCH(INPUT_Chart!$C$5,{"Aries","Taurus","Gemini","Cancer","Leo","Virgo","Libra","Scorpio","Sagittarius","Capricorn","Aquarius","Pisces"},0),12)+1=(MOD(3,12)+1)),AND(CALC_PlanetPositions!$M$8="Malefic",MOD(MATCH(CALC_PlanetPositions!$B$8,{"Aries","Taurus","Gemini","Cancer","Leo","Virgo","Libra","Scorpio","Sagittarius","Capricorn","Aquarius","Pisces"},0)-MATCH(INPUT_Chart!$C$5,{"Aries","Taurus","Gemini","Cancer","Leo","Virgo","Libra","Scorpio","Sagittarius","Capricorn","Aquarius","Pisces"},0),12)+1=(MOD(3,12)+1)),AND(CALC_PlanetPositions!$M$9="Malefic",MOD(MATCH(CALC_PlanetPositions!$B$9,{"Aries","Taurus","Gemini","Cancer","Leo","Virgo","Libra","Scorpio","Sagittarius","Capricorn","Aquarius","Pisces"},0)-MATCH(INPUT_Chart!$C$5,{"Aries","Taurus","Gemini","Cancer","Leo","Virgo","Libra","Scorpio","Sagittarius","Capricorn","Aquarius","Pisces"},0),12)+1=(MOD(3,12)+1)),AND(CALC_PlanetPositions!$M$10="Malefic",MOD(MATCH(CALC_PlanetPositions!$B$10,{"Aries","Taurus","Gemini","Cancer","Leo","Virgo","Libra","Scorpio","Sagittarius","Capricorn","Aquarius","Pisces"},0)-MATCH(INPUT_Chart!$C$5,{"Aries","Taurus","Gemini","Cancer","Leo","Virgo","Libra","Scorpio","Sagittarius","Capricorn","Aquarius","Pisces"},0),12)+1=(MOD(3,12)+1)),AND(CALC_PlanetPositions!$M$11="Malefic",MOD(MATCH(CALC_PlanetPositions!$B$11,{"Aries","Taurus","Gemini","Cancer","Leo","Virgo","Libra","Scorpio","Sagittarius","Capricorn","Aquarius","Pisces"},0)-MATCH(INPUT_Chart!$C$5,{"Aries","Taurus","Gemini","Cancer","Leo","Virgo","Libra","Scorpio","Sagittarius","Capricorn","Aquarius","Pisces"},0),12)+1=(MOD(3,12)+1)),AND(CALC_PlanetPositions!$M$12="Malefic",MOD(MATCH(CALC_PlanetPositions!$B$12,{"Aries","Taurus","Gemini","Cancer","Leo","Virgo","Libra","Scorpio","Sagittarius","Capricorn","Aquarius","Pisces"},0)-MATCH(INPUT_Chart!$C$5,{"Aries","Taurus","Gemini","Cancer","Leo","Virgo","Libra","Scorpio","Sagittarius","Capricorn","Aquarius","Pisces"},0),12)+1=(MOD(3,12)+1)),AND(CALC_PlanetPositions!$M$13="Malefic",MOD(MATCH(CALC_PlanetPositions!$B$13,{"Aries","Taurus","Gemini","Cancer","Leo","Virgo","Libra","Scorpio","Sagittarius","Capricorn","Aquarius","Pisces"},0)-MATCH(INPUT_Chart!$C$5,{"Aries","Taurus","Gemini","Cancer","Leo","Virgo","Libra","Scorpio","Sagittarius","Capricorn","Aquarius","Pisces"},0),12)+1=(MOD(3,12)+1)),AND(TRUE(),MOD(MATCH(CALC_PlanetPositions!$B$14,{"Aries","Taurus","Gemini","Cancer","Leo","Virgo","Libra","Scorpio","Sagittarius","Capricorn","Aquarius","Pisces"},0)-MATCH(INPUT_Chart!$C$5,{"Aries","Taurus","Gemini","Cancer","Leo","Virgo","Libra","Scorpio","Sagittarius","Capricorn","Aquarius","Pisces"},0),12)+1=(MOD(3,12)+1)),AND(TRUE(),MOD(MATCH(CALC_PlanetPositions!$B$15,{"Aries","Taurus","Gemini","Cancer","Leo","Virgo","Libra","Scorpio","Sagittarius","Capricorn","Aquarius","Pisces"},0)-MATCH(INPUT_Chart!$C$5,{"Aries","Taurus","Gemini","Cancer","Leo","Virgo","Libra","Scorpio","Sagittarius","Capricorn","Aquarius","Pisces"},0),12)+1=(MOD(3,12)+1)))),1,0),0)</f>
        <v>0</v>
      </c>
      <c r="G61" s="1098">
        <f>F61*-0.75</f>
        <v>0</v>
      </c>
      <c r="H61" s="1092" t="s">
        <v>4553</v>
      </c>
    </row>
    <row r="62" spans="1:8" ht="18" customHeight="1" x14ac:dyDescent="0.2">
      <c r="A62" s="1099" t="s">
        <v>3036</v>
      </c>
      <c r="B62" s="1100" t="s">
        <v>4554</v>
      </c>
      <c r="C62" s="1101" t="s">
        <v>4528</v>
      </c>
      <c r="D62" s="1102" t="s">
        <v>4555</v>
      </c>
      <c r="E62" s="1103" t="s">
        <v>1109</v>
      </c>
      <c r="F62" s="1090">
        <v>0</v>
      </c>
      <c r="G62" s="1104">
        <f>F62*-1</f>
        <v>0</v>
      </c>
      <c r="H62" s="1092" t="s">
        <v>4556</v>
      </c>
    </row>
    <row r="63" spans="1:8" ht="18" customHeight="1" x14ac:dyDescent="0.2">
      <c r="A63" s="1099" t="s">
        <v>3054</v>
      </c>
      <c r="B63" s="1100" t="s">
        <v>4554</v>
      </c>
      <c r="C63" s="1101" t="s">
        <v>4533</v>
      </c>
      <c r="D63" s="1102" t="s">
        <v>4557</v>
      </c>
      <c r="E63" s="1103" t="s">
        <v>1109</v>
      </c>
      <c r="F63" s="1090">
        <f>IFERROR(IF(OR(AND(CALC_PlanetPositions!$M$7="Malefic",INDEX(REF_Aspects!$D$5:$O$13,1,MOD(CALC_BhaveshMap!$H$7-(MOD(MATCH(CALC_PlanetPositions!$B$7,{"Aries","Taurus","Gemini","Cancer","Leo","Virgo","Libra","Scorpio","Sagittarius","Capricorn","Aquarius","Pisces"},0)-MATCH(INPUT_Chart!$C$5,{"Aries","Taurus","Gemini","Cancer","Leo","Virgo","Libra","Scorpio","Sagittarius","Capricorn","Aquarius","Pisces"},0),12)+1),12)+1)="FULL",NOT(CALC_PlanetPositions!$B$7=CALC_BhaveshMap!$G$7)),AND(CALC_PlanetPositions!$M$8="Malefic",INDEX(REF_Aspects!$D$5:$O$13,2,MOD(CALC_BhaveshMap!$H$7-(MOD(MATCH(CALC_PlanetPositions!$B$8,{"Aries","Taurus","Gemini","Cancer","Leo","Virgo","Libra","Scorpio","Sagittarius","Capricorn","Aquarius","Pisces"},0)-MATCH(INPUT_Chart!$C$5,{"Aries","Taurus","Gemini","Cancer","Leo","Virgo","Libra","Scorpio","Sagittarius","Capricorn","Aquarius","Pisces"},0),12)+1),12)+1)="FULL",NOT(CALC_PlanetPositions!$B$8=CALC_BhaveshMap!$G$7)),AND(CALC_PlanetPositions!$M$9="Malefic",INDEX(REF_Aspects!$D$5:$O$13,3,MOD(CALC_BhaveshMap!$H$7-(MOD(MATCH(CALC_PlanetPositions!$B$9,{"Aries","Taurus","Gemini","Cancer","Leo","Virgo","Libra","Scorpio","Sagittarius","Capricorn","Aquarius","Pisces"},0)-MATCH(INPUT_Chart!$C$5,{"Aries","Taurus","Gemini","Cancer","Leo","Virgo","Libra","Scorpio","Sagittarius","Capricorn","Aquarius","Pisces"},0),12)+1),12)+1)="FULL",NOT(CALC_PlanetPositions!$B$9=CALC_BhaveshMap!$G$7)),AND(CALC_PlanetPositions!$M$10="Malefic",INDEX(REF_Aspects!$D$5:$O$13,4,MOD(CALC_BhaveshMap!$H$7-(MOD(MATCH(CALC_PlanetPositions!$B$10,{"Aries","Taurus","Gemini","Cancer","Leo","Virgo","Libra","Scorpio","Sagittarius","Capricorn","Aquarius","Pisces"},0)-MATCH(INPUT_Chart!$C$5,{"Aries","Taurus","Gemini","Cancer","Leo","Virgo","Libra","Scorpio","Sagittarius","Capricorn","Aquarius","Pisces"},0),12)+1),12)+1)="FULL",NOT(CALC_PlanetPositions!$B$10=CALC_BhaveshMap!$G$7)),AND(CALC_PlanetPositions!$M$11="Malefic",INDEX(REF_Aspects!$D$5:$O$13,5,MOD(CALC_BhaveshMap!$H$7-(MOD(MATCH(CALC_PlanetPositions!$B$11,{"Aries","Taurus","Gemini","Cancer","Leo","Virgo","Libra","Scorpio","Sagittarius","Capricorn","Aquarius","Pisces"},0)-MATCH(INPUT_Chart!$C$5,{"Aries","Taurus","Gemini","Cancer","Leo","Virgo","Libra","Scorpio","Sagittarius","Capricorn","Aquarius","Pisces"},0),12)+1),12)+1)="FULL",NOT(CALC_PlanetPositions!$B$11=CALC_BhaveshMap!$G$7)),AND(CALC_PlanetPositions!$M$12="Malefic",INDEX(REF_Aspects!$D$5:$O$13,6,MOD(CALC_BhaveshMap!$H$7-(MOD(MATCH(CALC_PlanetPositions!$B$12,{"Aries","Taurus","Gemini","Cancer","Leo","Virgo","Libra","Scorpio","Sagittarius","Capricorn","Aquarius","Pisces"},0)-MATCH(INPUT_Chart!$C$5,{"Aries","Taurus","Gemini","Cancer","Leo","Virgo","Libra","Scorpio","Sagittarius","Capricorn","Aquarius","Pisces"},0),12)+1),12)+1)="FULL",NOT(CALC_PlanetPositions!$B$12=CALC_BhaveshMap!$G$7)),AND(CALC_PlanetPositions!$M$13="Malefic",INDEX(REF_Aspects!$D$5:$O$13,7,MOD(CALC_BhaveshMap!$H$7-(MOD(MATCH(CALC_PlanetPositions!$B$13,{"Aries","Taurus","Gemini","Cancer","Leo","Virgo","Libra","Scorpio","Sagittarius","Capricorn","Aquarius","Pisces"},0)-MATCH(INPUT_Chart!$C$5,{"Aries","Taurus","Gemini","Cancer","Leo","Virgo","Libra","Scorpio","Sagittarius","Capricorn","Aquarius","Pisces"},0),12)+1),12)+1)="FULL",NOT(CALC_PlanetPositions!$B$13=CALC_BhaveshMap!$G$7)),AND(TRUE(),INDEX(REF_Aspects!$D$5:$O$13,8,MOD(CALC_BhaveshMap!$H$7-(MOD(MATCH(CALC_PlanetPositions!$B$14,{"Aries","Taurus","Gemini","Cancer","Leo","Virgo","Libra","Scorpio","Sagittarius","Capricorn","Aquarius","Pisces"},0)-MATCH(INPUT_Chart!$C$5,{"Aries","Taurus","Gemini","Cancer","Leo","Virgo","Libra","Scorpio","Sagittarius","Capricorn","Aquarius","Pisces"},0),12)+1),12)+1)="FULL",NOT(CALC_PlanetPositions!$B$14=CALC_BhaveshMap!$G$7)),AND(TRUE(),INDEX(REF_Aspects!$D$5:$O$13,9,MOD(CALC_BhaveshMap!$H$7-(MOD(MATCH(CALC_PlanetPositions!$B$15,{"Aries","Taurus","Gemini","Cancer","Leo","Virgo","Libra","Scorpio","Sagittarius","Capricorn","Aquarius","Pisces"},0)-MATCH(INPUT_Chart!$C$5,{"Aries","Taurus","Gemini","Cancer","Leo","Virgo","Libra","Scorpio","Sagittarius","Capricorn","Aquarius","Pisces"},0),12)+1),12)+1)="FULL",NOT(CALC_PlanetPositions!$B$15=CALC_BhaveshMap!$G$7))),1,0),0)</f>
        <v>1</v>
      </c>
      <c r="G63" s="1104">
        <f>F63*-0.5</f>
        <v>-0.5</v>
      </c>
      <c r="H63" s="1092" t="s">
        <v>4558</v>
      </c>
    </row>
    <row r="64" spans="1:8" ht="18" customHeight="1" x14ac:dyDescent="0.2">
      <c r="A64" s="1099" t="s">
        <v>3041</v>
      </c>
      <c r="B64" s="1100" t="s">
        <v>4554</v>
      </c>
      <c r="C64" s="1101" t="s">
        <v>4528</v>
      </c>
      <c r="D64" s="1102" t="s">
        <v>3042</v>
      </c>
      <c r="E64" s="1103" t="s">
        <v>4559</v>
      </c>
      <c r="F64" s="1090">
        <f>IFERROR(IF(CALC_BhaveshMap!$K$7="Yes",1,0),0)</f>
        <v>0</v>
      </c>
      <c r="G64" s="1104">
        <f>F64*-2</f>
        <v>0</v>
      </c>
      <c r="H64" s="1092" t="s">
        <v>4560</v>
      </c>
    </row>
    <row r="65" spans="1:8" ht="18" customHeight="1" x14ac:dyDescent="0.2">
      <c r="A65" s="1099" t="s">
        <v>3058</v>
      </c>
      <c r="B65" s="1100" t="s">
        <v>4554</v>
      </c>
      <c r="C65" s="1101" t="s">
        <v>4528</v>
      </c>
      <c r="D65" s="1102" t="s">
        <v>3059</v>
      </c>
      <c r="E65" s="1103" t="s">
        <v>1109</v>
      </c>
      <c r="F65" s="1090">
        <f>IFERROR(IF(OR(AND(CALC_BhaveshMap!$G$10=CALC_BhaveshMap!$G$7,CALC_BhaveshMap!$D$10&lt;&gt;CALC_BhaveshMap!$D$7),AND(CALC_BhaveshMap!$G$12=CALC_BhaveshMap!$G$7,CALC_BhaveshMap!$D$12&lt;&gt;CALC_BhaveshMap!$D$7),AND(CALC_BhaveshMap!$G$16=CALC_BhaveshMap!$G$7,CALC_BhaveshMap!$D$16&lt;&gt;CALC_BhaveshMap!$D$7)),1,0),0)</f>
        <v>1</v>
      </c>
      <c r="G65" s="1104">
        <f>F65*-1</f>
        <v>-1</v>
      </c>
      <c r="H65" s="1092" t="s">
        <v>4561</v>
      </c>
    </row>
    <row r="66" spans="1:8" ht="18" customHeight="1" x14ac:dyDescent="0.2">
      <c r="A66" s="1105" t="s">
        <v>3083</v>
      </c>
      <c r="B66" s="1106" t="s">
        <v>4562</v>
      </c>
      <c r="C66" s="1107" t="s">
        <v>4528</v>
      </c>
      <c r="D66" s="1108" t="s">
        <v>3084</v>
      </c>
      <c r="E66" s="1109" t="s">
        <v>1089</v>
      </c>
      <c r="F66" s="1110">
        <f>IFERROR(IF(CALC_KarakMap!$M$7&gt;0,CALC_KarakMap!$M$7,0),0)</f>
        <v>0</v>
      </c>
      <c r="G66" s="1111">
        <f>F66</f>
        <v>0</v>
      </c>
      <c r="H66" s="1092" t="s">
        <v>4563</v>
      </c>
    </row>
    <row r="67" spans="1:8" ht="18" customHeight="1" x14ac:dyDescent="0.2">
      <c r="A67" s="1105" t="s">
        <v>3390</v>
      </c>
      <c r="B67" s="1106" t="s">
        <v>4562</v>
      </c>
      <c r="C67" s="1107" t="s">
        <v>4528</v>
      </c>
      <c r="D67" s="1108" t="s">
        <v>4564</v>
      </c>
      <c r="E67" s="1109" t="s">
        <v>1097</v>
      </c>
      <c r="F67" s="1110">
        <f>IFERROR(IF(CALC_KarakMap!$M$7&lt;0,CALC_KarakMap!$M$7,0),0)</f>
        <v>0</v>
      </c>
      <c r="G67" s="1111">
        <f>F67</f>
        <v>0</v>
      </c>
      <c r="H67" s="1092" t="s">
        <v>4565</v>
      </c>
    </row>
    <row r="68" spans="1:8" ht="21.75" customHeight="1" x14ac:dyDescent="0.2">
      <c r="A68" s="1592" t="s">
        <v>4573</v>
      </c>
      <c r="B68" s="1592"/>
      <c r="C68" s="1592"/>
      <c r="D68" s="1592"/>
      <c r="E68" s="1592"/>
      <c r="F68" s="1592"/>
      <c r="G68" s="1112">
        <f>SUM(G50:G67)</f>
        <v>-1.5</v>
      </c>
      <c r="H68" s="1113" t="s">
        <v>4574</v>
      </c>
    </row>
    <row r="69" spans="1:8" ht="24" customHeight="1" x14ac:dyDescent="0.2">
      <c r="A69" s="1114" t="s">
        <v>4568</v>
      </c>
      <c r="D69" s="1115" t="s">
        <v>5579</v>
      </c>
    </row>
    <row r="70" spans="1:8" ht="21.75" customHeight="1" x14ac:dyDescent="0.2">
      <c r="A70" s="1591" t="s">
        <v>4575</v>
      </c>
      <c r="B70" s="1591"/>
      <c r="C70" s="1591"/>
      <c r="D70" s="1591"/>
      <c r="E70" s="1591"/>
      <c r="F70" s="1591"/>
      <c r="G70" s="1591"/>
      <c r="H70" s="1591"/>
    </row>
    <row r="71" spans="1:8" ht="18" customHeight="1" x14ac:dyDescent="0.2">
      <c r="A71" s="1087" t="s">
        <v>2393</v>
      </c>
      <c r="B71" s="1087" t="s">
        <v>3141</v>
      </c>
      <c r="C71" s="1087" t="s">
        <v>4523</v>
      </c>
      <c r="D71" s="1087" t="s">
        <v>3617</v>
      </c>
      <c r="E71" s="1087" t="s">
        <v>2043</v>
      </c>
      <c r="F71" s="1087" t="s">
        <v>4524</v>
      </c>
      <c r="G71" s="1087" t="s">
        <v>4525</v>
      </c>
      <c r="H71" s="1087" t="s">
        <v>4526</v>
      </c>
    </row>
    <row r="72" spans="1:8" ht="18" customHeight="1" x14ac:dyDescent="0.2">
      <c r="A72" s="316" t="s">
        <v>3365</v>
      </c>
      <c r="B72" s="1088" t="s">
        <v>4527</v>
      </c>
      <c r="C72" s="467" t="s">
        <v>4528</v>
      </c>
      <c r="D72" s="1089" t="s">
        <v>4529</v>
      </c>
      <c r="E72" s="100" t="s">
        <v>3546</v>
      </c>
      <c r="F72" s="1090">
        <f>IFERROR(IF(INDEX(REF_Zodiac!$D$17:$O$17,MATCH(CALC_BhaveshMap!$C$8,REF_Zodiac!$D$3:$O$3,0))="Gentle",1,0),0)</f>
        <v>0</v>
      </c>
      <c r="G72" s="1091">
        <f>F72*0.5</f>
        <v>0</v>
      </c>
      <c r="H72" s="1092" t="s">
        <v>4530</v>
      </c>
    </row>
    <row r="73" spans="1:8" ht="18" customHeight="1" x14ac:dyDescent="0.2">
      <c r="A73" s="316" t="s">
        <v>3016</v>
      </c>
      <c r="B73" s="1088" t="s">
        <v>4527</v>
      </c>
      <c r="C73" s="467" t="s">
        <v>4528</v>
      </c>
      <c r="D73" s="1089" t="s">
        <v>4531</v>
      </c>
      <c r="E73" s="100" t="s">
        <v>1081</v>
      </c>
      <c r="F73"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4),AND(OR(CALC_PlanetPositions!$M$8="Benefic",CALC_PlanetPositions!$M$8="Yogakaraka"),(MOD(MATCH(CALC_PlanetPositions!$B$8,{"Aries","Taurus","Gemini","Cancer","Leo","Virgo","Libra","Scorpio","Sagittarius","Capricorn","Aquarius","Pisces"},0)-MATCH(INPUT_Chart!$C$5,{"Aries","Taurus","Gemini","Cancer","Leo","Virgo","Libra","Scorpio","Sagittarius","Capricorn","Aquarius","Pisces"},0),12)+1)=4),AND(OR(CALC_PlanetPositions!$M$9="Benefic",CALC_PlanetPositions!$M$9="Yogakaraka"),(MOD(MATCH(CALC_PlanetPositions!$B$9,{"Aries","Taurus","Gemini","Cancer","Leo","Virgo","Libra","Scorpio","Sagittarius","Capricorn","Aquarius","Pisces"},0)-MATCH(INPUT_Chart!$C$5,{"Aries","Taurus","Gemini","Cancer","Leo","Virgo","Libra","Scorpio","Sagittarius","Capricorn","Aquarius","Pisces"},0),12)+1)=4),AND(OR(CALC_PlanetPositions!$M$10="Benefic",CALC_PlanetPositions!$M$10="Yogakaraka"),(MOD(MATCH(CALC_PlanetPositions!$B$10,{"Aries","Taurus","Gemini","Cancer","Leo","Virgo","Libra","Scorpio","Sagittarius","Capricorn","Aquarius","Pisces"},0)-MATCH(INPUT_Chart!$C$5,{"Aries","Taurus","Gemini","Cancer","Leo","Virgo","Libra","Scorpio","Sagittarius","Capricorn","Aquarius","Pisces"},0),12)+1)=4),AND(OR(CALC_PlanetPositions!$M$11="Benefic",CALC_PlanetPositions!$M$11="Yogakaraka"),(MOD(MATCH(CALC_PlanetPositions!$B$11,{"Aries","Taurus","Gemini","Cancer","Leo","Virgo","Libra","Scorpio","Sagittarius","Capricorn","Aquarius","Pisces"},0)-MATCH(INPUT_Chart!$C$5,{"Aries","Taurus","Gemini","Cancer","Leo","Virgo","Libra","Scorpio","Sagittarius","Capricorn","Aquarius","Pisces"},0),12)+1)=4),AND(OR(CALC_PlanetPositions!$M$12="Benefic",CALC_PlanetPositions!$M$12="Yogakaraka"),(MOD(MATCH(CALC_PlanetPositions!$B$12,{"Aries","Taurus","Gemini","Cancer","Leo","Virgo","Libra","Scorpio","Sagittarius","Capricorn","Aquarius","Pisces"},0)-MATCH(INPUT_Chart!$C$5,{"Aries","Taurus","Gemini","Cancer","Leo","Virgo","Libra","Scorpio","Sagittarius","Capricorn","Aquarius","Pisces"},0),12)+1)=4),AND(OR(CALC_PlanetPositions!$M$13="Benefic",CALC_PlanetPositions!$M$13="Yogakaraka"),(MOD(MATCH(CALC_PlanetPositions!$B$13,{"Aries","Taurus","Gemini","Cancer","Leo","Virgo","Libra","Scorpio","Sagittarius","Capricorn","Aquarius","Pisces"},0)-MATCH(INPUT_Chart!$C$5,{"Aries","Taurus","Gemini","Cancer","Leo","Virgo","Libra","Scorpio","Sagittarius","Capricorn","Aquarius","Pisces"},0),12)+1)=4),AND(FALSE(),(MOD(MATCH(CALC_PlanetPositions!$B$14,{"Aries","Taurus","Gemini","Cancer","Leo","Virgo","Libra","Scorpio","Sagittarius","Capricorn","Aquarius","Pisces"},0)-MATCH(INPUT_Chart!$C$5,{"Aries","Taurus","Gemini","Cancer","Leo","Virgo","Libra","Scorpio","Sagittarius","Capricorn","Aquarius","Pisces"},0),12)+1)=4),AND(FALSE(),(MOD(MATCH(CALC_PlanetPositions!$B$15,{"Aries","Taurus","Gemini","Cancer","Leo","Virgo","Libra","Scorpio","Sagittarius","Capricorn","Aquarius","Pisces"},0)-MATCH(INPUT_Chart!$C$5,{"Aries","Taurus","Gemini","Cancer","Leo","Virgo","Libra","Scorpio","Sagittarius","Capricorn","Aquarius","Pisces"},0),12)+1)=4)),1,0),0)</f>
        <v>0</v>
      </c>
      <c r="G73" s="1091">
        <f>F73*1</f>
        <v>0</v>
      </c>
      <c r="H73" s="1092" t="s">
        <v>4532</v>
      </c>
    </row>
    <row r="74" spans="1:8" ht="18" customHeight="1" x14ac:dyDescent="0.2">
      <c r="A74" s="316" t="s">
        <v>3065</v>
      </c>
      <c r="B74" s="1088" t="s">
        <v>4527</v>
      </c>
      <c r="C74" s="467" t="s">
        <v>4533</v>
      </c>
      <c r="D74" s="1089" t="s">
        <v>4534</v>
      </c>
      <c r="E74" s="100" t="s">
        <v>1085</v>
      </c>
      <c r="F74" s="1090">
        <f>IFERROR(IF(OR(AND(OR(CALC_PlanetPositions!$M$7="Benefic",CALC_PlanetPositions!$M$7="Yogakaraka"),INDEX(REF_Aspects!$D$5:$O$13,1,MOD(4-(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4)),AND(OR(CALC_PlanetPositions!$M$8="Benefic",CALC_PlanetPositions!$M$8="Yogakaraka"),INDEX(REF_Aspects!$D$5:$O$13,2,MOD(4-(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4)),AND(OR(CALC_PlanetPositions!$M$9="Benefic",CALC_PlanetPositions!$M$9="Yogakaraka"),INDEX(REF_Aspects!$D$5:$O$13,3,MOD(4-(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4)),AND(OR(CALC_PlanetPositions!$M$10="Benefic",CALC_PlanetPositions!$M$10="Yogakaraka"),INDEX(REF_Aspects!$D$5:$O$13,4,MOD(4-(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4)),AND(OR(CALC_PlanetPositions!$M$11="Benefic",CALC_PlanetPositions!$M$11="Yogakaraka"),INDEX(REF_Aspects!$D$5:$O$13,5,MOD(4-(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4)),AND(OR(CALC_PlanetPositions!$M$12="Benefic",CALC_PlanetPositions!$M$12="Yogakaraka"),INDEX(REF_Aspects!$D$5:$O$13,6,MOD(4-(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4)),AND(OR(CALC_PlanetPositions!$M$13="Benefic",CALC_PlanetPositions!$M$13="Yogakaraka"),INDEX(REF_Aspects!$D$5:$O$13,7,MOD(4-(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4)),AND(FALSE(),INDEX(REF_Aspects!$D$5:$O$13,8,MOD(4-(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4)),AND(FALSE(),INDEX(REF_Aspects!$D$5:$O$13,9,MOD(4-(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4))),1,0),0)</f>
        <v>0</v>
      </c>
      <c r="G74" s="1091">
        <f>F74*0.75</f>
        <v>0</v>
      </c>
      <c r="H74" s="1092" t="s">
        <v>4535</v>
      </c>
    </row>
    <row r="75" spans="1:8" ht="18" customHeight="1" x14ac:dyDescent="0.2">
      <c r="A75" s="356" t="s">
        <v>3015</v>
      </c>
      <c r="B75" s="1093" t="s">
        <v>4536</v>
      </c>
      <c r="C75" s="463" t="s">
        <v>4528</v>
      </c>
      <c r="D75" s="1094" t="s">
        <v>4537</v>
      </c>
      <c r="E75" s="101" t="s">
        <v>1075</v>
      </c>
      <c r="F75" s="1090">
        <f>IFERROR(IF(AND(OR(CALC_BhaveshMap!$I$8="Yes",CALC_BhaveshMap!$J$8="Yes"),NOT(CALC_BhaveshMap!$K$8="Yes")),1,0),0)</f>
        <v>0</v>
      </c>
      <c r="G75" s="1095">
        <f>F75*2</f>
        <v>0</v>
      </c>
      <c r="H75" s="1092" t="s">
        <v>4538</v>
      </c>
    </row>
    <row r="76" spans="1:8" ht="18" customHeight="1" x14ac:dyDescent="0.2">
      <c r="A76" s="356" t="s">
        <v>3092</v>
      </c>
      <c r="B76" s="1093" t="s">
        <v>4536</v>
      </c>
      <c r="C76" s="463" t="s">
        <v>4533</v>
      </c>
      <c r="D76" s="1094" t="s">
        <v>3093</v>
      </c>
      <c r="E76" s="101" t="s">
        <v>1081</v>
      </c>
      <c r="F76" s="1090">
        <f>IFERROR(IF(OR(AND(CALC_BhaveshMap!$G$5=CALC_BhaveshMap!$G$8,CALC_BhaveshMap!$D$5&lt;&gt;CALC_BhaveshMap!$D$8),AND(CALC_BhaveshMap!$G$8=CALC_BhaveshMap!$G$8,CALC_BhaveshMap!$D$8&lt;&gt;CALC_BhaveshMap!$D$8),AND(CALC_BhaveshMap!$G$9=CALC_BhaveshMap!$G$8,CALC_BhaveshMap!$D$9&lt;&gt;CALC_BhaveshMap!$D$8),AND(CALC_BhaveshMap!$G$11=CALC_BhaveshMap!$G$8,CALC_BhaveshMap!$D$11&lt;&gt;CALC_BhaveshMap!$D$8),AND(CALC_BhaveshMap!$G$13=CALC_BhaveshMap!$G$8,CALC_BhaveshMap!$D$13&lt;&gt;CALC_BhaveshMap!$D$8),AND(CALC_BhaveshMap!$G$14=CALC_BhaveshMap!$G$8,CALC_BhaveshMap!$D$14&lt;&gt;CALC_BhaveshMap!$D$8)),1,0),0)</f>
        <v>1</v>
      </c>
      <c r="G76" s="1095">
        <f>F76*0.5</f>
        <v>0.5</v>
      </c>
      <c r="H76" s="1092" t="s">
        <v>4539</v>
      </c>
    </row>
    <row r="77" spans="1:8" ht="18" customHeight="1" x14ac:dyDescent="0.2">
      <c r="A77" s="356" t="s">
        <v>3028</v>
      </c>
      <c r="B77" s="1093" t="s">
        <v>4536</v>
      </c>
      <c r="C77" s="463" t="s">
        <v>4528</v>
      </c>
      <c r="D77" s="1094" t="s">
        <v>4540</v>
      </c>
      <c r="E77" s="101" t="s">
        <v>1081</v>
      </c>
      <c r="F77" s="1090">
        <v>0</v>
      </c>
      <c r="G77" s="1095">
        <f>F77*1</f>
        <v>0</v>
      </c>
      <c r="H77" s="1092" t="s">
        <v>4541</v>
      </c>
    </row>
    <row r="78" spans="1:8" ht="18" customHeight="1" x14ac:dyDescent="0.2">
      <c r="A78" s="356" t="s">
        <v>3112</v>
      </c>
      <c r="B78" s="1093" t="s">
        <v>4536</v>
      </c>
      <c r="C78" s="463" t="s">
        <v>4533</v>
      </c>
      <c r="D78" s="1094" t="s">
        <v>4542</v>
      </c>
      <c r="E78" s="101" t="s">
        <v>1081</v>
      </c>
      <c r="F78" s="1090">
        <f>IFERROR(IF(OR(AND(OR(CALC_PlanetPositions!$M$7="Benefic",CALC_PlanetPositions!$M$7="Yogakaraka"),INDEX(REF_Aspects!$D$5:$O$13,1,MOD(CALC_BhaveshMap!$H$8-(MOD(MATCH(CALC_PlanetPositions!$B$7,{"Aries","Taurus","Gemini","Cancer","Leo","Virgo","Libra","Scorpio","Sagittarius","Capricorn","Aquarius","Pisces"},0)-MATCH(INPUT_Chart!$C$5,{"Aries","Taurus","Gemini","Cancer","Leo","Virgo","Libra","Scorpio","Sagittarius","Capricorn","Aquarius","Pisces"},0),12)+1),12)+1)="FULL",NOT(CALC_PlanetPositions!$B$7=CALC_BhaveshMap!$G$8)),AND(OR(CALC_PlanetPositions!$M$8="Benefic",CALC_PlanetPositions!$M$8="Yogakaraka"),INDEX(REF_Aspects!$D$5:$O$13,2,MOD(CALC_BhaveshMap!$H$8-(MOD(MATCH(CALC_PlanetPositions!$B$8,{"Aries","Taurus","Gemini","Cancer","Leo","Virgo","Libra","Scorpio","Sagittarius","Capricorn","Aquarius","Pisces"},0)-MATCH(INPUT_Chart!$C$5,{"Aries","Taurus","Gemini","Cancer","Leo","Virgo","Libra","Scorpio","Sagittarius","Capricorn","Aquarius","Pisces"},0),12)+1),12)+1)="FULL",NOT(CALC_PlanetPositions!$B$8=CALC_BhaveshMap!$G$8)),AND(OR(CALC_PlanetPositions!$M$9="Benefic",CALC_PlanetPositions!$M$9="Yogakaraka"),INDEX(REF_Aspects!$D$5:$O$13,3,MOD(CALC_BhaveshMap!$H$8-(MOD(MATCH(CALC_PlanetPositions!$B$9,{"Aries","Taurus","Gemini","Cancer","Leo","Virgo","Libra","Scorpio","Sagittarius","Capricorn","Aquarius","Pisces"},0)-MATCH(INPUT_Chart!$C$5,{"Aries","Taurus","Gemini","Cancer","Leo","Virgo","Libra","Scorpio","Sagittarius","Capricorn","Aquarius","Pisces"},0),12)+1),12)+1)="FULL",NOT(CALC_PlanetPositions!$B$9=CALC_BhaveshMap!$G$8)),AND(OR(CALC_PlanetPositions!$M$10="Benefic",CALC_PlanetPositions!$M$10="Yogakaraka"),INDEX(REF_Aspects!$D$5:$O$13,4,MOD(CALC_BhaveshMap!$H$8-(MOD(MATCH(CALC_PlanetPositions!$B$10,{"Aries","Taurus","Gemini","Cancer","Leo","Virgo","Libra","Scorpio","Sagittarius","Capricorn","Aquarius","Pisces"},0)-MATCH(INPUT_Chart!$C$5,{"Aries","Taurus","Gemini","Cancer","Leo","Virgo","Libra","Scorpio","Sagittarius","Capricorn","Aquarius","Pisces"},0),12)+1),12)+1)="FULL",NOT(CALC_PlanetPositions!$B$10=CALC_BhaveshMap!$G$8)),AND(OR(CALC_PlanetPositions!$M$11="Benefic",CALC_PlanetPositions!$M$11="Yogakaraka"),INDEX(REF_Aspects!$D$5:$O$13,5,MOD(CALC_BhaveshMap!$H$8-(MOD(MATCH(CALC_PlanetPositions!$B$11,{"Aries","Taurus","Gemini","Cancer","Leo","Virgo","Libra","Scorpio","Sagittarius","Capricorn","Aquarius","Pisces"},0)-MATCH(INPUT_Chart!$C$5,{"Aries","Taurus","Gemini","Cancer","Leo","Virgo","Libra","Scorpio","Sagittarius","Capricorn","Aquarius","Pisces"},0),12)+1),12)+1)="FULL",NOT(CALC_PlanetPositions!$B$11=CALC_BhaveshMap!$G$8)),AND(OR(CALC_PlanetPositions!$M$12="Benefic",CALC_PlanetPositions!$M$12="Yogakaraka"),INDEX(REF_Aspects!$D$5:$O$13,6,MOD(CALC_BhaveshMap!$H$8-(MOD(MATCH(CALC_PlanetPositions!$B$12,{"Aries","Taurus","Gemini","Cancer","Leo","Virgo","Libra","Scorpio","Sagittarius","Capricorn","Aquarius","Pisces"},0)-MATCH(INPUT_Chart!$C$5,{"Aries","Taurus","Gemini","Cancer","Leo","Virgo","Libra","Scorpio","Sagittarius","Capricorn","Aquarius","Pisces"},0),12)+1),12)+1)="FULL",NOT(CALC_PlanetPositions!$B$12=CALC_BhaveshMap!$G$8)),AND(OR(CALC_PlanetPositions!$M$13="Benefic",CALC_PlanetPositions!$M$13="Yogakaraka"),INDEX(REF_Aspects!$D$5:$O$13,7,MOD(CALC_BhaveshMap!$H$8-(MOD(MATCH(CALC_PlanetPositions!$B$13,{"Aries","Taurus","Gemini","Cancer","Leo","Virgo","Libra","Scorpio","Sagittarius","Capricorn","Aquarius","Pisces"},0)-MATCH(INPUT_Chart!$C$5,{"Aries","Taurus","Gemini","Cancer","Leo","Virgo","Libra","Scorpio","Sagittarius","Capricorn","Aquarius","Pisces"},0),12)+1),12)+1)="FULL",NOT(CALC_PlanetPositions!$B$13=CALC_BhaveshMap!$G$8)),AND(FALSE(),INDEX(REF_Aspects!$D$5:$O$13,8,MOD(CALC_BhaveshMap!$H$8-(MOD(MATCH(CALC_PlanetPositions!$B$14,{"Aries","Taurus","Gemini","Cancer","Leo","Virgo","Libra","Scorpio","Sagittarius","Capricorn","Aquarius","Pisces"},0)-MATCH(INPUT_Chart!$C$5,{"Aries","Taurus","Gemini","Cancer","Leo","Virgo","Libra","Scorpio","Sagittarius","Capricorn","Aquarius","Pisces"},0),12)+1),12)+1)="FULL",NOT(CALC_PlanetPositions!$B$14=CALC_BhaveshMap!$G$8)),AND(FALSE(),INDEX(REF_Aspects!$D$5:$O$13,9,MOD(CALC_BhaveshMap!$H$8-(MOD(MATCH(CALC_PlanetPositions!$B$15,{"Aries","Taurus","Gemini","Cancer","Leo","Virgo","Libra","Scorpio","Sagittarius","Capricorn","Aquarius","Pisces"},0)-MATCH(INPUT_Chart!$C$5,{"Aries","Taurus","Gemini","Cancer","Leo","Virgo","Libra","Scorpio","Sagittarius","Capricorn","Aquarius","Pisces"},0),12)+1),12)+1)="FULL",NOT(CALC_PlanetPositions!$B$15=CALC_BhaveshMap!$G$8))),1,0),0)</f>
        <v>0</v>
      </c>
      <c r="G78" s="1095">
        <f>F78*0.5</f>
        <v>0</v>
      </c>
      <c r="H78" s="1092" t="s">
        <v>4543</v>
      </c>
    </row>
    <row r="79" spans="1:8" ht="18" customHeight="1" x14ac:dyDescent="0.2">
      <c r="A79" s="356" t="s">
        <v>3033</v>
      </c>
      <c r="B79" s="1093" t="s">
        <v>4536</v>
      </c>
      <c r="C79" s="463" t="s">
        <v>4528</v>
      </c>
      <c r="D79" s="1094" t="s">
        <v>3034</v>
      </c>
      <c r="E79" s="101" t="s">
        <v>1085</v>
      </c>
      <c r="F79"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$8-2,12)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$8-2,12)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$8-2,12)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$8-2,12)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$8-2,12)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$8-2,12)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$8-2,12)+1)),AND(FALSE(),MOD(MATCH(CALC_PlanetPositions!$B$14,{"Aries","Taurus","Gemini","Cancer","Leo","Virgo","Libra","Scorpio","Sagittarius","Capricorn","Aquarius","Pisces"},0)-MATCH(INPUT_Chart!$C$5,{"Aries","Taurus","Gemini","Cancer","Leo","Virgo","Libra","Scorpio","Sagittarius","Capricorn","Aquarius","Pisces"},0),12)+1=(MOD(CALC_BhaveshMap!$H$8-2,12)+1)),AND(FALSE(),MOD(MATCH(CALC_PlanetPositions!$B$15,{"Aries","Taurus","Gemini","Cancer","Leo","Virgo","Libra","Scorpio","Sagittarius","Capricorn","Aquarius","Pisces"},0)-MATCH(INPUT_Chart!$C$5,{"Aries","Taurus","Gemini","Cancer","Leo","Virgo","Libra","Scorpio","Sagittarius","Capricorn","Aquarius","Pisces"},0),12)+1=(MOD(CALC_BhaveshMap!$H$8-2,12)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$8,12)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$8,12)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$8,12)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$8,12)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$8,12)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$8,12)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$8,12)+1)),AND(FALSE(),MOD(MATCH(CALC_PlanetPositions!$B$14,{"Aries","Taurus","Gemini","Cancer","Leo","Virgo","Libra","Scorpio","Sagittarius","Capricorn","Aquarius","Pisces"},0)-MATCH(INPUT_Chart!$C$5,{"Aries","Taurus","Gemini","Cancer","Leo","Virgo","Libra","Scorpio","Sagittarius","Capricorn","Aquarius","Pisces"},0),12)+1=(MOD(CALC_BhaveshMap!$H$8,12)+1)),AND(FALSE(),MOD(MATCH(CALC_PlanetPositions!$B$15,{"Aries","Taurus","Gemini","Cancer","Leo","Virgo","Libra","Scorpio","Sagittarius","Capricorn","Aquarius","Pisces"},0)-MATCH(INPUT_Chart!$C$5,{"Aries","Taurus","Gemini","Cancer","Leo","Virgo","Libra","Scorpio","Sagittarius","Capricorn","Aquarius","Pisces"},0),12)+1=(MOD(CALC_BhaveshMap!$H$8,12)+1)))),1,0),0)</f>
        <v>0</v>
      </c>
      <c r="G79" s="1095">
        <f>F79*0.75</f>
        <v>0</v>
      </c>
      <c r="H79" s="1092" t="s">
        <v>4544</v>
      </c>
    </row>
    <row r="80" spans="1:8" ht="18" customHeight="1" x14ac:dyDescent="0.2">
      <c r="A80" s="315" t="s">
        <v>3050</v>
      </c>
      <c r="B80" s="1096" t="s">
        <v>4545</v>
      </c>
      <c r="C80" s="480" t="s">
        <v>4528</v>
      </c>
      <c r="D80" s="1097" t="s">
        <v>4546</v>
      </c>
      <c r="E80" s="99" t="s">
        <v>1109</v>
      </c>
      <c r="F80" s="1090">
        <f>IFERROR(IF(OR(AND(CALC_PlanetPositions!$M$7="Malefic",(MOD(MATCH(CALC_PlanetPositions!$B$7,{"Aries","Taurus","Gemini","Cancer","Leo","Virgo","Libra","Scorpio","Sagittarius","Capricorn","Aquarius","Pisces"},0)-MATCH(INPUT_Chart!$C$5,{"Aries","Taurus","Gemini","Cancer","Leo","Virgo","Libra","Scorpio","Sagittarius","Capricorn","Aquarius","Pisces"},0),12)+1)=4),AND(CALC_PlanetPositions!$M$8="Malefic",(MOD(MATCH(CALC_PlanetPositions!$B$8,{"Aries","Taurus","Gemini","Cancer","Leo","Virgo","Libra","Scorpio","Sagittarius","Capricorn","Aquarius","Pisces"},0)-MATCH(INPUT_Chart!$C$5,{"Aries","Taurus","Gemini","Cancer","Leo","Virgo","Libra","Scorpio","Sagittarius","Capricorn","Aquarius","Pisces"},0),12)+1)=4),AND(CALC_PlanetPositions!$M$9="Malefic",(MOD(MATCH(CALC_PlanetPositions!$B$9,{"Aries","Taurus","Gemini","Cancer","Leo","Virgo","Libra","Scorpio","Sagittarius","Capricorn","Aquarius","Pisces"},0)-MATCH(INPUT_Chart!$C$5,{"Aries","Taurus","Gemini","Cancer","Leo","Virgo","Libra","Scorpio","Sagittarius","Capricorn","Aquarius","Pisces"},0),12)+1)=4),AND(CALC_PlanetPositions!$M$10="Malefic",(MOD(MATCH(CALC_PlanetPositions!$B$10,{"Aries","Taurus","Gemini","Cancer","Leo","Virgo","Libra","Scorpio","Sagittarius","Capricorn","Aquarius","Pisces"},0)-MATCH(INPUT_Chart!$C$5,{"Aries","Taurus","Gemini","Cancer","Leo","Virgo","Libra","Scorpio","Sagittarius","Capricorn","Aquarius","Pisces"},0),12)+1)=4),AND(CALC_PlanetPositions!$M$11="Malefic",(MOD(MATCH(CALC_PlanetPositions!$B$11,{"Aries","Taurus","Gemini","Cancer","Leo","Virgo","Libra","Scorpio","Sagittarius","Capricorn","Aquarius","Pisces"},0)-MATCH(INPUT_Chart!$C$5,{"Aries","Taurus","Gemini","Cancer","Leo","Virgo","Libra","Scorpio","Sagittarius","Capricorn","Aquarius","Pisces"},0),12)+1)=4),AND(CALC_PlanetPositions!$M$12="Malefic",(MOD(MATCH(CALC_PlanetPositions!$B$12,{"Aries","Taurus","Gemini","Cancer","Leo","Virgo","Libra","Scorpio","Sagittarius","Capricorn","Aquarius","Pisces"},0)-MATCH(INPUT_Chart!$C$5,{"Aries","Taurus","Gemini","Cancer","Leo","Virgo","Libra","Scorpio","Sagittarius","Capricorn","Aquarius","Pisces"},0),12)+1)=4),AND(CALC_PlanetPositions!$M$13="Malefic",(MOD(MATCH(CALC_PlanetPositions!$B$13,{"Aries","Taurus","Gemini","Cancer","Leo","Virgo","Libra","Scorpio","Sagittarius","Capricorn","Aquarius","Pisces"},0)-MATCH(INPUT_Chart!$C$5,{"Aries","Taurus","Gemini","Cancer","Leo","Virgo","Libra","Scorpio","Sagittarius","Capricorn","Aquarius","Pisces"},0),12)+1)=4),AND(TRUE(),(MOD(MATCH(CALC_PlanetPositions!$B$14,{"Aries","Taurus","Gemini","Cancer","Leo","Virgo","Libra","Scorpio","Sagittarius","Capricorn","Aquarius","Pisces"},0)-MATCH(INPUT_Chart!$C$5,{"Aries","Taurus","Gemini","Cancer","Leo","Virgo","Libra","Scorpio","Sagittarius","Capricorn","Aquarius","Pisces"},0),12)+1)=4),AND(TRUE(),(MOD(MATCH(CALC_PlanetPositions!$B$15,{"Aries","Taurus","Gemini","Cancer","Leo","Virgo","Libra","Scorpio","Sagittarius","Capricorn","Aquarius","Pisces"},0)-MATCH(INPUT_Chart!$C$5,{"Aries","Taurus","Gemini","Cancer","Leo","Virgo","Libra","Scorpio","Sagittarius","Capricorn","Aquarius","Pisces"},0),12)+1)=4)),1,0),0)</f>
        <v>0</v>
      </c>
      <c r="G80" s="1098">
        <f>F80*-1</f>
        <v>0</v>
      </c>
      <c r="H80" s="1092" t="s">
        <v>4547</v>
      </c>
    </row>
    <row r="81" spans="1:8" ht="18" customHeight="1" x14ac:dyDescent="0.2">
      <c r="A81" s="315" t="s">
        <v>3066</v>
      </c>
      <c r="B81" s="1096" t="s">
        <v>4545</v>
      </c>
      <c r="C81" s="480" t="s">
        <v>4528</v>
      </c>
      <c r="D81" s="1097" t="s">
        <v>4548</v>
      </c>
      <c r="E81" s="99" t="s">
        <v>1109</v>
      </c>
      <c r="F81" s="1090">
        <f>IFERROR(IF(OR(AND(CALC_PlanetPositions!$M$7="Malefic",INDEX(REF_Aspects!$D$5:$O$13,1,MOD(4-(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4)),AND(CALC_PlanetPositions!$M$8="Malefic",INDEX(REF_Aspects!$D$5:$O$13,2,MOD(4-(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4)),AND(CALC_PlanetPositions!$M$9="Malefic",INDEX(REF_Aspects!$D$5:$O$13,3,MOD(4-(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4)),AND(CALC_PlanetPositions!$M$10="Malefic",INDEX(REF_Aspects!$D$5:$O$13,4,MOD(4-(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4)),AND(CALC_PlanetPositions!$M$11="Malefic",INDEX(REF_Aspects!$D$5:$O$13,5,MOD(4-(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4)),AND(CALC_PlanetPositions!$M$12="Malefic",INDEX(REF_Aspects!$D$5:$O$13,6,MOD(4-(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4)),AND(CALC_PlanetPositions!$M$13="Malefic",INDEX(REF_Aspects!$D$5:$O$13,7,MOD(4-(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4)),AND(TRUE(),INDEX(REF_Aspects!$D$5:$O$13,8,MOD(4-(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4)),AND(TRUE(),INDEX(REF_Aspects!$D$5:$O$13,9,MOD(4-(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4))),1,0),0)</f>
        <v>0</v>
      </c>
      <c r="G81" s="1098">
        <f>F81*-1</f>
        <v>0</v>
      </c>
      <c r="H81" s="1092" t="s">
        <v>4549</v>
      </c>
    </row>
    <row r="82" spans="1:8" ht="18" customHeight="1" x14ac:dyDescent="0.2">
      <c r="A82" s="315" t="s">
        <v>3061</v>
      </c>
      <c r="B82" s="1096" t="s">
        <v>4545</v>
      </c>
      <c r="C82" s="480" t="s">
        <v>4528</v>
      </c>
      <c r="D82" s="1097" t="s">
        <v>3062</v>
      </c>
      <c r="E82" s="99" t="s">
        <v>4550</v>
      </c>
      <c r="F82" s="1090">
        <v>0</v>
      </c>
      <c r="G82" s="1098">
        <f>F82*-1.25</f>
        <v>0</v>
      </c>
      <c r="H82" s="1092" t="s">
        <v>4551</v>
      </c>
    </row>
    <row r="83" spans="1:8" ht="18" customHeight="1" x14ac:dyDescent="0.2">
      <c r="A83" s="315" t="s">
        <v>3095</v>
      </c>
      <c r="B83" s="1096" t="s">
        <v>4545</v>
      </c>
      <c r="C83" s="480" t="s">
        <v>4528</v>
      </c>
      <c r="D83" s="1097" t="s">
        <v>4552</v>
      </c>
      <c r="E83" s="99" t="s">
        <v>3564</v>
      </c>
      <c r="F83" s="1090">
        <f>IFERROR(IF(AND(OR(AND(CALC_PlanetPositions!$M$7="Malefic",MOD(MATCH(CALC_PlanetPositions!$B$7,{"Aries","Taurus","Gemini","Cancer","Leo","Virgo","Libra","Scorpio","Sagittarius","Capricorn","Aquarius","Pisces"},0)-MATCH(INPUT_Chart!$C$5,{"Aries","Taurus","Gemini","Cancer","Leo","Virgo","Libra","Scorpio","Sagittarius","Capricorn","Aquarius","Pisces"},0),12)+1=(MOD(4-2,12)+1)),AND(CALC_PlanetPositions!$M$8="Malefic",MOD(MATCH(CALC_PlanetPositions!$B$8,{"Aries","Taurus","Gemini","Cancer","Leo","Virgo","Libra","Scorpio","Sagittarius","Capricorn","Aquarius","Pisces"},0)-MATCH(INPUT_Chart!$C$5,{"Aries","Taurus","Gemini","Cancer","Leo","Virgo","Libra","Scorpio","Sagittarius","Capricorn","Aquarius","Pisces"},0),12)+1=(MOD(4-2,12)+1)),AND(CALC_PlanetPositions!$M$9="Malefic",MOD(MATCH(CALC_PlanetPositions!$B$9,{"Aries","Taurus","Gemini","Cancer","Leo","Virgo","Libra","Scorpio","Sagittarius","Capricorn","Aquarius","Pisces"},0)-MATCH(INPUT_Chart!$C$5,{"Aries","Taurus","Gemini","Cancer","Leo","Virgo","Libra","Scorpio","Sagittarius","Capricorn","Aquarius","Pisces"},0),12)+1=(MOD(4-2,12)+1)),AND(CALC_PlanetPositions!$M$10="Malefic",MOD(MATCH(CALC_PlanetPositions!$B$10,{"Aries","Taurus","Gemini","Cancer","Leo","Virgo","Libra","Scorpio","Sagittarius","Capricorn","Aquarius","Pisces"},0)-MATCH(INPUT_Chart!$C$5,{"Aries","Taurus","Gemini","Cancer","Leo","Virgo","Libra","Scorpio","Sagittarius","Capricorn","Aquarius","Pisces"},0),12)+1=(MOD(4-2,12)+1)),AND(CALC_PlanetPositions!$M$11="Malefic",MOD(MATCH(CALC_PlanetPositions!$B$11,{"Aries","Taurus","Gemini","Cancer","Leo","Virgo","Libra","Scorpio","Sagittarius","Capricorn","Aquarius","Pisces"},0)-MATCH(INPUT_Chart!$C$5,{"Aries","Taurus","Gemini","Cancer","Leo","Virgo","Libra","Scorpio","Sagittarius","Capricorn","Aquarius","Pisces"},0),12)+1=(MOD(4-2,12)+1)),AND(CALC_PlanetPositions!$M$12="Malefic",MOD(MATCH(CALC_PlanetPositions!$B$12,{"Aries","Taurus","Gemini","Cancer","Leo","Virgo","Libra","Scorpio","Sagittarius","Capricorn","Aquarius","Pisces"},0)-MATCH(INPUT_Chart!$C$5,{"Aries","Taurus","Gemini","Cancer","Leo","Virgo","Libra","Scorpio","Sagittarius","Capricorn","Aquarius","Pisces"},0),12)+1=(MOD(4-2,12)+1)),AND(CALC_PlanetPositions!$M$13="Malefic",MOD(MATCH(CALC_PlanetPositions!$B$13,{"Aries","Taurus","Gemini","Cancer","Leo","Virgo","Libra","Scorpio","Sagittarius","Capricorn","Aquarius","Pisces"},0)-MATCH(INPUT_Chart!$C$5,{"Aries","Taurus","Gemini","Cancer","Leo","Virgo","Libra","Scorpio","Sagittarius","Capricorn","Aquarius","Pisces"},0),12)+1=(MOD(4-2,12)+1)),AND(TRUE(),MOD(MATCH(CALC_PlanetPositions!$B$14,{"Aries","Taurus","Gemini","Cancer","Leo","Virgo","Libra","Scorpio","Sagittarius","Capricorn","Aquarius","Pisces"},0)-MATCH(INPUT_Chart!$C$5,{"Aries","Taurus","Gemini","Cancer","Leo","Virgo","Libra","Scorpio","Sagittarius","Capricorn","Aquarius","Pisces"},0),12)+1=(MOD(4-2,12)+1)),AND(TRUE(),MOD(MATCH(CALC_PlanetPositions!$B$15,{"Aries","Taurus","Gemini","Cancer","Leo","Virgo","Libra","Scorpio","Sagittarius","Capricorn","Aquarius","Pisces"},0)-MATCH(INPUT_Chart!$C$5,{"Aries","Taurus","Gemini","Cancer","Leo","Virgo","Libra","Scorpio","Sagittarius","Capricorn","Aquarius","Pisces"},0),12)+1=(MOD(4-2,12)+1))),OR(AND(CALC_PlanetPositions!$M$7="Malefic",MOD(MATCH(CALC_PlanetPositions!$B$7,{"Aries","Taurus","Gemini","Cancer","Leo","Virgo","Libra","Scorpio","Sagittarius","Capricorn","Aquarius","Pisces"},0)-MATCH(INPUT_Chart!$C$5,{"Aries","Taurus","Gemini","Cancer","Leo","Virgo","Libra","Scorpio","Sagittarius","Capricorn","Aquarius","Pisces"},0),12)+1=(MOD(4,12)+1)),AND(CALC_PlanetPositions!$M$8="Malefic",MOD(MATCH(CALC_PlanetPositions!$B$8,{"Aries","Taurus","Gemini","Cancer","Leo","Virgo","Libra","Scorpio","Sagittarius","Capricorn","Aquarius","Pisces"},0)-MATCH(INPUT_Chart!$C$5,{"Aries","Taurus","Gemini","Cancer","Leo","Virgo","Libra","Scorpio","Sagittarius","Capricorn","Aquarius","Pisces"},0),12)+1=(MOD(4,12)+1)),AND(CALC_PlanetPositions!$M$9="Malefic",MOD(MATCH(CALC_PlanetPositions!$B$9,{"Aries","Taurus","Gemini","Cancer","Leo","Virgo","Libra","Scorpio","Sagittarius","Capricorn","Aquarius","Pisces"},0)-MATCH(INPUT_Chart!$C$5,{"Aries","Taurus","Gemini","Cancer","Leo","Virgo","Libra","Scorpio","Sagittarius","Capricorn","Aquarius","Pisces"},0),12)+1=(MOD(4,12)+1)),AND(CALC_PlanetPositions!$M$10="Malefic",MOD(MATCH(CALC_PlanetPositions!$B$10,{"Aries","Taurus","Gemini","Cancer","Leo","Virgo","Libra","Scorpio","Sagittarius","Capricorn","Aquarius","Pisces"},0)-MATCH(INPUT_Chart!$C$5,{"Aries","Taurus","Gemini","Cancer","Leo","Virgo","Libra","Scorpio","Sagittarius","Capricorn","Aquarius","Pisces"},0),12)+1=(MOD(4,12)+1)),AND(CALC_PlanetPositions!$M$11="Malefic",MOD(MATCH(CALC_PlanetPositions!$B$11,{"Aries","Taurus","Gemini","Cancer","Leo","Virgo","Libra","Scorpio","Sagittarius","Capricorn","Aquarius","Pisces"},0)-MATCH(INPUT_Chart!$C$5,{"Aries","Taurus","Gemini","Cancer","Leo","Virgo","Libra","Scorpio","Sagittarius","Capricorn","Aquarius","Pisces"},0),12)+1=(MOD(4,12)+1)),AND(CALC_PlanetPositions!$M$12="Malefic",MOD(MATCH(CALC_PlanetPositions!$B$12,{"Aries","Taurus","Gemini","Cancer","Leo","Virgo","Libra","Scorpio","Sagittarius","Capricorn","Aquarius","Pisces"},0)-MATCH(INPUT_Chart!$C$5,{"Aries","Taurus","Gemini","Cancer","Leo","Virgo","Libra","Scorpio","Sagittarius","Capricorn","Aquarius","Pisces"},0),12)+1=(MOD(4,12)+1)),AND(CALC_PlanetPositions!$M$13="Malefic",MOD(MATCH(CALC_PlanetPositions!$B$13,{"Aries","Taurus","Gemini","Cancer","Leo","Virgo","Libra","Scorpio","Sagittarius","Capricorn","Aquarius","Pisces"},0)-MATCH(INPUT_Chart!$C$5,{"Aries","Taurus","Gemini","Cancer","Leo","Virgo","Libra","Scorpio","Sagittarius","Capricorn","Aquarius","Pisces"},0),12)+1=(MOD(4,12)+1)),AND(TRUE(),MOD(MATCH(CALC_PlanetPositions!$B$14,{"Aries","Taurus","Gemini","Cancer","Leo","Virgo","Libra","Scorpio","Sagittarius","Capricorn","Aquarius","Pisces"},0)-MATCH(INPUT_Chart!$C$5,{"Aries","Taurus","Gemini","Cancer","Leo","Virgo","Libra","Scorpio","Sagittarius","Capricorn","Aquarius","Pisces"},0),12)+1=(MOD(4,12)+1)),AND(TRUE(),MOD(MATCH(CALC_PlanetPositions!$B$15,{"Aries","Taurus","Gemini","Cancer","Leo","Virgo","Libra","Scorpio","Sagittarius","Capricorn","Aquarius","Pisces"},0)-MATCH(INPUT_Chart!$C$5,{"Aries","Taurus","Gemini","Cancer","Leo","Virgo","Libra","Scorpio","Sagittarius","Capricorn","Aquarius","Pisces"},0),12)+1=(MOD(4,12)+1)))),1,0),0)</f>
        <v>0</v>
      </c>
      <c r="G83" s="1098">
        <f>F83*-0.75</f>
        <v>0</v>
      </c>
      <c r="H83" s="1092" t="s">
        <v>4553</v>
      </c>
    </row>
    <row r="84" spans="1:8" ht="18" customHeight="1" x14ac:dyDescent="0.2">
      <c r="A84" s="1099" t="s">
        <v>3036</v>
      </c>
      <c r="B84" s="1100" t="s">
        <v>4554</v>
      </c>
      <c r="C84" s="1101" t="s">
        <v>4528</v>
      </c>
      <c r="D84" s="1102" t="s">
        <v>4555</v>
      </c>
      <c r="E84" s="1103" t="s">
        <v>1109</v>
      </c>
      <c r="F84" s="1090">
        <v>0</v>
      </c>
      <c r="G84" s="1104">
        <f>F84*-1</f>
        <v>0</v>
      </c>
      <c r="H84" s="1092" t="s">
        <v>4556</v>
      </c>
    </row>
    <row r="85" spans="1:8" ht="18" customHeight="1" x14ac:dyDescent="0.2">
      <c r="A85" s="1099" t="s">
        <v>3054</v>
      </c>
      <c r="B85" s="1100" t="s">
        <v>4554</v>
      </c>
      <c r="C85" s="1101" t="s">
        <v>4533</v>
      </c>
      <c r="D85" s="1102" t="s">
        <v>4557</v>
      </c>
      <c r="E85" s="1103" t="s">
        <v>1109</v>
      </c>
      <c r="F85" s="1090">
        <f>IFERROR(IF(OR(AND(CALC_PlanetPositions!$M$7="Malefic",INDEX(REF_Aspects!$D$5:$O$13,1,MOD(CALC_BhaveshMap!$H$8-(MOD(MATCH(CALC_PlanetPositions!$B$7,{"Aries","Taurus","Gemini","Cancer","Leo","Virgo","Libra","Scorpio","Sagittarius","Capricorn","Aquarius","Pisces"},0)-MATCH(INPUT_Chart!$C$5,{"Aries","Taurus","Gemini","Cancer","Leo","Virgo","Libra","Scorpio","Sagittarius","Capricorn","Aquarius","Pisces"},0),12)+1),12)+1)="FULL",NOT(CALC_PlanetPositions!$B$7=CALC_BhaveshMap!$G$8)),AND(CALC_PlanetPositions!$M$8="Malefic",INDEX(REF_Aspects!$D$5:$O$13,2,MOD(CALC_BhaveshMap!$H$8-(MOD(MATCH(CALC_PlanetPositions!$B$8,{"Aries","Taurus","Gemini","Cancer","Leo","Virgo","Libra","Scorpio","Sagittarius","Capricorn","Aquarius","Pisces"},0)-MATCH(INPUT_Chart!$C$5,{"Aries","Taurus","Gemini","Cancer","Leo","Virgo","Libra","Scorpio","Sagittarius","Capricorn","Aquarius","Pisces"},0),12)+1),12)+1)="FULL",NOT(CALC_PlanetPositions!$B$8=CALC_BhaveshMap!$G$8)),AND(CALC_PlanetPositions!$M$9="Malefic",INDEX(REF_Aspects!$D$5:$O$13,3,MOD(CALC_BhaveshMap!$H$8-(MOD(MATCH(CALC_PlanetPositions!$B$9,{"Aries","Taurus","Gemini","Cancer","Leo","Virgo","Libra","Scorpio","Sagittarius","Capricorn","Aquarius","Pisces"},0)-MATCH(INPUT_Chart!$C$5,{"Aries","Taurus","Gemini","Cancer","Leo","Virgo","Libra","Scorpio","Sagittarius","Capricorn","Aquarius","Pisces"},0),12)+1),12)+1)="FULL",NOT(CALC_PlanetPositions!$B$9=CALC_BhaveshMap!$G$8)),AND(CALC_PlanetPositions!$M$10="Malefic",INDEX(REF_Aspects!$D$5:$O$13,4,MOD(CALC_BhaveshMap!$H$8-(MOD(MATCH(CALC_PlanetPositions!$B$10,{"Aries","Taurus","Gemini","Cancer","Leo","Virgo","Libra","Scorpio","Sagittarius","Capricorn","Aquarius","Pisces"},0)-MATCH(INPUT_Chart!$C$5,{"Aries","Taurus","Gemini","Cancer","Leo","Virgo","Libra","Scorpio","Sagittarius","Capricorn","Aquarius","Pisces"},0),12)+1),12)+1)="FULL",NOT(CALC_PlanetPositions!$B$10=CALC_BhaveshMap!$G$8)),AND(CALC_PlanetPositions!$M$11="Malefic",INDEX(REF_Aspects!$D$5:$O$13,5,MOD(CALC_BhaveshMap!$H$8-(MOD(MATCH(CALC_PlanetPositions!$B$11,{"Aries","Taurus","Gemini","Cancer","Leo","Virgo","Libra","Scorpio","Sagittarius","Capricorn","Aquarius","Pisces"},0)-MATCH(INPUT_Chart!$C$5,{"Aries","Taurus","Gemini","Cancer","Leo","Virgo","Libra","Scorpio","Sagittarius","Capricorn","Aquarius","Pisces"},0),12)+1),12)+1)="FULL",NOT(CALC_PlanetPositions!$B$11=CALC_BhaveshMap!$G$8)),AND(CALC_PlanetPositions!$M$12="Malefic",INDEX(REF_Aspects!$D$5:$O$13,6,MOD(CALC_BhaveshMap!$H$8-(MOD(MATCH(CALC_PlanetPositions!$B$12,{"Aries","Taurus","Gemini","Cancer","Leo","Virgo","Libra","Scorpio","Sagittarius","Capricorn","Aquarius","Pisces"},0)-MATCH(INPUT_Chart!$C$5,{"Aries","Taurus","Gemini","Cancer","Leo","Virgo","Libra","Scorpio","Sagittarius","Capricorn","Aquarius","Pisces"},0),12)+1),12)+1)="FULL",NOT(CALC_PlanetPositions!$B$12=CALC_BhaveshMap!$G$8)),AND(CALC_PlanetPositions!$M$13="Malefic",INDEX(REF_Aspects!$D$5:$O$13,7,MOD(CALC_BhaveshMap!$H$8-(MOD(MATCH(CALC_PlanetPositions!$B$13,{"Aries","Taurus","Gemini","Cancer","Leo","Virgo","Libra","Scorpio","Sagittarius","Capricorn","Aquarius","Pisces"},0)-MATCH(INPUT_Chart!$C$5,{"Aries","Taurus","Gemini","Cancer","Leo","Virgo","Libra","Scorpio","Sagittarius","Capricorn","Aquarius","Pisces"},0),12)+1),12)+1)="FULL",NOT(CALC_PlanetPositions!$B$13=CALC_BhaveshMap!$G$8)),AND(TRUE(),INDEX(REF_Aspects!$D$5:$O$13,8,MOD(CALC_BhaveshMap!$H$8-(MOD(MATCH(CALC_PlanetPositions!$B$14,{"Aries","Taurus","Gemini","Cancer","Leo","Virgo","Libra","Scorpio","Sagittarius","Capricorn","Aquarius","Pisces"},0)-MATCH(INPUT_Chart!$C$5,{"Aries","Taurus","Gemini","Cancer","Leo","Virgo","Libra","Scorpio","Sagittarius","Capricorn","Aquarius","Pisces"},0),12)+1),12)+1)="FULL",NOT(CALC_PlanetPositions!$B$14=CALC_BhaveshMap!$G$8)),AND(TRUE(),INDEX(REF_Aspects!$D$5:$O$13,9,MOD(CALC_BhaveshMap!$H$8-(MOD(MATCH(CALC_PlanetPositions!$B$15,{"Aries","Taurus","Gemini","Cancer","Leo","Virgo","Libra","Scorpio","Sagittarius","Capricorn","Aquarius","Pisces"},0)-MATCH(INPUT_Chart!$C$5,{"Aries","Taurus","Gemini","Cancer","Leo","Virgo","Libra","Scorpio","Sagittarius","Capricorn","Aquarius","Pisces"},0),12)+1),12)+1)="FULL",NOT(CALC_PlanetPositions!$B$15=CALC_BhaveshMap!$G$8))),1,0),0)</f>
        <v>1</v>
      </c>
      <c r="G85" s="1104">
        <f>F85*-0.5</f>
        <v>-0.5</v>
      </c>
      <c r="H85" s="1092" t="s">
        <v>4558</v>
      </c>
    </row>
    <row r="86" spans="1:8" ht="18" customHeight="1" x14ac:dyDescent="0.2">
      <c r="A86" s="1099" t="s">
        <v>3041</v>
      </c>
      <c r="B86" s="1100" t="s">
        <v>4554</v>
      </c>
      <c r="C86" s="1101" t="s">
        <v>4528</v>
      </c>
      <c r="D86" s="1102" t="s">
        <v>3042</v>
      </c>
      <c r="E86" s="1103" t="s">
        <v>4559</v>
      </c>
      <c r="F86" s="1090">
        <f>IFERROR(IF(CALC_BhaveshMap!$K$8="Yes",1,0),0)</f>
        <v>0</v>
      </c>
      <c r="G86" s="1104">
        <f>F86*-2</f>
        <v>0</v>
      </c>
      <c r="H86" s="1092" t="s">
        <v>4560</v>
      </c>
    </row>
    <row r="87" spans="1:8" ht="18" customHeight="1" x14ac:dyDescent="0.2">
      <c r="A87" s="1099" t="s">
        <v>3058</v>
      </c>
      <c r="B87" s="1100" t="s">
        <v>4554</v>
      </c>
      <c r="C87" s="1101" t="s">
        <v>4528</v>
      </c>
      <c r="D87" s="1102" t="s">
        <v>3059</v>
      </c>
      <c r="E87" s="1103" t="s">
        <v>1109</v>
      </c>
      <c r="F87" s="1090">
        <f>IFERROR(IF(OR(AND(CALC_BhaveshMap!$G$10=CALC_BhaveshMap!$G$8,CALC_BhaveshMap!$D$10&lt;&gt;CALC_BhaveshMap!$D$8),AND(CALC_BhaveshMap!$G$12=CALC_BhaveshMap!$G$8,CALC_BhaveshMap!$D$12&lt;&gt;CALC_BhaveshMap!$D$8),AND(CALC_BhaveshMap!$G$16=CALC_BhaveshMap!$G$8,CALC_BhaveshMap!$D$16&lt;&gt;CALC_BhaveshMap!$D$8)),1,0),0)</f>
        <v>1</v>
      </c>
      <c r="G87" s="1104">
        <f>F87*-1</f>
        <v>-1</v>
      </c>
      <c r="H87" s="1092" t="s">
        <v>4561</v>
      </c>
    </row>
    <row r="88" spans="1:8" ht="18" customHeight="1" x14ac:dyDescent="0.2">
      <c r="A88" s="1105" t="s">
        <v>3083</v>
      </c>
      <c r="B88" s="1106" t="s">
        <v>4562</v>
      </c>
      <c r="C88" s="1107" t="s">
        <v>4528</v>
      </c>
      <c r="D88" s="1108" t="s">
        <v>3084</v>
      </c>
      <c r="E88" s="1109" t="s">
        <v>1089</v>
      </c>
      <c r="F88" s="1110">
        <f>IFERROR(IF(CALC_KarakMap!$M$8&gt;0,CALC_KarakMap!$M$8,0),0)</f>
        <v>0</v>
      </c>
      <c r="G88" s="1111">
        <f>F88</f>
        <v>0</v>
      </c>
      <c r="H88" s="1092" t="s">
        <v>4563</v>
      </c>
    </row>
    <row r="89" spans="1:8" ht="18" customHeight="1" x14ac:dyDescent="0.2">
      <c r="A89" s="1105" t="s">
        <v>3390</v>
      </c>
      <c r="B89" s="1106" t="s">
        <v>4562</v>
      </c>
      <c r="C89" s="1107" t="s">
        <v>4528</v>
      </c>
      <c r="D89" s="1108" t="s">
        <v>4564</v>
      </c>
      <c r="E89" s="1109" t="s">
        <v>1097</v>
      </c>
      <c r="F89" s="1090">
        <f>IFERROR(IF(CALC_KarakMap!$M$8&lt;0,CALC_KarakMap!$M$8,0),0)</f>
        <v>0</v>
      </c>
      <c r="G89" s="1111">
        <f>F89</f>
        <v>0</v>
      </c>
      <c r="H89" s="1092" t="s">
        <v>4565</v>
      </c>
    </row>
    <row r="90" spans="1:8" ht="21.75" customHeight="1" x14ac:dyDescent="0.2">
      <c r="A90" s="1592" t="s">
        <v>4576</v>
      </c>
      <c r="B90" s="1592"/>
      <c r="C90" s="1592"/>
      <c r="D90" s="1592"/>
      <c r="E90" s="1592"/>
      <c r="F90" s="1592"/>
      <c r="G90" s="1112">
        <f>SUM(G72:G89)</f>
        <v>-1</v>
      </c>
      <c r="H90" s="1113" t="s">
        <v>4577</v>
      </c>
    </row>
    <row r="91" spans="1:8" ht="24" customHeight="1" x14ac:dyDescent="0.2">
      <c r="A91" s="1114" t="s">
        <v>4568</v>
      </c>
      <c r="D91" s="1115" t="s">
        <v>5580</v>
      </c>
    </row>
    <row r="92" spans="1:8" ht="21.75" customHeight="1" x14ac:dyDescent="0.2">
      <c r="A92" s="1591" t="s">
        <v>4578</v>
      </c>
      <c r="B92" s="1591"/>
      <c r="C92" s="1591"/>
      <c r="D92" s="1591"/>
      <c r="E92" s="1591"/>
      <c r="F92" s="1591"/>
      <c r="G92" s="1591"/>
      <c r="H92" s="1591"/>
    </row>
    <row r="93" spans="1:8" ht="18" customHeight="1" x14ac:dyDescent="0.2">
      <c r="A93" s="1087" t="s">
        <v>2393</v>
      </c>
      <c r="B93" s="1087" t="s">
        <v>3141</v>
      </c>
      <c r="C93" s="1087" t="s">
        <v>4523</v>
      </c>
      <c r="D93" s="1087" t="s">
        <v>3617</v>
      </c>
      <c r="E93" s="1087" t="s">
        <v>2043</v>
      </c>
      <c r="F93" s="1087" t="s">
        <v>4524</v>
      </c>
      <c r="G93" s="1087" t="s">
        <v>4525</v>
      </c>
      <c r="H93" s="1087" t="s">
        <v>4526</v>
      </c>
    </row>
    <row r="94" spans="1:8" ht="18" customHeight="1" x14ac:dyDescent="0.2">
      <c r="A94" s="316" t="s">
        <v>3365</v>
      </c>
      <c r="B94" s="1088" t="s">
        <v>4527</v>
      </c>
      <c r="C94" s="467" t="s">
        <v>4528</v>
      </c>
      <c r="D94" s="1089" t="s">
        <v>4529</v>
      </c>
      <c r="E94" s="100" t="s">
        <v>3546</v>
      </c>
      <c r="F94" s="1090">
        <f>IFERROR(IF(INDEX(REF_Zodiac!$D$17:$O$17,MATCH(CALC_BhaveshMap!$C$9,REF_Zodiac!$D$3:$O$3,0))="Gentle",1,0),0)</f>
        <v>1</v>
      </c>
      <c r="G94" s="1091">
        <f>F94*0.5</f>
        <v>0.5</v>
      </c>
      <c r="H94" s="1092" t="s">
        <v>4530</v>
      </c>
    </row>
    <row r="95" spans="1:8" ht="18" customHeight="1" x14ac:dyDescent="0.2">
      <c r="A95" s="316" t="s">
        <v>3016</v>
      </c>
      <c r="B95" s="1088" t="s">
        <v>4527</v>
      </c>
      <c r="C95" s="467" t="s">
        <v>4528</v>
      </c>
      <c r="D95" s="1089" t="s">
        <v>4531</v>
      </c>
      <c r="E95" s="100" t="s">
        <v>1081</v>
      </c>
      <c r="F95"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5),AND(OR(CALC_PlanetPositions!$M$8="Benefic",CALC_PlanetPositions!$M$8="Yogakaraka"),(MOD(MATCH(CALC_PlanetPositions!$B$8,{"Aries","Taurus","Gemini","Cancer","Leo","Virgo","Libra","Scorpio","Sagittarius","Capricorn","Aquarius","Pisces"},0)-MATCH(INPUT_Chart!$C$5,{"Aries","Taurus","Gemini","Cancer","Leo","Virgo","Libra","Scorpio","Sagittarius","Capricorn","Aquarius","Pisces"},0),12)+1)=5),AND(OR(CALC_PlanetPositions!$M$9="Benefic",CALC_PlanetPositions!$M$9="Yogakaraka"),(MOD(MATCH(CALC_PlanetPositions!$B$9,{"Aries","Taurus","Gemini","Cancer","Leo","Virgo","Libra","Scorpio","Sagittarius","Capricorn","Aquarius","Pisces"},0)-MATCH(INPUT_Chart!$C$5,{"Aries","Taurus","Gemini","Cancer","Leo","Virgo","Libra","Scorpio","Sagittarius","Capricorn","Aquarius","Pisces"},0),12)+1)=5),AND(OR(CALC_PlanetPositions!$M$10="Benefic",CALC_PlanetPositions!$M$10="Yogakaraka"),(MOD(MATCH(CALC_PlanetPositions!$B$10,{"Aries","Taurus","Gemini","Cancer","Leo","Virgo","Libra","Scorpio","Sagittarius","Capricorn","Aquarius","Pisces"},0)-MATCH(INPUT_Chart!$C$5,{"Aries","Taurus","Gemini","Cancer","Leo","Virgo","Libra","Scorpio","Sagittarius","Capricorn","Aquarius","Pisces"},0),12)+1)=5),AND(OR(CALC_PlanetPositions!$M$11="Benefic",CALC_PlanetPositions!$M$11="Yogakaraka"),(MOD(MATCH(CALC_PlanetPositions!$B$11,{"Aries","Taurus","Gemini","Cancer","Leo","Virgo","Libra","Scorpio","Sagittarius","Capricorn","Aquarius","Pisces"},0)-MATCH(INPUT_Chart!$C$5,{"Aries","Taurus","Gemini","Cancer","Leo","Virgo","Libra","Scorpio","Sagittarius","Capricorn","Aquarius","Pisces"},0),12)+1)=5),AND(OR(CALC_PlanetPositions!$M$12="Benefic",CALC_PlanetPositions!$M$12="Yogakaraka"),(MOD(MATCH(CALC_PlanetPositions!$B$12,{"Aries","Taurus","Gemini","Cancer","Leo","Virgo","Libra","Scorpio","Sagittarius","Capricorn","Aquarius","Pisces"},0)-MATCH(INPUT_Chart!$C$5,{"Aries","Taurus","Gemini","Cancer","Leo","Virgo","Libra","Scorpio","Sagittarius","Capricorn","Aquarius","Pisces"},0),12)+1)=5),AND(OR(CALC_PlanetPositions!$M$13="Benefic",CALC_PlanetPositions!$M$13="Yogakaraka"),(MOD(MATCH(CALC_PlanetPositions!$B$13,{"Aries","Taurus","Gemini","Cancer","Leo","Virgo","Libra","Scorpio","Sagittarius","Capricorn","Aquarius","Pisces"},0)-MATCH(INPUT_Chart!$C$5,{"Aries","Taurus","Gemini","Cancer","Leo","Virgo","Libra","Scorpio","Sagittarius","Capricorn","Aquarius","Pisces"},0),12)+1)=5),AND(FALSE(),(MOD(MATCH(CALC_PlanetPositions!$B$14,{"Aries","Taurus","Gemini","Cancer","Leo","Virgo","Libra","Scorpio","Sagittarius","Capricorn","Aquarius","Pisces"},0)-MATCH(INPUT_Chart!$C$5,{"Aries","Taurus","Gemini","Cancer","Leo","Virgo","Libra","Scorpio","Sagittarius","Capricorn","Aquarius","Pisces"},0),12)+1)=5),AND(FALSE(),(MOD(MATCH(CALC_PlanetPositions!$B$15,{"Aries","Taurus","Gemini","Cancer","Leo","Virgo","Libra","Scorpio","Sagittarius","Capricorn","Aquarius","Pisces"},0)-MATCH(INPUT_Chart!$C$5,{"Aries","Taurus","Gemini","Cancer","Leo","Virgo","Libra","Scorpio","Sagittarius","Capricorn","Aquarius","Pisces"},0),12)+1)=5)),1,0),0)</f>
        <v>0</v>
      </c>
      <c r="G95" s="1091">
        <f>F95*1</f>
        <v>0</v>
      </c>
      <c r="H95" s="1092" t="s">
        <v>4532</v>
      </c>
    </row>
    <row r="96" spans="1:8" ht="18" customHeight="1" x14ac:dyDescent="0.2">
      <c r="A96" s="316" t="s">
        <v>3065</v>
      </c>
      <c r="B96" s="1088" t="s">
        <v>4527</v>
      </c>
      <c r="C96" s="467" t="s">
        <v>4533</v>
      </c>
      <c r="D96" s="1089" t="s">
        <v>4534</v>
      </c>
      <c r="E96" s="100" t="s">
        <v>1085</v>
      </c>
      <c r="F96" s="1090">
        <f>IFERROR(IF(OR(AND(OR(CALC_PlanetPositions!$M$7="Benefic",CALC_PlanetPositions!$M$7="Yogakaraka"),INDEX(REF_Aspects!$D$5:$O$13,1,MOD(5-(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5)),AND(OR(CALC_PlanetPositions!$M$8="Benefic",CALC_PlanetPositions!$M$8="Yogakaraka"),INDEX(REF_Aspects!$D$5:$O$13,2,MOD(5-(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5)),AND(OR(CALC_PlanetPositions!$M$9="Benefic",CALC_PlanetPositions!$M$9="Yogakaraka"),INDEX(REF_Aspects!$D$5:$O$13,3,MOD(5-(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5)),AND(OR(CALC_PlanetPositions!$M$10="Benefic",CALC_PlanetPositions!$M$10="Yogakaraka"),INDEX(REF_Aspects!$D$5:$O$13,4,MOD(5-(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5)),AND(OR(CALC_PlanetPositions!$M$11="Benefic",CALC_PlanetPositions!$M$11="Yogakaraka"),INDEX(REF_Aspects!$D$5:$O$13,5,MOD(5-(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5)),AND(OR(CALC_PlanetPositions!$M$12="Benefic",CALC_PlanetPositions!$M$12="Yogakaraka"),INDEX(REF_Aspects!$D$5:$O$13,6,MOD(5-(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5)),AND(OR(CALC_PlanetPositions!$M$13="Benefic",CALC_PlanetPositions!$M$13="Yogakaraka"),INDEX(REF_Aspects!$D$5:$O$13,7,MOD(5-(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5)),AND(FALSE(),INDEX(REF_Aspects!$D$5:$O$13,8,MOD(5-(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5)),AND(FALSE(),INDEX(REF_Aspects!$D$5:$O$13,9,MOD(5-(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5))),1,0),0)</f>
        <v>1</v>
      </c>
      <c r="G96" s="1091">
        <f>F96*0.75</f>
        <v>0.75</v>
      </c>
      <c r="H96" s="1092" t="s">
        <v>4535</v>
      </c>
    </row>
    <row r="97" spans="1:8" ht="18" customHeight="1" x14ac:dyDescent="0.2">
      <c r="A97" s="356" t="s">
        <v>3015</v>
      </c>
      <c r="B97" s="1093" t="s">
        <v>4536</v>
      </c>
      <c r="C97" s="463" t="s">
        <v>4528</v>
      </c>
      <c r="D97" s="1094" t="s">
        <v>4537</v>
      </c>
      <c r="E97" s="101" t="s">
        <v>1075</v>
      </c>
      <c r="F97" s="1090">
        <f>IFERROR(IF(AND(OR(CALC_BhaveshMap!$I$9="Yes",CALC_BhaveshMap!$J$9="Yes"),NOT(CALC_BhaveshMap!$K$9="Yes")),1,0),0)</f>
        <v>0</v>
      </c>
      <c r="G97" s="1095">
        <f>F97*2</f>
        <v>0</v>
      </c>
      <c r="H97" s="1092" t="s">
        <v>4538</v>
      </c>
    </row>
    <row r="98" spans="1:8" ht="18" customHeight="1" x14ac:dyDescent="0.2">
      <c r="A98" s="356" t="s">
        <v>3092</v>
      </c>
      <c r="B98" s="1093" t="s">
        <v>4536</v>
      </c>
      <c r="C98" s="463" t="s">
        <v>4533</v>
      </c>
      <c r="D98" s="1094" t="s">
        <v>3093</v>
      </c>
      <c r="E98" s="101" t="s">
        <v>1081</v>
      </c>
      <c r="F98" s="1090">
        <f>IFERROR(IF(OR(AND(CALC_BhaveshMap!$G$5=CALC_BhaveshMap!$G$9,CALC_BhaveshMap!$D$5&lt;&gt;CALC_BhaveshMap!$D$9),AND(CALC_BhaveshMap!$G$8=CALC_BhaveshMap!$G$9,CALC_BhaveshMap!$D$8&lt;&gt;CALC_BhaveshMap!$D$9),AND(CALC_BhaveshMap!$G$9=CALC_BhaveshMap!$G$9,CALC_BhaveshMap!$D$9&lt;&gt;CALC_BhaveshMap!$D$9),AND(CALC_BhaveshMap!$G$11=CALC_BhaveshMap!$G$9,CALC_BhaveshMap!$D$11&lt;&gt;CALC_BhaveshMap!$D$9),AND(CALC_BhaveshMap!$G$13=CALC_BhaveshMap!$G$9,CALC_BhaveshMap!$D$13&lt;&gt;CALC_BhaveshMap!$D$9),AND(CALC_BhaveshMap!$G$14=CALC_BhaveshMap!$G$9,CALC_BhaveshMap!$D$14&lt;&gt;CALC_BhaveshMap!$D$9)),1,0),0)</f>
        <v>1</v>
      </c>
      <c r="G98" s="1095">
        <f>F98*0.5</f>
        <v>0.5</v>
      </c>
      <c r="H98" s="1092" t="s">
        <v>4539</v>
      </c>
    </row>
    <row r="99" spans="1:8" ht="18" customHeight="1" x14ac:dyDescent="0.2">
      <c r="A99" s="356" t="s">
        <v>3028</v>
      </c>
      <c r="B99" s="1093" t="s">
        <v>4536</v>
      </c>
      <c r="C99" s="463" t="s">
        <v>4528</v>
      </c>
      <c r="D99" s="1094" t="s">
        <v>4540</v>
      </c>
      <c r="E99" s="101" t="s">
        <v>1081</v>
      </c>
      <c r="F99" s="1090">
        <v>0</v>
      </c>
      <c r="G99" s="1095">
        <f>F99*1</f>
        <v>0</v>
      </c>
      <c r="H99" s="1092" t="s">
        <v>4541</v>
      </c>
    </row>
    <row r="100" spans="1:8" ht="18" customHeight="1" x14ac:dyDescent="0.2">
      <c r="A100" s="356" t="s">
        <v>3112</v>
      </c>
      <c r="B100" s="1093" t="s">
        <v>4536</v>
      </c>
      <c r="C100" s="463" t="s">
        <v>4533</v>
      </c>
      <c r="D100" s="1094" t="s">
        <v>4542</v>
      </c>
      <c r="E100" s="101" t="s">
        <v>1081</v>
      </c>
      <c r="F100" s="1090">
        <f>IFERROR(IF(OR(AND(OR(CALC_PlanetPositions!$M$7="Benefic",CALC_PlanetPositions!$M$7="Yogakaraka"),INDEX(REF_Aspects!$D$5:$O$13,1,MOD(CALC_BhaveshMap!$H$9-(MOD(MATCH(CALC_PlanetPositions!$B$7,{"Aries","Taurus","Gemini","Cancer","Leo","Virgo","Libra","Scorpio","Sagittarius","Capricorn","Aquarius","Pisces"},0)-MATCH(INPUT_Chart!$C$5,{"Aries","Taurus","Gemini","Cancer","Leo","Virgo","Libra","Scorpio","Sagittarius","Capricorn","Aquarius","Pisces"},0),12)+1),12)+1)="FULL",NOT(CALC_PlanetPositions!$B$7=CALC_BhaveshMap!$G$9)),AND(OR(CALC_PlanetPositions!$M$8="Benefic",CALC_PlanetPositions!$M$8="Yogakaraka"),INDEX(REF_Aspects!$D$5:$O$13,2,MOD(CALC_BhaveshMap!$H$9-(MOD(MATCH(CALC_PlanetPositions!$B$8,{"Aries","Taurus","Gemini","Cancer","Leo","Virgo","Libra","Scorpio","Sagittarius","Capricorn","Aquarius","Pisces"},0)-MATCH(INPUT_Chart!$C$5,{"Aries","Taurus","Gemini","Cancer","Leo","Virgo","Libra","Scorpio","Sagittarius","Capricorn","Aquarius","Pisces"},0),12)+1),12)+1)="FULL",NOT(CALC_PlanetPositions!$B$8=CALC_BhaveshMap!$G$9)),AND(OR(CALC_PlanetPositions!$M$9="Benefic",CALC_PlanetPositions!$M$9="Yogakaraka"),INDEX(REF_Aspects!$D$5:$O$13,3,MOD(CALC_BhaveshMap!$H$9-(MOD(MATCH(CALC_PlanetPositions!$B$9,{"Aries","Taurus","Gemini","Cancer","Leo","Virgo","Libra","Scorpio","Sagittarius","Capricorn","Aquarius","Pisces"},0)-MATCH(INPUT_Chart!$C$5,{"Aries","Taurus","Gemini","Cancer","Leo","Virgo","Libra","Scorpio","Sagittarius","Capricorn","Aquarius","Pisces"},0),12)+1),12)+1)="FULL",NOT(CALC_PlanetPositions!$B$9=CALC_BhaveshMap!$G$9)),AND(OR(CALC_PlanetPositions!$M$10="Benefic",CALC_PlanetPositions!$M$10="Yogakaraka"),INDEX(REF_Aspects!$D$5:$O$13,4,MOD(CALC_BhaveshMap!$H$9-(MOD(MATCH(CALC_PlanetPositions!$B$10,{"Aries","Taurus","Gemini","Cancer","Leo","Virgo","Libra","Scorpio","Sagittarius","Capricorn","Aquarius","Pisces"},0)-MATCH(INPUT_Chart!$C$5,{"Aries","Taurus","Gemini","Cancer","Leo","Virgo","Libra","Scorpio","Sagittarius","Capricorn","Aquarius","Pisces"},0),12)+1),12)+1)="FULL",NOT(CALC_PlanetPositions!$B$10=CALC_BhaveshMap!$G$9)),AND(OR(CALC_PlanetPositions!$M$11="Benefic",CALC_PlanetPositions!$M$11="Yogakaraka"),INDEX(REF_Aspects!$D$5:$O$13,5,MOD(CALC_BhaveshMap!$H$9-(MOD(MATCH(CALC_PlanetPositions!$B$11,{"Aries","Taurus","Gemini","Cancer","Leo","Virgo","Libra","Scorpio","Sagittarius","Capricorn","Aquarius","Pisces"},0)-MATCH(INPUT_Chart!$C$5,{"Aries","Taurus","Gemini","Cancer","Leo","Virgo","Libra","Scorpio","Sagittarius","Capricorn","Aquarius","Pisces"},0),12)+1),12)+1)="FULL",NOT(CALC_PlanetPositions!$B$11=CALC_BhaveshMap!$G$9)),AND(OR(CALC_PlanetPositions!$M$12="Benefic",CALC_PlanetPositions!$M$12="Yogakaraka"),INDEX(REF_Aspects!$D$5:$O$13,6,MOD(CALC_BhaveshMap!$H$9-(MOD(MATCH(CALC_PlanetPositions!$B$12,{"Aries","Taurus","Gemini","Cancer","Leo","Virgo","Libra","Scorpio","Sagittarius","Capricorn","Aquarius","Pisces"},0)-MATCH(INPUT_Chart!$C$5,{"Aries","Taurus","Gemini","Cancer","Leo","Virgo","Libra","Scorpio","Sagittarius","Capricorn","Aquarius","Pisces"},0),12)+1),12)+1)="FULL",NOT(CALC_PlanetPositions!$B$12=CALC_BhaveshMap!$G$9)),AND(OR(CALC_PlanetPositions!$M$13="Benefic",CALC_PlanetPositions!$M$13="Yogakaraka"),INDEX(REF_Aspects!$D$5:$O$13,7,MOD(CALC_BhaveshMap!$H$9-(MOD(MATCH(CALC_PlanetPositions!$B$13,{"Aries","Taurus","Gemini","Cancer","Leo","Virgo","Libra","Scorpio","Sagittarius","Capricorn","Aquarius","Pisces"},0)-MATCH(INPUT_Chart!$C$5,{"Aries","Taurus","Gemini","Cancer","Leo","Virgo","Libra","Scorpio","Sagittarius","Capricorn","Aquarius","Pisces"},0),12)+1),12)+1)="FULL",NOT(CALC_PlanetPositions!$B$13=CALC_BhaveshMap!$G$9)),AND(FALSE(),INDEX(REF_Aspects!$D$5:$O$13,8,MOD(CALC_BhaveshMap!$H$9-(MOD(MATCH(CALC_PlanetPositions!$B$14,{"Aries","Taurus","Gemini","Cancer","Leo","Virgo","Libra","Scorpio","Sagittarius","Capricorn","Aquarius","Pisces"},0)-MATCH(INPUT_Chart!$C$5,{"Aries","Taurus","Gemini","Cancer","Leo","Virgo","Libra","Scorpio","Sagittarius","Capricorn","Aquarius","Pisces"},0),12)+1),12)+1)="FULL",NOT(CALC_PlanetPositions!$B$14=CALC_BhaveshMap!$G$9)),AND(FALSE(),INDEX(REF_Aspects!$D$5:$O$13,9,MOD(CALC_BhaveshMap!$H$9-(MOD(MATCH(CALC_PlanetPositions!$B$15,{"Aries","Taurus","Gemini","Cancer","Leo","Virgo","Libra","Scorpio","Sagittarius","Capricorn","Aquarius","Pisces"},0)-MATCH(INPUT_Chart!$C$5,{"Aries","Taurus","Gemini","Cancer","Leo","Virgo","Libra","Scorpio","Sagittarius","Capricorn","Aquarius","Pisces"},0),12)+1),12)+1)="FULL",NOT(CALC_PlanetPositions!$B$15=CALC_BhaveshMap!$G$9))),1,0),0)</f>
        <v>0</v>
      </c>
      <c r="G100" s="1095">
        <f>F100*0.5</f>
        <v>0</v>
      </c>
      <c r="H100" s="1092" t="s">
        <v>4543</v>
      </c>
    </row>
    <row r="101" spans="1:8" ht="18" customHeight="1" x14ac:dyDescent="0.2">
      <c r="A101" s="356" t="s">
        <v>3033</v>
      </c>
      <c r="B101" s="1093" t="s">
        <v>4536</v>
      </c>
      <c r="C101" s="463" t="s">
        <v>4528</v>
      </c>
      <c r="D101" s="1094" t="s">
        <v>3034</v>
      </c>
      <c r="E101" s="101" t="s">
        <v>1085</v>
      </c>
      <c r="F101"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$9-2,12)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$9-2,12)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$9-2,12)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$9-2,12)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$9-2,12)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$9-2,12)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$9-2,12)+1)),AND(FALSE(),MOD(MATCH(CALC_PlanetPositions!$B$14,{"Aries","Taurus","Gemini","Cancer","Leo","Virgo","Libra","Scorpio","Sagittarius","Capricorn","Aquarius","Pisces"},0)-MATCH(INPUT_Chart!$C$5,{"Aries","Taurus","Gemini","Cancer","Leo","Virgo","Libra","Scorpio","Sagittarius","Capricorn","Aquarius","Pisces"},0),12)+1=(MOD(CALC_BhaveshMap!$H$9-2,12)+1)),AND(FALSE(),MOD(MATCH(CALC_PlanetPositions!$B$15,{"Aries","Taurus","Gemini","Cancer","Leo","Virgo","Libra","Scorpio","Sagittarius","Capricorn","Aquarius","Pisces"},0)-MATCH(INPUT_Chart!$C$5,{"Aries","Taurus","Gemini","Cancer","Leo","Virgo","Libra","Scorpio","Sagittarius","Capricorn","Aquarius","Pisces"},0),12)+1=(MOD(CALC_BhaveshMap!$H$9-2,12)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$9,12)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$9,12)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$9,12)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$9,12)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$9,12)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$9,12)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$9,12)+1)),AND(FALSE(),MOD(MATCH(CALC_PlanetPositions!$B$14,{"Aries","Taurus","Gemini","Cancer","Leo","Virgo","Libra","Scorpio","Sagittarius","Capricorn","Aquarius","Pisces"},0)-MATCH(INPUT_Chart!$C$5,{"Aries","Taurus","Gemini","Cancer","Leo","Virgo","Libra","Scorpio","Sagittarius","Capricorn","Aquarius","Pisces"},0),12)+1=(MOD(CALC_BhaveshMap!$H$9,12)+1)),AND(FALSE(),MOD(MATCH(CALC_PlanetPositions!$B$15,{"Aries","Taurus","Gemini","Cancer","Leo","Virgo","Libra","Scorpio","Sagittarius","Capricorn","Aquarius","Pisces"},0)-MATCH(INPUT_Chart!$C$5,{"Aries","Taurus","Gemini","Cancer","Leo","Virgo","Libra","Scorpio","Sagittarius","Capricorn","Aquarius","Pisces"},0),12)+1=(MOD(CALC_BhaveshMap!$H$9,12)+1)))),1,0),0)</f>
        <v>0</v>
      </c>
      <c r="G101" s="1095">
        <f>F101*0.75</f>
        <v>0</v>
      </c>
      <c r="H101" s="1092" t="s">
        <v>4544</v>
      </c>
    </row>
    <row r="102" spans="1:8" ht="18" customHeight="1" x14ac:dyDescent="0.2">
      <c r="A102" s="315" t="s">
        <v>3050</v>
      </c>
      <c r="B102" s="1096" t="s">
        <v>4545</v>
      </c>
      <c r="C102" s="480" t="s">
        <v>4528</v>
      </c>
      <c r="D102" s="1097" t="s">
        <v>4546</v>
      </c>
      <c r="E102" s="99" t="s">
        <v>1109</v>
      </c>
      <c r="F102" s="1090">
        <f>IFERROR(IF(OR(AND(CALC_PlanetPositions!$M$7="Malefic",(MOD(MATCH(CALC_PlanetPositions!$B$7,{"Aries","Taurus","Gemini","Cancer","Leo","Virgo","Libra","Scorpio","Sagittarius","Capricorn","Aquarius","Pisces"},0)-MATCH(INPUT_Chart!$C$5,{"Aries","Taurus","Gemini","Cancer","Leo","Virgo","Libra","Scorpio","Sagittarius","Capricorn","Aquarius","Pisces"},0),12)+1)=5),AND(CALC_PlanetPositions!$M$8="Malefic",(MOD(MATCH(CALC_PlanetPositions!$B$8,{"Aries","Taurus","Gemini","Cancer","Leo","Virgo","Libra","Scorpio","Sagittarius","Capricorn","Aquarius","Pisces"},0)-MATCH(INPUT_Chart!$C$5,{"Aries","Taurus","Gemini","Cancer","Leo","Virgo","Libra","Scorpio","Sagittarius","Capricorn","Aquarius","Pisces"},0),12)+1)=5),AND(CALC_PlanetPositions!$M$9="Malefic",(MOD(MATCH(CALC_PlanetPositions!$B$9,{"Aries","Taurus","Gemini","Cancer","Leo","Virgo","Libra","Scorpio","Sagittarius","Capricorn","Aquarius","Pisces"},0)-MATCH(INPUT_Chart!$C$5,{"Aries","Taurus","Gemini","Cancer","Leo","Virgo","Libra","Scorpio","Sagittarius","Capricorn","Aquarius","Pisces"},0),12)+1)=5),AND(CALC_PlanetPositions!$M$10="Malefic",(MOD(MATCH(CALC_PlanetPositions!$B$10,{"Aries","Taurus","Gemini","Cancer","Leo","Virgo","Libra","Scorpio","Sagittarius","Capricorn","Aquarius","Pisces"},0)-MATCH(INPUT_Chart!$C$5,{"Aries","Taurus","Gemini","Cancer","Leo","Virgo","Libra","Scorpio","Sagittarius","Capricorn","Aquarius","Pisces"},0),12)+1)=5),AND(CALC_PlanetPositions!$M$11="Malefic",(MOD(MATCH(CALC_PlanetPositions!$B$11,{"Aries","Taurus","Gemini","Cancer","Leo","Virgo","Libra","Scorpio","Sagittarius","Capricorn","Aquarius","Pisces"},0)-MATCH(INPUT_Chart!$C$5,{"Aries","Taurus","Gemini","Cancer","Leo","Virgo","Libra","Scorpio","Sagittarius","Capricorn","Aquarius","Pisces"},0),12)+1)=5),AND(CALC_PlanetPositions!$M$12="Malefic",(MOD(MATCH(CALC_PlanetPositions!$B$12,{"Aries","Taurus","Gemini","Cancer","Leo","Virgo","Libra","Scorpio","Sagittarius","Capricorn","Aquarius","Pisces"},0)-MATCH(INPUT_Chart!$C$5,{"Aries","Taurus","Gemini","Cancer","Leo","Virgo","Libra","Scorpio","Sagittarius","Capricorn","Aquarius","Pisces"},0),12)+1)=5),AND(CALC_PlanetPositions!$M$13="Malefic",(MOD(MATCH(CALC_PlanetPositions!$B$13,{"Aries","Taurus","Gemini","Cancer","Leo","Virgo","Libra","Scorpio","Sagittarius","Capricorn","Aquarius","Pisces"},0)-MATCH(INPUT_Chart!$C$5,{"Aries","Taurus","Gemini","Cancer","Leo","Virgo","Libra","Scorpio","Sagittarius","Capricorn","Aquarius","Pisces"},0),12)+1)=5),AND(TRUE(),(MOD(MATCH(CALC_PlanetPositions!$B$14,{"Aries","Taurus","Gemini","Cancer","Leo","Virgo","Libra","Scorpio","Sagittarius","Capricorn","Aquarius","Pisces"},0)-MATCH(INPUT_Chart!$C$5,{"Aries","Taurus","Gemini","Cancer","Leo","Virgo","Libra","Scorpio","Sagittarius","Capricorn","Aquarius","Pisces"},0),12)+1)=5),AND(TRUE(),(MOD(MATCH(CALC_PlanetPositions!$B$15,{"Aries","Taurus","Gemini","Cancer","Leo","Virgo","Libra","Scorpio","Sagittarius","Capricorn","Aquarius","Pisces"},0)-MATCH(INPUT_Chart!$C$5,{"Aries","Taurus","Gemini","Cancer","Leo","Virgo","Libra","Scorpio","Sagittarius","Capricorn","Aquarius","Pisces"},0),12)+1)=5)),1,0),0)</f>
        <v>0</v>
      </c>
      <c r="G102" s="1098">
        <f>F102*-1</f>
        <v>0</v>
      </c>
      <c r="H102" s="1092" t="s">
        <v>4547</v>
      </c>
    </row>
    <row r="103" spans="1:8" ht="18" customHeight="1" x14ac:dyDescent="0.2">
      <c r="A103" s="315" t="s">
        <v>3066</v>
      </c>
      <c r="B103" s="1096" t="s">
        <v>4545</v>
      </c>
      <c r="C103" s="480" t="s">
        <v>4528</v>
      </c>
      <c r="D103" s="1097" t="s">
        <v>4548</v>
      </c>
      <c r="E103" s="99" t="s">
        <v>1109</v>
      </c>
      <c r="F103" s="1090">
        <f>IFERROR(IF(OR(AND(CALC_PlanetPositions!$M$7="Malefic",INDEX(REF_Aspects!$D$5:$O$13,1,MOD(5-(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5)),AND(CALC_PlanetPositions!$M$8="Malefic",INDEX(REF_Aspects!$D$5:$O$13,2,MOD(5-(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5)),AND(CALC_PlanetPositions!$M$9="Malefic",INDEX(REF_Aspects!$D$5:$O$13,3,MOD(5-(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5)),AND(CALC_PlanetPositions!$M$10="Malefic",INDEX(REF_Aspects!$D$5:$O$13,4,MOD(5-(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5)),AND(CALC_PlanetPositions!$M$11="Malefic",INDEX(REF_Aspects!$D$5:$O$13,5,MOD(5-(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5)),AND(CALC_PlanetPositions!$M$12="Malefic",INDEX(REF_Aspects!$D$5:$O$13,6,MOD(5-(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5)),AND(CALC_PlanetPositions!$M$13="Malefic",INDEX(REF_Aspects!$D$5:$O$13,7,MOD(5-(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5)),AND(TRUE(),INDEX(REF_Aspects!$D$5:$O$13,8,MOD(5-(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5)),AND(TRUE(),INDEX(REF_Aspects!$D$5:$O$13,9,MOD(5-(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5))),1,0),0)</f>
        <v>1</v>
      </c>
      <c r="G103" s="1098">
        <f>F103*-1</f>
        <v>-1</v>
      </c>
      <c r="H103" s="1092" t="s">
        <v>4549</v>
      </c>
    </row>
    <row r="104" spans="1:8" ht="18" customHeight="1" x14ac:dyDescent="0.2">
      <c r="A104" s="315" t="s">
        <v>3061</v>
      </c>
      <c r="B104" s="1096" t="s">
        <v>4545</v>
      </c>
      <c r="C104" s="480" t="s">
        <v>4528</v>
      </c>
      <c r="D104" s="1097" t="s">
        <v>3062</v>
      </c>
      <c r="E104" s="99" t="s">
        <v>4550</v>
      </c>
      <c r="F104" s="1090">
        <v>0</v>
      </c>
      <c r="G104" s="1098">
        <f>F104*-1.25</f>
        <v>0</v>
      </c>
      <c r="H104" s="1092" t="s">
        <v>4551</v>
      </c>
    </row>
    <row r="105" spans="1:8" ht="18" customHeight="1" x14ac:dyDescent="0.2">
      <c r="A105" s="315" t="s">
        <v>3095</v>
      </c>
      <c r="B105" s="1096" t="s">
        <v>4545</v>
      </c>
      <c r="C105" s="480" t="s">
        <v>4528</v>
      </c>
      <c r="D105" s="1097" t="s">
        <v>4552</v>
      </c>
      <c r="E105" s="99" t="s">
        <v>3564</v>
      </c>
      <c r="F105" s="1090">
        <f>IFERROR(IF(AND(OR(AND(CALC_PlanetPositions!$M$7="Malefic",MOD(MATCH(CALC_PlanetPositions!$B$7,{"Aries","Taurus","Gemini","Cancer","Leo","Virgo","Libra","Scorpio","Sagittarius","Capricorn","Aquarius","Pisces"},0)-MATCH(INPUT_Chart!$C$5,{"Aries","Taurus","Gemini","Cancer","Leo","Virgo","Libra","Scorpio","Sagittarius","Capricorn","Aquarius","Pisces"},0),12)+1=(MOD(5-2,12)+1)),AND(CALC_PlanetPositions!$M$8="Malefic",MOD(MATCH(CALC_PlanetPositions!$B$8,{"Aries","Taurus","Gemini","Cancer","Leo","Virgo","Libra","Scorpio","Sagittarius","Capricorn","Aquarius","Pisces"},0)-MATCH(INPUT_Chart!$C$5,{"Aries","Taurus","Gemini","Cancer","Leo","Virgo","Libra","Scorpio","Sagittarius","Capricorn","Aquarius","Pisces"},0),12)+1=(MOD(5-2,12)+1)),AND(CALC_PlanetPositions!$M$9="Malefic",MOD(MATCH(CALC_PlanetPositions!$B$9,{"Aries","Taurus","Gemini","Cancer","Leo","Virgo","Libra","Scorpio","Sagittarius","Capricorn","Aquarius","Pisces"},0)-MATCH(INPUT_Chart!$C$5,{"Aries","Taurus","Gemini","Cancer","Leo","Virgo","Libra","Scorpio","Sagittarius","Capricorn","Aquarius","Pisces"},0),12)+1=(MOD(5-2,12)+1)),AND(CALC_PlanetPositions!$M$10="Malefic",MOD(MATCH(CALC_PlanetPositions!$B$10,{"Aries","Taurus","Gemini","Cancer","Leo","Virgo","Libra","Scorpio","Sagittarius","Capricorn","Aquarius","Pisces"},0)-MATCH(INPUT_Chart!$C$5,{"Aries","Taurus","Gemini","Cancer","Leo","Virgo","Libra","Scorpio","Sagittarius","Capricorn","Aquarius","Pisces"},0),12)+1=(MOD(5-2,12)+1)),AND(CALC_PlanetPositions!$M$11="Malefic",MOD(MATCH(CALC_PlanetPositions!$B$11,{"Aries","Taurus","Gemini","Cancer","Leo","Virgo","Libra","Scorpio","Sagittarius","Capricorn","Aquarius","Pisces"},0)-MATCH(INPUT_Chart!$C$5,{"Aries","Taurus","Gemini","Cancer","Leo","Virgo","Libra","Scorpio","Sagittarius","Capricorn","Aquarius","Pisces"},0),12)+1=(MOD(5-2,12)+1)),AND(CALC_PlanetPositions!$M$12="Malefic",MOD(MATCH(CALC_PlanetPositions!$B$12,{"Aries","Taurus","Gemini","Cancer","Leo","Virgo","Libra","Scorpio","Sagittarius","Capricorn","Aquarius","Pisces"},0)-MATCH(INPUT_Chart!$C$5,{"Aries","Taurus","Gemini","Cancer","Leo","Virgo","Libra","Scorpio","Sagittarius","Capricorn","Aquarius","Pisces"},0),12)+1=(MOD(5-2,12)+1)),AND(CALC_PlanetPositions!$M$13="Malefic",MOD(MATCH(CALC_PlanetPositions!$B$13,{"Aries","Taurus","Gemini","Cancer","Leo","Virgo","Libra","Scorpio","Sagittarius","Capricorn","Aquarius","Pisces"},0)-MATCH(INPUT_Chart!$C$5,{"Aries","Taurus","Gemini","Cancer","Leo","Virgo","Libra","Scorpio","Sagittarius","Capricorn","Aquarius","Pisces"},0),12)+1=(MOD(5-2,12)+1)),AND(TRUE(),MOD(MATCH(CALC_PlanetPositions!$B$14,{"Aries","Taurus","Gemini","Cancer","Leo","Virgo","Libra","Scorpio","Sagittarius","Capricorn","Aquarius","Pisces"},0)-MATCH(INPUT_Chart!$C$5,{"Aries","Taurus","Gemini","Cancer","Leo","Virgo","Libra","Scorpio","Sagittarius","Capricorn","Aquarius","Pisces"},0),12)+1=(MOD(5-2,12)+1)),AND(TRUE(),MOD(MATCH(CALC_PlanetPositions!$B$15,{"Aries","Taurus","Gemini","Cancer","Leo","Virgo","Libra","Scorpio","Sagittarius","Capricorn","Aquarius","Pisces"},0)-MATCH(INPUT_Chart!$C$5,{"Aries","Taurus","Gemini","Cancer","Leo","Virgo","Libra","Scorpio","Sagittarius","Capricorn","Aquarius","Pisces"},0),12)+1=(MOD(5-2,12)+1))),OR(AND(CALC_PlanetPositions!$M$7="Malefic",MOD(MATCH(CALC_PlanetPositions!$B$7,{"Aries","Taurus","Gemini","Cancer","Leo","Virgo","Libra","Scorpio","Sagittarius","Capricorn","Aquarius","Pisces"},0)-MATCH(INPUT_Chart!$C$5,{"Aries","Taurus","Gemini","Cancer","Leo","Virgo","Libra","Scorpio","Sagittarius","Capricorn","Aquarius","Pisces"},0),12)+1=(MOD(5,12)+1)),AND(CALC_PlanetPositions!$M$8="Malefic",MOD(MATCH(CALC_PlanetPositions!$B$8,{"Aries","Taurus","Gemini","Cancer","Leo","Virgo","Libra","Scorpio","Sagittarius","Capricorn","Aquarius","Pisces"},0)-MATCH(INPUT_Chart!$C$5,{"Aries","Taurus","Gemini","Cancer","Leo","Virgo","Libra","Scorpio","Sagittarius","Capricorn","Aquarius","Pisces"},0),12)+1=(MOD(5,12)+1)),AND(CALC_PlanetPositions!$M$9="Malefic",MOD(MATCH(CALC_PlanetPositions!$B$9,{"Aries","Taurus","Gemini","Cancer","Leo","Virgo","Libra","Scorpio","Sagittarius","Capricorn","Aquarius","Pisces"},0)-MATCH(INPUT_Chart!$C$5,{"Aries","Taurus","Gemini","Cancer","Leo","Virgo","Libra","Scorpio","Sagittarius","Capricorn","Aquarius","Pisces"},0),12)+1=(MOD(5,12)+1)),AND(CALC_PlanetPositions!$M$10="Malefic",MOD(MATCH(CALC_PlanetPositions!$B$10,{"Aries","Taurus","Gemini","Cancer","Leo","Virgo","Libra","Scorpio","Sagittarius","Capricorn","Aquarius","Pisces"},0)-MATCH(INPUT_Chart!$C$5,{"Aries","Taurus","Gemini","Cancer","Leo","Virgo","Libra","Scorpio","Sagittarius","Capricorn","Aquarius","Pisces"},0),12)+1=(MOD(5,12)+1)),AND(CALC_PlanetPositions!$M$11="Malefic",MOD(MATCH(CALC_PlanetPositions!$B$11,{"Aries","Taurus","Gemini","Cancer","Leo","Virgo","Libra","Scorpio","Sagittarius","Capricorn","Aquarius","Pisces"},0)-MATCH(INPUT_Chart!$C$5,{"Aries","Taurus","Gemini","Cancer","Leo","Virgo","Libra","Scorpio","Sagittarius","Capricorn","Aquarius","Pisces"},0),12)+1=(MOD(5,12)+1)),AND(CALC_PlanetPositions!$M$12="Malefic",MOD(MATCH(CALC_PlanetPositions!$B$12,{"Aries","Taurus","Gemini","Cancer","Leo","Virgo","Libra","Scorpio","Sagittarius","Capricorn","Aquarius","Pisces"},0)-MATCH(INPUT_Chart!$C$5,{"Aries","Taurus","Gemini","Cancer","Leo","Virgo","Libra","Scorpio","Sagittarius","Capricorn","Aquarius","Pisces"},0),12)+1=(MOD(5,12)+1)),AND(CALC_PlanetPositions!$M$13="Malefic",MOD(MATCH(CALC_PlanetPositions!$B$13,{"Aries","Taurus","Gemini","Cancer","Leo","Virgo","Libra","Scorpio","Sagittarius","Capricorn","Aquarius","Pisces"},0)-MATCH(INPUT_Chart!$C$5,{"Aries","Taurus","Gemini","Cancer","Leo","Virgo","Libra","Scorpio","Sagittarius","Capricorn","Aquarius","Pisces"},0),12)+1=(MOD(5,12)+1)),AND(TRUE(),MOD(MATCH(CALC_PlanetPositions!$B$14,{"Aries","Taurus","Gemini","Cancer","Leo","Virgo","Libra","Scorpio","Sagittarius","Capricorn","Aquarius","Pisces"},0)-MATCH(INPUT_Chart!$C$5,{"Aries","Taurus","Gemini","Cancer","Leo","Virgo","Libra","Scorpio","Sagittarius","Capricorn","Aquarius","Pisces"},0),12)+1=(MOD(5,12)+1)),AND(TRUE(),MOD(MATCH(CALC_PlanetPositions!$B$15,{"Aries","Taurus","Gemini","Cancer","Leo","Virgo","Libra","Scorpio","Sagittarius","Capricorn","Aquarius","Pisces"},0)-MATCH(INPUT_Chart!$C$5,{"Aries","Taurus","Gemini","Cancer","Leo","Virgo","Libra","Scorpio","Sagittarius","Capricorn","Aquarius","Pisces"},0),12)+1=(MOD(5,12)+1)))),1,0),0)</f>
        <v>0</v>
      </c>
      <c r="G105" s="1098">
        <f>F105*-0.75</f>
        <v>0</v>
      </c>
      <c r="H105" s="1092" t="s">
        <v>4553</v>
      </c>
    </row>
    <row r="106" spans="1:8" ht="18" customHeight="1" x14ac:dyDescent="0.2">
      <c r="A106" s="1099" t="s">
        <v>3036</v>
      </c>
      <c r="B106" s="1100" t="s">
        <v>4554</v>
      </c>
      <c r="C106" s="1101" t="s">
        <v>4528</v>
      </c>
      <c r="D106" s="1102" t="s">
        <v>4555</v>
      </c>
      <c r="E106" s="1103" t="s">
        <v>1109</v>
      </c>
      <c r="F106" s="1090">
        <v>0</v>
      </c>
      <c r="G106" s="1104">
        <f>F106*-1</f>
        <v>0</v>
      </c>
      <c r="H106" s="1092" t="s">
        <v>4556</v>
      </c>
    </row>
    <row r="107" spans="1:8" ht="18" customHeight="1" x14ac:dyDescent="0.2">
      <c r="A107" s="1099" t="s">
        <v>3054</v>
      </c>
      <c r="B107" s="1100" t="s">
        <v>4554</v>
      </c>
      <c r="C107" s="1101" t="s">
        <v>4533</v>
      </c>
      <c r="D107" s="1102" t="s">
        <v>4557</v>
      </c>
      <c r="E107" s="1103" t="s">
        <v>1109</v>
      </c>
      <c r="F107" s="1090">
        <f>IFERROR(IF(OR(AND(CALC_PlanetPositions!$M$7="Malefic",INDEX(REF_Aspects!$D$5:$O$13,1,MOD(CALC_BhaveshMap!$H$9-(MOD(MATCH(CALC_PlanetPositions!$B$7,{"Aries","Taurus","Gemini","Cancer","Leo","Virgo","Libra","Scorpio","Sagittarius","Capricorn","Aquarius","Pisces"},0)-MATCH(INPUT_Chart!$C$5,{"Aries","Taurus","Gemini","Cancer","Leo","Virgo","Libra","Scorpio","Sagittarius","Capricorn","Aquarius","Pisces"},0),12)+1),12)+1)="FULL",NOT(CALC_PlanetPositions!$B$7=CALC_BhaveshMap!$G$9)),AND(CALC_PlanetPositions!$M$8="Malefic",INDEX(REF_Aspects!$D$5:$O$13,2,MOD(CALC_BhaveshMap!$H$9-(MOD(MATCH(CALC_PlanetPositions!$B$8,{"Aries","Taurus","Gemini","Cancer","Leo","Virgo","Libra","Scorpio","Sagittarius","Capricorn","Aquarius","Pisces"},0)-MATCH(INPUT_Chart!$C$5,{"Aries","Taurus","Gemini","Cancer","Leo","Virgo","Libra","Scorpio","Sagittarius","Capricorn","Aquarius","Pisces"},0),12)+1),12)+1)="FULL",NOT(CALC_PlanetPositions!$B$8=CALC_BhaveshMap!$G$9)),AND(CALC_PlanetPositions!$M$9="Malefic",INDEX(REF_Aspects!$D$5:$O$13,3,MOD(CALC_BhaveshMap!$H$9-(MOD(MATCH(CALC_PlanetPositions!$B$9,{"Aries","Taurus","Gemini","Cancer","Leo","Virgo","Libra","Scorpio","Sagittarius","Capricorn","Aquarius","Pisces"},0)-MATCH(INPUT_Chart!$C$5,{"Aries","Taurus","Gemini","Cancer","Leo","Virgo","Libra","Scorpio","Sagittarius","Capricorn","Aquarius","Pisces"},0),12)+1),12)+1)="FULL",NOT(CALC_PlanetPositions!$B$9=CALC_BhaveshMap!$G$9)),AND(CALC_PlanetPositions!$M$10="Malefic",INDEX(REF_Aspects!$D$5:$O$13,4,MOD(CALC_BhaveshMap!$H$9-(MOD(MATCH(CALC_PlanetPositions!$B$10,{"Aries","Taurus","Gemini","Cancer","Leo","Virgo","Libra","Scorpio","Sagittarius","Capricorn","Aquarius","Pisces"},0)-MATCH(INPUT_Chart!$C$5,{"Aries","Taurus","Gemini","Cancer","Leo","Virgo","Libra","Scorpio","Sagittarius","Capricorn","Aquarius","Pisces"},0),12)+1),12)+1)="FULL",NOT(CALC_PlanetPositions!$B$10=CALC_BhaveshMap!$G$9)),AND(CALC_PlanetPositions!$M$11="Malefic",INDEX(REF_Aspects!$D$5:$O$13,5,MOD(CALC_BhaveshMap!$H$9-(MOD(MATCH(CALC_PlanetPositions!$B$11,{"Aries","Taurus","Gemini","Cancer","Leo","Virgo","Libra","Scorpio","Sagittarius","Capricorn","Aquarius","Pisces"},0)-MATCH(INPUT_Chart!$C$5,{"Aries","Taurus","Gemini","Cancer","Leo","Virgo","Libra","Scorpio","Sagittarius","Capricorn","Aquarius","Pisces"},0),12)+1),12)+1)="FULL",NOT(CALC_PlanetPositions!$B$11=CALC_BhaveshMap!$G$9)),AND(CALC_PlanetPositions!$M$12="Malefic",INDEX(REF_Aspects!$D$5:$O$13,6,MOD(CALC_BhaveshMap!$H$9-(MOD(MATCH(CALC_PlanetPositions!$B$12,{"Aries","Taurus","Gemini","Cancer","Leo","Virgo","Libra","Scorpio","Sagittarius","Capricorn","Aquarius","Pisces"},0)-MATCH(INPUT_Chart!$C$5,{"Aries","Taurus","Gemini","Cancer","Leo","Virgo","Libra","Scorpio","Sagittarius","Capricorn","Aquarius","Pisces"},0),12)+1),12)+1)="FULL",NOT(CALC_PlanetPositions!$B$12=CALC_BhaveshMap!$G$9)),AND(CALC_PlanetPositions!$M$13="Malefic",INDEX(REF_Aspects!$D$5:$O$13,7,MOD(CALC_BhaveshMap!$H$9-(MOD(MATCH(CALC_PlanetPositions!$B$13,{"Aries","Taurus","Gemini","Cancer","Leo","Virgo","Libra","Scorpio","Sagittarius","Capricorn","Aquarius","Pisces"},0)-MATCH(INPUT_Chart!$C$5,{"Aries","Taurus","Gemini","Cancer","Leo","Virgo","Libra","Scorpio","Sagittarius","Capricorn","Aquarius","Pisces"},0),12)+1),12)+1)="FULL",NOT(CALC_PlanetPositions!$B$13=CALC_BhaveshMap!$G$9)),AND(TRUE(),INDEX(REF_Aspects!$D$5:$O$13,8,MOD(CALC_BhaveshMap!$H$9-(MOD(MATCH(CALC_PlanetPositions!$B$14,{"Aries","Taurus","Gemini","Cancer","Leo","Virgo","Libra","Scorpio","Sagittarius","Capricorn","Aquarius","Pisces"},0)-MATCH(INPUT_Chart!$C$5,{"Aries","Taurus","Gemini","Cancer","Leo","Virgo","Libra","Scorpio","Sagittarius","Capricorn","Aquarius","Pisces"},0),12)+1),12)+1)="FULL",NOT(CALC_PlanetPositions!$B$14=CALC_BhaveshMap!$G$9)),AND(TRUE(),INDEX(REF_Aspects!$D$5:$O$13,9,MOD(CALC_BhaveshMap!$H$9-(MOD(MATCH(CALC_PlanetPositions!$B$15,{"Aries","Taurus","Gemini","Cancer","Leo","Virgo","Libra","Scorpio","Sagittarius","Capricorn","Aquarius","Pisces"},0)-MATCH(INPUT_Chart!$C$5,{"Aries","Taurus","Gemini","Cancer","Leo","Virgo","Libra","Scorpio","Sagittarius","Capricorn","Aquarius","Pisces"},0),12)+1),12)+1)="FULL",NOT(CALC_PlanetPositions!$B$15=CALC_BhaveshMap!$G$9))),1,0),0)</f>
        <v>1</v>
      </c>
      <c r="G107" s="1104">
        <f>F107*-0.5</f>
        <v>-0.5</v>
      </c>
      <c r="H107" s="1092" t="s">
        <v>4558</v>
      </c>
    </row>
    <row r="108" spans="1:8" ht="18" customHeight="1" x14ac:dyDescent="0.2">
      <c r="A108" s="1099" t="s">
        <v>3041</v>
      </c>
      <c r="B108" s="1100" t="s">
        <v>4554</v>
      </c>
      <c r="C108" s="1101" t="s">
        <v>4528</v>
      </c>
      <c r="D108" s="1102" t="s">
        <v>3042</v>
      </c>
      <c r="E108" s="1103" t="s">
        <v>4559</v>
      </c>
      <c r="F108" s="1090">
        <f>IFERROR(IF(CALC_BhaveshMap!$K$9="Yes",1,0),0)</f>
        <v>0</v>
      </c>
      <c r="G108" s="1104">
        <f>F108*-2</f>
        <v>0</v>
      </c>
      <c r="H108" s="1092" t="s">
        <v>4560</v>
      </c>
    </row>
    <row r="109" spans="1:8" ht="18" customHeight="1" x14ac:dyDescent="0.2">
      <c r="A109" s="1099" t="s">
        <v>3058</v>
      </c>
      <c r="B109" s="1100" t="s">
        <v>4554</v>
      </c>
      <c r="C109" s="1101" t="s">
        <v>4528</v>
      </c>
      <c r="D109" s="1102" t="s">
        <v>3059</v>
      </c>
      <c r="E109" s="1103" t="s">
        <v>1109</v>
      </c>
      <c r="F109" s="1090">
        <f>IFERROR(IF(OR(AND(CALC_BhaveshMap!$G$10=CALC_BhaveshMap!$G$9,CALC_BhaveshMap!$D$10&lt;&gt;CALC_BhaveshMap!$D$9),AND(CALC_BhaveshMap!$G$12=CALC_BhaveshMap!$G$9,CALC_BhaveshMap!$D$12&lt;&gt;CALC_BhaveshMap!$D$9),AND(CALC_BhaveshMap!$G$16=CALC_BhaveshMap!$G$9,CALC_BhaveshMap!$D$16&lt;&gt;CALC_BhaveshMap!$D$9)),1,0),0)</f>
        <v>1</v>
      </c>
      <c r="G109" s="1104">
        <f>F109*-1</f>
        <v>-1</v>
      </c>
      <c r="H109" s="1092" t="s">
        <v>4561</v>
      </c>
    </row>
    <row r="110" spans="1:8" ht="18" customHeight="1" x14ac:dyDescent="0.2">
      <c r="A110" s="1105" t="s">
        <v>3083</v>
      </c>
      <c r="B110" s="1106" t="s">
        <v>4562</v>
      </c>
      <c r="C110" s="1107" t="s">
        <v>4528</v>
      </c>
      <c r="D110" s="1108" t="s">
        <v>3084</v>
      </c>
      <c r="E110" s="1109" t="s">
        <v>1089</v>
      </c>
      <c r="F110" s="1110">
        <f>IFERROR(IF(CALC_KarakMap!$M$9&gt;0,CALC_KarakMap!$M$9,0),0)</f>
        <v>0</v>
      </c>
      <c r="G110" s="1111">
        <f>F110</f>
        <v>0</v>
      </c>
      <c r="H110" s="1092" t="s">
        <v>4563</v>
      </c>
    </row>
    <row r="111" spans="1:8" ht="18" customHeight="1" x14ac:dyDescent="0.2">
      <c r="A111" s="1105" t="s">
        <v>3390</v>
      </c>
      <c r="B111" s="1106" t="s">
        <v>4562</v>
      </c>
      <c r="C111" s="1107" t="s">
        <v>4528</v>
      </c>
      <c r="D111" s="1108" t="s">
        <v>4564</v>
      </c>
      <c r="E111" s="1109" t="s">
        <v>1097</v>
      </c>
      <c r="F111" s="1110">
        <f>IFERROR(IF(CALC_KarakMap!$M$9&lt;0,CALC_KarakMap!$M$9,0),0)</f>
        <v>-0.5</v>
      </c>
      <c r="G111" s="1111">
        <f>F111</f>
        <v>-0.5</v>
      </c>
      <c r="H111" s="1092" t="s">
        <v>4565</v>
      </c>
    </row>
    <row r="112" spans="1:8" ht="21.75" customHeight="1" x14ac:dyDescent="0.2">
      <c r="A112" s="1592" t="s">
        <v>4579</v>
      </c>
      <c r="B112" s="1592"/>
      <c r="C112" s="1592"/>
      <c r="D112" s="1592"/>
      <c r="E112" s="1592"/>
      <c r="F112" s="1592"/>
      <c r="G112" s="1112">
        <f>SUM(G94:G111)</f>
        <v>-1.25</v>
      </c>
      <c r="H112" s="1113" t="s">
        <v>4580</v>
      </c>
    </row>
    <row r="113" spans="1:8" ht="24" customHeight="1" x14ac:dyDescent="0.2">
      <c r="A113" s="1114" t="s">
        <v>4568</v>
      </c>
      <c r="D113" s="1115" t="s">
        <v>5581</v>
      </c>
    </row>
    <row r="114" spans="1:8" ht="21.75" customHeight="1" x14ac:dyDescent="0.2">
      <c r="A114" s="1593" t="s">
        <v>4581</v>
      </c>
      <c r="B114" s="1593"/>
      <c r="C114" s="1593"/>
      <c r="D114" s="1593"/>
      <c r="E114" s="1593"/>
      <c r="F114" s="1593"/>
      <c r="G114" s="1593"/>
      <c r="H114" s="1593"/>
    </row>
    <row r="115" spans="1:8" ht="18" customHeight="1" x14ac:dyDescent="0.2">
      <c r="A115" s="1116" t="s">
        <v>2393</v>
      </c>
      <c r="B115" s="1116" t="s">
        <v>3141</v>
      </c>
      <c r="C115" s="1116" t="s">
        <v>4523</v>
      </c>
      <c r="D115" s="1116" t="s">
        <v>3617</v>
      </c>
      <c r="E115" s="1116" t="s">
        <v>2043</v>
      </c>
      <c r="F115" s="1116" t="s">
        <v>4524</v>
      </c>
      <c r="G115" s="1116" t="s">
        <v>4525</v>
      </c>
      <c r="H115" s="1116" t="s">
        <v>4526</v>
      </c>
    </row>
    <row r="116" spans="1:8" ht="18" customHeight="1" x14ac:dyDescent="0.2">
      <c r="A116" s="316" t="s">
        <v>3365</v>
      </c>
      <c r="B116" s="1088" t="s">
        <v>4527</v>
      </c>
      <c r="C116" s="467" t="s">
        <v>4528</v>
      </c>
      <c r="D116" s="1089" t="s">
        <v>4529</v>
      </c>
      <c r="E116" s="100" t="s">
        <v>3546</v>
      </c>
      <c r="F116" s="1090">
        <f>IFERROR(IF(INDEX(REF_Zodiac!$D$17:$O$17,MATCH(CALC_BhaveshMap!$C$10,REF_Zodiac!$D$3:$O$3,0))="Gentle",1,0),0)</f>
        <v>1</v>
      </c>
      <c r="G116" s="1091">
        <f>F116*0.5</f>
        <v>0.5</v>
      </c>
      <c r="H116" s="1092" t="s">
        <v>4530</v>
      </c>
    </row>
    <row r="117" spans="1:8" ht="18" customHeight="1" x14ac:dyDescent="0.2">
      <c r="A117" s="316" t="s">
        <v>3016</v>
      </c>
      <c r="B117" s="1088" t="s">
        <v>4527</v>
      </c>
      <c r="C117" s="467" t="s">
        <v>4528</v>
      </c>
      <c r="D117" s="1089" t="s">
        <v>4531</v>
      </c>
      <c r="E117" s="100" t="s">
        <v>1081</v>
      </c>
      <c r="F117"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6),AND(OR(CALC_PlanetPositions!$M$8="Benefic",CALC_PlanetPositions!$M$8="Yogakaraka"),(MOD(MATCH(CALC_PlanetPositions!$B$8,{"Aries","Taurus","Gemini","Cancer","Leo","Virgo","Libra","Scorpio","Sagittarius","Capricorn","Aquarius","Pisces"},0)-MATCH(INPUT_Chart!$C$5,{"Aries","Taurus","Gemini","Cancer","Leo","Virgo","Libra","Scorpio","Sagittarius","Capricorn","Aquarius","Pisces"},0),12)+1)=6),AND(OR(CALC_PlanetPositions!$M$9="Benefic",CALC_PlanetPositions!$M$9="Yogakaraka"),(MOD(MATCH(CALC_PlanetPositions!$B$9,{"Aries","Taurus","Gemini","Cancer","Leo","Virgo","Libra","Scorpio","Sagittarius","Capricorn","Aquarius","Pisces"},0)-MATCH(INPUT_Chart!$C$5,{"Aries","Taurus","Gemini","Cancer","Leo","Virgo","Libra","Scorpio","Sagittarius","Capricorn","Aquarius","Pisces"},0),12)+1)=6),AND(OR(CALC_PlanetPositions!$M$10="Benefic",CALC_PlanetPositions!$M$10="Yogakaraka"),(MOD(MATCH(CALC_PlanetPositions!$B$10,{"Aries","Taurus","Gemini","Cancer","Leo","Virgo","Libra","Scorpio","Sagittarius","Capricorn","Aquarius","Pisces"},0)-MATCH(INPUT_Chart!$C$5,{"Aries","Taurus","Gemini","Cancer","Leo","Virgo","Libra","Scorpio","Sagittarius","Capricorn","Aquarius","Pisces"},0),12)+1)=6),AND(OR(CALC_PlanetPositions!$M$11="Benefic",CALC_PlanetPositions!$M$11="Yogakaraka"),(MOD(MATCH(CALC_PlanetPositions!$B$11,{"Aries","Taurus","Gemini","Cancer","Leo","Virgo","Libra","Scorpio","Sagittarius","Capricorn","Aquarius","Pisces"},0)-MATCH(INPUT_Chart!$C$5,{"Aries","Taurus","Gemini","Cancer","Leo","Virgo","Libra","Scorpio","Sagittarius","Capricorn","Aquarius","Pisces"},0),12)+1)=6),AND(OR(CALC_PlanetPositions!$M$12="Benefic",CALC_PlanetPositions!$M$12="Yogakaraka"),(MOD(MATCH(CALC_PlanetPositions!$B$12,{"Aries","Taurus","Gemini","Cancer","Leo","Virgo","Libra","Scorpio","Sagittarius","Capricorn","Aquarius","Pisces"},0)-MATCH(INPUT_Chart!$C$5,{"Aries","Taurus","Gemini","Cancer","Leo","Virgo","Libra","Scorpio","Sagittarius","Capricorn","Aquarius","Pisces"},0),12)+1)=6),AND(OR(CALC_PlanetPositions!$M$13="Benefic",CALC_PlanetPositions!$M$13="Yogakaraka"),(MOD(MATCH(CALC_PlanetPositions!$B$13,{"Aries","Taurus","Gemini","Cancer","Leo","Virgo","Libra","Scorpio","Sagittarius","Capricorn","Aquarius","Pisces"},0)-MATCH(INPUT_Chart!$C$5,{"Aries","Taurus","Gemini","Cancer","Leo","Virgo","Libra","Scorpio","Sagittarius","Capricorn","Aquarius","Pisces"},0),12)+1)=6),AND(FALSE(),(MOD(MATCH(CALC_PlanetPositions!$B$14,{"Aries","Taurus","Gemini","Cancer","Leo","Virgo","Libra","Scorpio","Sagittarius","Capricorn","Aquarius","Pisces"},0)-MATCH(INPUT_Chart!$C$5,{"Aries","Taurus","Gemini","Cancer","Leo","Virgo","Libra","Scorpio","Sagittarius","Capricorn","Aquarius","Pisces"},0),12)+1)=6),AND(FALSE(),(MOD(MATCH(CALC_PlanetPositions!$B$15,{"Aries","Taurus","Gemini","Cancer","Leo","Virgo","Libra","Scorpio","Sagittarius","Capricorn","Aquarius","Pisces"},0)-MATCH(INPUT_Chart!$C$5,{"Aries","Taurus","Gemini","Cancer","Leo","Virgo","Libra","Scorpio","Sagittarius","Capricorn","Aquarius","Pisces"},0),12)+1)=6)),1,0),0)</f>
        <v>0</v>
      </c>
      <c r="G117" s="1091">
        <f>F117*1</f>
        <v>0</v>
      </c>
      <c r="H117" s="1092" t="s">
        <v>4532</v>
      </c>
    </row>
    <row r="118" spans="1:8" ht="18" customHeight="1" x14ac:dyDescent="0.2">
      <c r="A118" s="316" t="s">
        <v>3065</v>
      </c>
      <c r="B118" s="1088" t="s">
        <v>4527</v>
      </c>
      <c r="C118" s="467" t="s">
        <v>4533</v>
      </c>
      <c r="D118" s="1089" t="s">
        <v>4534</v>
      </c>
      <c r="E118" s="100" t="s">
        <v>1085</v>
      </c>
      <c r="F118" s="1090">
        <f>IFERROR(IF(OR(AND(OR(CALC_PlanetPositions!$M$7="Benefic",CALC_PlanetPositions!$M$7="Yogakaraka"),INDEX(REF_Aspects!$D$5:$O$13,1,MOD(6-(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6)),AND(OR(CALC_PlanetPositions!$M$8="Benefic",CALC_PlanetPositions!$M$8="Yogakaraka"),INDEX(REF_Aspects!$D$5:$O$13,2,MOD(6-(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6)),AND(OR(CALC_PlanetPositions!$M$9="Benefic",CALC_PlanetPositions!$M$9="Yogakaraka"),INDEX(REF_Aspects!$D$5:$O$13,3,MOD(6-(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6)),AND(OR(CALC_PlanetPositions!$M$10="Benefic",CALC_PlanetPositions!$M$10="Yogakaraka"),INDEX(REF_Aspects!$D$5:$O$13,4,MOD(6-(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6)),AND(OR(CALC_PlanetPositions!$M$11="Benefic",CALC_PlanetPositions!$M$11="Yogakaraka"),INDEX(REF_Aspects!$D$5:$O$13,5,MOD(6-(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6)),AND(OR(CALC_PlanetPositions!$M$12="Benefic",CALC_PlanetPositions!$M$12="Yogakaraka"),INDEX(REF_Aspects!$D$5:$O$13,6,MOD(6-(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6)),AND(OR(CALC_PlanetPositions!$M$13="Benefic",CALC_PlanetPositions!$M$13="Yogakaraka"),INDEX(REF_Aspects!$D$5:$O$13,7,MOD(6-(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6)),AND(FALSE(),INDEX(REF_Aspects!$D$5:$O$13,8,MOD(6-(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6)),AND(FALSE(),INDEX(REF_Aspects!$D$5:$O$13,9,MOD(6-(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6))),1,0),0)</f>
        <v>0</v>
      </c>
      <c r="G118" s="1091">
        <f>F118*0.75</f>
        <v>0</v>
      </c>
      <c r="H118" s="1092" t="s">
        <v>4535</v>
      </c>
    </row>
    <row r="119" spans="1:8" ht="18" customHeight="1" x14ac:dyDescent="0.2">
      <c r="A119" s="356" t="s">
        <v>3015</v>
      </c>
      <c r="B119" s="1093" t="s">
        <v>4536</v>
      </c>
      <c r="C119" s="463" t="s">
        <v>4528</v>
      </c>
      <c r="D119" s="1094" t="s">
        <v>4537</v>
      </c>
      <c r="E119" s="101" t="s">
        <v>1075</v>
      </c>
      <c r="F119" s="1090">
        <f>IFERROR(IF(AND(OR(CALC_BhaveshMap!$I$10="Yes",CALC_BhaveshMap!$J$10="Yes"),NOT(CALC_BhaveshMap!$K$10="Yes")),1,0),0)</f>
        <v>0</v>
      </c>
      <c r="G119" s="1095">
        <f>F119*2</f>
        <v>0</v>
      </c>
      <c r="H119" s="1092" t="s">
        <v>4538</v>
      </c>
    </row>
    <row r="120" spans="1:8" ht="18" customHeight="1" x14ac:dyDescent="0.2">
      <c r="A120" s="356" t="s">
        <v>3092</v>
      </c>
      <c r="B120" s="1093" t="s">
        <v>4536</v>
      </c>
      <c r="C120" s="463" t="s">
        <v>4533</v>
      </c>
      <c r="D120" s="1094" t="s">
        <v>3093</v>
      </c>
      <c r="E120" s="101" t="s">
        <v>1081</v>
      </c>
      <c r="F120" s="1090">
        <f>IFERROR(IF(OR(AND(CALC_BhaveshMap!$G$5=CALC_BhaveshMap!$G$10,CALC_BhaveshMap!$D$5&lt;&gt;CALC_BhaveshMap!$D$10),AND(CALC_BhaveshMap!$G$8=CALC_BhaveshMap!$G$10,CALC_BhaveshMap!$D$8&lt;&gt;CALC_BhaveshMap!$D$10),AND(CALC_BhaveshMap!$G$9=CALC_BhaveshMap!$G$10,CALC_BhaveshMap!$D$9&lt;&gt;CALC_BhaveshMap!$D$10),AND(CALC_BhaveshMap!$G$11=CALC_BhaveshMap!$G$10,CALC_BhaveshMap!$D$11&lt;&gt;CALC_BhaveshMap!$D$10),AND(CALC_BhaveshMap!$G$13=CALC_BhaveshMap!$G$10,CALC_BhaveshMap!$D$13&lt;&gt;CALC_BhaveshMap!$D$10),AND(CALC_BhaveshMap!$G$14=CALC_BhaveshMap!$G$10,CALC_BhaveshMap!$D$14&lt;&gt;CALC_BhaveshMap!$D$10)),1,0),0)</f>
        <v>1</v>
      </c>
      <c r="G120" s="1095">
        <f>F120*0.5</f>
        <v>0.5</v>
      </c>
      <c r="H120" s="1092" t="s">
        <v>4539</v>
      </c>
    </row>
    <row r="121" spans="1:8" ht="18" customHeight="1" x14ac:dyDescent="0.2">
      <c r="A121" s="356" t="s">
        <v>3028</v>
      </c>
      <c r="B121" s="1093" t="s">
        <v>4536</v>
      </c>
      <c r="C121" s="463" t="s">
        <v>4528</v>
      </c>
      <c r="D121" s="1094" t="s">
        <v>4540</v>
      </c>
      <c r="E121" s="101" t="s">
        <v>1081</v>
      </c>
      <c r="F121" s="1090">
        <v>0</v>
      </c>
      <c r="G121" s="1095">
        <f>F121*1</f>
        <v>0</v>
      </c>
      <c r="H121" s="1092" t="s">
        <v>4541</v>
      </c>
    </row>
    <row r="122" spans="1:8" ht="18" customHeight="1" x14ac:dyDescent="0.2">
      <c r="A122" s="356" t="s">
        <v>3112</v>
      </c>
      <c r="B122" s="1093" t="s">
        <v>4536</v>
      </c>
      <c r="C122" s="463" t="s">
        <v>4533</v>
      </c>
      <c r="D122" s="1094" t="s">
        <v>4542</v>
      </c>
      <c r="E122" s="101" t="s">
        <v>1081</v>
      </c>
      <c r="F122" s="1090">
        <f>IFERROR(IF(OR(AND(OR(CALC_PlanetPositions!$M$7="Benefic",CALC_PlanetPositions!$M$7="Yogakaraka"),INDEX(REF_Aspects!$D$5:$O$13,1,MOD(CALC_BhaveshMap!$H$10-(MOD(MATCH(CALC_PlanetPositions!$B$7,{"Aries","Taurus","Gemini","Cancer","Leo","Virgo","Libra","Scorpio","Sagittarius","Capricorn","Aquarius","Pisces"},0)-MATCH(INPUT_Chart!$C$5,{"Aries","Taurus","Gemini","Cancer","Leo","Virgo","Libra","Scorpio","Sagittarius","Capricorn","Aquarius","Pisces"},0),12)+1),12)+1)="FULL",NOT(CALC_PlanetPositions!$B$7=CALC_BhaveshMap!$G$10)),AND(OR(CALC_PlanetPositions!$M$8="Benefic",CALC_PlanetPositions!$M$8="Yogakaraka"),INDEX(REF_Aspects!$D$5:$O$13,2,MOD(CALC_BhaveshMap!$H$10-(MOD(MATCH(CALC_PlanetPositions!$B$8,{"Aries","Taurus","Gemini","Cancer","Leo","Virgo","Libra","Scorpio","Sagittarius","Capricorn","Aquarius","Pisces"},0)-MATCH(INPUT_Chart!$C$5,{"Aries","Taurus","Gemini","Cancer","Leo","Virgo","Libra","Scorpio","Sagittarius","Capricorn","Aquarius","Pisces"},0),12)+1),12)+1)="FULL",NOT(CALC_PlanetPositions!$B$8=CALC_BhaveshMap!$G$10)),AND(OR(CALC_PlanetPositions!$M$9="Benefic",CALC_PlanetPositions!$M$9="Yogakaraka"),INDEX(REF_Aspects!$D$5:$O$13,3,MOD(CALC_BhaveshMap!$H$10-(MOD(MATCH(CALC_PlanetPositions!$B$9,{"Aries","Taurus","Gemini","Cancer","Leo","Virgo","Libra","Scorpio","Sagittarius","Capricorn","Aquarius","Pisces"},0)-MATCH(INPUT_Chart!$C$5,{"Aries","Taurus","Gemini","Cancer","Leo","Virgo","Libra","Scorpio","Sagittarius","Capricorn","Aquarius","Pisces"},0),12)+1),12)+1)="FULL",NOT(CALC_PlanetPositions!$B$9=CALC_BhaveshMap!$G$10)),AND(OR(CALC_PlanetPositions!$M$10="Benefic",CALC_PlanetPositions!$M$10="Yogakaraka"),INDEX(REF_Aspects!$D$5:$O$13,4,MOD(CALC_BhaveshMap!$H$10-(MOD(MATCH(CALC_PlanetPositions!$B$10,{"Aries","Taurus","Gemini","Cancer","Leo","Virgo","Libra","Scorpio","Sagittarius","Capricorn","Aquarius","Pisces"},0)-MATCH(INPUT_Chart!$C$5,{"Aries","Taurus","Gemini","Cancer","Leo","Virgo","Libra","Scorpio","Sagittarius","Capricorn","Aquarius","Pisces"},0),12)+1),12)+1)="FULL",NOT(CALC_PlanetPositions!$B$10=CALC_BhaveshMap!$G$10)),AND(OR(CALC_PlanetPositions!$M$11="Benefic",CALC_PlanetPositions!$M$11="Yogakaraka"),INDEX(REF_Aspects!$D$5:$O$13,5,MOD(CALC_BhaveshMap!$H$10-(MOD(MATCH(CALC_PlanetPositions!$B$11,{"Aries","Taurus","Gemini","Cancer","Leo","Virgo","Libra","Scorpio","Sagittarius","Capricorn","Aquarius","Pisces"},0)-MATCH(INPUT_Chart!$C$5,{"Aries","Taurus","Gemini","Cancer","Leo","Virgo","Libra","Scorpio","Sagittarius","Capricorn","Aquarius","Pisces"},0),12)+1),12)+1)="FULL",NOT(CALC_PlanetPositions!$B$11=CALC_BhaveshMap!$G$10)),AND(OR(CALC_PlanetPositions!$M$12="Benefic",CALC_PlanetPositions!$M$12="Yogakaraka"),INDEX(REF_Aspects!$D$5:$O$13,6,MOD(CALC_BhaveshMap!$H$10-(MOD(MATCH(CALC_PlanetPositions!$B$12,{"Aries","Taurus","Gemini","Cancer","Leo","Virgo","Libra","Scorpio","Sagittarius","Capricorn","Aquarius","Pisces"},0)-MATCH(INPUT_Chart!$C$5,{"Aries","Taurus","Gemini","Cancer","Leo","Virgo","Libra","Scorpio","Sagittarius","Capricorn","Aquarius","Pisces"},0),12)+1),12)+1)="FULL",NOT(CALC_PlanetPositions!$B$12=CALC_BhaveshMap!$G$10)),AND(OR(CALC_PlanetPositions!$M$13="Benefic",CALC_PlanetPositions!$M$13="Yogakaraka"),INDEX(REF_Aspects!$D$5:$O$13,7,MOD(CALC_BhaveshMap!$H$10-(MOD(MATCH(CALC_PlanetPositions!$B$13,{"Aries","Taurus","Gemini","Cancer","Leo","Virgo","Libra","Scorpio","Sagittarius","Capricorn","Aquarius","Pisces"},0)-MATCH(INPUT_Chart!$C$5,{"Aries","Taurus","Gemini","Cancer","Leo","Virgo","Libra","Scorpio","Sagittarius","Capricorn","Aquarius","Pisces"},0),12)+1),12)+1)="FULL",NOT(CALC_PlanetPositions!$B$13=CALC_BhaveshMap!$G$10)),AND(FALSE(),INDEX(REF_Aspects!$D$5:$O$13,8,MOD(CALC_BhaveshMap!$H$10-(MOD(MATCH(CALC_PlanetPositions!$B$14,{"Aries","Taurus","Gemini","Cancer","Leo","Virgo","Libra","Scorpio","Sagittarius","Capricorn","Aquarius","Pisces"},0)-MATCH(INPUT_Chart!$C$5,{"Aries","Taurus","Gemini","Cancer","Leo","Virgo","Libra","Scorpio","Sagittarius","Capricorn","Aquarius","Pisces"},0),12)+1),12)+1)="FULL",NOT(CALC_PlanetPositions!$B$14=CALC_BhaveshMap!$G$10)),AND(FALSE(),INDEX(REF_Aspects!$D$5:$O$13,9,MOD(CALC_BhaveshMap!$H$10-(MOD(MATCH(CALC_PlanetPositions!$B$15,{"Aries","Taurus","Gemini","Cancer","Leo","Virgo","Libra","Scorpio","Sagittarius","Capricorn","Aquarius","Pisces"},0)-MATCH(INPUT_Chart!$C$5,{"Aries","Taurus","Gemini","Cancer","Leo","Virgo","Libra","Scorpio","Sagittarius","Capricorn","Aquarius","Pisces"},0),12)+1),12)+1)="FULL",NOT(CALC_PlanetPositions!$B$15=CALC_BhaveshMap!$G$10))),1,0),0)</f>
        <v>0</v>
      </c>
      <c r="G122" s="1095">
        <f>F122*0.5</f>
        <v>0</v>
      </c>
      <c r="H122" s="1092" t="s">
        <v>4543</v>
      </c>
    </row>
    <row r="123" spans="1:8" ht="18" customHeight="1" x14ac:dyDescent="0.2">
      <c r="A123" s="356" t="s">
        <v>3033</v>
      </c>
      <c r="B123" s="1093" t="s">
        <v>4536</v>
      </c>
      <c r="C123" s="463" t="s">
        <v>4528</v>
      </c>
      <c r="D123" s="1094" t="s">
        <v>3034</v>
      </c>
      <c r="E123" s="101" t="s">
        <v>1085</v>
      </c>
      <c r="F123"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$10-2,12)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$10-2,12)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$10-2,12)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$10-2,12)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$10-2,12)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$10-2,12)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$10-2,12)+1)),AND(FALSE(),MOD(MATCH(CALC_PlanetPositions!$B$14,{"Aries","Taurus","Gemini","Cancer","Leo","Virgo","Libra","Scorpio","Sagittarius","Capricorn","Aquarius","Pisces"},0)-MATCH(INPUT_Chart!$C$5,{"Aries","Taurus","Gemini","Cancer","Leo","Virgo","Libra","Scorpio","Sagittarius","Capricorn","Aquarius","Pisces"},0),12)+1=(MOD(CALC_BhaveshMap!$H$10-2,12)+1)),AND(FALSE(),MOD(MATCH(CALC_PlanetPositions!$B$15,{"Aries","Taurus","Gemini","Cancer","Leo","Virgo","Libra","Scorpio","Sagittarius","Capricorn","Aquarius","Pisces"},0)-MATCH(INPUT_Chart!$C$5,{"Aries","Taurus","Gemini","Cancer","Leo","Virgo","Libra","Scorpio","Sagittarius","Capricorn","Aquarius","Pisces"},0),12)+1=(MOD(CALC_BhaveshMap!$H$10-2,12)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$10,12)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$10,12)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$10,12)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$10,12)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$10,12)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$10,12)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$10,12)+1)),AND(FALSE(),MOD(MATCH(CALC_PlanetPositions!$B$14,{"Aries","Taurus","Gemini","Cancer","Leo","Virgo","Libra","Scorpio","Sagittarius","Capricorn","Aquarius","Pisces"},0)-MATCH(INPUT_Chart!$C$5,{"Aries","Taurus","Gemini","Cancer","Leo","Virgo","Libra","Scorpio","Sagittarius","Capricorn","Aquarius","Pisces"},0),12)+1=(MOD(CALC_BhaveshMap!$H$10,12)+1)),AND(FALSE(),MOD(MATCH(CALC_PlanetPositions!$B$15,{"Aries","Taurus","Gemini","Cancer","Leo","Virgo","Libra","Scorpio","Sagittarius","Capricorn","Aquarius","Pisces"},0)-MATCH(INPUT_Chart!$C$5,{"Aries","Taurus","Gemini","Cancer","Leo","Virgo","Libra","Scorpio","Sagittarius","Capricorn","Aquarius","Pisces"},0),12)+1=(MOD(CALC_BhaveshMap!$H$10,12)+1)))),1,0),0)</f>
        <v>0</v>
      </c>
      <c r="G123" s="1095">
        <f>F123*0.75</f>
        <v>0</v>
      </c>
      <c r="H123" s="1092" t="s">
        <v>4544</v>
      </c>
    </row>
    <row r="124" spans="1:8" ht="18" customHeight="1" x14ac:dyDescent="0.2">
      <c r="A124" s="315" t="s">
        <v>3050</v>
      </c>
      <c r="B124" s="1096" t="s">
        <v>4545</v>
      </c>
      <c r="C124" s="480" t="s">
        <v>4528</v>
      </c>
      <c r="D124" s="1097" t="s">
        <v>4546</v>
      </c>
      <c r="E124" s="99" t="s">
        <v>1109</v>
      </c>
      <c r="F124" s="1090">
        <f>IFERROR(IF(OR(AND(CALC_PlanetPositions!$M$7="Malefic",(MOD(MATCH(CALC_PlanetPositions!$B$7,{"Aries","Taurus","Gemini","Cancer","Leo","Virgo","Libra","Scorpio","Sagittarius","Capricorn","Aquarius","Pisces"},0)-MATCH(INPUT_Chart!$C$5,{"Aries","Taurus","Gemini","Cancer","Leo","Virgo","Libra","Scorpio","Sagittarius","Capricorn","Aquarius","Pisces"},0),12)+1)=6),AND(CALC_PlanetPositions!$M$8="Malefic",(MOD(MATCH(CALC_PlanetPositions!$B$8,{"Aries","Taurus","Gemini","Cancer","Leo","Virgo","Libra","Scorpio","Sagittarius","Capricorn","Aquarius","Pisces"},0)-MATCH(INPUT_Chart!$C$5,{"Aries","Taurus","Gemini","Cancer","Leo","Virgo","Libra","Scorpio","Sagittarius","Capricorn","Aquarius","Pisces"},0),12)+1)=6),AND(CALC_PlanetPositions!$M$9="Malefic",(MOD(MATCH(CALC_PlanetPositions!$B$9,{"Aries","Taurus","Gemini","Cancer","Leo","Virgo","Libra","Scorpio","Sagittarius","Capricorn","Aquarius","Pisces"},0)-MATCH(INPUT_Chart!$C$5,{"Aries","Taurus","Gemini","Cancer","Leo","Virgo","Libra","Scorpio","Sagittarius","Capricorn","Aquarius","Pisces"},0),12)+1)=6),AND(CALC_PlanetPositions!$M$10="Malefic",(MOD(MATCH(CALC_PlanetPositions!$B$10,{"Aries","Taurus","Gemini","Cancer","Leo","Virgo","Libra","Scorpio","Sagittarius","Capricorn","Aquarius","Pisces"},0)-MATCH(INPUT_Chart!$C$5,{"Aries","Taurus","Gemini","Cancer","Leo","Virgo","Libra","Scorpio","Sagittarius","Capricorn","Aquarius","Pisces"},0),12)+1)=6),AND(CALC_PlanetPositions!$M$11="Malefic",(MOD(MATCH(CALC_PlanetPositions!$B$11,{"Aries","Taurus","Gemini","Cancer","Leo","Virgo","Libra","Scorpio","Sagittarius","Capricorn","Aquarius","Pisces"},0)-MATCH(INPUT_Chart!$C$5,{"Aries","Taurus","Gemini","Cancer","Leo","Virgo","Libra","Scorpio","Sagittarius","Capricorn","Aquarius","Pisces"},0),12)+1)=6),AND(CALC_PlanetPositions!$M$12="Malefic",(MOD(MATCH(CALC_PlanetPositions!$B$12,{"Aries","Taurus","Gemini","Cancer","Leo","Virgo","Libra","Scorpio","Sagittarius","Capricorn","Aquarius","Pisces"},0)-MATCH(INPUT_Chart!$C$5,{"Aries","Taurus","Gemini","Cancer","Leo","Virgo","Libra","Scorpio","Sagittarius","Capricorn","Aquarius","Pisces"},0),12)+1)=6),AND(CALC_PlanetPositions!$M$13="Malefic",(MOD(MATCH(CALC_PlanetPositions!$B$13,{"Aries","Taurus","Gemini","Cancer","Leo","Virgo","Libra","Scorpio","Sagittarius","Capricorn","Aquarius","Pisces"},0)-MATCH(INPUT_Chart!$C$5,{"Aries","Taurus","Gemini","Cancer","Leo","Virgo","Libra","Scorpio","Sagittarius","Capricorn","Aquarius","Pisces"},0),12)+1)=6),AND(TRUE(),(MOD(MATCH(CALC_PlanetPositions!$B$14,{"Aries","Taurus","Gemini","Cancer","Leo","Virgo","Libra","Scorpio","Sagittarius","Capricorn","Aquarius","Pisces"},0)-MATCH(INPUT_Chart!$C$5,{"Aries","Taurus","Gemini","Cancer","Leo","Virgo","Libra","Scorpio","Sagittarius","Capricorn","Aquarius","Pisces"},0),12)+1)=6),AND(TRUE(),(MOD(MATCH(CALC_PlanetPositions!$B$15,{"Aries","Taurus","Gemini","Cancer","Leo","Virgo","Libra","Scorpio","Sagittarius","Capricorn","Aquarius","Pisces"},0)-MATCH(INPUT_Chart!$C$5,{"Aries","Taurus","Gemini","Cancer","Leo","Virgo","Libra","Scorpio","Sagittarius","Capricorn","Aquarius","Pisces"},0),12)+1)=6)),1,0),0)</f>
        <v>1</v>
      </c>
      <c r="G124" s="1098">
        <f>F124*-1</f>
        <v>-1</v>
      </c>
      <c r="H124" s="1092" t="s">
        <v>4547</v>
      </c>
    </row>
    <row r="125" spans="1:8" ht="18" customHeight="1" x14ac:dyDescent="0.2">
      <c r="A125" s="315" t="s">
        <v>3066</v>
      </c>
      <c r="B125" s="1096" t="s">
        <v>4545</v>
      </c>
      <c r="C125" s="480" t="s">
        <v>4528</v>
      </c>
      <c r="D125" s="1097" t="s">
        <v>4548</v>
      </c>
      <c r="E125" s="99" t="s">
        <v>1109</v>
      </c>
      <c r="F125" s="1090">
        <f>IFERROR(IF(OR(AND(CALC_PlanetPositions!$M$7="Malefic",INDEX(REF_Aspects!$D$5:$O$13,1,MOD(6-(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6)),AND(CALC_PlanetPositions!$M$8="Malefic",INDEX(REF_Aspects!$D$5:$O$13,2,MOD(6-(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6)),AND(CALC_PlanetPositions!$M$9="Malefic",INDEX(REF_Aspects!$D$5:$O$13,3,MOD(6-(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6)),AND(CALC_PlanetPositions!$M$10="Malefic",INDEX(REF_Aspects!$D$5:$O$13,4,MOD(6-(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6)),AND(CALC_PlanetPositions!$M$11="Malefic",INDEX(REF_Aspects!$D$5:$O$13,5,MOD(6-(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6)),AND(CALC_PlanetPositions!$M$12="Malefic",INDEX(REF_Aspects!$D$5:$O$13,6,MOD(6-(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6)),AND(CALC_PlanetPositions!$M$13="Malefic",INDEX(REF_Aspects!$D$5:$O$13,7,MOD(6-(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6)),AND(TRUE(),INDEX(REF_Aspects!$D$5:$O$13,8,MOD(6-(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6)),AND(TRUE(),INDEX(REF_Aspects!$D$5:$O$13,9,MOD(6-(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6))),1,0),0)</f>
        <v>0</v>
      </c>
      <c r="G125" s="1098">
        <f>F125*-1</f>
        <v>0</v>
      </c>
      <c r="H125" s="1092" t="s">
        <v>4549</v>
      </c>
    </row>
    <row r="126" spans="1:8" ht="18" customHeight="1" x14ac:dyDescent="0.2">
      <c r="A126" s="315" t="s">
        <v>3061</v>
      </c>
      <c r="B126" s="1096" t="s">
        <v>4545</v>
      </c>
      <c r="C126" s="480" t="s">
        <v>4528</v>
      </c>
      <c r="D126" s="1097" t="s">
        <v>3062</v>
      </c>
      <c r="E126" s="99" t="s">
        <v>4550</v>
      </c>
      <c r="F126" s="1090">
        <v>0</v>
      </c>
      <c r="G126" s="1098">
        <f>F126*-1.25</f>
        <v>0</v>
      </c>
      <c r="H126" s="1092" t="s">
        <v>4551</v>
      </c>
    </row>
    <row r="127" spans="1:8" ht="18" customHeight="1" x14ac:dyDescent="0.2">
      <c r="A127" s="315" t="s">
        <v>3095</v>
      </c>
      <c r="B127" s="1096" t="s">
        <v>4545</v>
      </c>
      <c r="C127" s="480" t="s">
        <v>4528</v>
      </c>
      <c r="D127" s="1097" t="s">
        <v>4552</v>
      </c>
      <c r="E127" s="99" t="s">
        <v>3564</v>
      </c>
      <c r="F127" s="1090">
        <f>IFERROR(IF(AND(OR(AND(CALC_PlanetPositions!$M$7="Malefic",MOD(MATCH(CALC_PlanetPositions!$B$7,{"Aries","Taurus","Gemini","Cancer","Leo","Virgo","Libra","Scorpio","Sagittarius","Capricorn","Aquarius","Pisces"},0)-MATCH(INPUT_Chart!$C$5,{"Aries","Taurus","Gemini","Cancer","Leo","Virgo","Libra","Scorpio","Sagittarius","Capricorn","Aquarius","Pisces"},0),12)+1=(MOD(6-2,12)+1)),AND(CALC_PlanetPositions!$M$8="Malefic",MOD(MATCH(CALC_PlanetPositions!$B$8,{"Aries","Taurus","Gemini","Cancer","Leo","Virgo","Libra","Scorpio","Sagittarius","Capricorn","Aquarius","Pisces"},0)-MATCH(INPUT_Chart!$C$5,{"Aries","Taurus","Gemini","Cancer","Leo","Virgo","Libra","Scorpio","Sagittarius","Capricorn","Aquarius","Pisces"},0),12)+1=(MOD(6-2,12)+1)),AND(CALC_PlanetPositions!$M$9="Malefic",MOD(MATCH(CALC_PlanetPositions!$B$9,{"Aries","Taurus","Gemini","Cancer","Leo","Virgo","Libra","Scorpio","Sagittarius","Capricorn","Aquarius","Pisces"},0)-MATCH(INPUT_Chart!$C$5,{"Aries","Taurus","Gemini","Cancer","Leo","Virgo","Libra","Scorpio","Sagittarius","Capricorn","Aquarius","Pisces"},0),12)+1=(MOD(6-2,12)+1)),AND(CALC_PlanetPositions!$M$10="Malefic",MOD(MATCH(CALC_PlanetPositions!$B$10,{"Aries","Taurus","Gemini","Cancer","Leo","Virgo","Libra","Scorpio","Sagittarius","Capricorn","Aquarius","Pisces"},0)-MATCH(INPUT_Chart!$C$5,{"Aries","Taurus","Gemini","Cancer","Leo","Virgo","Libra","Scorpio","Sagittarius","Capricorn","Aquarius","Pisces"},0),12)+1=(MOD(6-2,12)+1)),AND(CALC_PlanetPositions!$M$11="Malefic",MOD(MATCH(CALC_PlanetPositions!$B$11,{"Aries","Taurus","Gemini","Cancer","Leo","Virgo","Libra","Scorpio","Sagittarius","Capricorn","Aquarius","Pisces"},0)-MATCH(INPUT_Chart!$C$5,{"Aries","Taurus","Gemini","Cancer","Leo","Virgo","Libra","Scorpio","Sagittarius","Capricorn","Aquarius","Pisces"},0),12)+1=(MOD(6-2,12)+1)),AND(CALC_PlanetPositions!$M$12="Malefic",MOD(MATCH(CALC_PlanetPositions!$B$12,{"Aries","Taurus","Gemini","Cancer","Leo","Virgo","Libra","Scorpio","Sagittarius","Capricorn","Aquarius","Pisces"},0)-MATCH(INPUT_Chart!$C$5,{"Aries","Taurus","Gemini","Cancer","Leo","Virgo","Libra","Scorpio","Sagittarius","Capricorn","Aquarius","Pisces"},0),12)+1=(MOD(6-2,12)+1)),AND(CALC_PlanetPositions!$M$13="Malefic",MOD(MATCH(CALC_PlanetPositions!$B$13,{"Aries","Taurus","Gemini","Cancer","Leo","Virgo","Libra","Scorpio","Sagittarius","Capricorn","Aquarius","Pisces"},0)-MATCH(INPUT_Chart!$C$5,{"Aries","Taurus","Gemini","Cancer","Leo","Virgo","Libra","Scorpio","Sagittarius","Capricorn","Aquarius","Pisces"},0),12)+1=(MOD(6-2,12)+1)),AND(TRUE(),MOD(MATCH(CALC_PlanetPositions!$B$14,{"Aries","Taurus","Gemini","Cancer","Leo","Virgo","Libra","Scorpio","Sagittarius","Capricorn","Aquarius","Pisces"},0)-MATCH(INPUT_Chart!$C$5,{"Aries","Taurus","Gemini","Cancer","Leo","Virgo","Libra","Scorpio","Sagittarius","Capricorn","Aquarius","Pisces"},0),12)+1=(MOD(6-2,12)+1)),AND(TRUE(),MOD(MATCH(CALC_PlanetPositions!$B$15,{"Aries","Taurus","Gemini","Cancer","Leo","Virgo","Libra","Scorpio","Sagittarius","Capricorn","Aquarius","Pisces"},0)-MATCH(INPUT_Chart!$C$5,{"Aries","Taurus","Gemini","Cancer","Leo","Virgo","Libra","Scorpio","Sagittarius","Capricorn","Aquarius","Pisces"},0),12)+1=(MOD(6-2,12)+1))),OR(AND(CALC_PlanetPositions!$M$7="Malefic",MOD(MATCH(CALC_PlanetPositions!$B$7,{"Aries","Taurus","Gemini","Cancer","Leo","Virgo","Libra","Scorpio","Sagittarius","Capricorn","Aquarius","Pisces"},0)-MATCH(INPUT_Chart!$C$5,{"Aries","Taurus","Gemini","Cancer","Leo","Virgo","Libra","Scorpio","Sagittarius","Capricorn","Aquarius","Pisces"},0),12)+1=(MOD(6,12)+1)),AND(CALC_PlanetPositions!$M$8="Malefic",MOD(MATCH(CALC_PlanetPositions!$B$8,{"Aries","Taurus","Gemini","Cancer","Leo","Virgo","Libra","Scorpio","Sagittarius","Capricorn","Aquarius","Pisces"},0)-MATCH(INPUT_Chart!$C$5,{"Aries","Taurus","Gemini","Cancer","Leo","Virgo","Libra","Scorpio","Sagittarius","Capricorn","Aquarius","Pisces"},0),12)+1=(MOD(6,12)+1)),AND(CALC_PlanetPositions!$M$9="Malefic",MOD(MATCH(CALC_PlanetPositions!$B$9,{"Aries","Taurus","Gemini","Cancer","Leo","Virgo","Libra","Scorpio","Sagittarius","Capricorn","Aquarius","Pisces"},0)-MATCH(INPUT_Chart!$C$5,{"Aries","Taurus","Gemini","Cancer","Leo","Virgo","Libra","Scorpio","Sagittarius","Capricorn","Aquarius","Pisces"},0),12)+1=(MOD(6,12)+1)),AND(CALC_PlanetPositions!$M$10="Malefic",MOD(MATCH(CALC_PlanetPositions!$B$10,{"Aries","Taurus","Gemini","Cancer","Leo","Virgo","Libra","Scorpio","Sagittarius","Capricorn","Aquarius","Pisces"},0)-MATCH(INPUT_Chart!$C$5,{"Aries","Taurus","Gemini","Cancer","Leo","Virgo","Libra","Scorpio","Sagittarius","Capricorn","Aquarius","Pisces"},0),12)+1=(MOD(6,12)+1)),AND(CALC_PlanetPositions!$M$11="Malefic",MOD(MATCH(CALC_PlanetPositions!$B$11,{"Aries","Taurus","Gemini","Cancer","Leo","Virgo","Libra","Scorpio","Sagittarius","Capricorn","Aquarius","Pisces"},0)-MATCH(INPUT_Chart!$C$5,{"Aries","Taurus","Gemini","Cancer","Leo","Virgo","Libra","Scorpio","Sagittarius","Capricorn","Aquarius","Pisces"},0),12)+1=(MOD(6,12)+1)),AND(CALC_PlanetPositions!$M$12="Malefic",MOD(MATCH(CALC_PlanetPositions!$B$12,{"Aries","Taurus","Gemini","Cancer","Leo","Virgo","Libra","Scorpio","Sagittarius","Capricorn","Aquarius","Pisces"},0)-MATCH(INPUT_Chart!$C$5,{"Aries","Taurus","Gemini","Cancer","Leo","Virgo","Libra","Scorpio","Sagittarius","Capricorn","Aquarius","Pisces"},0),12)+1=(MOD(6,12)+1)),AND(CALC_PlanetPositions!$M$13="Malefic",MOD(MATCH(CALC_PlanetPositions!$B$13,{"Aries","Taurus","Gemini","Cancer","Leo","Virgo","Libra","Scorpio","Sagittarius","Capricorn","Aquarius","Pisces"},0)-MATCH(INPUT_Chart!$C$5,{"Aries","Taurus","Gemini","Cancer","Leo","Virgo","Libra","Scorpio","Sagittarius","Capricorn","Aquarius","Pisces"},0),12)+1=(MOD(6,12)+1)),AND(TRUE(),MOD(MATCH(CALC_PlanetPositions!$B$14,{"Aries","Taurus","Gemini","Cancer","Leo","Virgo","Libra","Scorpio","Sagittarius","Capricorn","Aquarius","Pisces"},0)-MATCH(INPUT_Chart!$C$5,{"Aries","Taurus","Gemini","Cancer","Leo","Virgo","Libra","Scorpio","Sagittarius","Capricorn","Aquarius","Pisces"},0),12)+1=(MOD(6,12)+1)),AND(TRUE(),MOD(MATCH(CALC_PlanetPositions!$B$15,{"Aries","Taurus","Gemini","Cancer","Leo","Virgo","Libra","Scorpio","Sagittarius","Capricorn","Aquarius","Pisces"},0)-MATCH(INPUT_Chart!$C$5,{"Aries","Taurus","Gemini","Cancer","Leo","Virgo","Libra","Scorpio","Sagittarius","Capricorn","Aquarius","Pisces"},0),12)+1=(MOD(6,12)+1)))),1,0),0)</f>
        <v>0</v>
      </c>
      <c r="G127" s="1098">
        <f>F127*-0.75</f>
        <v>0</v>
      </c>
      <c r="H127" s="1092" t="s">
        <v>4553</v>
      </c>
    </row>
    <row r="128" spans="1:8" ht="18" customHeight="1" x14ac:dyDescent="0.2">
      <c r="A128" s="1099" t="s">
        <v>3036</v>
      </c>
      <c r="B128" s="1100" t="s">
        <v>4554</v>
      </c>
      <c r="C128" s="1101" t="s">
        <v>4528</v>
      </c>
      <c r="D128" s="1102" t="s">
        <v>4555</v>
      </c>
      <c r="E128" s="1103" t="s">
        <v>1109</v>
      </c>
      <c r="F128" s="1090">
        <v>0</v>
      </c>
      <c r="G128" s="1104">
        <f>F128*-1</f>
        <v>0</v>
      </c>
      <c r="H128" s="1092" t="s">
        <v>4556</v>
      </c>
    </row>
    <row r="129" spans="1:8" ht="18" customHeight="1" x14ac:dyDescent="0.2">
      <c r="A129" s="1099" t="s">
        <v>3054</v>
      </c>
      <c r="B129" s="1100" t="s">
        <v>4554</v>
      </c>
      <c r="C129" s="1101" t="s">
        <v>4533</v>
      </c>
      <c r="D129" s="1102" t="s">
        <v>4557</v>
      </c>
      <c r="E129" s="1103" t="s">
        <v>1109</v>
      </c>
      <c r="F129" s="1090">
        <f>IFERROR(IF(OR(AND(CALC_PlanetPositions!$M$7="Malefic",INDEX(REF_Aspects!$D$5:$O$13,1,MOD(CALC_BhaveshMap!$H$10-(MOD(MATCH(CALC_PlanetPositions!$B$7,{"Aries","Taurus","Gemini","Cancer","Leo","Virgo","Libra","Scorpio","Sagittarius","Capricorn","Aquarius","Pisces"},0)-MATCH(INPUT_Chart!$C$5,{"Aries","Taurus","Gemini","Cancer","Leo","Virgo","Libra","Scorpio","Sagittarius","Capricorn","Aquarius","Pisces"},0),12)+1),12)+1)="FULL",NOT(CALC_PlanetPositions!$B$7=CALC_BhaveshMap!$G$10)),AND(CALC_PlanetPositions!$M$8="Malefic",INDEX(REF_Aspects!$D$5:$O$13,2,MOD(CALC_BhaveshMap!$H$10-(MOD(MATCH(CALC_PlanetPositions!$B$8,{"Aries","Taurus","Gemini","Cancer","Leo","Virgo","Libra","Scorpio","Sagittarius","Capricorn","Aquarius","Pisces"},0)-MATCH(INPUT_Chart!$C$5,{"Aries","Taurus","Gemini","Cancer","Leo","Virgo","Libra","Scorpio","Sagittarius","Capricorn","Aquarius","Pisces"},0),12)+1),12)+1)="FULL",NOT(CALC_PlanetPositions!$B$8=CALC_BhaveshMap!$G$10)),AND(CALC_PlanetPositions!$M$9="Malefic",INDEX(REF_Aspects!$D$5:$O$13,3,MOD(CALC_BhaveshMap!$H$10-(MOD(MATCH(CALC_PlanetPositions!$B$9,{"Aries","Taurus","Gemini","Cancer","Leo","Virgo","Libra","Scorpio","Sagittarius","Capricorn","Aquarius","Pisces"},0)-MATCH(INPUT_Chart!$C$5,{"Aries","Taurus","Gemini","Cancer","Leo","Virgo","Libra","Scorpio","Sagittarius","Capricorn","Aquarius","Pisces"},0),12)+1),12)+1)="FULL",NOT(CALC_PlanetPositions!$B$9=CALC_BhaveshMap!$G$10)),AND(CALC_PlanetPositions!$M$10="Malefic",INDEX(REF_Aspects!$D$5:$O$13,4,MOD(CALC_BhaveshMap!$H$10-(MOD(MATCH(CALC_PlanetPositions!$B$10,{"Aries","Taurus","Gemini","Cancer","Leo","Virgo","Libra","Scorpio","Sagittarius","Capricorn","Aquarius","Pisces"},0)-MATCH(INPUT_Chart!$C$5,{"Aries","Taurus","Gemini","Cancer","Leo","Virgo","Libra","Scorpio","Sagittarius","Capricorn","Aquarius","Pisces"},0),12)+1),12)+1)="FULL",NOT(CALC_PlanetPositions!$B$10=CALC_BhaveshMap!$G$10)),AND(CALC_PlanetPositions!$M$11="Malefic",INDEX(REF_Aspects!$D$5:$O$13,5,MOD(CALC_BhaveshMap!$H$10-(MOD(MATCH(CALC_PlanetPositions!$B$11,{"Aries","Taurus","Gemini","Cancer","Leo","Virgo","Libra","Scorpio","Sagittarius","Capricorn","Aquarius","Pisces"},0)-MATCH(INPUT_Chart!$C$5,{"Aries","Taurus","Gemini","Cancer","Leo","Virgo","Libra","Scorpio","Sagittarius","Capricorn","Aquarius","Pisces"},0),12)+1),12)+1)="FULL",NOT(CALC_PlanetPositions!$B$11=CALC_BhaveshMap!$G$10)),AND(CALC_PlanetPositions!$M$12="Malefic",INDEX(REF_Aspects!$D$5:$O$13,6,MOD(CALC_BhaveshMap!$H$10-(MOD(MATCH(CALC_PlanetPositions!$B$12,{"Aries","Taurus","Gemini","Cancer","Leo","Virgo","Libra","Scorpio","Sagittarius","Capricorn","Aquarius","Pisces"},0)-MATCH(INPUT_Chart!$C$5,{"Aries","Taurus","Gemini","Cancer","Leo","Virgo","Libra","Scorpio","Sagittarius","Capricorn","Aquarius","Pisces"},0),12)+1),12)+1)="FULL",NOT(CALC_PlanetPositions!$B$12=CALC_BhaveshMap!$G$10)),AND(CALC_PlanetPositions!$M$13="Malefic",INDEX(REF_Aspects!$D$5:$O$13,7,MOD(CALC_BhaveshMap!$H$10-(MOD(MATCH(CALC_PlanetPositions!$B$13,{"Aries","Taurus","Gemini","Cancer","Leo","Virgo","Libra","Scorpio","Sagittarius","Capricorn","Aquarius","Pisces"},0)-MATCH(INPUT_Chart!$C$5,{"Aries","Taurus","Gemini","Cancer","Leo","Virgo","Libra","Scorpio","Sagittarius","Capricorn","Aquarius","Pisces"},0),12)+1),12)+1)="FULL",NOT(CALC_PlanetPositions!$B$13=CALC_BhaveshMap!$G$10)),AND(TRUE(),INDEX(REF_Aspects!$D$5:$O$13,8,MOD(CALC_BhaveshMap!$H$10-(MOD(MATCH(CALC_PlanetPositions!$B$14,{"Aries","Taurus","Gemini","Cancer","Leo","Virgo","Libra","Scorpio","Sagittarius","Capricorn","Aquarius","Pisces"},0)-MATCH(INPUT_Chart!$C$5,{"Aries","Taurus","Gemini","Cancer","Leo","Virgo","Libra","Scorpio","Sagittarius","Capricorn","Aquarius","Pisces"},0),12)+1),12)+1)="FULL",NOT(CALC_PlanetPositions!$B$14=CALC_BhaveshMap!$G$10)),AND(TRUE(),INDEX(REF_Aspects!$D$5:$O$13,9,MOD(CALC_BhaveshMap!$H$10-(MOD(MATCH(CALC_PlanetPositions!$B$15,{"Aries","Taurus","Gemini","Cancer","Leo","Virgo","Libra","Scorpio","Sagittarius","Capricorn","Aquarius","Pisces"},0)-MATCH(INPUT_Chart!$C$5,{"Aries","Taurus","Gemini","Cancer","Leo","Virgo","Libra","Scorpio","Sagittarius","Capricorn","Aquarius","Pisces"},0),12)+1),12)+1)="FULL",NOT(CALC_PlanetPositions!$B$15=CALC_BhaveshMap!$G$10))),1,0),0)</f>
        <v>1</v>
      </c>
      <c r="G129" s="1104">
        <f>F129*-0.5</f>
        <v>-0.5</v>
      </c>
      <c r="H129" s="1092" t="s">
        <v>4558</v>
      </c>
    </row>
    <row r="130" spans="1:8" ht="18" customHeight="1" x14ac:dyDescent="0.2">
      <c r="A130" s="1099" t="s">
        <v>3041</v>
      </c>
      <c r="B130" s="1100" t="s">
        <v>4554</v>
      </c>
      <c r="C130" s="1101" t="s">
        <v>4528</v>
      </c>
      <c r="D130" s="1102" t="s">
        <v>3042</v>
      </c>
      <c r="E130" s="1103" t="s">
        <v>4559</v>
      </c>
      <c r="F130" s="1090">
        <f>IFERROR(IF(CALC_BhaveshMap!$K$10="Yes",1,0),0)</f>
        <v>0</v>
      </c>
      <c r="G130" s="1104">
        <f>F130*-2</f>
        <v>0</v>
      </c>
      <c r="H130" s="1092" t="s">
        <v>4560</v>
      </c>
    </row>
    <row r="131" spans="1:8" ht="18" customHeight="1" x14ac:dyDescent="0.2">
      <c r="A131" s="1099" t="s">
        <v>3058</v>
      </c>
      <c r="B131" s="1100" t="s">
        <v>4554</v>
      </c>
      <c r="C131" s="1101" t="s">
        <v>4528</v>
      </c>
      <c r="D131" s="1102" t="s">
        <v>3059</v>
      </c>
      <c r="E131" s="1103" t="s">
        <v>1109</v>
      </c>
      <c r="F131" s="1090">
        <f>IFERROR(IF(OR(AND(CALC_BhaveshMap!$G$10=CALC_BhaveshMap!$G$10,CALC_BhaveshMap!$D$10&lt;&gt;CALC_BhaveshMap!$D$10),AND(CALC_BhaveshMap!$G$12=CALC_BhaveshMap!$G$10,CALC_BhaveshMap!$D$12&lt;&gt;CALC_BhaveshMap!$D$10),AND(CALC_BhaveshMap!$G$16=CALC_BhaveshMap!$G$10,CALC_BhaveshMap!$D$16&lt;&gt;CALC_BhaveshMap!$D$10)),1,0),0)</f>
        <v>0</v>
      </c>
      <c r="G131" s="1104">
        <f>F131*-1</f>
        <v>0</v>
      </c>
      <c r="H131" s="1092" t="s">
        <v>4561</v>
      </c>
    </row>
    <row r="132" spans="1:8" ht="18" customHeight="1" x14ac:dyDescent="0.2">
      <c r="A132" s="1105" t="s">
        <v>3083</v>
      </c>
      <c r="B132" s="1106" t="s">
        <v>4562</v>
      </c>
      <c r="C132" s="1107" t="s">
        <v>4528</v>
      </c>
      <c r="D132" s="1108" t="s">
        <v>3084</v>
      </c>
      <c r="E132" s="1109" t="s">
        <v>1089</v>
      </c>
      <c r="F132" s="1110">
        <f>IFERROR(IF(CALC_KarakMap!$M$10&gt;0,CALC_KarakMap!$M$10,0),0)</f>
        <v>0</v>
      </c>
      <c r="G132" s="1111">
        <f>F132</f>
        <v>0</v>
      </c>
      <c r="H132" s="1092" t="s">
        <v>4563</v>
      </c>
    </row>
    <row r="133" spans="1:8" ht="18" customHeight="1" x14ac:dyDescent="0.2">
      <c r="A133" s="1105" t="s">
        <v>3390</v>
      </c>
      <c r="B133" s="1106" t="s">
        <v>4562</v>
      </c>
      <c r="C133" s="1107" t="s">
        <v>4528</v>
      </c>
      <c r="D133" s="1108" t="s">
        <v>4564</v>
      </c>
      <c r="E133" s="1109" t="s">
        <v>1097</v>
      </c>
      <c r="F133" s="1110">
        <f>IFERROR(IF(CALC_KarakMap!$M$10&lt;0,CALC_KarakMap!$M$10,0),0)</f>
        <v>0</v>
      </c>
      <c r="G133" s="1111">
        <f>F133</f>
        <v>0</v>
      </c>
      <c r="H133" s="1092" t="s">
        <v>4565</v>
      </c>
    </row>
    <row r="134" spans="1:8" ht="21.75" customHeight="1" x14ac:dyDescent="0.2">
      <c r="A134" s="1592" t="s">
        <v>4582</v>
      </c>
      <c r="B134" s="1592"/>
      <c r="C134" s="1592"/>
      <c r="D134" s="1592"/>
      <c r="E134" s="1592"/>
      <c r="F134" s="1592"/>
      <c r="G134" s="1112">
        <f>SUM(G116:G133)</f>
        <v>-0.5</v>
      </c>
      <c r="H134" s="1113" t="s">
        <v>4583</v>
      </c>
    </row>
    <row r="135" spans="1:8" ht="24" customHeight="1" x14ac:dyDescent="0.2">
      <c r="A135" s="1114" t="s">
        <v>4568</v>
      </c>
      <c r="D135" s="1115" t="s">
        <v>5582</v>
      </c>
    </row>
    <row r="136" spans="1:8" ht="21.75" customHeight="1" x14ac:dyDescent="0.2">
      <c r="A136" s="1591" t="s">
        <v>4584</v>
      </c>
      <c r="B136" s="1591"/>
      <c r="C136" s="1591"/>
      <c r="D136" s="1591"/>
      <c r="E136" s="1591"/>
      <c r="F136" s="1591"/>
      <c r="G136" s="1591"/>
      <c r="H136" s="1591"/>
    </row>
    <row r="137" spans="1:8" ht="18" customHeight="1" x14ac:dyDescent="0.2">
      <c r="A137" s="1087" t="s">
        <v>2393</v>
      </c>
      <c r="B137" s="1087" t="s">
        <v>3141</v>
      </c>
      <c r="C137" s="1087" t="s">
        <v>4523</v>
      </c>
      <c r="D137" s="1087" t="s">
        <v>3617</v>
      </c>
      <c r="E137" s="1087" t="s">
        <v>2043</v>
      </c>
      <c r="F137" s="1087" t="s">
        <v>4524</v>
      </c>
      <c r="G137" s="1087" t="s">
        <v>4525</v>
      </c>
      <c r="H137" s="1087" t="s">
        <v>4526</v>
      </c>
    </row>
    <row r="138" spans="1:8" ht="18" customHeight="1" x14ac:dyDescent="0.2">
      <c r="A138" s="316" t="s">
        <v>3365</v>
      </c>
      <c r="B138" s="1088" t="s">
        <v>4527</v>
      </c>
      <c r="C138" s="467" t="s">
        <v>4528</v>
      </c>
      <c r="D138" s="1089" t="s">
        <v>4529</v>
      </c>
      <c r="E138" s="100" t="s">
        <v>3546</v>
      </c>
      <c r="F138" s="1090">
        <f>IFERROR(IF(INDEX(REF_Zodiac!$D$17:$O$17,MATCH(CALC_BhaveshMap!$C$11,REF_Zodiac!$D$3:$O$3,0))="Gentle",1,0),0)</f>
        <v>0</v>
      </c>
      <c r="G138" s="1091">
        <f>F138*0.5</f>
        <v>0</v>
      </c>
      <c r="H138" s="1092" t="s">
        <v>4530</v>
      </c>
    </row>
    <row r="139" spans="1:8" ht="18" customHeight="1" x14ac:dyDescent="0.2">
      <c r="A139" s="316" t="s">
        <v>3016</v>
      </c>
      <c r="B139" s="1088" t="s">
        <v>4527</v>
      </c>
      <c r="C139" s="467" t="s">
        <v>4528</v>
      </c>
      <c r="D139" s="1089" t="s">
        <v>4531</v>
      </c>
      <c r="E139" s="100" t="s">
        <v>1081</v>
      </c>
      <c r="F139"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7),AND(OR(CALC_PlanetPositions!$M$8="Benefic",CALC_PlanetPositions!$M$8="Yogakaraka"),(MOD(MATCH(CALC_PlanetPositions!$B$8,{"Aries","Taurus","Gemini","Cancer","Leo","Virgo","Libra","Scorpio","Sagittarius","Capricorn","Aquarius","Pisces"},0)-MATCH(INPUT_Chart!$C$5,{"Aries","Taurus","Gemini","Cancer","Leo","Virgo","Libra","Scorpio","Sagittarius","Capricorn","Aquarius","Pisces"},0),12)+1)=7),AND(OR(CALC_PlanetPositions!$M$9="Benefic",CALC_PlanetPositions!$M$9="Yogakaraka"),(MOD(MATCH(CALC_PlanetPositions!$B$9,{"Aries","Taurus","Gemini","Cancer","Leo","Virgo","Libra","Scorpio","Sagittarius","Capricorn","Aquarius","Pisces"},0)-MATCH(INPUT_Chart!$C$5,{"Aries","Taurus","Gemini","Cancer","Leo","Virgo","Libra","Scorpio","Sagittarius","Capricorn","Aquarius","Pisces"},0),12)+1)=7),AND(OR(CALC_PlanetPositions!$M$10="Benefic",CALC_PlanetPositions!$M$10="Yogakaraka"),(MOD(MATCH(CALC_PlanetPositions!$B$10,{"Aries","Taurus","Gemini","Cancer","Leo","Virgo","Libra","Scorpio","Sagittarius","Capricorn","Aquarius","Pisces"},0)-MATCH(INPUT_Chart!$C$5,{"Aries","Taurus","Gemini","Cancer","Leo","Virgo","Libra","Scorpio","Sagittarius","Capricorn","Aquarius","Pisces"},0),12)+1)=7),AND(OR(CALC_PlanetPositions!$M$11="Benefic",CALC_PlanetPositions!$M$11="Yogakaraka"),(MOD(MATCH(CALC_PlanetPositions!$B$11,{"Aries","Taurus","Gemini","Cancer","Leo","Virgo","Libra","Scorpio","Sagittarius","Capricorn","Aquarius","Pisces"},0)-MATCH(INPUT_Chart!$C$5,{"Aries","Taurus","Gemini","Cancer","Leo","Virgo","Libra","Scorpio","Sagittarius","Capricorn","Aquarius","Pisces"},0),12)+1)=7),AND(OR(CALC_PlanetPositions!$M$12="Benefic",CALC_PlanetPositions!$M$12="Yogakaraka"),(MOD(MATCH(CALC_PlanetPositions!$B$12,{"Aries","Taurus","Gemini","Cancer","Leo","Virgo","Libra","Scorpio","Sagittarius","Capricorn","Aquarius","Pisces"},0)-MATCH(INPUT_Chart!$C$5,{"Aries","Taurus","Gemini","Cancer","Leo","Virgo","Libra","Scorpio","Sagittarius","Capricorn","Aquarius","Pisces"},0),12)+1)=7),AND(OR(CALC_PlanetPositions!$M$13="Benefic",CALC_PlanetPositions!$M$13="Yogakaraka"),(MOD(MATCH(CALC_PlanetPositions!$B$13,{"Aries","Taurus","Gemini","Cancer","Leo","Virgo","Libra","Scorpio","Sagittarius","Capricorn","Aquarius","Pisces"},0)-MATCH(INPUT_Chart!$C$5,{"Aries","Taurus","Gemini","Cancer","Leo","Virgo","Libra","Scorpio","Sagittarius","Capricorn","Aquarius","Pisces"},0),12)+1)=7),AND(FALSE(),(MOD(MATCH(CALC_PlanetPositions!$B$14,{"Aries","Taurus","Gemini","Cancer","Leo","Virgo","Libra","Scorpio","Sagittarius","Capricorn","Aquarius","Pisces"},0)-MATCH(INPUT_Chart!$C$5,{"Aries","Taurus","Gemini","Cancer","Leo","Virgo","Libra","Scorpio","Sagittarius","Capricorn","Aquarius","Pisces"},0),12)+1)=7),AND(FALSE(),(MOD(MATCH(CALC_PlanetPositions!$B$15,{"Aries","Taurus","Gemini","Cancer","Leo","Virgo","Libra","Scorpio","Sagittarius","Capricorn","Aquarius","Pisces"},0)-MATCH(INPUT_Chart!$C$5,{"Aries","Taurus","Gemini","Cancer","Leo","Virgo","Libra","Scorpio","Sagittarius","Capricorn","Aquarius","Pisces"},0),12)+1)=7)),1,0),0)</f>
        <v>0</v>
      </c>
      <c r="G139" s="1091">
        <f>F139*1</f>
        <v>0</v>
      </c>
      <c r="H139" s="1092" t="s">
        <v>4532</v>
      </c>
    </row>
    <row r="140" spans="1:8" ht="18" customHeight="1" x14ac:dyDescent="0.2">
      <c r="A140" s="316" t="s">
        <v>3065</v>
      </c>
      <c r="B140" s="1088" t="s">
        <v>4527</v>
      </c>
      <c r="C140" s="467" t="s">
        <v>4533</v>
      </c>
      <c r="D140" s="1089" t="s">
        <v>4534</v>
      </c>
      <c r="E140" s="100" t="s">
        <v>1085</v>
      </c>
      <c r="F140" s="1090">
        <f>IFERROR(IF(OR(AND(OR(CALC_PlanetPositions!$M$7="Benefic",CALC_PlanetPositions!$M$7="Yogakaraka"),INDEX(REF_Aspects!$D$5:$O$13,1,MOD(7-(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7)),AND(OR(CALC_PlanetPositions!$M$8="Benefic",CALC_PlanetPositions!$M$8="Yogakaraka"),INDEX(REF_Aspects!$D$5:$O$13,2,MOD(7-(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7)),AND(OR(CALC_PlanetPositions!$M$9="Benefic",CALC_PlanetPositions!$M$9="Yogakaraka"),INDEX(REF_Aspects!$D$5:$O$13,3,MOD(7-(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7)),AND(OR(CALC_PlanetPositions!$M$10="Benefic",CALC_PlanetPositions!$M$10="Yogakaraka"),INDEX(REF_Aspects!$D$5:$O$13,4,MOD(7-(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7)),AND(OR(CALC_PlanetPositions!$M$11="Benefic",CALC_PlanetPositions!$M$11="Yogakaraka"),INDEX(REF_Aspects!$D$5:$O$13,5,MOD(7-(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7)),AND(OR(CALC_PlanetPositions!$M$12="Benefic",CALC_PlanetPositions!$M$12="Yogakaraka"),INDEX(REF_Aspects!$D$5:$O$13,6,MOD(7-(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7)),AND(OR(CALC_PlanetPositions!$M$13="Benefic",CALC_PlanetPositions!$M$13="Yogakaraka"),INDEX(REF_Aspects!$D$5:$O$13,7,MOD(7-(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7)),AND(FALSE(),INDEX(REF_Aspects!$D$5:$O$13,8,MOD(7-(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7)),AND(FALSE(),INDEX(REF_Aspects!$D$5:$O$13,9,MOD(7-(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7))),1,0),0)</f>
        <v>0</v>
      </c>
      <c r="G140" s="1091">
        <f>F140*0.75</f>
        <v>0</v>
      </c>
      <c r="H140" s="1092" t="s">
        <v>4535</v>
      </c>
    </row>
    <row r="141" spans="1:8" ht="18" customHeight="1" x14ac:dyDescent="0.2">
      <c r="A141" s="356" t="s">
        <v>3015</v>
      </c>
      <c r="B141" s="1093" t="s">
        <v>4536</v>
      </c>
      <c r="C141" s="463" t="s">
        <v>4528</v>
      </c>
      <c r="D141" s="1094" t="s">
        <v>4537</v>
      </c>
      <c r="E141" s="101" t="s">
        <v>1075</v>
      </c>
      <c r="F141" s="1090">
        <f>IFERROR(IF(AND(OR(CALC_BhaveshMap!$I$11="Yes",CALC_BhaveshMap!$J$11="Yes"),NOT(CALC_BhaveshMap!$K$11="Yes")),1,0),0)</f>
        <v>0</v>
      </c>
      <c r="G141" s="1095">
        <f>F141*2</f>
        <v>0</v>
      </c>
      <c r="H141" s="1092" t="s">
        <v>4538</v>
      </c>
    </row>
    <row r="142" spans="1:8" ht="18" customHeight="1" x14ac:dyDescent="0.2">
      <c r="A142" s="356" t="s">
        <v>3092</v>
      </c>
      <c r="B142" s="1093" t="s">
        <v>4536</v>
      </c>
      <c r="C142" s="463" t="s">
        <v>4533</v>
      </c>
      <c r="D142" s="1094" t="s">
        <v>3093</v>
      </c>
      <c r="E142" s="101" t="s">
        <v>1081</v>
      </c>
      <c r="F142" s="1090">
        <f>IFERROR(IF(OR(AND(CALC_BhaveshMap!$G$5=CALC_BhaveshMap!$G$11,CALC_BhaveshMap!$D$5&lt;&gt;CALC_BhaveshMap!$D$11),AND(CALC_BhaveshMap!$G$8=CALC_BhaveshMap!$G$11,CALC_BhaveshMap!$D$8&lt;&gt;CALC_BhaveshMap!$D$11),AND(CALC_BhaveshMap!$G$9=CALC_BhaveshMap!$G$11,CALC_BhaveshMap!$D$9&lt;&gt;CALC_BhaveshMap!$D$11),AND(CALC_BhaveshMap!$G$11=CALC_BhaveshMap!$G$11,CALC_BhaveshMap!$D$11&lt;&gt;CALC_BhaveshMap!$D$11),AND(CALC_BhaveshMap!$G$13=CALC_BhaveshMap!$G$11,CALC_BhaveshMap!$D$13&lt;&gt;CALC_BhaveshMap!$D$11),AND(CALC_BhaveshMap!$G$14=CALC_BhaveshMap!$G$11,CALC_BhaveshMap!$D$14&lt;&gt;CALC_BhaveshMap!$D$11)),1,0),0)</f>
        <v>0</v>
      </c>
      <c r="G142" s="1095">
        <f>F142*0.5</f>
        <v>0</v>
      </c>
      <c r="H142" s="1092" t="s">
        <v>4539</v>
      </c>
    </row>
    <row r="143" spans="1:8" ht="18" customHeight="1" x14ac:dyDescent="0.2">
      <c r="A143" s="356" t="s">
        <v>3028</v>
      </c>
      <c r="B143" s="1093" t="s">
        <v>4536</v>
      </c>
      <c r="C143" s="463" t="s">
        <v>4528</v>
      </c>
      <c r="D143" s="1094" t="s">
        <v>4540</v>
      </c>
      <c r="E143" s="101" t="s">
        <v>1081</v>
      </c>
      <c r="F143" s="1090">
        <v>0</v>
      </c>
      <c r="G143" s="1095">
        <f>F143*1</f>
        <v>0</v>
      </c>
      <c r="H143" s="1092" t="s">
        <v>4541</v>
      </c>
    </row>
    <row r="144" spans="1:8" ht="18" customHeight="1" x14ac:dyDescent="0.2">
      <c r="A144" s="356" t="s">
        <v>3112</v>
      </c>
      <c r="B144" s="1093" t="s">
        <v>4536</v>
      </c>
      <c r="C144" s="463" t="s">
        <v>4533</v>
      </c>
      <c r="D144" s="1094" t="s">
        <v>4542</v>
      </c>
      <c r="E144" s="101" t="s">
        <v>1081</v>
      </c>
      <c r="F144" s="1090">
        <f>IFERROR(IF(OR(AND(OR(CALC_PlanetPositions!$M$7="Benefic",CALC_PlanetPositions!$M$7="Yogakaraka"),INDEX(REF_Aspects!$D$5:$O$13,1,MOD(CALC_BhaveshMap!$H$11-(MOD(MATCH(CALC_PlanetPositions!$B$7,{"Aries","Taurus","Gemini","Cancer","Leo","Virgo","Libra","Scorpio","Sagittarius","Capricorn","Aquarius","Pisces"},0)-MATCH(INPUT_Chart!$C$5,{"Aries","Taurus","Gemini","Cancer","Leo","Virgo","Libra","Scorpio","Sagittarius","Capricorn","Aquarius","Pisces"},0),12)+1),12)+1)="FULL",NOT(CALC_PlanetPositions!$B$7=CALC_BhaveshMap!$G$11)),AND(OR(CALC_PlanetPositions!$M$8="Benefic",CALC_PlanetPositions!$M$8="Yogakaraka"),INDEX(REF_Aspects!$D$5:$O$13,2,MOD(CALC_BhaveshMap!$H$11-(MOD(MATCH(CALC_PlanetPositions!$B$8,{"Aries","Taurus","Gemini","Cancer","Leo","Virgo","Libra","Scorpio","Sagittarius","Capricorn","Aquarius","Pisces"},0)-MATCH(INPUT_Chart!$C$5,{"Aries","Taurus","Gemini","Cancer","Leo","Virgo","Libra","Scorpio","Sagittarius","Capricorn","Aquarius","Pisces"},0),12)+1),12)+1)="FULL",NOT(CALC_PlanetPositions!$B$8=CALC_BhaveshMap!$G$11)),AND(OR(CALC_PlanetPositions!$M$9="Benefic",CALC_PlanetPositions!$M$9="Yogakaraka"),INDEX(REF_Aspects!$D$5:$O$13,3,MOD(CALC_BhaveshMap!$H$11-(MOD(MATCH(CALC_PlanetPositions!$B$9,{"Aries","Taurus","Gemini","Cancer","Leo","Virgo","Libra","Scorpio","Sagittarius","Capricorn","Aquarius","Pisces"},0)-MATCH(INPUT_Chart!$C$5,{"Aries","Taurus","Gemini","Cancer","Leo","Virgo","Libra","Scorpio","Sagittarius","Capricorn","Aquarius","Pisces"},0),12)+1),12)+1)="FULL",NOT(CALC_PlanetPositions!$B$9=CALC_BhaveshMap!$G$11)),AND(OR(CALC_PlanetPositions!$M$10="Benefic",CALC_PlanetPositions!$M$10="Yogakaraka"),INDEX(REF_Aspects!$D$5:$O$13,4,MOD(CALC_BhaveshMap!$H$11-(MOD(MATCH(CALC_PlanetPositions!$B$10,{"Aries","Taurus","Gemini","Cancer","Leo","Virgo","Libra","Scorpio","Sagittarius","Capricorn","Aquarius","Pisces"},0)-MATCH(INPUT_Chart!$C$5,{"Aries","Taurus","Gemini","Cancer","Leo","Virgo","Libra","Scorpio","Sagittarius","Capricorn","Aquarius","Pisces"},0),12)+1),12)+1)="FULL",NOT(CALC_PlanetPositions!$B$10=CALC_BhaveshMap!$G$11)),AND(OR(CALC_PlanetPositions!$M$11="Benefic",CALC_PlanetPositions!$M$11="Yogakaraka"),INDEX(REF_Aspects!$D$5:$O$13,5,MOD(CALC_BhaveshMap!$H$11-(MOD(MATCH(CALC_PlanetPositions!$B$11,{"Aries","Taurus","Gemini","Cancer","Leo","Virgo","Libra","Scorpio","Sagittarius","Capricorn","Aquarius","Pisces"},0)-MATCH(INPUT_Chart!$C$5,{"Aries","Taurus","Gemini","Cancer","Leo","Virgo","Libra","Scorpio","Sagittarius","Capricorn","Aquarius","Pisces"},0),12)+1),12)+1)="FULL",NOT(CALC_PlanetPositions!$B$11=CALC_BhaveshMap!$G$11)),AND(OR(CALC_PlanetPositions!$M$12="Benefic",CALC_PlanetPositions!$M$12="Yogakaraka"),INDEX(REF_Aspects!$D$5:$O$13,6,MOD(CALC_BhaveshMap!$H$11-(MOD(MATCH(CALC_PlanetPositions!$B$12,{"Aries","Taurus","Gemini","Cancer","Leo","Virgo","Libra","Scorpio","Sagittarius","Capricorn","Aquarius","Pisces"},0)-MATCH(INPUT_Chart!$C$5,{"Aries","Taurus","Gemini","Cancer","Leo","Virgo","Libra","Scorpio","Sagittarius","Capricorn","Aquarius","Pisces"},0),12)+1),12)+1)="FULL",NOT(CALC_PlanetPositions!$B$12=CALC_BhaveshMap!$G$11)),AND(OR(CALC_PlanetPositions!$M$13="Benefic",CALC_PlanetPositions!$M$13="Yogakaraka"),INDEX(REF_Aspects!$D$5:$O$13,7,MOD(CALC_BhaveshMap!$H$11-(MOD(MATCH(CALC_PlanetPositions!$B$13,{"Aries","Taurus","Gemini","Cancer","Leo","Virgo","Libra","Scorpio","Sagittarius","Capricorn","Aquarius","Pisces"},0)-MATCH(INPUT_Chart!$C$5,{"Aries","Taurus","Gemini","Cancer","Leo","Virgo","Libra","Scorpio","Sagittarius","Capricorn","Aquarius","Pisces"},0),12)+1),12)+1)="FULL",NOT(CALC_PlanetPositions!$B$13=CALC_BhaveshMap!$G$11)),AND(FALSE(),INDEX(REF_Aspects!$D$5:$O$13,8,MOD(CALC_BhaveshMap!$H$11-(MOD(MATCH(CALC_PlanetPositions!$B$14,{"Aries","Taurus","Gemini","Cancer","Leo","Virgo","Libra","Scorpio","Sagittarius","Capricorn","Aquarius","Pisces"},0)-MATCH(INPUT_Chart!$C$5,{"Aries","Taurus","Gemini","Cancer","Leo","Virgo","Libra","Scorpio","Sagittarius","Capricorn","Aquarius","Pisces"},0),12)+1),12)+1)="FULL",NOT(CALC_PlanetPositions!$B$14=CALC_BhaveshMap!$G$11)),AND(FALSE(),INDEX(REF_Aspects!$D$5:$O$13,9,MOD(CALC_BhaveshMap!$H$11-(MOD(MATCH(CALC_PlanetPositions!$B$15,{"Aries","Taurus","Gemini","Cancer","Leo","Virgo","Libra","Scorpio","Sagittarius","Capricorn","Aquarius","Pisces"},0)-MATCH(INPUT_Chart!$C$5,{"Aries","Taurus","Gemini","Cancer","Leo","Virgo","Libra","Scorpio","Sagittarius","Capricorn","Aquarius","Pisces"},0),12)+1),12)+1)="FULL",NOT(CALC_PlanetPositions!$B$15=CALC_BhaveshMap!$G$11))),1,0),0)</f>
        <v>0</v>
      </c>
      <c r="G144" s="1095">
        <f>F144*0.5</f>
        <v>0</v>
      </c>
      <c r="H144" s="1092" t="s">
        <v>4543</v>
      </c>
    </row>
    <row r="145" spans="1:8" ht="18" customHeight="1" x14ac:dyDescent="0.2">
      <c r="A145" s="356" t="s">
        <v>3033</v>
      </c>
      <c r="B145" s="1093" t="s">
        <v>4536</v>
      </c>
      <c r="C145" s="463" t="s">
        <v>4528</v>
      </c>
      <c r="D145" s="1094" t="s">
        <v>3034</v>
      </c>
      <c r="E145" s="101" t="s">
        <v>1085</v>
      </c>
      <c r="F145"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$11-2,12)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$11-2,12)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$11-2,12)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$11-2,12)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$11-2,12)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$11-2,12)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$11-2,12)+1)),AND(FALSE(),MOD(MATCH(CALC_PlanetPositions!$B$14,{"Aries","Taurus","Gemini","Cancer","Leo","Virgo","Libra","Scorpio","Sagittarius","Capricorn","Aquarius","Pisces"},0)-MATCH(INPUT_Chart!$C$5,{"Aries","Taurus","Gemini","Cancer","Leo","Virgo","Libra","Scorpio","Sagittarius","Capricorn","Aquarius","Pisces"},0),12)+1=(MOD(CALC_BhaveshMap!$H$11-2,12)+1)),AND(FALSE(),MOD(MATCH(CALC_PlanetPositions!$B$15,{"Aries","Taurus","Gemini","Cancer","Leo","Virgo","Libra","Scorpio","Sagittarius","Capricorn","Aquarius","Pisces"},0)-MATCH(INPUT_Chart!$C$5,{"Aries","Taurus","Gemini","Cancer","Leo","Virgo","Libra","Scorpio","Sagittarius","Capricorn","Aquarius","Pisces"},0),12)+1=(MOD(CALC_BhaveshMap!$H$11-2,12)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$11,12)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$11,12)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$11,12)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$11,12)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$11,12)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$11,12)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$11,12)+1)),AND(FALSE(),MOD(MATCH(CALC_PlanetPositions!$B$14,{"Aries","Taurus","Gemini","Cancer","Leo","Virgo","Libra","Scorpio","Sagittarius","Capricorn","Aquarius","Pisces"},0)-MATCH(INPUT_Chart!$C$5,{"Aries","Taurus","Gemini","Cancer","Leo","Virgo","Libra","Scorpio","Sagittarius","Capricorn","Aquarius","Pisces"},0),12)+1=(MOD(CALC_BhaveshMap!$H$11,12)+1)),AND(FALSE(),MOD(MATCH(CALC_PlanetPositions!$B$15,{"Aries","Taurus","Gemini","Cancer","Leo","Virgo","Libra","Scorpio","Sagittarius","Capricorn","Aquarius","Pisces"},0)-MATCH(INPUT_Chart!$C$5,{"Aries","Taurus","Gemini","Cancer","Leo","Virgo","Libra","Scorpio","Sagittarius","Capricorn","Aquarius","Pisces"},0),12)+1=(MOD(CALC_BhaveshMap!$H$11,12)+1)))),1,0),0)</f>
        <v>0</v>
      </c>
      <c r="G145" s="1095">
        <f>F145*0.75</f>
        <v>0</v>
      </c>
      <c r="H145" s="1092" t="s">
        <v>4544</v>
      </c>
    </row>
    <row r="146" spans="1:8" ht="18" customHeight="1" x14ac:dyDescent="0.2">
      <c r="A146" s="315" t="s">
        <v>3050</v>
      </c>
      <c r="B146" s="1096" t="s">
        <v>4545</v>
      </c>
      <c r="C146" s="480" t="s">
        <v>4528</v>
      </c>
      <c r="D146" s="1097" t="s">
        <v>4546</v>
      </c>
      <c r="E146" s="99" t="s">
        <v>1109</v>
      </c>
      <c r="F146" s="1090">
        <f>IFERROR(IF(OR(AND(CALC_PlanetPositions!$M$7="Malefic",(MOD(MATCH(CALC_PlanetPositions!$B$7,{"Aries","Taurus","Gemini","Cancer","Leo","Virgo","Libra","Scorpio","Sagittarius","Capricorn","Aquarius","Pisces"},0)-MATCH(INPUT_Chart!$C$5,{"Aries","Taurus","Gemini","Cancer","Leo","Virgo","Libra","Scorpio","Sagittarius","Capricorn","Aquarius","Pisces"},0),12)+1)=7),AND(CALC_PlanetPositions!$M$8="Malefic",(MOD(MATCH(CALC_PlanetPositions!$B$8,{"Aries","Taurus","Gemini","Cancer","Leo","Virgo","Libra","Scorpio","Sagittarius","Capricorn","Aquarius","Pisces"},0)-MATCH(INPUT_Chart!$C$5,{"Aries","Taurus","Gemini","Cancer","Leo","Virgo","Libra","Scorpio","Sagittarius","Capricorn","Aquarius","Pisces"},0),12)+1)=7),AND(CALC_PlanetPositions!$M$9="Malefic",(MOD(MATCH(CALC_PlanetPositions!$B$9,{"Aries","Taurus","Gemini","Cancer","Leo","Virgo","Libra","Scorpio","Sagittarius","Capricorn","Aquarius","Pisces"},0)-MATCH(INPUT_Chart!$C$5,{"Aries","Taurus","Gemini","Cancer","Leo","Virgo","Libra","Scorpio","Sagittarius","Capricorn","Aquarius","Pisces"},0),12)+1)=7),AND(CALC_PlanetPositions!$M$10="Malefic",(MOD(MATCH(CALC_PlanetPositions!$B$10,{"Aries","Taurus","Gemini","Cancer","Leo","Virgo","Libra","Scorpio","Sagittarius","Capricorn","Aquarius","Pisces"},0)-MATCH(INPUT_Chart!$C$5,{"Aries","Taurus","Gemini","Cancer","Leo","Virgo","Libra","Scorpio","Sagittarius","Capricorn","Aquarius","Pisces"},0),12)+1)=7),AND(CALC_PlanetPositions!$M$11="Malefic",(MOD(MATCH(CALC_PlanetPositions!$B$11,{"Aries","Taurus","Gemini","Cancer","Leo","Virgo","Libra","Scorpio","Sagittarius","Capricorn","Aquarius","Pisces"},0)-MATCH(INPUT_Chart!$C$5,{"Aries","Taurus","Gemini","Cancer","Leo","Virgo","Libra","Scorpio","Sagittarius","Capricorn","Aquarius","Pisces"},0),12)+1)=7),AND(CALC_PlanetPositions!$M$12="Malefic",(MOD(MATCH(CALC_PlanetPositions!$B$12,{"Aries","Taurus","Gemini","Cancer","Leo","Virgo","Libra","Scorpio","Sagittarius","Capricorn","Aquarius","Pisces"},0)-MATCH(INPUT_Chart!$C$5,{"Aries","Taurus","Gemini","Cancer","Leo","Virgo","Libra","Scorpio","Sagittarius","Capricorn","Aquarius","Pisces"},0),12)+1)=7),AND(CALC_PlanetPositions!$M$13="Malefic",(MOD(MATCH(CALC_PlanetPositions!$B$13,{"Aries","Taurus","Gemini","Cancer","Leo","Virgo","Libra","Scorpio","Sagittarius","Capricorn","Aquarius","Pisces"},0)-MATCH(INPUT_Chart!$C$5,{"Aries","Taurus","Gemini","Cancer","Leo","Virgo","Libra","Scorpio","Sagittarius","Capricorn","Aquarius","Pisces"},0),12)+1)=7),AND(TRUE(),(MOD(MATCH(CALC_PlanetPositions!$B$14,{"Aries","Taurus","Gemini","Cancer","Leo","Virgo","Libra","Scorpio","Sagittarius","Capricorn","Aquarius","Pisces"},0)-MATCH(INPUT_Chart!$C$5,{"Aries","Taurus","Gemini","Cancer","Leo","Virgo","Libra","Scorpio","Sagittarius","Capricorn","Aquarius","Pisces"},0),12)+1)=7),AND(TRUE(),(MOD(MATCH(CALC_PlanetPositions!$B$15,{"Aries","Taurus","Gemini","Cancer","Leo","Virgo","Libra","Scorpio","Sagittarius","Capricorn","Aquarius","Pisces"},0)-MATCH(INPUT_Chart!$C$5,{"Aries","Taurus","Gemini","Cancer","Leo","Virgo","Libra","Scorpio","Sagittarius","Capricorn","Aquarius","Pisces"},0),12)+1)=7)),1,0),0)</f>
        <v>1</v>
      </c>
      <c r="G146" s="1098">
        <f>F146*-1</f>
        <v>-1</v>
      </c>
      <c r="H146" s="1092" t="s">
        <v>4547</v>
      </c>
    </row>
    <row r="147" spans="1:8" ht="18" customHeight="1" x14ac:dyDescent="0.2">
      <c r="A147" s="315" t="s">
        <v>3066</v>
      </c>
      <c r="B147" s="1096" t="s">
        <v>4545</v>
      </c>
      <c r="C147" s="480" t="s">
        <v>4528</v>
      </c>
      <c r="D147" s="1097" t="s">
        <v>4548</v>
      </c>
      <c r="E147" s="99" t="s">
        <v>1109</v>
      </c>
      <c r="F147" s="1090">
        <f>IFERROR(IF(OR(AND(CALC_PlanetPositions!$M$7="Malefic",INDEX(REF_Aspects!$D$5:$O$13,1,MOD(7-(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7)),AND(CALC_PlanetPositions!$M$8="Malefic",INDEX(REF_Aspects!$D$5:$O$13,2,MOD(7-(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7)),AND(CALC_PlanetPositions!$M$9="Malefic",INDEX(REF_Aspects!$D$5:$O$13,3,MOD(7-(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7)),AND(CALC_PlanetPositions!$M$10="Malefic",INDEX(REF_Aspects!$D$5:$O$13,4,MOD(7-(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7)),AND(CALC_PlanetPositions!$M$11="Malefic",INDEX(REF_Aspects!$D$5:$O$13,5,MOD(7-(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7)),AND(CALC_PlanetPositions!$M$12="Malefic",INDEX(REF_Aspects!$D$5:$O$13,6,MOD(7-(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7)),AND(CALC_PlanetPositions!$M$13="Malefic",INDEX(REF_Aspects!$D$5:$O$13,7,MOD(7-(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7)),AND(TRUE(),INDEX(REF_Aspects!$D$5:$O$13,8,MOD(7-(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7)),AND(TRUE(),INDEX(REF_Aspects!$D$5:$O$13,9,MOD(7-(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7))),1,0),0)</f>
        <v>1</v>
      </c>
      <c r="G147" s="1098">
        <f>F147*-1</f>
        <v>-1</v>
      </c>
      <c r="H147" s="1092" t="s">
        <v>4549</v>
      </c>
    </row>
    <row r="148" spans="1:8" ht="18" customHeight="1" x14ac:dyDescent="0.2">
      <c r="A148" s="315" t="s">
        <v>3061</v>
      </c>
      <c r="B148" s="1096" t="s">
        <v>4545</v>
      </c>
      <c r="C148" s="480" t="s">
        <v>4528</v>
      </c>
      <c r="D148" s="1097" t="s">
        <v>3062</v>
      </c>
      <c r="E148" s="99" t="s">
        <v>4550</v>
      </c>
      <c r="F148" s="1090">
        <v>0</v>
      </c>
      <c r="G148" s="1098">
        <f>F148*-1.25</f>
        <v>0</v>
      </c>
      <c r="H148" s="1092" t="s">
        <v>4551</v>
      </c>
    </row>
    <row r="149" spans="1:8" ht="18" customHeight="1" x14ac:dyDescent="0.2">
      <c r="A149" s="315" t="s">
        <v>3095</v>
      </c>
      <c r="B149" s="1096" t="s">
        <v>4545</v>
      </c>
      <c r="C149" s="480" t="s">
        <v>4528</v>
      </c>
      <c r="D149" s="1097" t="s">
        <v>4552</v>
      </c>
      <c r="E149" s="99" t="s">
        <v>3564</v>
      </c>
      <c r="F149" s="1090">
        <f>IFERROR(IF(AND(OR(AND(CALC_PlanetPositions!$M$7="Malefic",MOD(MATCH(CALC_PlanetPositions!$B$7,{"Aries","Taurus","Gemini","Cancer","Leo","Virgo","Libra","Scorpio","Sagittarius","Capricorn","Aquarius","Pisces"},0)-MATCH(INPUT_Chart!$C$5,{"Aries","Taurus","Gemini","Cancer","Leo","Virgo","Libra","Scorpio","Sagittarius","Capricorn","Aquarius","Pisces"},0),12)+1=(MOD(7-2,12)+1)),AND(CALC_PlanetPositions!$M$8="Malefic",MOD(MATCH(CALC_PlanetPositions!$B$8,{"Aries","Taurus","Gemini","Cancer","Leo","Virgo","Libra","Scorpio","Sagittarius","Capricorn","Aquarius","Pisces"},0)-MATCH(INPUT_Chart!$C$5,{"Aries","Taurus","Gemini","Cancer","Leo","Virgo","Libra","Scorpio","Sagittarius","Capricorn","Aquarius","Pisces"},0),12)+1=(MOD(7-2,12)+1)),AND(CALC_PlanetPositions!$M$9="Malefic",MOD(MATCH(CALC_PlanetPositions!$B$9,{"Aries","Taurus","Gemini","Cancer","Leo","Virgo","Libra","Scorpio","Sagittarius","Capricorn","Aquarius","Pisces"},0)-MATCH(INPUT_Chart!$C$5,{"Aries","Taurus","Gemini","Cancer","Leo","Virgo","Libra","Scorpio","Sagittarius","Capricorn","Aquarius","Pisces"},0),12)+1=(MOD(7-2,12)+1)),AND(CALC_PlanetPositions!$M$10="Malefic",MOD(MATCH(CALC_PlanetPositions!$B$10,{"Aries","Taurus","Gemini","Cancer","Leo","Virgo","Libra","Scorpio","Sagittarius","Capricorn","Aquarius","Pisces"},0)-MATCH(INPUT_Chart!$C$5,{"Aries","Taurus","Gemini","Cancer","Leo","Virgo","Libra","Scorpio","Sagittarius","Capricorn","Aquarius","Pisces"},0),12)+1=(MOD(7-2,12)+1)),AND(CALC_PlanetPositions!$M$11="Malefic",MOD(MATCH(CALC_PlanetPositions!$B$11,{"Aries","Taurus","Gemini","Cancer","Leo","Virgo","Libra","Scorpio","Sagittarius","Capricorn","Aquarius","Pisces"},0)-MATCH(INPUT_Chart!$C$5,{"Aries","Taurus","Gemini","Cancer","Leo","Virgo","Libra","Scorpio","Sagittarius","Capricorn","Aquarius","Pisces"},0),12)+1=(MOD(7-2,12)+1)),AND(CALC_PlanetPositions!$M$12="Malefic",MOD(MATCH(CALC_PlanetPositions!$B$12,{"Aries","Taurus","Gemini","Cancer","Leo","Virgo","Libra","Scorpio","Sagittarius","Capricorn","Aquarius","Pisces"},0)-MATCH(INPUT_Chart!$C$5,{"Aries","Taurus","Gemini","Cancer","Leo","Virgo","Libra","Scorpio","Sagittarius","Capricorn","Aquarius","Pisces"},0),12)+1=(MOD(7-2,12)+1)),AND(CALC_PlanetPositions!$M$13="Malefic",MOD(MATCH(CALC_PlanetPositions!$B$13,{"Aries","Taurus","Gemini","Cancer","Leo","Virgo","Libra","Scorpio","Sagittarius","Capricorn","Aquarius","Pisces"},0)-MATCH(INPUT_Chart!$C$5,{"Aries","Taurus","Gemini","Cancer","Leo","Virgo","Libra","Scorpio","Sagittarius","Capricorn","Aquarius","Pisces"},0),12)+1=(MOD(7-2,12)+1)),AND(TRUE(),MOD(MATCH(CALC_PlanetPositions!$B$14,{"Aries","Taurus","Gemini","Cancer","Leo","Virgo","Libra","Scorpio","Sagittarius","Capricorn","Aquarius","Pisces"},0)-MATCH(INPUT_Chart!$C$5,{"Aries","Taurus","Gemini","Cancer","Leo","Virgo","Libra","Scorpio","Sagittarius","Capricorn","Aquarius","Pisces"},0),12)+1=(MOD(7-2,12)+1)),AND(TRUE(),MOD(MATCH(CALC_PlanetPositions!$B$15,{"Aries","Taurus","Gemini","Cancer","Leo","Virgo","Libra","Scorpio","Sagittarius","Capricorn","Aquarius","Pisces"},0)-MATCH(INPUT_Chart!$C$5,{"Aries","Taurus","Gemini","Cancer","Leo","Virgo","Libra","Scorpio","Sagittarius","Capricorn","Aquarius","Pisces"},0),12)+1=(MOD(7-2,12)+1))),OR(AND(CALC_PlanetPositions!$M$7="Malefic",MOD(MATCH(CALC_PlanetPositions!$B$7,{"Aries","Taurus","Gemini","Cancer","Leo","Virgo","Libra","Scorpio","Sagittarius","Capricorn","Aquarius","Pisces"},0)-MATCH(INPUT_Chart!$C$5,{"Aries","Taurus","Gemini","Cancer","Leo","Virgo","Libra","Scorpio","Sagittarius","Capricorn","Aquarius","Pisces"},0),12)+1=(MOD(7,12)+1)),AND(CALC_PlanetPositions!$M$8="Malefic",MOD(MATCH(CALC_PlanetPositions!$B$8,{"Aries","Taurus","Gemini","Cancer","Leo","Virgo","Libra","Scorpio","Sagittarius","Capricorn","Aquarius","Pisces"},0)-MATCH(INPUT_Chart!$C$5,{"Aries","Taurus","Gemini","Cancer","Leo","Virgo","Libra","Scorpio","Sagittarius","Capricorn","Aquarius","Pisces"},0),12)+1=(MOD(7,12)+1)),AND(CALC_PlanetPositions!$M$9="Malefic",MOD(MATCH(CALC_PlanetPositions!$B$9,{"Aries","Taurus","Gemini","Cancer","Leo","Virgo","Libra","Scorpio","Sagittarius","Capricorn","Aquarius","Pisces"},0)-MATCH(INPUT_Chart!$C$5,{"Aries","Taurus","Gemini","Cancer","Leo","Virgo","Libra","Scorpio","Sagittarius","Capricorn","Aquarius","Pisces"},0),12)+1=(MOD(7,12)+1)),AND(CALC_PlanetPositions!$M$10="Malefic",MOD(MATCH(CALC_PlanetPositions!$B$10,{"Aries","Taurus","Gemini","Cancer","Leo","Virgo","Libra","Scorpio","Sagittarius","Capricorn","Aquarius","Pisces"},0)-MATCH(INPUT_Chart!$C$5,{"Aries","Taurus","Gemini","Cancer","Leo","Virgo","Libra","Scorpio","Sagittarius","Capricorn","Aquarius","Pisces"},0),12)+1=(MOD(7,12)+1)),AND(CALC_PlanetPositions!$M$11="Malefic",MOD(MATCH(CALC_PlanetPositions!$B$11,{"Aries","Taurus","Gemini","Cancer","Leo","Virgo","Libra","Scorpio","Sagittarius","Capricorn","Aquarius","Pisces"},0)-MATCH(INPUT_Chart!$C$5,{"Aries","Taurus","Gemini","Cancer","Leo","Virgo","Libra","Scorpio","Sagittarius","Capricorn","Aquarius","Pisces"},0),12)+1=(MOD(7,12)+1)),AND(CALC_PlanetPositions!$M$12="Malefic",MOD(MATCH(CALC_PlanetPositions!$B$12,{"Aries","Taurus","Gemini","Cancer","Leo","Virgo","Libra","Scorpio","Sagittarius","Capricorn","Aquarius","Pisces"},0)-MATCH(INPUT_Chart!$C$5,{"Aries","Taurus","Gemini","Cancer","Leo","Virgo","Libra","Scorpio","Sagittarius","Capricorn","Aquarius","Pisces"},0),12)+1=(MOD(7,12)+1)),AND(CALC_PlanetPositions!$M$13="Malefic",MOD(MATCH(CALC_PlanetPositions!$B$13,{"Aries","Taurus","Gemini","Cancer","Leo","Virgo","Libra","Scorpio","Sagittarius","Capricorn","Aquarius","Pisces"},0)-MATCH(INPUT_Chart!$C$5,{"Aries","Taurus","Gemini","Cancer","Leo","Virgo","Libra","Scorpio","Sagittarius","Capricorn","Aquarius","Pisces"},0),12)+1=(MOD(7,12)+1)),AND(TRUE(),MOD(MATCH(CALC_PlanetPositions!$B$14,{"Aries","Taurus","Gemini","Cancer","Leo","Virgo","Libra","Scorpio","Sagittarius","Capricorn","Aquarius","Pisces"},0)-MATCH(INPUT_Chart!$C$5,{"Aries","Taurus","Gemini","Cancer","Leo","Virgo","Libra","Scorpio","Sagittarius","Capricorn","Aquarius","Pisces"},0),12)+1=(MOD(7,12)+1)),AND(TRUE(),MOD(MATCH(CALC_PlanetPositions!$B$15,{"Aries","Taurus","Gemini","Cancer","Leo","Virgo","Libra","Scorpio","Sagittarius","Capricorn","Aquarius","Pisces"},0)-MATCH(INPUT_Chart!$C$5,{"Aries","Taurus","Gemini","Cancer","Leo","Virgo","Libra","Scorpio","Sagittarius","Capricorn","Aquarius","Pisces"},0),12)+1=(MOD(7,12)+1)))),1,0),0)</f>
        <v>0</v>
      </c>
      <c r="G149" s="1098">
        <f>F149*-0.75</f>
        <v>0</v>
      </c>
      <c r="H149" s="1092" t="s">
        <v>4553</v>
      </c>
    </row>
    <row r="150" spans="1:8" ht="18" customHeight="1" x14ac:dyDescent="0.2">
      <c r="A150" s="1099" t="s">
        <v>3036</v>
      </c>
      <c r="B150" s="1100" t="s">
        <v>4554</v>
      </c>
      <c r="C150" s="1101" t="s">
        <v>4528</v>
      </c>
      <c r="D150" s="1102" t="s">
        <v>4555</v>
      </c>
      <c r="E150" s="1103" t="s">
        <v>1109</v>
      </c>
      <c r="F150" s="1090">
        <v>0</v>
      </c>
      <c r="G150" s="1104">
        <f>F150*-1</f>
        <v>0</v>
      </c>
      <c r="H150" s="1092" t="s">
        <v>4556</v>
      </c>
    </row>
    <row r="151" spans="1:8" ht="18" customHeight="1" x14ac:dyDescent="0.2">
      <c r="A151" s="1099" t="s">
        <v>3054</v>
      </c>
      <c r="B151" s="1100" t="s">
        <v>4554</v>
      </c>
      <c r="C151" s="1101" t="s">
        <v>4533</v>
      </c>
      <c r="D151" s="1102" t="s">
        <v>4557</v>
      </c>
      <c r="E151" s="1103" t="s">
        <v>1109</v>
      </c>
      <c r="F151" s="1090">
        <f>IFERROR(IF(OR(AND(CALC_PlanetPositions!$M$7="Malefic",INDEX(REF_Aspects!$D$5:$O$13,1,MOD(CALC_BhaveshMap!$H$11-(MOD(MATCH(CALC_PlanetPositions!$B$7,{"Aries","Taurus","Gemini","Cancer","Leo","Virgo","Libra","Scorpio","Sagittarius","Capricorn","Aquarius","Pisces"},0)-MATCH(INPUT_Chart!$C$5,{"Aries","Taurus","Gemini","Cancer","Leo","Virgo","Libra","Scorpio","Sagittarius","Capricorn","Aquarius","Pisces"},0),12)+1),12)+1)="FULL",NOT(CALC_PlanetPositions!$B$7=CALC_BhaveshMap!$G$11)),AND(CALC_PlanetPositions!$M$8="Malefic",INDEX(REF_Aspects!$D$5:$O$13,2,MOD(CALC_BhaveshMap!$H$11-(MOD(MATCH(CALC_PlanetPositions!$B$8,{"Aries","Taurus","Gemini","Cancer","Leo","Virgo","Libra","Scorpio","Sagittarius","Capricorn","Aquarius","Pisces"},0)-MATCH(INPUT_Chart!$C$5,{"Aries","Taurus","Gemini","Cancer","Leo","Virgo","Libra","Scorpio","Sagittarius","Capricorn","Aquarius","Pisces"},0),12)+1),12)+1)="FULL",NOT(CALC_PlanetPositions!$B$8=CALC_BhaveshMap!$G$11)),AND(CALC_PlanetPositions!$M$9="Malefic",INDEX(REF_Aspects!$D$5:$O$13,3,MOD(CALC_BhaveshMap!$H$11-(MOD(MATCH(CALC_PlanetPositions!$B$9,{"Aries","Taurus","Gemini","Cancer","Leo","Virgo","Libra","Scorpio","Sagittarius","Capricorn","Aquarius","Pisces"},0)-MATCH(INPUT_Chart!$C$5,{"Aries","Taurus","Gemini","Cancer","Leo","Virgo","Libra","Scorpio","Sagittarius","Capricorn","Aquarius","Pisces"},0),12)+1),12)+1)="FULL",NOT(CALC_PlanetPositions!$B$9=CALC_BhaveshMap!$G$11)),AND(CALC_PlanetPositions!$M$10="Malefic",INDEX(REF_Aspects!$D$5:$O$13,4,MOD(CALC_BhaveshMap!$H$11-(MOD(MATCH(CALC_PlanetPositions!$B$10,{"Aries","Taurus","Gemini","Cancer","Leo","Virgo","Libra","Scorpio","Sagittarius","Capricorn","Aquarius","Pisces"},0)-MATCH(INPUT_Chart!$C$5,{"Aries","Taurus","Gemini","Cancer","Leo","Virgo","Libra","Scorpio","Sagittarius","Capricorn","Aquarius","Pisces"},0),12)+1),12)+1)="FULL",NOT(CALC_PlanetPositions!$B$10=CALC_BhaveshMap!$G$11)),AND(CALC_PlanetPositions!$M$11="Malefic",INDEX(REF_Aspects!$D$5:$O$13,5,MOD(CALC_BhaveshMap!$H$11-(MOD(MATCH(CALC_PlanetPositions!$B$11,{"Aries","Taurus","Gemini","Cancer","Leo","Virgo","Libra","Scorpio","Sagittarius","Capricorn","Aquarius","Pisces"},0)-MATCH(INPUT_Chart!$C$5,{"Aries","Taurus","Gemini","Cancer","Leo","Virgo","Libra","Scorpio","Sagittarius","Capricorn","Aquarius","Pisces"},0),12)+1),12)+1)="FULL",NOT(CALC_PlanetPositions!$B$11=CALC_BhaveshMap!$G$11)),AND(CALC_PlanetPositions!$M$12="Malefic",INDEX(REF_Aspects!$D$5:$O$13,6,MOD(CALC_BhaveshMap!$H$11-(MOD(MATCH(CALC_PlanetPositions!$B$12,{"Aries","Taurus","Gemini","Cancer","Leo","Virgo","Libra","Scorpio","Sagittarius","Capricorn","Aquarius","Pisces"},0)-MATCH(INPUT_Chart!$C$5,{"Aries","Taurus","Gemini","Cancer","Leo","Virgo","Libra","Scorpio","Sagittarius","Capricorn","Aquarius","Pisces"},0),12)+1),12)+1)="FULL",NOT(CALC_PlanetPositions!$B$12=CALC_BhaveshMap!$G$11)),AND(CALC_PlanetPositions!$M$13="Malefic",INDEX(REF_Aspects!$D$5:$O$13,7,MOD(CALC_BhaveshMap!$H$11-(MOD(MATCH(CALC_PlanetPositions!$B$13,{"Aries","Taurus","Gemini","Cancer","Leo","Virgo","Libra","Scorpio","Sagittarius","Capricorn","Aquarius","Pisces"},0)-MATCH(INPUT_Chart!$C$5,{"Aries","Taurus","Gemini","Cancer","Leo","Virgo","Libra","Scorpio","Sagittarius","Capricorn","Aquarius","Pisces"},0),12)+1),12)+1)="FULL",NOT(CALC_PlanetPositions!$B$13=CALC_BhaveshMap!$G$11)),AND(TRUE(),INDEX(REF_Aspects!$D$5:$O$13,8,MOD(CALC_BhaveshMap!$H$11-(MOD(MATCH(CALC_PlanetPositions!$B$14,{"Aries","Taurus","Gemini","Cancer","Leo","Virgo","Libra","Scorpio","Sagittarius","Capricorn","Aquarius","Pisces"},0)-MATCH(INPUT_Chart!$C$5,{"Aries","Taurus","Gemini","Cancer","Leo","Virgo","Libra","Scorpio","Sagittarius","Capricorn","Aquarius","Pisces"},0),12)+1),12)+1)="FULL",NOT(CALC_PlanetPositions!$B$14=CALC_BhaveshMap!$G$11)),AND(TRUE(),INDEX(REF_Aspects!$D$5:$O$13,9,MOD(CALC_BhaveshMap!$H$11-(MOD(MATCH(CALC_PlanetPositions!$B$15,{"Aries","Taurus","Gemini","Cancer","Leo","Virgo","Libra","Scorpio","Sagittarius","Capricorn","Aquarius","Pisces"},0)-MATCH(INPUT_Chart!$C$5,{"Aries","Taurus","Gemini","Cancer","Leo","Virgo","Libra","Scorpio","Sagittarius","Capricorn","Aquarius","Pisces"},0),12)+1),12)+1)="FULL",NOT(CALC_PlanetPositions!$B$15=CALC_BhaveshMap!$G$11))),1,0),0)</f>
        <v>1</v>
      </c>
      <c r="G151" s="1104">
        <f>F151*-0.5</f>
        <v>-0.5</v>
      </c>
      <c r="H151" s="1092" t="s">
        <v>4558</v>
      </c>
    </row>
    <row r="152" spans="1:8" ht="18" customHeight="1" x14ac:dyDescent="0.2">
      <c r="A152" s="1099" t="s">
        <v>3041</v>
      </c>
      <c r="B152" s="1100" t="s">
        <v>4554</v>
      </c>
      <c r="C152" s="1101" t="s">
        <v>4528</v>
      </c>
      <c r="D152" s="1102" t="s">
        <v>3042</v>
      </c>
      <c r="E152" s="1103" t="s">
        <v>4559</v>
      </c>
      <c r="F152" s="1090">
        <f>IFERROR(IF(CALC_BhaveshMap!$K$11="Yes",1,0),0)</f>
        <v>0</v>
      </c>
      <c r="G152" s="1104">
        <f>F152*-2</f>
        <v>0</v>
      </c>
      <c r="H152" s="1092" t="s">
        <v>4560</v>
      </c>
    </row>
    <row r="153" spans="1:8" ht="18" customHeight="1" x14ac:dyDescent="0.2">
      <c r="A153" s="1099" t="s">
        <v>3058</v>
      </c>
      <c r="B153" s="1100" t="s">
        <v>4554</v>
      </c>
      <c r="C153" s="1101" t="s">
        <v>4528</v>
      </c>
      <c r="D153" s="1102" t="s">
        <v>3059</v>
      </c>
      <c r="E153" s="1103" t="s">
        <v>1109</v>
      </c>
      <c r="F153" s="1090">
        <f>IFERROR(IF(OR(AND(CALC_BhaveshMap!$G$10=CALC_BhaveshMap!$G$11,CALC_BhaveshMap!$D$10&lt;&gt;CALC_BhaveshMap!$D$11),AND(CALC_BhaveshMap!$G$12=CALC_BhaveshMap!$G$11,CALC_BhaveshMap!$D$12&lt;&gt;CALC_BhaveshMap!$D$11),AND(CALC_BhaveshMap!$G$16=CALC_BhaveshMap!$G$11,CALC_BhaveshMap!$D$16&lt;&gt;CALC_BhaveshMap!$D$11)),1,0),0)</f>
        <v>0</v>
      </c>
      <c r="G153" s="1104">
        <f>F153*-1</f>
        <v>0</v>
      </c>
      <c r="H153" s="1092" t="s">
        <v>4561</v>
      </c>
    </row>
    <row r="154" spans="1:8" ht="18" customHeight="1" x14ac:dyDescent="0.2">
      <c r="A154" s="1105" t="s">
        <v>3083</v>
      </c>
      <c r="B154" s="1106" t="s">
        <v>4562</v>
      </c>
      <c r="C154" s="1107" t="s">
        <v>4528</v>
      </c>
      <c r="D154" s="1108" t="s">
        <v>3084</v>
      </c>
      <c r="E154" s="1109" t="s">
        <v>1089</v>
      </c>
      <c r="F154" s="1110">
        <f>IFERROR(IF(CALC_KarakMap!$M$11&gt;0,CALC_KarakMap!$M$11,0),0)</f>
        <v>0</v>
      </c>
      <c r="G154" s="1111">
        <f>F154</f>
        <v>0</v>
      </c>
      <c r="H154" s="1092" t="s">
        <v>4563</v>
      </c>
    </row>
    <row r="155" spans="1:8" ht="18" customHeight="1" x14ac:dyDescent="0.2">
      <c r="A155" s="1105" t="s">
        <v>3390</v>
      </c>
      <c r="B155" s="1106" t="s">
        <v>4562</v>
      </c>
      <c r="C155" s="1107" t="s">
        <v>4528</v>
      </c>
      <c r="D155" s="1108" t="s">
        <v>4564</v>
      </c>
      <c r="E155" s="1109" t="s">
        <v>1097</v>
      </c>
      <c r="F155" s="1110">
        <f>IFERROR(IF(CALC_KarakMap!$M$11&lt;0,CALC_KarakMap!$M$11,0),0)</f>
        <v>0</v>
      </c>
      <c r="G155" s="1111">
        <f>F155</f>
        <v>0</v>
      </c>
      <c r="H155" s="1092" t="s">
        <v>4565</v>
      </c>
    </row>
    <row r="156" spans="1:8" ht="21.75" customHeight="1" x14ac:dyDescent="0.2">
      <c r="A156" s="1592" t="s">
        <v>4585</v>
      </c>
      <c r="B156" s="1592"/>
      <c r="C156" s="1592"/>
      <c r="D156" s="1592"/>
      <c r="E156" s="1592"/>
      <c r="F156" s="1592"/>
      <c r="G156" s="1112">
        <f>SUM(G138:G155)</f>
        <v>-2.5</v>
      </c>
      <c r="H156" s="1113" t="s">
        <v>4586</v>
      </c>
    </row>
    <row r="157" spans="1:8" ht="24" customHeight="1" x14ac:dyDescent="0.2">
      <c r="A157" s="1114" t="s">
        <v>4568</v>
      </c>
      <c r="D157" s="1115" t="s">
        <v>5583</v>
      </c>
    </row>
    <row r="158" spans="1:8" ht="21.75" customHeight="1" x14ac:dyDescent="0.2">
      <c r="A158" s="1593" t="s">
        <v>4587</v>
      </c>
      <c r="B158" s="1593"/>
      <c r="C158" s="1593"/>
      <c r="D158" s="1593"/>
      <c r="E158" s="1593"/>
      <c r="F158" s="1593"/>
      <c r="G158" s="1593"/>
      <c r="H158" s="1593"/>
    </row>
    <row r="159" spans="1:8" ht="18" customHeight="1" x14ac:dyDescent="0.2">
      <c r="A159" s="1116" t="s">
        <v>2393</v>
      </c>
      <c r="B159" s="1116" t="s">
        <v>3141</v>
      </c>
      <c r="C159" s="1116" t="s">
        <v>4523</v>
      </c>
      <c r="D159" s="1116" t="s">
        <v>3617</v>
      </c>
      <c r="E159" s="1116" t="s">
        <v>2043</v>
      </c>
      <c r="F159" s="1116" t="s">
        <v>4524</v>
      </c>
      <c r="G159" s="1116" t="s">
        <v>4525</v>
      </c>
      <c r="H159" s="1116" t="s">
        <v>4526</v>
      </c>
    </row>
    <row r="160" spans="1:8" ht="18" customHeight="1" x14ac:dyDescent="0.2">
      <c r="A160" s="316" t="s">
        <v>3365</v>
      </c>
      <c r="B160" s="1088" t="s">
        <v>4527</v>
      </c>
      <c r="C160" s="467" t="s">
        <v>4528</v>
      </c>
      <c r="D160" s="1089" t="s">
        <v>4529</v>
      </c>
      <c r="E160" s="100" t="s">
        <v>3546</v>
      </c>
      <c r="F160" s="1090">
        <f>IFERROR(IF(INDEX(REF_Zodiac!$D$17:$O$17,MATCH(CALC_BhaveshMap!$C$12,REF_Zodiac!$D$3:$O$3,0))="Gentle",1,0),0)</f>
        <v>1</v>
      </c>
      <c r="G160" s="1091">
        <f>F160*0.5</f>
        <v>0.5</v>
      </c>
      <c r="H160" s="1092" t="s">
        <v>4530</v>
      </c>
    </row>
    <row r="161" spans="1:8" ht="18" customHeight="1" x14ac:dyDescent="0.2">
      <c r="A161" s="316" t="s">
        <v>3016</v>
      </c>
      <c r="B161" s="1088" t="s">
        <v>4527</v>
      </c>
      <c r="C161" s="467" t="s">
        <v>4528</v>
      </c>
      <c r="D161" s="1089" t="s">
        <v>4531</v>
      </c>
      <c r="E161" s="100" t="s">
        <v>1081</v>
      </c>
      <c r="F161"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8),AND(OR(CALC_PlanetPositions!$M$8="Benefic",CALC_PlanetPositions!$M$8="Yogakaraka"),(MOD(MATCH(CALC_PlanetPositions!$B$8,{"Aries","Taurus","Gemini","Cancer","Leo","Virgo","Libra","Scorpio","Sagittarius","Capricorn","Aquarius","Pisces"},0)-MATCH(INPUT_Chart!$C$5,{"Aries","Taurus","Gemini","Cancer","Leo","Virgo","Libra","Scorpio","Sagittarius","Capricorn","Aquarius","Pisces"},0),12)+1)=8),AND(OR(CALC_PlanetPositions!$M$9="Benefic",CALC_PlanetPositions!$M$9="Yogakaraka"),(MOD(MATCH(CALC_PlanetPositions!$B$9,{"Aries","Taurus","Gemini","Cancer","Leo","Virgo","Libra","Scorpio","Sagittarius","Capricorn","Aquarius","Pisces"},0)-MATCH(INPUT_Chart!$C$5,{"Aries","Taurus","Gemini","Cancer","Leo","Virgo","Libra","Scorpio","Sagittarius","Capricorn","Aquarius","Pisces"},0),12)+1)=8),AND(OR(CALC_PlanetPositions!$M$10="Benefic",CALC_PlanetPositions!$M$10="Yogakaraka"),(MOD(MATCH(CALC_PlanetPositions!$B$10,{"Aries","Taurus","Gemini","Cancer","Leo","Virgo","Libra","Scorpio","Sagittarius","Capricorn","Aquarius","Pisces"},0)-MATCH(INPUT_Chart!$C$5,{"Aries","Taurus","Gemini","Cancer","Leo","Virgo","Libra","Scorpio","Sagittarius","Capricorn","Aquarius","Pisces"},0),12)+1)=8),AND(OR(CALC_PlanetPositions!$M$11="Benefic",CALC_PlanetPositions!$M$11="Yogakaraka"),(MOD(MATCH(CALC_PlanetPositions!$B$11,{"Aries","Taurus","Gemini","Cancer","Leo","Virgo","Libra","Scorpio","Sagittarius","Capricorn","Aquarius","Pisces"},0)-MATCH(INPUT_Chart!$C$5,{"Aries","Taurus","Gemini","Cancer","Leo","Virgo","Libra","Scorpio","Sagittarius","Capricorn","Aquarius","Pisces"},0),12)+1)=8),AND(OR(CALC_PlanetPositions!$M$12="Benefic",CALC_PlanetPositions!$M$12="Yogakaraka"),(MOD(MATCH(CALC_PlanetPositions!$B$12,{"Aries","Taurus","Gemini","Cancer","Leo","Virgo","Libra","Scorpio","Sagittarius","Capricorn","Aquarius","Pisces"},0)-MATCH(INPUT_Chart!$C$5,{"Aries","Taurus","Gemini","Cancer","Leo","Virgo","Libra","Scorpio","Sagittarius","Capricorn","Aquarius","Pisces"},0),12)+1)=8),AND(OR(CALC_PlanetPositions!$M$13="Benefic",CALC_PlanetPositions!$M$13="Yogakaraka"),(MOD(MATCH(CALC_PlanetPositions!$B$13,{"Aries","Taurus","Gemini","Cancer","Leo","Virgo","Libra","Scorpio","Sagittarius","Capricorn","Aquarius","Pisces"},0)-MATCH(INPUT_Chart!$C$5,{"Aries","Taurus","Gemini","Cancer","Leo","Virgo","Libra","Scorpio","Sagittarius","Capricorn","Aquarius","Pisces"},0),12)+1)=8),AND(FALSE(),(MOD(MATCH(CALC_PlanetPositions!$B$14,{"Aries","Taurus","Gemini","Cancer","Leo","Virgo","Libra","Scorpio","Sagittarius","Capricorn","Aquarius","Pisces"},0)-MATCH(INPUT_Chart!$C$5,{"Aries","Taurus","Gemini","Cancer","Leo","Virgo","Libra","Scorpio","Sagittarius","Capricorn","Aquarius","Pisces"},0),12)+1)=8),AND(FALSE(),(MOD(MATCH(CALC_PlanetPositions!$B$15,{"Aries","Taurus","Gemini","Cancer","Leo","Virgo","Libra","Scorpio","Sagittarius","Capricorn","Aquarius","Pisces"},0)-MATCH(INPUT_Chart!$C$5,{"Aries","Taurus","Gemini","Cancer","Leo","Virgo","Libra","Scorpio","Sagittarius","Capricorn","Aquarius","Pisces"},0),12)+1)=8)),1,0),0)</f>
        <v>0</v>
      </c>
      <c r="G161" s="1091">
        <f>F161*1</f>
        <v>0</v>
      </c>
      <c r="H161" s="1092" t="s">
        <v>4532</v>
      </c>
    </row>
    <row r="162" spans="1:8" ht="18" customHeight="1" x14ac:dyDescent="0.2">
      <c r="A162" s="316" t="s">
        <v>3065</v>
      </c>
      <c r="B162" s="1088" t="s">
        <v>4527</v>
      </c>
      <c r="C162" s="467" t="s">
        <v>4533</v>
      </c>
      <c r="D162" s="1089" t="s">
        <v>4534</v>
      </c>
      <c r="E162" s="100" t="s">
        <v>1085</v>
      </c>
      <c r="F162" s="1090">
        <f>IFERROR(IF(OR(AND(OR(CALC_PlanetPositions!$M$7="Benefic",CALC_PlanetPositions!$M$7="Yogakaraka"),INDEX(REF_Aspects!$D$5:$O$13,1,MOD(8-(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8)),AND(OR(CALC_PlanetPositions!$M$8="Benefic",CALC_PlanetPositions!$M$8="Yogakaraka"),INDEX(REF_Aspects!$D$5:$O$13,2,MOD(8-(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8)),AND(OR(CALC_PlanetPositions!$M$9="Benefic",CALC_PlanetPositions!$M$9="Yogakaraka"),INDEX(REF_Aspects!$D$5:$O$13,3,MOD(8-(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8)),AND(OR(CALC_PlanetPositions!$M$10="Benefic",CALC_PlanetPositions!$M$10="Yogakaraka"),INDEX(REF_Aspects!$D$5:$O$13,4,MOD(8-(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8)),AND(OR(CALC_PlanetPositions!$M$11="Benefic",CALC_PlanetPositions!$M$11="Yogakaraka"),INDEX(REF_Aspects!$D$5:$O$13,5,MOD(8-(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8)),AND(OR(CALC_PlanetPositions!$M$12="Benefic",CALC_PlanetPositions!$M$12="Yogakaraka"),INDEX(REF_Aspects!$D$5:$O$13,6,MOD(8-(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8)),AND(OR(CALC_PlanetPositions!$M$13="Benefic",CALC_PlanetPositions!$M$13="Yogakaraka"),INDEX(REF_Aspects!$D$5:$O$13,7,MOD(8-(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8)),AND(FALSE(),INDEX(REF_Aspects!$D$5:$O$13,8,MOD(8-(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8)),AND(FALSE(),INDEX(REF_Aspects!$D$5:$O$13,9,MOD(8-(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8))),1,0),0)</f>
        <v>0</v>
      </c>
      <c r="G162" s="1091">
        <f>F162*0.75</f>
        <v>0</v>
      </c>
      <c r="H162" s="1092" t="s">
        <v>4535</v>
      </c>
    </row>
    <row r="163" spans="1:8" ht="18" customHeight="1" x14ac:dyDescent="0.2">
      <c r="A163" s="356" t="s">
        <v>3015</v>
      </c>
      <c r="B163" s="1093" t="s">
        <v>4536</v>
      </c>
      <c r="C163" s="463" t="s">
        <v>4528</v>
      </c>
      <c r="D163" s="1094" t="s">
        <v>4537</v>
      </c>
      <c r="E163" s="101" t="s">
        <v>1075</v>
      </c>
      <c r="F163" s="1090">
        <f>IFERROR(IF(AND(OR(CALC_BhaveshMap!$I$12="Yes",CALC_BhaveshMap!$J$12="Yes"),NOT(CALC_BhaveshMap!$K$12="Yes")),1,0),0)</f>
        <v>0</v>
      </c>
      <c r="G163" s="1095">
        <f>F163*2</f>
        <v>0</v>
      </c>
      <c r="H163" s="1092" t="s">
        <v>4538</v>
      </c>
    </row>
    <row r="164" spans="1:8" ht="18" customHeight="1" x14ac:dyDescent="0.2">
      <c r="A164" s="356" t="s">
        <v>3092</v>
      </c>
      <c r="B164" s="1093" t="s">
        <v>4536</v>
      </c>
      <c r="C164" s="463" t="s">
        <v>4533</v>
      </c>
      <c r="D164" s="1094" t="s">
        <v>3093</v>
      </c>
      <c r="E164" s="101" t="s">
        <v>1081</v>
      </c>
      <c r="F164" s="1090">
        <f>IFERROR(IF(OR(AND(CALC_BhaveshMap!$G$5=CALC_BhaveshMap!$G$12,CALC_BhaveshMap!$D$5&lt;&gt;CALC_BhaveshMap!$D$12),AND(CALC_BhaveshMap!$G$8=CALC_BhaveshMap!$G$12,CALC_BhaveshMap!$D$8&lt;&gt;CALC_BhaveshMap!$D$12),AND(CALC_BhaveshMap!$G$9=CALC_BhaveshMap!$G$12,CALC_BhaveshMap!$D$9&lt;&gt;CALC_BhaveshMap!$D$12),AND(CALC_BhaveshMap!$G$11=CALC_BhaveshMap!$G$12,CALC_BhaveshMap!$D$11&lt;&gt;CALC_BhaveshMap!$D$12),AND(CALC_BhaveshMap!$G$13=CALC_BhaveshMap!$G$12,CALC_BhaveshMap!$D$13&lt;&gt;CALC_BhaveshMap!$D$12),AND(CALC_BhaveshMap!$G$14=CALC_BhaveshMap!$G$12,CALC_BhaveshMap!$D$14&lt;&gt;CALC_BhaveshMap!$D$12)),1,0),0)</f>
        <v>0</v>
      </c>
      <c r="G164" s="1095">
        <f>F164*0.5</f>
        <v>0</v>
      </c>
      <c r="H164" s="1092" t="s">
        <v>4539</v>
      </c>
    </row>
    <row r="165" spans="1:8" ht="18" customHeight="1" x14ac:dyDescent="0.2">
      <c r="A165" s="356" t="s">
        <v>3028</v>
      </c>
      <c r="B165" s="1093" t="s">
        <v>4536</v>
      </c>
      <c r="C165" s="463" t="s">
        <v>4528</v>
      </c>
      <c r="D165" s="1094" t="s">
        <v>4540</v>
      </c>
      <c r="E165" s="101" t="s">
        <v>1081</v>
      </c>
      <c r="F165" s="1090">
        <v>0</v>
      </c>
      <c r="G165" s="1095">
        <f>F165*1</f>
        <v>0</v>
      </c>
      <c r="H165" s="1092" t="s">
        <v>4541</v>
      </c>
    </row>
    <row r="166" spans="1:8" ht="18" customHeight="1" x14ac:dyDescent="0.2">
      <c r="A166" s="356" t="s">
        <v>3112</v>
      </c>
      <c r="B166" s="1093" t="s">
        <v>4536</v>
      </c>
      <c r="C166" s="463" t="s">
        <v>4533</v>
      </c>
      <c r="D166" s="1094" t="s">
        <v>4542</v>
      </c>
      <c r="E166" s="101" t="s">
        <v>1081</v>
      </c>
      <c r="F166" s="1090">
        <f>IFERROR(IF(OR(AND(OR(CALC_PlanetPositions!$M$7="Benefic",CALC_PlanetPositions!$M$7="Yogakaraka"),INDEX(REF_Aspects!$D$5:$O$13,1,MOD(CALC_BhaveshMap!$H$12-(MOD(MATCH(CALC_PlanetPositions!$B$7,{"Aries","Taurus","Gemini","Cancer","Leo","Virgo","Libra","Scorpio","Sagittarius","Capricorn","Aquarius","Pisces"},0)-MATCH(INPUT_Chart!$C$5,{"Aries","Taurus","Gemini","Cancer","Leo","Virgo","Libra","Scorpio","Sagittarius","Capricorn","Aquarius","Pisces"},0),12)+1),12)+1)="FULL",NOT(CALC_PlanetPositions!$B$7=CALC_BhaveshMap!$G$12)),AND(OR(CALC_PlanetPositions!$M$8="Benefic",CALC_PlanetPositions!$M$8="Yogakaraka"),INDEX(REF_Aspects!$D$5:$O$13,2,MOD(CALC_BhaveshMap!$H$12-(MOD(MATCH(CALC_PlanetPositions!$B$8,{"Aries","Taurus","Gemini","Cancer","Leo","Virgo","Libra","Scorpio","Sagittarius","Capricorn","Aquarius","Pisces"},0)-MATCH(INPUT_Chart!$C$5,{"Aries","Taurus","Gemini","Cancer","Leo","Virgo","Libra","Scorpio","Sagittarius","Capricorn","Aquarius","Pisces"},0),12)+1),12)+1)="FULL",NOT(CALC_PlanetPositions!$B$8=CALC_BhaveshMap!$G$12)),AND(OR(CALC_PlanetPositions!$M$9="Benefic",CALC_PlanetPositions!$M$9="Yogakaraka"),INDEX(REF_Aspects!$D$5:$O$13,3,MOD(CALC_BhaveshMap!$H$12-(MOD(MATCH(CALC_PlanetPositions!$B$9,{"Aries","Taurus","Gemini","Cancer","Leo","Virgo","Libra","Scorpio","Sagittarius","Capricorn","Aquarius","Pisces"},0)-MATCH(INPUT_Chart!$C$5,{"Aries","Taurus","Gemini","Cancer","Leo","Virgo","Libra","Scorpio","Sagittarius","Capricorn","Aquarius","Pisces"},0),12)+1),12)+1)="FULL",NOT(CALC_PlanetPositions!$B$9=CALC_BhaveshMap!$G$12)),AND(OR(CALC_PlanetPositions!$M$10="Benefic",CALC_PlanetPositions!$M$10="Yogakaraka"),INDEX(REF_Aspects!$D$5:$O$13,4,MOD(CALC_BhaveshMap!$H$12-(MOD(MATCH(CALC_PlanetPositions!$B$10,{"Aries","Taurus","Gemini","Cancer","Leo","Virgo","Libra","Scorpio","Sagittarius","Capricorn","Aquarius","Pisces"},0)-MATCH(INPUT_Chart!$C$5,{"Aries","Taurus","Gemini","Cancer","Leo","Virgo","Libra","Scorpio","Sagittarius","Capricorn","Aquarius","Pisces"},0),12)+1),12)+1)="FULL",NOT(CALC_PlanetPositions!$B$10=CALC_BhaveshMap!$G$12)),AND(OR(CALC_PlanetPositions!$M$11="Benefic",CALC_PlanetPositions!$M$11="Yogakaraka"),INDEX(REF_Aspects!$D$5:$O$13,5,MOD(CALC_BhaveshMap!$H$12-(MOD(MATCH(CALC_PlanetPositions!$B$11,{"Aries","Taurus","Gemini","Cancer","Leo","Virgo","Libra","Scorpio","Sagittarius","Capricorn","Aquarius","Pisces"},0)-MATCH(INPUT_Chart!$C$5,{"Aries","Taurus","Gemini","Cancer","Leo","Virgo","Libra","Scorpio","Sagittarius","Capricorn","Aquarius","Pisces"},0),12)+1),12)+1)="FULL",NOT(CALC_PlanetPositions!$B$11=CALC_BhaveshMap!$G$12)),AND(OR(CALC_PlanetPositions!$M$12="Benefic",CALC_PlanetPositions!$M$12="Yogakaraka"),INDEX(REF_Aspects!$D$5:$O$13,6,MOD(CALC_BhaveshMap!$H$12-(MOD(MATCH(CALC_PlanetPositions!$B$12,{"Aries","Taurus","Gemini","Cancer","Leo","Virgo","Libra","Scorpio","Sagittarius","Capricorn","Aquarius","Pisces"},0)-MATCH(INPUT_Chart!$C$5,{"Aries","Taurus","Gemini","Cancer","Leo","Virgo","Libra","Scorpio","Sagittarius","Capricorn","Aquarius","Pisces"},0),12)+1),12)+1)="FULL",NOT(CALC_PlanetPositions!$B$12=CALC_BhaveshMap!$G$12)),AND(OR(CALC_PlanetPositions!$M$13="Benefic",CALC_PlanetPositions!$M$13="Yogakaraka"),INDEX(REF_Aspects!$D$5:$O$13,7,MOD(CALC_BhaveshMap!$H$12-(MOD(MATCH(CALC_PlanetPositions!$B$13,{"Aries","Taurus","Gemini","Cancer","Leo","Virgo","Libra","Scorpio","Sagittarius","Capricorn","Aquarius","Pisces"},0)-MATCH(INPUT_Chart!$C$5,{"Aries","Taurus","Gemini","Cancer","Leo","Virgo","Libra","Scorpio","Sagittarius","Capricorn","Aquarius","Pisces"},0),12)+1),12)+1)="FULL",NOT(CALC_PlanetPositions!$B$13=CALC_BhaveshMap!$G$12)),AND(FALSE(),INDEX(REF_Aspects!$D$5:$O$13,8,MOD(CALC_BhaveshMap!$H$12-(MOD(MATCH(CALC_PlanetPositions!$B$14,{"Aries","Taurus","Gemini","Cancer","Leo","Virgo","Libra","Scorpio","Sagittarius","Capricorn","Aquarius","Pisces"},0)-MATCH(INPUT_Chart!$C$5,{"Aries","Taurus","Gemini","Cancer","Leo","Virgo","Libra","Scorpio","Sagittarius","Capricorn","Aquarius","Pisces"},0),12)+1),12)+1)="FULL",NOT(CALC_PlanetPositions!$B$14=CALC_BhaveshMap!$G$12)),AND(FALSE(),INDEX(REF_Aspects!$D$5:$O$13,9,MOD(CALC_BhaveshMap!$H$12-(MOD(MATCH(CALC_PlanetPositions!$B$15,{"Aries","Taurus","Gemini","Cancer","Leo","Virgo","Libra","Scorpio","Sagittarius","Capricorn","Aquarius","Pisces"},0)-MATCH(INPUT_Chart!$C$5,{"Aries","Taurus","Gemini","Cancer","Leo","Virgo","Libra","Scorpio","Sagittarius","Capricorn","Aquarius","Pisces"},0),12)+1),12)+1)="FULL",NOT(CALC_PlanetPositions!$B$15=CALC_BhaveshMap!$G$12))),1,0),0)</f>
        <v>0</v>
      </c>
      <c r="G166" s="1095">
        <f>F166*0.5</f>
        <v>0</v>
      </c>
      <c r="H166" s="1092" t="s">
        <v>4543</v>
      </c>
    </row>
    <row r="167" spans="1:8" ht="18" customHeight="1" x14ac:dyDescent="0.2">
      <c r="A167" s="356" t="s">
        <v>3033</v>
      </c>
      <c r="B167" s="1093" t="s">
        <v>4536</v>
      </c>
      <c r="C167" s="463" t="s">
        <v>4528</v>
      </c>
      <c r="D167" s="1094" t="s">
        <v>3034</v>
      </c>
      <c r="E167" s="101" t="s">
        <v>1085</v>
      </c>
      <c r="F167"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$12-2,12)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$12-2,12)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$12-2,12)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$12-2,12)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$12-2,12)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$12-2,12)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$12-2,12)+1)),AND(FALSE(),MOD(MATCH(CALC_PlanetPositions!$B$14,{"Aries","Taurus","Gemini","Cancer","Leo","Virgo","Libra","Scorpio","Sagittarius","Capricorn","Aquarius","Pisces"},0)-MATCH(INPUT_Chart!$C$5,{"Aries","Taurus","Gemini","Cancer","Leo","Virgo","Libra","Scorpio","Sagittarius","Capricorn","Aquarius","Pisces"},0),12)+1=(MOD(CALC_BhaveshMap!$H$12-2,12)+1)),AND(FALSE(),MOD(MATCH(CALC_PlanetPositions!$B$15,{"Aries","Taurus","Gemini","Cancer","Leo","Virgo","Libra","Scorpio","Sagittarius","Capricorn","Aquarius","Pisces"},0)-MATCH(INPUT_Chart!$C$5,{"Aries","Taurus","Gemini","Cancer","Leo","Virgo","Libra","Scorpio","Sagittarius","Capricorn","Aquarius","Pisces"},0),12)+1=(MOD(CALC_BhaveshMap!$H$12-2,12)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$12,12)+1)),AND(FALSE(),MOD(MATCH(CALC_PlanetPositions!$B$14,{"Aries","Taurus","Gemini","Cancer","Leo","Virgo","Libra","Scorpio","Sagittarius","Capricorn","Aquarius","Pisces"},0)-MATCH(INPUT_Chart!$C$5,{"Aries","Taurus","Gemini","Cancer","Leo","Virgo","Libra","Scorpio","Sagittarius","Capricorn","Aquarius","Pisces"},0),12)+1=(MOD(CALC_BhaveshMap!$H$12,12)+1)),AND(FALSE(),MOD(MATCH(CALC_PlanetPositions!$B$15,{"Aries","Taurus","Gemini","Cancer","Leo","Virgo","Libra","Scorpio","Sagittarius","Capricorn","Aquarius","Pisces"},0)-MATCH(INPUT_Chart!$C$5,{"Aries","Taurus","Gemini","Cancer","Leo","Virgo","Libra","Scorpio","Sagittarius","Capricorn","Aquarius","Pisces"},0),12)+1=(MOD(CALC_BhaveshMap!$H$12,12)+1)))),1,0),0)</f>
        <v>0</v>
      </c>
      <c r="G167" s="1095">
        <f>F167*0.75</f>
        <v>0</v>
      </c>
      <c r="H167" s="1092" t="s">
        <v>4544</v>
      </c>
    </row>
    <row r="168" spans="1:8" ht="18" customHeight="1" x14ac:dyDescent="0.2">
      <c r="A168" s="315" t="s">
        <v>3050</v>
      </c>
      <c r="B168" s="1096" t="s">
        <v>4545</v>
      </c>
      <c r="C168" s="480" t="s">
        <v>4528</v>
      </c>
      <c r="D168" s="1097" t="s">
        <v>4546</v>
      </c>
      <c r="E168" s="99" t="s">
        <v>1109</v>
      </c>
      <c r="F168" s="1090">
        <f>IFERROR(IF(OR(AND(CALC_PlanetPositions!$M$7="Malefic",(MOD(MATCH(CALC_PlanetPositions!$B$7,{"Aries","Taurus","Gemini","Cancer","Leo","Virgo","Libra","Scorpio","Sagittarius","Capricorn","Aquarius","Pisces"},0)-MATCH(INPUT_Chart!$C$5,{"Aries","Taurus","Gemini","Cancer","Leo","Virgo","Libra","Scorpio","Sagittarius","Capricorn","Aquarius","Pisces"},0),12)+1)=8),AND(CALC_PlanetPositions!$M$8="Malefic",(MOD(MATCH(CALC_PlanetPositions!$B$8,{"Aries","Taurus","Gemini","Cancer","Leo","Virgo","Libra","Scorpio","Sagittarius","Capricorn","Aquarius","Pisces"},0)-MATCH(INPUT_Chart!$C$5,{"Aries","Taurus","Gemini","Cancer","Leo","Virgo","Libra","Scorpio","Sagittarius","Capricorn","Aquarius","Pisces"},0),12)+1)=8),AND(CALC_PlanetPositions!$M$9="Malefic",(MOD(MATCH(CALC_PlanetPositions!$B$9,{"Aries","Taurus","Gemini","Cancer","Leo","Virgo","Libra","Scorpio","Sagittarius","Capricorn","Aquarius","Pisces"},0)-MATCH(INPUT_Chart!$C$5,{"Aries","Taurus","Gemini","Cancer","Leo","Virgo","Libra","Scorpio","Sagittarius","Capricorn","Aquarius","Pisces"},0),12)+1)=8),AND(CALC_PlanetPositions!$M$10="Malefic",(MOD(MATCH(CALC_PlanetPositions!$B$10,{"Aries","Taurus","Gemini","Cancer","Leo","Virgo","Libra","Scorpio","Sagittarius","Capricorn","Aquarius","Pisces"},0)-MATCH(INPUT_Chart!$C$5,{"Aries","Taurus","Gemini","Cancer","Leo","Virgo","Libra","Scorpio","Sagittarius","Capricorn","Aquarius","Pisces"},0),12)+1)=8),AND(CALC_PlanetPositions!$M$11="Malefic",(MOD(MATCH(CALC_PlanetPositions!$B$11,{"Aries","Taurus","Gemini","Cancer","Leo","Virgo","Libra","Scorpio","Sagittarius","Capricorn","Aquarius","Pisces"},0)-MATCH(INPUT_Chart!$C$5,{"Aries","Taurus","Gemini","Cancer","Leo","Virgo","Libra","Scorpio","Sagittarius","Capricorn","Aquarius","Pisces"},0),12)+1)=8),AND(CALC_PlanetPositions!$M$12="Malefic",(MOD(MATCH(CALC_PlanetPositions!$B$12,{"Aries","Taurus","Gemini","Cancer","Leo","Virgo","Libra","Scorpio","Sagittarius","Capricorn","Aquarius","Pisces"},0)-MATCH(INPUT_Chart!$C$5,{"Aries","Taurus","Gemini","Cancer","Leo","Virgo","Libra","Scorpio","Sagittarius","Capricorn","Aquarius","Pisces"},0),12)+1)=8),AND(CALC_PlanetPositions!$M$13="Malefic",(MOD(MATCH(CALC_PlanetPositions!$B$13,{"Aries","Taurus","Gemini","Cancer","Leo","Virgo","Libra","Scorpio","Sagittarius","Capricorn","Aquarius","Pisces"},0)-MATCH(INPUT_Chart!$C$5,{"Aries","Taurus","Gemini","Cancer","Leo","Virgo","Libra","Scorpio","Sagittarius","Capricorn","Aquarius","Pisces"},0),12)+1)=8),AND(TRUE(),(MOD(MATCH(CALC_PlanetPositions!$B$14,{"Aries","Taurus","Gemini","Cancer","Leo","Virgo","Libra","Scorpio","Sagittarius","Capricorn","Aquarius","Pisces"},0)-MATCH(INPUT_Chart!$C$5,{"Aries","Taurus","Gemini","Cancer","Leo","Virgo","Libra","Scorpio","Sagittarius","Capricorn","Aquarius","Pisces"},0),12)+1)=8),AND(TRUE(),(MOD(MATCH(CALC_PlanetPositions!$B$15,{"Aries","Taurus","Gemini","Cancer","Leo","Virgo","Libra","Scorpio","Sagittarius","Capricorn","Aquarius","Pisces"},0)-MATCH(INPUT_Chart!$C$5,{"Aries","Taurus","Gemini","Cancer","Leo","Virgo","Libra","Scorpio","Sagittarius","Capricorn","Aquarius","Pisces"},0),12)+1)=8)),1,0),0)</f>
        <v>0</v>
      </c>
      <c r="G168" s="1098">
        <f>F168*-1</f>
        <v>0</v>
      </c>
      <c r="H168" s="1092" t="s">
        <v>4547</v>
      </c>
    </row>
    <row r="169" spans="1:8" ht="18" customHeight="1" x14ac:dyDescent="0.2">
      <c r="A169" s="315" t="s">
        <v>3066</v>
      </c>
      <c r="B169" s="1096" t="s">
        <v>4545</v>
      </c>
      <c r="C169" s="480" t="s">
        <v>4528</v>
      </c>
      <c r="D169" s="1097" t="s">
        <v>4548</v>
      </c>
      <c r="E169" s="99" t="s">
        <v>1109</v>
      </c>
      <c r="F169" s="1090">
        <f>IFERROR(IF(OR(AND(CALC_PlanetPositions!$M$7="Malefic",INDEX(REF_Aspects!$D$5:$O$13,1,MOD(8-(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8)),AND(CALC_PlanetPositions!$M$8="Malefic",INDEX(REF_Aspects!$D$5:$O$13,2,MOD(8-(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8)),AND(CALC_PlanetPositions!$M$9="Malefic",INDEX(REF_Aspects!$D$5:$O$13,3,MOD(8-(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8)),AND(CALC_PlanetPositions!$M$10="Malefic",INDEX(REF_Aspects!$D$5:$O$13,4,MOD(8-(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8)),AND(CALC_PlanetPositions!$M$11="Malefic",INDEX(REF_Aspects!$D$5:$O$13,5,MOD(8-(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8)),AND(CALC_PlanetPositions!$M$12="Malefic",INDEX(REF_Aspects!$D$5:$O$13,6,MOD(8-(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8)),AND(CALC_PlanetPositions!$M$13="Malefic",INDEX(REF_Aspects!$D$5:$O$13,7,MOD(8-(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8)),AND(TRUE(),INDEX(REF_Aspects!$D$5:$O$13,8,MOD(8-(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8)),AND(TRUE(),INDEX(REF_Aspects!$D$5:$O$13,9,MOD(8-(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8))),1,0),0)</f>
        <v>1</v>
      </c>
      <c r="G169" s="1098">
        <f>F169*-1</f>
        <v>-1</v>
      </c>
      <c r="H169" s="1092" t="s">
        <v>4549</v>
      </c>
    </row>
    <row r="170" spans="1:8" ht="18" customHeight="1" x14ac:dyDescent="0.2">
      <c r="A170" s="315" t="s">
        <v>3061</v>
      </c>
      <c r="B170" s="1096" t="s">
        <v>4545</v>
      </c>
      <c r="C170" s="480" t="s">
        <v>4528</v>
      </c>
      <c r="D170" s="1097" t="s">
        <v>3062</v>
      </c>
      <c r="E170" s="99" t="s">
        <v>4550</v>
      </c>
      <c r="F170" s="1090">
        <v>0</v>
      </c>
      <c r="G170" s="1098">
        <f>F170*-1.25</f>
        <v>0</v>
      </c>
      <c r="H170" s="1092" t="s">
        <v>4551</v>
      </c>
    </row>
    <row r="171" spans="1:8" ht="18" customHeight="1" x14ac:dyDescent="0.2">
      <c r="A171" s="315" t="s">
        <v>3095</v>
      </c>
      <c r="B171" s="1096" t="s">
        <v>4545</v>
      </c>
      <c r="C171" s="480" t="s">
        <v>4528</v>
      </c>
      <c r="D171" s="1097" t="s">
        <v>4552</v>
      </c>
      <c r="E171" s="99" t="s">
        <v>3564</v>
      </c>
      <c r="F171" s="1090">
        <f>IFERROR(IF(AND(OR(AND(CALC_PlanetPositions!$M$7="Malefic",MOD(MATCH(CALC_PlanetPositions!$B$7,{"Aries","Taurus","Gemini","Cancer","Leo","Virgo","Libra","Scorpio","Sagittarius","Capricorn","Aquarius","Pisces"},0)-MATCH(INPUT_Chart!$C$5,{"Aries","Taurus","Gemini","Cancer","Leo","Virgo","Libra","Scorpio","Sagittarius","Capricorn","Aquarius","Pisces"},0),12)+1=(MOD(8-2,12)+1)),AND(CALC_PlanetPositions!$M$8="Malefic",MOD(MATCH(CALC_PlanetPositions!$B$8,{"Aries","Taurus","Gemini","Cancer","Leo","Virgo","Libra","Scorpio","Sagittarius","Capricorn","Aquarius","Pisces"},0)-MATCH(INPUT_Chart!$C$5,{"Aries","Taurus","Gemini","Cancer","Leo","Virgo","Libra","Scorpio","Sagittarius","Capricorn","Aquarius","Pisces"},0),12)+1=(MOD(8-2,12)+1)),AND(CALC_PlanetPositions!$M$9="Malefic",MOD(MATCH(CALC_PlanetPositions!$B$9,{"Aries","Taurus","Gemini","Cancer","Leo","Virgo","Libra","Scorpio","Sagittarius","Capricorn","Aquarius","Pisces"},0)-MATCH(INPUT_Chart!$C$5,{"Aries","Taurus","Gemini","Cancer","Leo","Virgo","Libra","Scorpio","Sagittarius","Capricorn","Aquarius","Pisces"},0),12)+1=(MOD(8-2,12)+1)),AND(CALC_PlanetPositions!$M$10="Malefic",MOD(MATCH(CALC_PlanetPositions!$B$10,{"Aries","Taurus","Gemini","Cancer","Leo","Virgo","Libra","Scorpio","Sagittarius","Capricorn","Aquarius","Pisces"},0)-MATCH(INPUT_Chart!$C$5,{"Aries","Taurus","Gemini","Cancer","Leo","Virgo","Libra","Scorpio","Sagittarius","Capricorn","Aquarius","Pisces"},0),12)+1=(MOD(8-2,12)+1)),AND(CALC_PlanetPositions!$M$11="Malefic",MOD(MATCH(CALC_PlanetPositions!$B$11,{"Aries","Taurus","Gemini","Cancer","Leo","Virgo","Libra","Scorpio","Sagittarius","Capricorn","Aquarius","Pisces"},0)-MATCH(INPUT_Chart!$C$5,{"Aries","Taurus","Gemini","Cancer","Leo","Virgo","Libra","Scorpio","Sagittarius","Capricorn","Aquarius","Pisces"},0),12)+1=(MOD(8-2,12)+1)),AND(CALC_PlanetPositions!$M$12="Malefic",MOD(MATCH(CALC_PlanetPositions!$B$12,{"Aries","Taurus","Gemini","Cancer","Leo","Virgo","Libra","Scorpio","Sagittarius","Capricorn","Aquarius","Pisces"},0)-MATCH(INPUT_Chart!$C$5,{"Aries","Taurus","Gemini","Cancer","Leo","Virgo","Libra","Scorpio","Sagittarius","Capricorn","Aquarius","Pisces"},0),12)+1=(MOD(8-2,12)+1)),AND(CALC_PlanetPositions!$M$13="Malefic",MOD(MATCH(CALC_PlanetPositions!$B$13,{"Aries","Taurus","Gemini","Cancer","Leo","Virgo","Libra","Scorpio","Sagittarius","Capricorn","Aquarius","Pisces"},0)-MATCH(INPUT_Chart!$C$5,{"Aries","Taurus","Gemini","Cancer","Leo","Virgo","Libra","Scorpio","Sagittarius","Capricorn","Aquarius","Pisces"},0),12)+1=(MOD(8-2,12)+1)),AND(TRUE(),MOD(MATCH(CALC_PlanetPositions!$B$14,{"Aries","Taurus","Gemini","Cancer","Leo","Virgo","Libra","Scorpio","Sagittarius","Capricorn","Aquarius","Pisces"},0)-MATCH(INPUT_Chart!$C$5,{"Aries","Taurus","Gemini","Cancer","Leo","Virgo","Libra","Scorpio","Sagittarius","Capricorn","Aquarius","Pisces"},0),12)+1=(MOD(8-2,12)+1)),AND(TRUE(),MOD(MATCH(CALC_PlanetPositions!$B$15,{"Aries","Taurus","Gemini","Cancer","Leo","Virgo","Libra","Scorpio","Sagittarius","Capricorn","Aquarius","Pisces"},0)-MATCH(INPUT_Chart!$C$5,{"Aries","Taurus","Gemini","Cancer","Leo","Virgo","Libra","Scorpio","Sagittarius","Capricorn","Aquarius","Pisces"},0),12)+1=(MOD(8-2,12)+1))),OR(AND(CALC_PlanetPositions!$M$7="Malefic",MOD(MATCH(CALC_PlanetPositions!$B$7,{"Aries","Taurus","Gemini","Cancer","Leo","Virgo","Libra","Scorpio","Sagittarius","Capricorn","Aquarius","Pisces"},0)-MATCH(INPUT_Chart!$C$5,{"Aries","Taurus","Gemini","Cancer","Leo","Virgo","Libra","Scorpio","Sagittarius","Capricorn","Aquarius","Pisces"},0),12)+1=(MOD(8,12)+1)),AND(CALC_PlanetPositions!$M$8="Malefic",MOD(MATCH(CALC_PlanetPositions!$B$8,{"Aries","Taurus","Gemini","Cancer","Leo","Virgo","Libra","Scorpio","Sagittarius","Capricorn","Aquarius","Pisces"},0)-MATCH(INPUT_Chart!$C$5,{"Aries","Taurus","Gemini","Cancer","Leo","Virgo","Libra","Scorpio","Sagittarius","Capricorn","Aquarius","Pisces"},0),12)+1=(MOD(8,12)+1)),AND(CALC_PlanetPositions!$M$9="Malefic",MOD(MATCH(CALC_PlanetPositions!$B$9,{"Aries","Taurus","Gemini","Cancer","Leo","Virgo","Libra","Scorpio","Sagittarius","Capricorn","Aquarius","Pisces"},0)-MATCH(INPUT_Chart!$C$5,{"Aries","Taurus","Gemini","Cancer","Leo","Virgo","Libra","Scorpio","Sagittarius","Capricorn","Aquarius","Pisces"},0),12)+1=(MOD(8,12)+1)),AND(CALC_PlanetPositions!$M$10="Malefic",MOD(MATCH(CALC_PlanetPositions!$B$10,{"Aries","Taurus","Gemini","Cancer","Leo","Virgo","Libra","Scorpio","Sagittarius","Capricorn","Aquarius","Pisces"},0)-MATCH(INPUT_Chart!$C$5,{"Aries","Taurus","Gemini","Cancer","Leo","Virgo","Libra","Scorpio","Sagittarius","Capricorn","Aquarius","Pisces"},0),12)+1=(MOD(8,12)+1)),AND(CALC_PlanetPositions!$M$11="Malefic",MOD(MATCH(CALC_PlanetPositions!$B$11,{"Aries","Taurus","Gemini","Cancer","Leo","Virgo","Libra","Scorpio","Sagittarius","Capricorn","Aquarius","Pisces"},0)-MATCH(INPUT_Chart!$C$5,{"Aries","Taurus","Gemini","Cancer","Leo","Virgo","Libra","Scorpio","Sagittarius","Capricorn","Aquarius","Pisces"},0),12)+1=(MOD(8,12)+1)),AND(CALC_PlanetPositions!$M$12="Malefic",MOD(MATCH(CALC_PlanetPositions!$B$12,{"Aries","Taurus","Gemini","Cancer","Leo","Virgo","Libra","Scorpio","Sagittarius","Capricorn","Aquarius","Pisces"},0)-MATCH(INPUT_Chart!$C$5,{"Aries","Taurus","Gemini","Cancer","Leo","Virgo","Libra","Scorpio","Sagittarius","Capricorn","Aquarius","Pisces"},0),12)+1=(MOD(8,12)+1)),AND(CALC_PlanetPositions!$M$13="Malefic",MOD(MATCH(CALC_PlanetPositions!$B$13,{"Aries","Taurus","Gemini","Cancer","Leo","Virgo","Libra","Scorpio","Sagittarius","Capricorn","Aquarius","Pisces"},0)-MATCH(INPUT_Chart!$C$5,{"Aries","Taurus","Gemini","Cancer","Leo","Virgo","Libra","Scorpio","Sagittarius","Capricorn","Aquarius","Pisces"},0),12)+1=(MOD(8,12)+1)),AND(TRUE(),MOD(MATCH(CALC_PlanetPositions!$B$14,{"Aries","Taurus","Gemini","Cancer","Leo","Virgo","Libra","Scorpio","Sagittarius","Capricorn","Aquarius","Pisces"},0)-MATCH(INPUT_Chart!$C$5,{"Aries","Taurus","Gemini","Cancer","Leo","Virgo","Libra","Scorpio","Sagittarius","Capricorn","Aquarius","Pisces"},0),12)+1=(MOD(8,12)+1)),AND(TRUE(),MOD(MATCH(CALC_PlanetPositions!$B$15,{"Aries","Taurus","Gemini","Cancer","Leo","Virgo","Libra","Scorpio","Sagittarius","Capricorn","Aquarius","Pisces"},0)-MATCH(INPUT_Chart!$C$5,{"Aries","Taurus","Gemini","Cancer","Leo","Virgo","Libra","Scorpio","Sagittarius","Capricorn","Aquarius","Pisces"},0),12)+1=(MOD(8,12)+1)))),1,0),0)</f>
        <v>0</v>
      </c>
      <c r="G171" s="1098">
        <f>F171*-0.75</f>
        <v>0</v>
      </c>
      <c r="H171" s="1092" t="s">
        <v>4553</v>
      </c>
    </row>
    <row r="172" spans="1:8" ht="18" customHeight="1" x14ac:dyDescent="0.2">
      <c r="A172" s="1099" t="s">
        <v>3036</v>
      </c>
      <c r="B172" s="1100" t="s">
        <v>4554</v>
      </c>
      <c r="C172" s="1101" t="s">
        <v>4528</v>
      </c>
      <c r="D172" s="1102" t="s">
        <v>4555</v>
      </c>
      <c r="E172" s="1103" t="s">
        <v>1109</v>
      </c>
      <c r="F172" s="1090">
        <v>0</v>
      </c>
      <c r="G172" s="1104">
        <f>F172*-1</f>
        <v>0</v>
      </c>
      <c r="H172" s="1092" t="s">
        <v>4556</v>
      </c>
    </row>
    <row r="173" spans="1:8" ht="18" customHeight="1" x14ac:dyDescent="0.2">
      <c r="A173" s="1099" t="s">
        <v>3054</v>
      </c>
      <c r="B173" s="1100" t="s">
        <v>4554</v>
      </c>
      <c r="C173" s="1101" t="s">
        <v>4533</v>
      </c>
      <c r="D173" s="1102" t="s">
        <v>4557</v>
      </c>
      <c r="E173" s="1103" t="s">
        <v>1109</v>
      </c>
      <c r="F173" s="1090">
        <f>IFERROR(IF(OR(AND(CALC_PlanetPositions!$M$7="Malefic",INDEX(REF_Aspects!$D$5:$O$13,1,MOD(CALC_BhaveshMap!$H$12-(MOD(MATCH(CALC_PlanetPositions!$B$7,{"Aries","Taurus","Gemini","Cancer","Leo","Virgo","Libra","Scorpio","Sagittarius","Capricorn","Aquarius","Pisces"},0)-MATCH(INPUT_Chart!$C$5,{"Aries","Taurus","Gemini","Cancer","Leo","Virgo","Libra","Scorpio","Sagittarius","Capricorn","Aquarius","Pisces"},0),12)+1),12)+1)="FULL",NOT(CALC_PlanetPositions!$B$7=CALC_BhaveshMap!$G$12)),AND(CALC_PlanetPositions!$M$8="Malefic",INDEX(REF_Aspects!$D$5:$O$13,2,MOD(CALC_BhaveshMap!$H$12-(MOD(MATCH(CALC_PlanetPositions!$B$8,{"Aries","Taurus","Gemini","Cancer","Leo","Virgo","Libra","Scorpio","Sagittarius","Capricorn","Aquarius","Pisces"},0)-MATCH(INPUT_Chart!$C$5,{"Aries","Taurus","Gemini","Cancer","Leo","Virgo","Libra","Scorpio","Sagittarius","Capricorn","Aquarius","Pisces"},0),12)+1),12)+1)="FULL",NOT(CALC_PlanetPositions!$B$8=CALC_BhaveshMap!$G$12)),AND(CALC_PlanetPositions!$M$9="Malefic",INDEX(REF_Aspects!$D$5:$O$13,3,MOD(CALC_BhaveshMap!$H$12-(MOD(MATCH(CALC_PlanetPositions!$B$9,{"Aries","Taurus","Gemini","Cancer","Leo","Virgo","Libra","Scorpio","Sagittarius","Capricorn","Aquarius","Pisces"},0)-MATCH(INPUT_Chart!$C$5,{"Aries","Taurus","Gemini","Cancer","Leo","Virgo","Libra","Scorpio","Sagittarius","Capricorn","Aquarius","Pisces"},0),12)+1),12)+1)="FULL",NOT(CALC_PlanetPositions!$B$9=CALC_BhaveshMap!$G$12)),AND(CALC_PlanetPositions!$M$10="Malefic",INDEX(REF_Aspects!$D$5:$O$13,4,MOD(CALC_BhaveshMap!$H$12-(MOD(MATCH(CALC_PlanetPositions!$B$10,{"Aries","Taurus","Gemini","Cancer","Leo","Virgo","Libra","Scorpio","Sagittarius","Capricorn","Aquarius","Pisces"},0)-MATCH(INPUT_Chart!$C$5,{"Aries","Taurus","Gemini","Cancer","Leo","Virgo","Libra","Scorpio","Sagittarius","Capricorn","Aquarius","Pisces"},0),12)+1),12)+1)="FULL",NOT(CALC_PlanetPositions!$B$10=CALC_BhaveshMap!$G$12)),AND(CALC_PlanetPositions!$M$11="Malefic",INDEX(REF_Aspects!$D$5:$O$13,5,MOD(CALC_BhaveshMap!$H$12-(MOD(MATCH(CALC_PlanetPositions!$B$11,{"Aries","Taurus","Gemini","Cancer","Leo","Virgo","Libra","Scorpio","Sagittarius","Capricorn","Aquarius","Pisces"},0)-MATCH(INPUT_Chart!$C$5,{"Aries","Taurus","Gemini","Cancer","Leo","Virgo","Libra","Scorpio","Sagittarius","Capricorn","Aquarius","Pisces"},0),12)+1),12)+1)="FULL",NOT(CALC_PlanetPositions!$B$11=CALC_BhaveshMap!$G$12)),AND(CALC_PlanetPositions!$M$12="Malefic",INDEX(REF_Aspects!$D$5:$O$13,6,MOD(CALC_BhaveshMap!$H$12-(MOD(MATCH(CALC_PlanetPositions!$B$12,{"Aries","Taurus","Gemini","Cancer","Leo","Virgo","Libra","Scorpio","Sagittarius","Capricorn","Aquarius","Pisces"},0)-MATCH(INPUT_Chart!$C$5,{"Aries","Taurus","Gemini","Cancer","Leo","Virgo","Libra","Scorpio","Sagittarius","Capricorn","Aquarius","Pisces"},0),12)+1),12)+1)="FULL",NOT(CALC_PlanetPositions!$B$12=CALC_BhaveshMap!$G$12)),AND(CALC_PlanetPositions!$M$13="Malefic",INDEX(REF_Aspects!$D$5:$O$13,7,MOD(CALC_BhaveshMap!$H$12-(MOD(MATCH(CALC_PlanetPositions!$B$13,{"Aries","Taurus","Gemini","Cancer","Leo","Virgo","Libra","Scorpio","Sagittarius","Capricorn","Aquarius","Pisces"},0)-MATCH(INPUT_Chart!$C$5,{"Aries","Taurus","Gemini","Cancer","Leo","Virgo","Libra","Scorpio","Sagittarius","Capricorn","Aquarius","Pisces"},0),12)+1),12)+1)="FULL",NOT(CALC_PlanetPositions!$B$13=CALC_BhaveshMap!$G$12)),AND(TRUE(),INDEX(REF_Aspects!$D$5:$O$13,8,MOD(CALC_BhaveshMap!$H$12-(MOD(MATCH(CALC_PlanetPositions!$B$14,{"Aries","Taurus","Gemini","Cancer","Leo","Virgo","Libra","Scorpio","Sagittarius","Capricorn","Aquarius","Pisces"},0)-MATCH(INPUT_Chart!$C$5,{"Aries","Taurus","Gemini","Cancer","Leo","Virgo","Libra","Scorpio","Sagittarius","Capricorn","Aquarius","Pisces"},0),12)+1),12)+1)="FULL",NOT(CALC_PlanetPositions!$B$14=CALC_BhaveshMap!$G$12)),AND(TRUE(),INDEX(REF_Aspects!$D$5:$O$13,9,MOD(CALC_BhaveshMap!$H$12-(MOD(MATCH(CALC_PlanetPositions!$B$15,{"Aries","Taurus","Gemini","Cancer","Leo","Virgo","Libra","Scorpio","Sagittarius","Capricorn","Aquarius","Pisces"},0)-MATCH(INPUT_Chart!$C$5,{"Aries","Taurus","Gemini","Cancer","Leo","Virgo","Libra","Scorpio","Sagittarius","Capricorn","Aquarius","Pisces"},0),12)+1),12)+1)="FULL",NOT(CALC_PlanetPositions!$B$15=CALC_BhaveshMap!$G$12))),1,0),0)</f>
        <v>0</v>
      </c>
      <c r="G173" s="1104">
        <f>F173*-0.5</f>
        <v>0</v>
      </c>
      <c r="H173" s="1092" t="s">
        <v>4558</v>
      </c>
    </row>
    <row r="174" spans="1:8" ht="18" customHeight="1" x14ac:dyDescent="0.2">
      <c r="A174" s="1099" t="s">
        <v>3041</v>
      </c>
      <c r="B174" s="1100" t="s">
        <v>4554</v>
      </c>
      <c r="C174" s="1101" t="s">
        <v>4528</v>
      </c>
      <c r="D174" s="1102" t="s">
        <v>3042</v>
      </c>
      <c r="E174" s="1103" t="s">
        <v>4559</v>
      </c>
      <c r="F174" s="1090">
        <f>IFERROR(IF(CALC_BhaveshMap!$K$12="Yes",1,0),0)</f>
        <v>1</v>
      </c>
      <c r="G174" s="1104">
        <f>F174*-2</f>
        <v>-2</v>
      </c>
      <c r="H174" s="1092" t="s">
        <v>4560</v>
      </c>
    </row>
    <row r="175" spans="1:8" ht="18" customHeight="1" x14ac:dyDescent="0.2">
      <c r="A175" s="1099" t="s">
        <v>3058</v>
      </c>
      <c r="B175" s="1100" t="s">
        <v>4554</v>
      </c>
      <c r="C175" s="1101" t="s">
        <v>4528</v>
      </c>
      <c r="D175" s="1102" t="s">
        <v>3059</v>
      </c>
      <c r="E175" s="1103" t="s">
        <v>1109</v>
      </c>
      <c r="F175" s="1090">
        <f>IFERROR(IF(OR(AND(CALC_BhaveshMap!$G$10=CALC_BhaveshMap!$G$12,CALC_BhaveshMap!$D$10&lt;&gt;CALC_BhaveshMap!$D$12),AND(CALC_BhaveshMap!$G$12=CALC_BhaveshMap!$G$12,CALC_BhaveshMap!$D$12&lt;&gt;CALC_BhaveshMap!$D$12),AND(CALC_BhaveshMap!$G$16=CALC_BhaveshMap!$G$12,CALC_BhaveshMap!$D$16&lt;&gt;CALC_BhaveshMap!$D$12)),1,0),0)</f>
        <v>0</v>
      </c>
      <c r="G175" s="1104">
        <f>F175*-1</f>
        <v>0</v>
      </c>
      <c r="H175" s="1092" t="s">
        <v>4561</v>
      </c>
    </row>
    <row r="176" spans="1:8" ht="18" customHeight="1" x14ac:dyDescent="0.2">
      <c r="A176" s="1105" t="s">
        <v>3083</v>
      </c>
      <c r="B176" s="1106" t="s">
        <v>4562</v>
      </c>
      <c r="C176" s="1107" t="s">
        <v>4528</v>
      </c>
      <c r="D176" s="1108" t="s">
        <v>3084</v>
      </c>
      <c r="E176" s="1109" t="s">
        <v>1089</v>
      </c>
      <c r="F176" s="1110">
        <f>IFERROR(IF(CALC_KarakMap!$M$12&gt;0,CALC_KarakMap!$M$12,0),0)</f>
        <v>0</v>
      </c>
      <c r="G176" s="1111">
        <f>F176</f>
        <v>0</v>
      </c>
      <c r="H176" s="1092" t="s">
        <v>4563</v>
      </c>
    </row>
    <row r="177" spans="1:8" ht="18" customHeight="1" x14ac:dyDescent="0.2">
      <c r="A177" s="1105" t="s">
        <v>3390</v>
      </c>
      <c r="B177" s="1106" t="s">
        <v>4562</v>
      </c>
      <c r="C177" s="1107" t="s">
        <v>4528</v>
      </c>
      <c r="D177" s="1108" t="s">
        <v>4564</v>
      </c>
      <c r="E177" s="1109" t="s">
        <v>1097</v>
      </c>
      <c r="F177" s="1090">
        <f>IFERROR(IF(CALC_KarakMap!$M$12&lt;0,CALC_KarakMap!$M$12,0),0)</f>
        <v>0</v>
      </c>
      <c r="G177" s="1111">
        <f>F177</f>
        <v>0</v>
      </c>
      <c r="H177" s="1092" t="s">
        <v>4565</v>
      </c>
    </row>
    <row r="178" spans="1:8" ht="21.75" customHeight="1" x14ac:dyDescent="0.2">
      <c r="A178" s="1592" t="s">
        <v>4588</v>
      </c>
      <c r="B178" s="1592"/>
      <c r="C178" s="1592"/>
      <c r="D178" s="1592"/>
      <c r="E178" s="1592"/>
      <c r="F178" s="1592"/>
      <c r="G178" s="1112">
        <f>SUM(G160:G177)</f>
        <v>-2.5</v>
      </c>
      <c r="H178" s="1113" t="s">
        <v>4589</v>
      </c>
    </row>
    <row r="179" spans="1:8" ht="24" customHeight="1" x14ac:dyDescent="0.2">
      <c r="A179" s="1114" t="s">
        <v>4568</v>
      </c>
      <c r="D179" s="1115" t="s">
        <v>5584</v>
      </c>
    </row>
    <row r="180" spans="1:8" ht="21.75" customHeight="1" x14ac:dyDescent="0.2">
      <c r="A180" s="1591" t="s">
        <v>4590</v>
      </c>
      <c r="B180" s="1591"/>
      <c r="C180" s="1591"/>
      <c r="D180" s="1591"/>
      <c r="E180" s="1591"/>
      <c r="F180" s="1591"/>
      <c r="G180" s="1591"/>
      <c r="H180" s="1591"/>
    </row>
    <row r="181" spans="1:8" ht="18" customHeight="1" x14ac:dyDescent="0.2">
      <c r="A181" s="1087" t="s">
        <v>2393</v>
      </c>
      <c r="B181" s="1087" t="s">
        <v>3141</v>
      </c>
      <c r="C181" s="1087" t="s">
        <v>4523</v>
      </c>
      <c r="D181" s="1087" t="s">
        <v>3617</v>
      </c>
      <c r="E181" s="1087" t="s">
        <v>2043</v>
      </c>
      <c r="F181" s="1087" t="s">
        <v>4524</v>
      </c>
      <c r="G181" s="1087" t="s">
        <v>4525</v>
      </c>
      <c r="H181" s="1087" t="s">
        <v>4526</v>
      </c>
    </row>
    <row r="182" spans="1:8" ht="18" customHeight="1" x14ac:dyDescent="0.2">
      <c r="A182" s="316" t="s">
        <v>3365</v>
      </c>
      <c r="B182" s="1088" t="s">
        <v>4527</v>
      </c>
      <c r="C182" s="467" t="s">
        <v>4528</v>
      </c>
      <c r="D182" s="1089" t="s">
        <v>4529</v>
      </c>
      <c r="E182" s="100" t="s">
        <v>3546</v>
      </c>
      <c r="F182" s="1090">
        <f>IFERROR(IF(INDEX(REF_Zodiac!$D$17:$O$17,MATCH(CALC_BhaveshMap!$C$13,REF_Zodiac!$D$3:$O$3,0))="Gentle",1,0),0)</f>
        <v>0</v>
      </c>
      <c r="G182" s="1091">
        <f>F182*0.5</f>
        <v>0</v>
      </c>
      <c r="H182" s="1092" t="s">
        <v>4530</v>
      </c>
    </row>
    <row r="183" spans="1:8" ht="18" customHeight="1" x14ac:dyDescent="0.2">
      <c r="A183" s="316" t="s">
        <v>3016</v>
      </c>
      <c r="B183" s="1088" t="s">
        <v>4527</v>
      </c>
      <c r="C183" s="467" t="s">
        <v>4528</v>
      </c>
      <c r="D183" s="1089" t="s">
        <v>4531</v>
      </c>
      <c r="E183" s="100" t="s">
        <v>1081</v>
      </c>
      <c r="F183"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9),AND(OR(CALC_PlanetPositions!$M$8="Benefic",CALC_PlanetPositions!$M$8="Yogakaraka"),(MOD(MATCH(CALC_PlanetPositions!$B$8,{"Aries","Taurus","Gemini","Cancer","Leo","Virgo","Libra","Scorpio","Sagittarius","Capricorn","Aquarius","Pisces"},0)-MATCH(INPUT_Chart!$C$5,{"Aries","Taurus","Gemini","Cancer","Leo","Virgo","Libra","Scorpio","Sagittarius","Capricorn","Aquarius","Pisces"},0),12)+1)=9),AND(OR(CALC_PlanetPositions!$M$9="Benefic",CALC_PlanetPositions!$M$9="Yogakaraka"),(MOD(MATCH(CALC_PlanetPositions!$B$9,{"Aries","Taurus","Gemini","Cancer","Leo","Virgo","Libra","Scorpio","Sagittarius","Capricorn","Aquarius","Pisces"},0)-MATCH(INPUT_Chart!$C$5,{"Aries","Taurus","Gemini","Cancer","Leo","Virgo","Libra","Scorpio","Sagittarius","Capricorn","Aquarius","Pisces"},0),12)+1)=9),AND(OR(CALC_PlanetPositions!$M$10="Benefic",CALC_PlanetPositions!$M$10="Yogakaraka"),(MOD(MATCH(CALC_PlanetPositions!$B$10,{"Aries","Taurus","Gemini","Cancer","Leo","Virgo","Libra","Scorpio","Sagittarius","Capricorn","Aquarius","Pisces"},0)-MATCH(INPUT_Chart!$C$5,{"Aries","Taurus","Gemini","Cancer","Leo","Virgo","Libra","Scorpio","Sagittarius","Capricorn","Aquarius","Pisces"},0),12)+1)=9),AND(OR(CALC_PlanetPositions!$M$11="Benefic",CALC_PlanetPositions!$M$11="Yogakaraka"),(MOD(MATCH(CALC_PlanetPositions!$B$11,{"Aries","Taurus","Gemini","Cancer","Leo","Virgo","Libra","Scorpio","Sagittarius","Capricorn","Aquarius","Pisces"},0)-MATCH(INPUT_Chart!$C$5,{"Aries","Taurus","Gemini","Cancer","Leo","Virgo","Libra","Scorpio","Sagittarius","Capricorn","Aquarius","Pisces"},0),12)+1)=9),AND(OR(CALC_PlanetPositions!$M$12="Benefic",CALC_PlanetPositions!$M$12="Yogakaraka"),(MOD(MATCH(CALC_PlanetPositions!$B$12,{"Aries","Taurus","Gemini","Cancer","Leo","Virgo","Libra","Scorpio","Sagittarius","Capricorn","Aquarius","Pisces"},0)-MATCH(INPUT_Chart!$C$5,{"Aries","Taurus","Gemini","Cancer","Leo","Virgo","Libra","Scorpio","Sagittarius","Capricorn","Aquarius","Pisces"},0),12)+1)=9),AND(OR(CALC_PlanetPositions!$M$13="Benefic",CALC_PlanetPositions!$M$13="Yogakaraka"),(MOD(MATCH(CALC_PlanetPositions!$B$13,{"Aries","Taurus","Gemini","Cancer","Leo","Virgo","Libra","Scorpio","Sagittarius","Capricorn","Aquarius","Pisces"},0)-MATCH(INPUT_Chart!$C$5,{"Aries","Taurus","Gemini","Cancer","Leo","Virgo","Libra","Scorpio","Sagittarius","Capricorn","Aquarius","Pisces"},0),12)+1)=9),AND(FALSE(),(MOD(MATCH(CALC_PlanetPositions!$B$14,{"Aries","Taurus","Gemini","Cancer","Leo","Virgo","Libra","Scorpio","Sagittarius","Capricorn","Aquarius","Pisces"},0)-MATCH(INPUT_Chart!$C$5,{"Aries","Taurus","Gemini","Cancer","Leo","Virgo","Libra","Scorpio","Sagittarius","Capricorn","Aquarius","Pisces"},0),12)+1)=9),AND(FALSE(),(MOD(MATCH(CALC_PlanetPositions!$B$15,{"Aries","Taurus","Gemini","Cancer","Leo","Virgo","Libra","Scorpio","Sagittarius","Capricorn","Aquarius","Pisces"},0)-MATCH(INPUT_Chart!$C$5,{"Aries","Taurus","Gemini","Cancer","Leo","Virgo","Libra","Scorpio","Sagittarius","Capricorn","Aquarius","Pisces"},0),12)+1)=9)),1,0),0)</f>
        <v>0</v>
      </c>
      <c r="G183" s="1091">
        <f>F183*1</f>
        <v>0</v>
      </c>
      <c r="H183" s="1092" t="s">
        <v>4532</v>
      </c>
    </row>
    <row r="184" spans="1:8" ht="18" customHeight="1" x14ac:dyDescent="0.2">
      <c r="A184" s="316" t="s">
        <v>3065</v>
      </c>
      <c r="B184" s="1088" t="s">
        <v>4527</v>
      </c>
      <c r="C184" s="467" t="s">
        <v>4533</v>
      </c>
      <c r="D184" s="1089" t="s">
        <v>4534</v>
      </c>
      <c r="E184" s="100" t="s">
        <v>1085</v>
      </c>
      <c r="F184" s="1090">
        <f>IFERROR(IF(OR(AND(OR(CALC_PlanetPositions!$M$7="Benefic",CALC_PlanetPositions!$M$7="Yogakaraka"),INDEX(REF_Aspects!$D$5:$O$13,1,MOD(9-(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9)),AND(OR(CALC_PlanetPositions!$M$8="Benefic",CALC_PlanetPositions!$M$8="Yogakaraka"),INDEX(REF_Aspects!$D$5:$O$13,2,MOD(9-(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9)),AND(OR(CALC_PlanetPositions!$M$9="Benefic",CALC_PlanetPositions!$M$9="Yogakaraka"),INDEX(REF_Aspects!$D$5:$O$13,3,MOD(9-(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9)),AND(OR(CALC_PlanetPositions!$M$10="Benefic",CALC_PlanetPositions!$M$10="Yogakaraka"),INDEX(REF_Aspects!$D$5:$O$13,4,MOD(9-(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9)),AND(OR(CALC_PlanetPositions!$M$11="Benefic",CALC_PlanetPositions!$M$11="Yogakaraka"),INDEX(REF_Aspects!$D$5:$O$13,5,MOD(9-(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9)),AND(OR(CALC_PlanetPositions!$M$12="Benefic",CALC_PlanetPositions!$M$12="Yogakaraka"),INDEX(REF_Aspects!$D$5:$O$13,6,MOD(9-(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9)),AND(OR(CALC_PlanetPositions!$M$13="Benefic",CALC_PlanetPositions!$M$13="Yogakaraka"),INDEX(REF_Aspects!$D$5:$O$13,7,MOD(9-(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9)),AND(FALSE(),INDEX(REF_Aspects!$D$5:$O$13,8,MOD(9-(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9)),AND(FALSE(),INDEX(REF_Aspects!$D$5:$O$13,9,MOD(9-(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9))),1,0),0)</f>
        <v>1</v>
      </c>
      <c r="G184" s="1091">
        <f>F184*0.75</f>
        <v>0.75</v>
      </c>
      <c r="H184" s="1092" t="s">
        <v>4535</v>
      </c>
    </row>
    <row r="185" spans="1:8" ht="18" customHeight="1" x14ac:dyDescent="0.2">
      <c r="A185" s="356" t="s">
        <v>3015</v>
      </c>
      <c r="B185" s="1093" t="s">
        <v>4536</v>
      </c>
      <c r="C185" s="463" t="s">
        <v>4528</v>
      </c>
      <c r="D185" s="1094" t="s">
        <v>4537</v>
      </c>
      <c r="E185" s="101" t="s">
        <v>1075</v>
      </c>
      <c r="F185" s="1090">
        <f>IFERROR(IF(AND(OR(CALC_BhaveshMap!$I$13="Yes",CALC_BhaveshMap!$J$13="Yes"),NOT(CALC_BhaveshMap!$K$13="Yes")),1,0),0)</f>
        <v>0</v>
      </c>
      <c r="G185" s="1095">
        <f>F185*2</f>
        <v>0</v>
      </c>
      <c r="H185" s="1092" t="s">
        <v>4538</v>
      </c>
    </row>
    <row r="186" spans="1:8" ht="18" customHeight="1" x14ac:dyDescent="0.2">
      <c r="A186" s="356" t="s">
        <v>3092</v>
      </c>
      <c r="B186" s="1093" t="s">
        <v>4536</v>
      </c>
      <c r="C186" s="463" t="s">
        <v>4533</v>
      </c>
      <c r="D186" s="1094" t="s">
        <v>3093</v>
      </c>
      <c r="E186" s="101" t="s">
        <v>1081</v>
      </c>
      <c r="F186" s="1090">
        <f>IFERROR(IF(OR(AND(CALC_BhaveshMap!$G$5=CALC_BhaveshMap!$G$13,CALC_BhaveshMap!$D$5&lt;&gt;CALC_BhaveshMap!$D$13),AND(CALC_BhaveshMap!$G$8=CALC_BhaveshMap!$G$13,CALC_BhaveshMap!$D$8&lt;&gt;CALC_BhaveshMap!$D$13),AND(CALC_BhaveshMap!$G$9=CALC_BhaveshMap!$G$13,CALC_BhaveshMap!$D$9&lt;&gt;CALC_BhaveshMap!$D$13),AND(CALC_BhaveshMap!$G$11=CALC_BhaveshMap!$G$13,CALC_BhaveshMap!$D$11&lt;&gt;CALC_BhaveshMap!$D$13),AND(CALC_BhaveshMap!$G$13=CALC_BhaveshMap!$G$13,CALC_BhaveshMap!$D$13&lt;&gt;CALC_BhaveshMap!$D$13),AND(CALC_BhaveshMap!$G$14=CALC_BhaveshMap!$G$13,CALC_BhaveshMap!$D$14&lt;&gt;CALC_BhaveshMap!$D$13)),1,0),0)</f>
        <v>1</v>
      </c>
      <c r="G186" s="1095">
        <f>F186*0.5</f>
        <v>0.5</v>
      </c>
      <c r="H186" s="1092" t="s">
        <v>4539</v>
      </c>
    </row>
    <row r="187" spans="1:8" ht="18" customHeight="1" x14ac:dyDescent="0.2">
      <c r="A187" s="356" t="s">
        <v>3028</v>
      </c>
      <c r="B187" s="1093" t="s">
        <v>4536</v>
      </c>
      <c r="C187" s="463" t="s">
        <v>4528</v>
      </c>
      <c r="D187" s="1094" t="s">
        <v>4540</v>
      </c>
      <c r="E187" s="101" t="s">
        <v>1081</v>
      </c>
      <c r="F187" s="1090">
        <v>0</v>
      </c>
      <c r="G187" s="1095">
        <f>F187*1</f>
        <v>0</v>
      </c>
      <c r="H187" s="1092" t="s">
        <v>4541</v>
      </c>
    </row>
    <row r="188" spans="1:8" ht="18" customHeight="1" x14ac:dyDescent="0.2">
      <c r="A188" s="356" t="s">
        <v>3112</v>
      </c>
      <c r="B188" s="1093" t="s">
        <v>4536</v>
      </c>
      <c r="C188" s="463" t="s">
        <v>4533</v>
      </c>
      <c r="D188" s="1094" t="s">
        <v>4542</v>
      </c>
      <c r="E188" s="101" t="s">
        <v>1081</v>
      </c>
      <c r="F188" s="1090">
        <f>IFERROR(IF(OR(AND(OR(CALC_PlanetPositions!$M$7="Benefic",CALC_PlanetPositions!$M$7="Yogakaraka"),INDEX(REF_Aspects!$D$5:$O$13,1,MOD(CALC_BhaveshMap!$H$13-(MOD(MATCH(CALC_PlanetPositions!$B$7,{"Aries","Taurus","Gemini","Cancer","Leo","Virgo","Libra","Scorpio","Sagittarius","Capricorn","Aquarius","Pisces"},0)-MATCH(INPUT_Chart!$C$5,{"Aries","Taurus","Gemini","Cancer","Leo","Virgo","Libra","Scorpio","Sagittarius","Capricorn","Aquarius","Pisces"},0),12)+1),12)+1)="FULL",NOT(CALC_PlanetPositions!$B$7=CALC_BhaveshMap!$G$13)),AND(OR(CALC_PlanetPositions!$M$8="Benefic",CALC_PlanetPositions!$M$8="Yogakaraka"),INDEX(REF_Aspects!$D$5:$O$13,2,MOD(CALC_BhaveshMap!$H$13-(MOD(MATCH(CALC_PlanetPositions!$B$8,{"Aries","Taurus","Gemini","Cancer","Leo","Virgo","Libra","Scorpio","Sagittarius","Capricorn","Aquarius","Pisces"},0)-MATCH(INPUT_Chart!$C$5,{"Aries","Taurus","Gemini","Cancer","Leo","Virgo","Libra","Scorpio","Sagittarius","Capricorn","Aquarius","Pisces"},0),12)+1),12)+1)="FULL",NOT(CALC_PlanetPositions!$B$8=CALC_BhaveshMap!$G$13)),AND(OR(CALC_PlanetPositions!$M$9="Benefic",CALC_PlanetPositions!$M$9="Yogakaraka"),INDEX(REF_Aspects!$D$5:$O$13,3,MOD(CALC_BhaveshMap!$H$13-(MOD(MATCH(CALC_PlanetPositions!$B$9,{"Aries","Taurus","Gemini","Cancer","Leo","Virgo","Libra","Scorpio","Sagittarius","Capricorn","Aquarius","Pisces"},0)-MATCH(INPUT_Chart!$C$5,{"Aries","Taurus","Gemini","Cancer","Leo","Virgo","Libra","Scorpio","Sagittarius","Capricorn","Aquarius","Pisces"},0),12)+1),12)+1)="FULL",NOT(CALC_PlanetPositions!$B$9=CALC_BhaveshMap!$G$13)),AND(OR(CALC_PlanetPositions!$M$10="Benefic",CALC_PlanetPositions!$M$10="Yogakaraka"),INDEX(REF_Aspects!$D$5:$O$13,4,MOD(CALC_BhaveshMap!$H$13-(MOD(MATCH(CALC_PlanetPositions!$B$10,{"Aries","Taurus","Gemini","Cancer","Leo","Virgo","Libra","Scorpio","Sagittarius","Capricorn","Aquarius","Pisces"},0)-MATCH(INPUT_Chart!$C$5,{"Aries","Taurus","Gemini","Cancer","Leo","Virgo","Libra","Scorpio","Sagittarius","Capricorn","Aquarius","Pisces"},0),12)+1),12)+1)="FULL",NOT(CALC_PlanetPositions!$B$10=CALC_BhaveshMap!$G$13)),AND(OR(CALC_PlanetPositions!$M$11="Benefic",CALC_PlanetPositions!$M$11="Yogakaraka"),INDEX(REF_Aspects!$D$5:$O$13,5,MOD(CALC_BhaveshMap!$H$13-(MOD(MATCH(CALC_PlanetPositions!$B$11,{"Aries","Taurus","Gemini","Cancer","Leo","Virgo","Libra","Scorpio","Sagittarius","Capricorn","Aquarius","Pisces"},0)-MATCH(INPUT_Chart!$C$5,{"Aries","Taurus","Gemini","Cancer","Leo","Virgo","Libra","Scorpio","Sagittarius","Capricorn","Aquarius","Pisces"},0),12)+1),12)+1)="FULL",NOT(CALC_PlanetPositions!$B$11=CALC_BhaveshMap!$G$13)),AND(OR(CALC_PlanetPositions!$M$12="Benefic",CALC_PlanetPositions!$M$12="Yogakaraka"),INDEX(REF_Aspects!$D$5:$O$13,6,MOD(CALC_BhaveshMap!$H$13-(MOD(MATCH(CALC_PlanetPositions!$B$12,{"Aries","Taurus","Gemini","Cancer","Leo","Virgo","Libra","Scorpio","Sagittarius","Capricorn","Aquarius","Pisces"},0)-MATCH(INPUT_Chart!$C$5,{"Aries","Taurus","Gemini","Cancer","Leo","Virgo","Libra","Scorpio","Sagittarius","Capricorn","Aquarius","Pisces"},0),12)+1),12)+1)="FULL",NOT(CALC_PlanetPositions!$B$12=CALC_BhaveshMap!$G$13)),AND(OR(CALC_PlanetPositions!$M$13="Benefic",CALC_PlanetPositions!$M$13="Yogakaraka"),INDEX(REF_Aspects!$D$5:$O$13,7,MOD(CALC_BhaveshMap!$H$13-(MOD(MATCH(CALC_PlanetPositions!$B$13,{"Aries","Taurus","Gemini","Cancer","Leo","Virgo","Libra","Scorpio","Sagittarius","Capricorn","Aquarius","Pisces"},0)-MATCH(INPUT_Chart!$C$5,{"Aries","Taurus","Gemini","Cancer","Leo","Virgo","Libra","Scorpio","Sagittarius","Capricorn","Aquarius","Pisces"},0),12)+1),12)+1)="FULL",NOT(CALC_PlanetPositions!$B$13=CALC_BhaveshMap!$G$13)),AND(FALSE(),INDEX(REF_Aspects!$D$5:$O$13,8,MOD(CALC_BhaveshMap!$H$13-(MOD(MATCH(CALC_PlanetPositions!$B$14,{"Aries","Taurus","Gemini","Cancer","Leo","Virgo","Libra","Scorpio","Sagittarius","Capricorn","Aquarius","Pisces"},0)-MATCH(INPUT_Chart!$C$5,{"Aries","Taurus","Gemini","Cancer","Leo","Virgo","Libra","Scorpio","Sagittarius","Capricorn","Aquarius","Pisces"},0),12)+1),12)+1)="FULL",NOT(CALC_PlanetPositions!$B$14=CALC_BhaveshMap!$G$13)),AND(FALSE(),INDEX(REF_Aspects!$D$5:$O$13,9,MOD(CALC_BhaveshMap!$H$13-(MOD(MATCH(CALC_PlanetPositions!$B$15,{"Aries","Taurus","Gemini","Cancer","Leo","Virgo","Libra","Scorpio","Sagittarius","Capricorn","Aquarius","Pisces"},0)-MATCH(INPUT_Chart!$C$5,{"Aries","Taurus","Gemini","Cancer","Leo","Virgo","Libra","Scorpio","Sagittarius","Capricorn","Aquarius","Pisces"},0),12)+1),12)+1)="FULL",NOT(CALC_PlanetPositions!$B$15=CALC_BhaveshMap!$G$13))),1,0),0)</f>
        <v>0</v>
      </c>
      <c r="G188" s="1095">
        <f>F188*0.5</f>
        <v>0</v>
      </c>
      <c r="H188" s="1092" t="s">
        <v>4543</v>
      </c>
    </row>
    <row r="189" spans="1:8" ht="18" customHeight="1" x14ac:dyDescent="0.2">
      <c r="A189" s="356" t="s">
        <v>3033</v>
      </c>
      <c r="B189" s="1093" t="s">
        <v>4536</v>
      </c>
      <c r="C189" s="463" t="s">
        <v>4528</v>
      </c>
      <c r="D189" s="1094" t="s">
        <v>3034</v>
      </c>
      <c r="E189" s="101" t="s">
        <v>1085</v>
      </c>
      <c r="F189"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$13-2,12)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$13-2,12)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$13-2,12)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$13-2,12)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$13-2,12)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$13-2,12)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$13-2,12)+1)),AND(FALSE(),MOD(MATCH(CALC_PlanetPositions!$B$14,{"Aries","Taurus","Gemini","Cancer","Leo","Virgo","Libra","Scorpio","Sagittarius","Capricorn","Aquarius","Pisces"},0)-MATCH(INPUT_Chart!$C$5,{"Aries","Taurus","Gemini","Cancer","Leo","Virgo","Libra","Scorpio","Sagittarius","Capricorn","Aquarius","Pisces"},0),12)+1=(MOD(CALC_BhaveshMap!$H$13-2,12)+1)),AND(FALSE(),MOD(MATCH(CALC_PlanetPositions!$B$15,{"Aries","Taurus","Gemini","Cancer","Leo","Virgo","Libra","Scorpio","Sagittarius","Capricorn","Aquarius","Pisces"},0)-MATCH(INPUT_Chart!$C$5,{"Aries","Taurus","Gemini","Cancer","Leo","Virgo","Libra","Scorpio","Sagittarius","Capricorn","Aquarius","Pisces"},0),12)+1=(MOD(CALC_BhaveshMap!$H$13-2,12)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$13,12)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$13,12)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$13,12)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$13,12)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$13,12)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$13,12)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$13,12)+1)),AND(FALSE(),MOD(MATCH(CALC_PlanetPositions!$B$14,{"Aries","Taurus","Gemini","Cancer","Leo","Virgo","Libra","Scorpio","Sagittarius","Capricorn","Aquarius","Pisces"},0)-MATCH(INPUT_Chart!$C$5,{"Aries","Taurus","Gemini","Cancer","Leo","Virgo","Libra","Scorpio","Sagittarius","Capricorn","Aquarius","Pisces"},0),12)+1=(MOD(CALC_BhaveshMap!$H$13,12)+1)),AND(FALSE(),MOD(MATCH(CALC_PlanetPositions!$B$15,{"Aries","Taurus","Gemini","Cancer","Leo","Virgo","Libra","Scorpio","Sagittarius","Capricorn","Aquarius","Pisces"},0)-MATCH(INPUT_Chart!$C$5,{"Aries","Taurus","Gemini","Cancer","Leo","Virgo","Libra","Scorpio","Sagittarius","Capricorn","Aquarius","Pisces"},0),12)+1=(MOD(CALC_BhaveshMap!$H$13,12)+1)))),1,0),0)</f>
        <v>0</v>
      </c>
      <c r="G189" s="1095">
        <f>F189*0.75</f>
        <v>0</v>
      </c>
      <c r="H189" s="1092" t="s">
        <v>4544</v>
      </c>
    </row>
    <row r="190" spans="1:8" ht="18" customHeight="1" x14ac:dyDescent="0.2">
      <c r="A190" s="315" t="s">
        <v>3050</v>
      </c>
      <c r="B190" s="1096" t="s">
        <v>4545</v>
      </c>
      <c r="C190" s="480" t="s">
        <v>4528</v>
      </c>
      <c r="D190" s="1097" t="s">
        <v>4546</v>
      </c>
      <c r="E190" s="99" t="s">
        <v>1109</v>
      </c>
      <c r="F190" s="1090">
        <f>IFERROR(IF(OR(AND(CALC_PlanetPositions!$M$7="Malefic",(MOD(MATCH(CALC_PlanetPositions!$B$7,{"Aries","Taurus","Gemini","Cancer","Leo","Virgo","Libra","Scorpio","Sagittarius","Capricorn","Aquarius","Pisces"},0)-MATCH(INPUT_Chart!$C$5,{"Aries","Taurus","Gemini","Cancer","Leo","Virgo","Libra","Scorpio","Sagittarius","Capricorn","Aquarius","Pisces"},0),12)+1)=9),AND(CALC_PlanetPositions!$M$8="Malefic",(MOD(MATCH(CALC_PlanetPositions!$B$8,{"Aries","Taurus","Gemini","Cancer","Leo","Virgo","Libra","Scorpio","Sagittarius","Capricorn","Aquarius","Pisces"},0)-MATCH(INPUT_Chart!$C$5,{"Aries","Taurus","Gemini","Cancer","Leo","Virgo","Libra","Scorpio","Sagittarius","Capricorn","Aquarius","Pisces"},0),12)+1)=9),AND(CALC_PlanetPositions!$M$9="Malefic",(MOD(MATCH(CALC_PlanetPositions!$B$9,{"Aries","Taurus","Gemini","Cancer","Leo","Virgo","Libra","Scorpio","Sagittarius","Capricorn","Aquarius","Pisces"},0)-MATCH(INPUT_Chart!$C$5,{"Aries","Taurus","Gemini","Cancer","Leo","Virgo","Libra","Scorpio","Sagittarius","Capricorn","Aquarius","Pisces"},0),12)+1)=9),AND(CALC_PlanetPositions!$M$10="Malefic",(MOD(MATCH(CALC_PlanetPositions!$B$10,{"Aries","Taurus","Gemini","Cancer","Leo","Virgo","Libra","Scorpio","Sagittarius","Capricorn","Aquarius","Pisces"},0)-MATCH(INPUT_Chart!$C$5,{"Aries","Taurus","Gemini","Cancer","Leo","Virgo","Libra","Scorpio","Sagittarius","Capricorn","Aquarius","Pisces"},0),12)+1)=9),AND(CALC_PlanetPositions!$M$11="Malefic",(MOD(MATCH(CALC_PlanetPositions!$B$11,{"Aries","Taurus","Gemini","Cancer","Leo","Virgo","Libra","Scorpio","Sagittarius","Capricorn","Aquarius","Pisces"},0)-MATCH(INPUT_Chart!$C$5,{"Aries","Taurus","Gemini","Cancer","Leo","Virgo","Libra","Scorpio","Sagittarius","Capricorn","Aquarius","Pisces"},0),12)+1)=9),AND(CALC_PlanetPositions!$M$12="Malefic",(MOD(MATCH(CALC_PlanetPositions!$B$12,{"Aries","Taurus","Gemini","Cancer","Leo","Virgo","Libra","Scorpio","Sagittarius","Capricorn","Aquarius","Pisces"},0)-MATCH(INPUT_Chart!$C$5,{"Aries","Taurus","Gemini","Cancer","Leo","Virgo","Libra","Scorpio","Sagittarius","Capricorn","Aquarius","Pisces"},0),12)+1)=9),AND(CALC_PlanetPositions!$M$13="Malefic",(MOD(MATCH(CALC_PlanetPositions!$B$13,{"Aries","Taurus","Gemini","Cancer","Leo","Virgo","Libra","Scorpio","Sagittarius","Capricorn","Aquarius","Pisces"},0)-MATCH(INPUT_Chart!$C$5,{"Aries","Taurus","Gemini","Cancer","Leo","Virgo","Libra","Scorpio","Sagittarius","Capricorn","Aquarius","Pisces"},0),12)+1)=9),AND(TRUE(),(MOD(MATCH(CALC_PlanetPositions!$B$14,{"Aries","Taurus","Gemini","Cancer","Leo","Virgo","Libra","Scorpio","Sagittarius","Capricorn","Aquarius","Pisces"},0)-MATCH(INPUT_Chart!$C$5,{"Aries","Taurus","Gemini","Cancer","Leo","Virgo","Libra","Scorpio","Sagittarius","Capricorn","Aquarius","Pisces"},0),12)+1)=9),AND(TRUE(),(MOD(MATCH(CALC_PlanetPositions!$B$15,{"Aries","Taurus","Gemini","Cancer","Leo","Virgo","Libra","Scorpio","Sagittarius","Capricorn","Aquarius","Pisces"},0)-MATCH(INPUT_Chart!$C$5,{"Aries","Taurus","Gemini","Cancer","Leo","Virgo","Libra","Scorpio","Sagittarius","Capricorn","Aquarius","Pisces"},0),12)+1)=9)),1,0),0)</f>
        <v>0</v>
      </c>
      <c r="G190" s="1098">
        <f>F190*-1</f>
        <v>0</v>
      </c>
      <c r="H190" s="1092" t="s">
        <v>4547</v>
      </c>
    </row>
    <row r="191" spans="1:8" ht="18" customHeight="1" x14ac:dyDescent="0.2">
      <c r="A191" s="315" t="s">
        <v>3066</v>
      </c>
      <c r="B191" s="1096" t="s">
        <v>4545</v>
      </c>
      <c r="C191" s="480" t="s">
        <v>4528</v>
      </c>
      <c r="D191" s="1097" t="s">
        <v>4548</v>
      </c>
      <c r="E191" s="99" t="s">
        <v>1109</v>
      </c>
      <c r="F191" s="1090">
        <f>IFERROR(IF(OR(AND(CALC_PlanetPositions!$M$7="Malefic",INDEX(REF_Aspects!$D$5:$O$13,1,MOD(9-(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9)),AND(CALC_PlanetPositions!$M$8="Malefic",INDEX(REF_Aspects!$D$5:$O$13,2,MOD(9-(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9)),AND(CALC_PlanetPositions!$M$9="Malefic",INDEX(REF_Aspects!$D$5:$O$13,3,MOD(9-(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9)),AND(CALC_PlanetPositions!$M$10="Malefic",INDEX(REF_Aspects!$D$5:$O$13,4,MOD(9-(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9)),AND(CALC_PlanetPositions!$M$11="Malefic",INDEX(REF_Aspects!$D$5:$O$13,5,MOD(9-(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9)),AND(CALC_PlanetPositions!$M$12="Malefic",INDEX(REF_Aspects!$D$5:$O$13,6,MOD(9-(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9)),AND(CALC_PlanetPositions!$M$13="Malefic",INDEX(REF_Aspects!$D$5:$O$13,7,MOD(9-(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9)),AND(TRUE(),INDEX(REF_Aspects!$D$5:$O$13,8,MOD(9-(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9)),AND(TRUE(),INDEX(REF_Aspects!$D$5:$O$13,9,MOD(9-(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9))),1,0),0)</f>
        <v>1</v>
      </c>
      <c r="G191" s="1098">
        <f>F191*-1</f>
        <v>-1</v>
      </c>
      <c r="H191" s="1092" t="s">
        <v>4549</v>
      </c>
    </row>
    <row r="192" spans="1:8" ht="18" customHeight="1" x14ac:dyDescent="0.2">
      <c r="A192" s="315" t="s">
        <v>3061</v>
      </c>
      <c r="B192" s="1096" t="s">
        <v>4545</v>
      </c>
      <c r="C192" s="480" t="s">
        <v>4528</v>
      </c>
      <c r="D192" s="1097" t="s">
        <v>3062</v>
      </c>
      <c r="E192" s="99" t="s">
        <v>4550</v>
      </c>
      <c r="F192" s="1090">
        <v>0</v>
      </c>
      <c r="G192" s="1098">
        <f>F192*-1.25</f>
        <v>0</v>
      </c>
      <c r="H192" s="1092" t="s">
        <v>4551</v>
      </c>
    </row>
    <row r="193" spans="1:8" ht="18" customHeight="1" x14ac:dyDescent="0.2">
      <c r="A193" s="315" t="s">
        <v>3095</v>
      </c>
      <c r="B193" s="1096" t="s">
        <v>4545</v>
      </c>
      <c r="C193" s="480" t="s">
        <v>4528</v>
      </c>
      <c r="D193" s="1097" t="s">
        <v>4552</v>
      </c>
      <c r="E193" s="99" t="s">
        <v>3564</v>
      </c>
      <c r="F193" s="1090">
        <f>IFERROR(IF(AND(OR(AND(CALC_PlanetPositions!$M$7="Malefic",MOD(MATCH(CALC_PlanetPositions!$B$7,{"Aries","Taurus","Gemini","Cancer","Leo","Virgo","Libra","Scorpio","Sagittarius","Capricorn","Aquarius","Pisces"},0)-MATCH(INPUT_Chart!$C$5,{"Aries","Taurus","Gemini","Cancer","Leo","Virgo","Libra","Scorpio","Sagittarius","Capricorn","Aquarius","Pisces"},0),12)+1=(MOD(9-2,12)+1)),AND(CALC_PlanetPositions!$M$8="Malefic",MOD(MATCH(CALC_PlanetPositions!$B$8,{"Aries","Taurus","Gemini","Cancer","Leo","Virgo","Libra","Scorpio","Sagittarius","Capricorn","Aquarius","Pisces"},0)-MATCH(INPUT_Chart!$C$5,{"Aries","Taurus","Gemini","Cancer","Leo","Virgo","Libra","Scorpio","Sagittarius","Capricorn","Aquarius","Pisces"},0),12)+1=(MOD(9-2,12)+1)),AND(CALC_PlanetPositions!$M$9="Malefic",MOD(MATCH(CALC_PlanetPositions!$B$9,{"Aries","Taurus","Gemini","Cancer","Leo","Virgo","Libra","Scorpio","Sagittarius","Capricorn","Aquarius","Pisces"},0)-MATCH(INPUT_Chart!$C$5,{"Aries","Taurus","Gemini","Cancer","Leo","Virgo","Libra","Scorpio","Sagittarius","Capricorn","Aquarius","Pisces"},0),12)+1=(MOD(9-2,12)+1)),AND(CALC_PlanetPositions!$M$10="Malefic",MOD(MATCH(CALC_PlanetPositions!$B$10,{"Aries","Taurus","Gemini","Cancer","Leo","Virgo","Libra","Scorpio","Sagittarius","Capricorn","Aquarius","Pisces"},0)-MATCH(INPUT_Chart!$C$5,{"Aries","Taurus","Gemini","Cancer","Leo","Virgo","Libra","Scorpio","Sagittarius","Capricorn","Aquarius","Pisces"},0),12)+1=(MOD(9-2,12)+1)),AND(CALC_PlanetPositions!$M$11="Malefic",MOD(MATCH(CALC_PlanetPositions!$B$11,{"Aries","Taurus","Gemini","Cancer","Leo","Virgo","Libra","Scorpio","Sagittarius","Capricorn","Aquarius","Pisces"},0)-MATCH(INPUT_Chart!$C$5,{"Aries","Taurus","Gemini","Cancer","Leo","Virgo","Libra","Scorpio","Sagittarius","Capricorn","Aquarius","Pisces"},0),12)+1=(MOD(9-2,12)+1)),AND(CALC_PlanetPositions!$M$12="Malefic",MOD(MATCH(CALC_PlanetPositions!$B$12,{"Aries","Taurus","Gemini","Cancer","Leo","Virgo","Libra","Scorpio","Sagittarius","Capricorn","Aquarius","Pisces"},0)-MATCH(INPUT_Chart!$C$5,{"Aries","Taurus","Gemini","Cancer","Leo","Virgo","Libra","Scorpio","Sagittarius","Capricorn","Aquarius","Pisces"},0),12)+1=(MOD(9-2,12)+1)),AND(CALC_PlanetPositions!$M$13="Malefic",MOD(MATCH(CALC_PlanetPositions!$B$13,{"Aries","Taurus","Gemini","Cancer","Leo","Virgo","Libra","Scorpio","Sagittarius","Capricorn","Aquarius","Pisces"},0)-MATCH(INPUT_Chart!$C$5,{"Aries","Taurus","Gemini","Cancer","Leo","Virgo","Libra","Scorpio","Sagittarius","Capricorn","Aquarius","Pisces"},0),12)+1=(MOD(9-2,12)+1)),AND(TRUE(),MOD(MATCH(CALC_PlanetPositions!$B$14,{"Aries","Taurus","Gemini","Cancer","Leo","Virgo","Libra","Scorpio","Sagittarius","Capricorn","Aquarius","Pisces"},0)-MATCH(INPUT_Chart!$C$5,{"Aries","Taurus","Gemini","Cancer","Leo","Virgo","Libra","Scorpio","Sagittarius","Capricorn","Aquarius","Pisces"},0),12)+1=(MOD(9-2,12)+1)),AND(TRUE(),MOD(MATCH(CALC_PlanetPositions!$B$15,{"Aries","Taurus","Gemini","Cancer","Leo","Virgo","Libra","Scorpio","Sagittarius","Capricorn","Aquarius","Pisces"},0)-MATCH(INPUT_Chart!$C$5,{"Aries","Taurus","Gemini","Cancer","Leo","Virgo","Libra","Scorpio","Sagittarius","Capricorn","Aquarius","Pisces"},0),12)+1=(MOD(9-2,12)+1))),OR(AND(CALC_PlanetPositions!$M$7="Malefic",MOD(MATCH(CALC_PlanetPositions!$B$7,{"Aries","Taurus","Gemini","Cancer","Leo","Virgo","Libra","Scorpio","Sagittarius","Capricorn","Aquarius","Pisces"},0)-MATCH(INPUT_Chart!$C$5,{"Aries","Taurus","Gemini","Cancer","Leo","Virgo","Libra","Scorpio","Sagittarius","Capricorn","Aquarius","Pisces"},0),12)+1=(MOD(9,12)+1)),AND(CALC_PlanetPositions!$M$8="Malefic",MOD(MATCH(CALC_PlanetPositions!$B$8,{"Aries","Taurus","Gemini","Cancer","Leo","Virgo","Libra","Scorpio","Sagittarius","Capricorn","Aquarius","Pisces"},0)-MATCH(INPUT_Chart!$C$5,{"Aries","Taurus","Gemini","Cancer","Leo","Virgo","Libra","Scorpio","Sagittarius","Capricorn","Aquarius","Pisces"},0),12)+1=(MOD(9,12)+1)),AND(CALC_PlanetPositions!$M$9="Malefic",MOD(MATCH(CALC_PlanetPositions!$B$9,{"Aries","Taurus","Gemini","Cancer","Leo","Virgo","Libra","Scorpio","Sagittarius","Capricorn","Aquarius","Pisces"},0)-MATCH(INPUT_Chart!$C$5,{"Aries","Taurus","Gemini","Cancer","Leo","Virgo","Libra","Scorpio","Sagittarius","Capricorn","Aquarius","Pisces"},0),12)+1=(MOD(9,12)+1)),AND(CALC_PlanetPositions!$M$10="Malefic",MOD(MATCH(CALC_PlanetPositions!$B$10,{"Aries","Taurus","Gemini","Cancer","Leo","Virgo","Libra","Scorpio","Sagittarius","Capricorn","Aquarius","Pisces"},0)-MATCH(INPUT_Chart!$C$5,{"Aries","Taurus","Gemini","Cancer","Leo","Virgo","Libra","Scorpio","Sagittarius","Capricorn","Aquarius","Pisces"},0),12)+1=(MOD(9,12)+1)),AND(CALC_PlanetPositions!$M$11="Malefic",MOD(MATCH(CALC_PlanetPositions!$B$11,{"Aries","Taurus","Gemini","Cancer","Leo","Virgo","Libra","Scorpio","Sagittarius","Capricorn","Aquarius","Pisces"},0)-MATCH(INPUT_Chart!$C$5,{"Aries","Taurus","Gemini","Cancer","Leo","Virgo","Libra","Scorpio","Sagittarius","Capricorn","Aquarius","Pisces"},0),12)+1=(MOD(9,12)+1)),AND(CALC_PlanetPositions!$M$12="Malefic",MOD(MATCH(CALC_PlanetPositions!$B$12,{"Aries","Taurus","Gemini","Cancer","Leo","Virgo","Libra","Scorpio","Sagittarius","Capricorn","Aquarius","Pisces"},0)-MATCH(INPUT_Chart!$C$5,{"Aries","Taurus","Gemini","Cancer","Leo","Virgo","Libra","Scorpio","Sagittarius","Capricorn","Aquarius","Pisces"},0),12)+1=(MOD(9,12)+1)),AND(CALC_PlanetPositions!$M$13="Malefic",MOD(MATCH(CALC_PlanetPositions!$B$13,{"Aries","Taurus","Gemini","Cancer","Leo","Virgo","Libra","Scorpio","Sagittarius","Capricorn","Aquarius","Pisces"},0)-MATCH(INPUT_Chart!$C$5,{"Aries","Taurus","Gemini","Cancer","Leo","Virgo","Libra","Scorpio","Sagittarius","Capricorn","Aquarius","Pisces"},0),12)+1=(MOD(9,12)+1)),AND(TRUE(),MOD(MATCH(CALC_PlanetPositions!$B$14,{"Aries","Taurus","Gemini","Cancer","Leo","Virgo","Libra","Scorpio","Sagittarius","Capricorn","Aquarius","Pisces"},0)-MATCH(INPUT_Chart!$C$5,{"Aries","Taurus","Gemini","Cancer","Leo","Virgo","Libra","Scorpio","Sagittarius","Capricorn","Aquarius","Pisces"},0),12)+1=(MOD(9,12)+1)),AND(TRUE(),MOD(MATCH(CALC_PlanetPositions!$B$15,{"Aries","Taurus","Gemini","Cancer","Leo","Virgo","Libra","Scorpio","Sagittarius","Capricorn","Aquarius","Pisces"},0)-MATCH(INPUT_Chart!$C$5,{"Aries","Taurus","Gemini","Cancer","Leo","Virgo","Libra","Scorpio","Sagittarius","Capricorn","Aquarius","Pisces"},0),12)+1=(MOD(9,12)+1)))),1,0),0)</f>
        <v>0</v>
      </c>
      <c r="G193" s="1098">
        <f>F193*-0.75</f>
        <v>0</v>
      </c>
      <c r="H193" s="1092" t="s">
        <v>4553</v>
      </c>
    </row>
    <row r="194" spans="1:8" ht="18" customHeight="1" x14ac:dyDescent="0.2">
      <c r="A194" s="1099" t="s">
        <v>3036</v>
      </c>
      <c r="B194" s="1100" t="s">
        <v>4554</v>
      </c>
      <c r="C194" s="1101" t="s">
        <v>4528</v>
      </c>
      <c r="D194" s="1102" t="s">
        <v>4555</v>
      </c>
      <c r="E194" s="1103" t="s">
        <v>1109</v>
      </c>
      <c r="F194" s="1090">
        <v>0</v>
      </c>
      <c r="G194" s="1104">
        <f>F194*-1</f>
        <v>0</v>
      </c>
      <c r="H194" s="1092" t="s">
        <v>4556</v>
      </c>
    </row>
    <row r="195" spans="1:8" ht="18" customHeight="1" x14ac:dyDescent="0.2">
      <c r="A195" s="1099" t="s">
        <v>3054</v>
      </c>
      <c r="B195" s="1100" t="s">
        <v>4554</v>
      </c>
      <c r="C195" s="1101" t="s">
        <v>4533</v>
      </c>
      <c r="D195" s="1102" t="s">
        <v>4557</v>
      </c>
      <c r="E195" s="1103" t="s">
        <v>1109</v>
      </c>
      <c r="F195" s="1090">
        <f>IFERROR(IF(OR(AND(CALC_PlanetPositions!$M$7="Malefic",INDEX(REF_Aspects!$D$5:$O$13,1,MOD(CALC_BhaveshMap!$H$13-(MOD(MATCH(CALC_PlanetPositions!$B$7,{"Aries","Taurus","Gemini","Cancer","Leo","Virgo","Libra","Scorpio","Sagittarius","Capricorn","Aquarius","Pisces"},0)-MATCH(INPUT_Chart!$C$5,{"Aries","Taurus","Gemini","Cancer","Leo","Virgo","Libra","Scorpio","Sagittarius","Capricorn","Aquarius","Pisces"},0),12)+1),12)+1)="FULL",NOT(CALC_PlanetPositions!$B$7=CALC_BhaveshMap!$G$13)),AND(CALC_PlanetPositions!$M$8="Malefic",INDEX(REF_Aspects!$D$5:$O$13,2,MOD(CALC_BhaveshMap!$H$13-(MOD(MATCH(CALC_PlanetPositions!$B$8,{"Aries","Taurus","Gemini","Cancer","Leo","Virgo","Libra","Scorpio","Sagittarius","Capricorn","Aquarius","Pisces"},0)-MATCH(INPUT_Chart!$C$5,{"Aries","Taurus","Gemini","Cancer","Leo","Virgo","Libra","Scorpio","Sagittarius","Capricorn","Aquarius","Pisces"},0),12)+1),12)+1)="FULL",NOT(CALC_PlanetPositions!$B$8=CALC_BhaveshMap!$G$13)),AND(CALC_PlanetPositions!$M$9="Malefic",INDEX(REF_Aspects!$D$5:$O$13,3,MOD(CALC_BhaveshMap!$H$13-(MOD(MATCH(CALC_PlanetPositions!$B$9,{"Aries","Taurus","Gemini","Cancer","Leo","Virgo","Libra","Scorpio","Sagittarius","Capricorn","Aquarius","Pisces"},0)-MATCH(INPUT_Chart!$C$5,{"Aries","Taurus","Gemini","Cancer","Leo","Virgo","Libra","Scorpio","Sagittarius","Capricorn","Aquarius","Pisces"},0),12)+1),12)+1)="FULL",NOT(CALC_PlanetPositions!$B$9=CALC_BhaveshMap!$G$13)),AND(CALC_PlanetPositions!$M$10="Malefic",INDEX(REF_Aspects!$D$5:$O$13,4,MOD(CALC_BhaveshMap!$H$13-(MOD(MATCH(CALC_PlanetPositions!$B$10,{"Aries","Taurus","Gemini","Cancer","Leo","Virgo","Libra","Scorpio","Sagittarius","Capricorn","Aquarius","Pisces"},0)-MATCH(INPUT_Chart!$C$5,{"Aries","Taurus","Gemini","Cancer","Leo","Virgo","Libra","Scorpio","Sagittarius","Capricorn","Aquarius","Pisces"},0),12)+1),12)+1)="FULL",NOT(CALC_PlanetPositions!$B$10=CALC_BhaveshMap!$G$13)),AND(CALC_PlanetPositions!$M$11="Malefic",INDEX(REF_Aspects!$D$5:$O$13,5,MOD(CALC_BhaveshMap!$H$13-(MOD(MATCH(CALC_PlanetPositions!$B$11,{"Aries","Taurus","Gemini","Cancer","Leo","Virgo","Libra","Scorpio","Sagittarius","Capricorn","Aquarius","Pisces"},0)-MATCH(INPUT_Chart!$C$5,{"Aries","Taurus","Gemini","Cancer","Leo","Virgo","Libra","Scorpio","Sagittarius","Capricorn","Aquarius","Pisces"},0),12)+1),12)+1)="FULL",NOT(CALC_PlanetPositions!$B$11=CALC_BhaveshMap!$G$13)),AND(CALC_PlanetPositions!$M$12="Malefic",INDEX(REF_Aspects!$D$5:$O$13,6,MOD(CALC_BhaveshMap!$H$13-(MOD(MATCH(CALC_PlanetPositions!$B$12,{"Aries","Taurus","Gemini","Cancer","Leo","Virgo","Libra","Scorpio","Sagittarius","Capricorn","Aquarius","Pisces"},0)-MATCH(INPUT_Chart!$C$5,{"Aries","Taurus","Gemini","Cancer","Leo","Virgo","Libra","Scorpio","Sagittarius","Capricorn","Aquarius","Pisces"},0),12)+1),12)+1)="FULL",NOT(CALC_PlanetPositions!$B$12=CALC_BhaveshMap!$G$13)),AND(CALC_PlanetPositions!$M$13="Malefic",INDEX(REF_Aspects!$D$5:$O$13,7,MOD(CALC_BhaveshMap!$H$13-(MOD(MATCH(CALC_PlanetPositions!$B$13,{"Aries","Taurus","Gemini","Cancer","Leo","Virgo","Libra","Scorpio","Sagittarius","Capricorn","Aquarius","Pisces"},0)-MATCH(INPUT_Chart!$C$5,{"Aries","Taurus","Gemini","Cancer","Leo","Virgo","Libra","Scorpio","Sagittarius","Capricorn","Aquarius","Pisces"},0),12)+1),12)+1)="FULL",NOT(CALC_PlanetPositions!$B$13=CALC_BhaveshMap!$G$13)),AND(TRUE(),INDEX(REF_Aspects!$D$5:$O$13,8,MOD(CALC_BhaveshMap!$H$13-(MOD(MATCH(CALC_PlanetPositions!$B$14,{"Aries","Taurus","Gemini","Cancer","Leo","Virgo","Libra","Scorpio","Sagittarius","Capricorn","Aquarius","Pisces"},0)-MATCH(INPUT_Chart!$C$5,{"Aries","Taurus","Gemini","Cancer","Leo","Virgo","Libra","Scorpio","Sagittarius","Capricorn","Aquarius","Pisces"},0),12)+1),12)+1)="FULL",NOT(CALC_PlanetPositions!$B$14=CALC_BhaveshMap!$G$13)),AND(TRUE(),INDEX(REF_Aspects!$D$5:$O$13,9,MOD(CALC_BhaveshMap!$H$13-(MOD(MATCH(CALC_PlanetPositions!$B$15,{"Aries","Taurus","Gemini","Cancer","Leo","Virgo","Libra","Scorpio","Sagittarius","Capricorn","Aquarius","Pisces"},0)-MATCH(INPUT_Chart!$C$5,{"Aries","Taurus","Gemini","Cancer","Leo","Virgo","Libra","Scorpio","Sagittarius","Capricorn","Aquarius","Pisces"},0),12)+1),12)+1)="FULL",NOT(CALC_PlanetPositions!$B$15=CALC_BhaveshMap!$G$13))),1,0),0)</f>
        <v>1</v>
      </c>
      <c r="G195" s="1104">
        <f>F195*-0.5</f>
        <v>-0.5</v>
      </c>
      <c r="H195" s="1092" t="s">
        <v>4558</v>
      </c>
    </row>
    <row r="196" spans="1:8" ht="18" customHeight="1" x14ac:dyDescent="0.2">
      <c r="A196" s="1099" t="s">
        <v>3041</v>
      </c>
      <c r="B196" s="1100" t="s">
        <v>4554</v>
      </c>
      <c r="C196" s="1101" t="s">
        <v>4528</v>
      </c>
      <c r="D196" s="1102" t="s">
        <v>3042</v>
      </c>
      <c r="E196" s="1103" t="s">
        <v>4559</v>
      </c>
      <c r="F196" s="1090">
        <f>IFERROR(IF(CALC_BhaveshMap!$K$13="Yes",1,0),0)</f>
        <v>0</v>
      </c>
      <c r="G196" s="1104">
        <f>F196*-2</f>
        <v>0</v>
      </c>
      <c r="H196" s="1092" t="s">
        <v>4560</v>
      </c>
    </row>
    <row r="197" spans="1:8" ht="18" customHeight="1" x14ac:dyDescent="0.2">
      <c r="A197" s="1099" t="s">
        <v>3058</v>
      </c>
      <c r="B197" s="1100" t="s">
        <v>4554</v>
      </c>
      <c r="C197" s="1101" t="s">
        <v>4528</v>
      </c>
      <c r="D197" s="1102" t="s">
        <v>3059</v>
      </c>
      <c r="E197" s="1103" t="s">
        <v>1109</v>
      </c>
      <c r="F197" s="1090">
        <f>IFERROR(IF(OR(AND(CALC_BhaveshMap!$G$10=CALC_BhaveshMap!$G$13,CALC_BhaveshMap!$D$10&lt;&gt;CALC_BhaveshMap!$D$13),AND(CALC_BhaveshMap!$G$12=CALC_BhaveshMap!$G$13,CALC_BhaveshMap!$D$12&lt;&gt;CALC_BhaveshMap!$D$13),AND(CALC_BhaveshMap!$G$16=CALC_BhaveshMap!$G$13,CALC_BhaveshMap!$D$16&lt;&gt;CALC_BhaveshMap!$D$13)),1,0),0)</f>
        <v>1</v>
      </c>
      <c r="G197" s="1104">
        <f>F197*-1</f>
        <v>-1</v>
      </c>
      <c r="H197" s="1092" t="s">
        <v>4561</v>
      </c>
    </row>
    <row r="198" spans="1:8" ht="18" customHeight="1" x14ac:dyDescent="0.2">
      <c r="A198" s="1105" t="s">
        <v>3083</v>
      </c>
      <c r="B198" s="1106" t="s">
        <v>4562</v>
      </c>
      <c r="C198" s="1107" t="s">
        <v>4528</v>
      </c>
      <c r="D198" s="1108" t="s">
        <v>3084</v>
      </c>
      <c r="E198" s="1109" t="s">
        <v>1089</v>
      </c>
      <c r="F198" s="1110">
        <f>IFERROR(IF(CALC_KarakMap!$M$13&gt;0,CALC_KarakMap!$M$13,0),0)</f>
        <v>0</v>
      </c>
      <c r="G198" s="1111">
        <f>F198</f>
        <v>0</v>
      </c>
      <c r="H198" s="1092" t="s">
        <v>4563</v>
      </c>
    </row>
    <row r="199" spans="1:8" ht="18" customHeight="1" x14ac:dyDescent="0.2">
      <c r="A199" s="1105" t="s">
        <v>3390</v>
      </c>
      <c r="B199" s="1106" t="s">
        <v>4562</v>
      </c>
      <c r="C199" s="1107" t="s">
        <v>4528</v>
      </c>
      <c r="D199" s="1108" t="s">
        <v>4564</v>
      </c>
      <c r="E199" s="1109" t="s">
        <v>1097</v>
      </c>
      <c r="F199" s="1110">
        <f>IFERROR(IF(CALC_KarakMap!$M$13&lt;0,CALC_KarakMap!$M$13,0),0)</f>
        <v>-0.5</v>
      </c>
      <c r="G199" s="1111">
        <f>F199</f>
        <v>-0.5</v>
      </c>
      <c r="H199" s="1092" t="s">
        <v>4565</v>
      </c>
    </row>
    <row r="200" spans="1:8" ht="21.75" customHeight="1" x14ac:dyDescent="0.2">
      <c r="A200" s="1592" t="s">
        <v>4591</v>
      </c>
      <c r="B200" s="1592"/>
      <c r="C200" s="1592"/>
      <c r="D200" s="1592"/>
      <c r="E200" s="1592"/>
      <c r="F200" s="1592"/>
      <c r="G200" s="1112">
        <f>SUM(G182:G199)</f>
        <v>-1.75</v>
      </c>
      <c r="H200" s="1113" t="s">
        <v>4592</v>
      </c>
    </row>
    <row r="201" spans="1:8" ht="24" customHeight="1" x14ac:dyDescent="0.2">
      <c r="A201" s="1114" t="s">
        <v>4568</v>
      </c>
      <c r="D201" s="1115" t="s">
        <v>5585</v>
      </c>
    </row>
    <row r="202" spans="1:8" ht="21.75" customHeight="1" x14ac:dyDescent="0.2">
      <c r="A202" s="1591" t="s">
        <v>4593</v>
      </c>
      <c r="B202" s="1591"/>
      <c r="C202" s="1591"/>
      <c r="D202" s="1591"/>
      <c r="E202" s="1591"/>
      <c r="F202" s="1591"/>
      <c r="G202" s="1591"/>
      <c r="H202" s="1591"/>
    </row>
    <row r="203" spans="1:8" ht="18" customHeight="1" x14ac:dyDescent="0.2">
      <c r="A203" s="1087" t="s">
        <v>2393</v>
      </c>
      <c r="B203" s="1087" t="s">
        <v>3141</v>
      </c>
      <c r="C203" s="1087" t="s">
        <v>4523</v>
      </c>
      <c r="D203" s="1087" t="s">
        <v>3617</v>
      </c>
      <c r="E203" s="1087" t="s">
        <v>2043</v>
      </c>
      <c r="F203" s="1087" t="s">
        <v>4524</v>
      </c>
      <c r="G203" s="1087" t="s">
        <v>4525</v>
      </c>
      <c r="H203" s="1087" t="s">
        <v>4526</v>
      </c>
    </row>
    <row r="204" spans="1:8" ht="18" customHeight="1" x14ac:dyDescent="0.2">
      <c r="A204" s="316" t="s">
        <v>3365</v>
      </c>
      <c r="B204" s="1088" t="s">
        <v>4527</v>
      </c>
      <c r="C204" s="467" t="s">
        <v>4528</v>
      </c>
      <c r="D204" s="1089" t="s">
        <v>4529</v>
      </c>
      <c r="E204" s="100" t="s">
        <v>3546</v>
      </c>
      <c r="F204" s="1090">
        <f>IFERROR(IF(INDEX(REF_Zodiac!$D$17:$O$17,MATCH(CALC_BhaveshMap!$C$14,REF_Zodiac!$D$3:$O$3,0))="Gentle",1,0),0)</f>
        <v>0</v>
      </c>
      <c r="G204" s="1091">
        <f>F204*0.5</f>
        <v>0</v>
      </c>
      <c r="H204" s="1092" t="s">
        <v>4530</v>
      </c>
    </row>
    <row r="205" spans="1:8" ht="18" customHeight="1" x14ac:dyDescent="0.2">
      <c r="A205" s="316" t="s">
        <v>3016</v>
      </c>
      <c r="B205" s="1088" t="s">
        <v>4527</v>
      </c>
      <c r="C205" s="467" t="s">
        <v>4528</v>
      </c>
      <c r="D205" s="1089" t="s">
        <v>4531</v>
      </c>
      <c r="E205" s="100" t="s">
        <v>1081</v>
      </c>
      <c r="F205"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10),AND(OR(CALC_PlanetPositions!$M$8="Benefic",CALC_PlanetPositions!$M$8="Yogakaraka"),(MOD(MATCH(CALC_PlanetPositions!$B$8,{"Aries","Taurus","Gemini","Cancer","Leo","Virgo","Libra","Scorpio","Sagittarius","Capricorn","Aquarius","Pisces"},0)-MATCH(INPUT_Chart!$C$5,{"Aries","Taurus","Gemini","Cancer","Leo","Virgo","Libra","Scorpio","Sagittarius","Capricorn","Aquarius","Pisces"},0),12)+1)=10),AND(OR(CALC_PlanetPositions!$M$9="Benefic",CALC_PlanetPositions!$M$9="Yogakaraka"),(MOD(MATCH(CALC_PlanetPositions!$B$9,{"Aries","Taurus","Gemini","Cancer","Leo","Virgo","Libra","Scorpio","Sagittarius","Capricorn","Aquarius","Pisces"},0)-MATCH(INPUT_Chart!$C$5,{"Aries","Taurus","Gemini","Cancer","Leo","Virgo","Libra","Scorpio","Sagittarius","Capricorn","Aquarius","Pisces"},0),12)+1)=10),AND(OR(CALC_PlanetPositions!$M$10="Benefic",CALC_PlanetPositions!$M$10="Yogakaraka"),(MOD(MATCH(CALC_PlanetPositions!$B$10,{"Aries","Taurus","Gemini","Cancer","Leo","Virgo","Libra","Scorpio","Sagittarius","Capricorn","Aquarius","Pisces"},0)-MATCH(INPUT_Chart!$C$5,{"Aries","Taurus","Gemini","Cancer","Leo","Virgo","Libra","Scorpio","Sagittarius","Capricorn","Aquarius","Pisces"},0),12)+1)=10),AND(OR(CALC_PlanetPositions!$M$11="Benefic",CALC_PlanetPositions!$M$11="Yogakaraka"),(MOD(MATCH(CALC_PlanetPositions!$B$11,{"Aries","Taurus","Gemini","Cancer","Leo","Virgo","Libra","Scorpio","Sagittarius","Capricorn","Aquarius","Pisces"},0)-MATCH(INPUT_Chart!$C$5,{"Aries","Taurus","Gemini","Cancer","Leo","Virgo","Libra","Scorpio","Sagittarius","Capricorn","Aquarius","Pisces"},0),12)+1)=10),AND(OR(CALC_PlanetPositions!$M$12="Benefic",CALC_PlanetPositions!$M$12="Yogakaraka"),(MOD(MATCH(CALC_PlanetPositions!$B$12,{"Aries","Taurus","Gemini","Cancer","Leo","Virgo","Libra","Scorpio","Sagittarius","Capricorn","Aquarius","Pisces"},0)-MATCH(INPUT_Chart!$C$5,{"Aries","Taurus","Gemini","Cancer","Leo","Virgo","Libra","Scorpio","Sagittarius","Capricorn","Aquarius","Pisces"},0),12)+1)=10),AND(OR(CALC_PlanetPositions!$M$13="Benefic",CALC_PlanetPositions!$M$13="Yogakaraka"),(MOD(MATCH(CALC_PlanetPositions!$B$13,{"Aries","Taurus","Gemini","Cancer","Leo","Virgo","Libra","Scorpio","Sagittarius","Capricorn","Aquarius","Pisces"},0)-MATCH(INPUT_Chart!$C$5,{"Aries","Taurus","Gemini","Cancer","Leo","Virgo","Libra","Scorpio","Sagittarius","Capricorn","Aquarius","Pisces"},0),12)+1)=10),AND(FALSE(),(MOD(MATCH(CALC_PlanetPositions!$B$14,{"Aries","Taurus","Gemini","Cancer","Leo","Virgo","Libra","Scorpio","Sagittarius","Capricorn","Aquarius","Pisces"},0)-MATCH(INPUT_Chart!$C$5,{"Aries","Taurus","Gemini","Cancer","Leo","Virgo","Libra","Scorpio","Sagittarius","Capricorn","Aquarius","Pisces"},0),12)+1)=10),AND(FALSE(),(MOD(MATCH(CALC_PlanetPositions!$B$15,{"Aries","Taurus","Gemini","Cancer","Leo","Virgo","Libra","Scorpio","Sagittarius","Capricorn","Aquarius","Pisces"},0)-MATCH(INPUT_Chart!$C$5,{"Aries","Taurus","Gemini","Cancer","Leo","Virgo","Libra","Scorpio","Sagittarius","Capricorn","Aquarius","Pisces"},0),12)+1)=10)),1,0),0)</f>
        <v>0</v>
      </c>
      <c r="G205" s="1091">
        <f>F205*1</f>
        <v>0</v>
      </c>
      <c r="H205" s="1092" t="s">
        <v>4532</v>
      </c>
    </row>
    <row r="206" spans="1:8" ht="18" customHeight="1" x14ac:dyDescent="0.2">
      <c r="A206" s="316" t="s">
        <v>3065</v>
      </c>
      <c r="B206" s="1088" t="s">
        <v>4527</v>
      </c>
      <c r="C206" s="467" t="s">
        <v>4533</v>
      </c>
      <c r="D206" s="1089" t="s">
        <v>4534</v>
      </c>
      <c r="E206" s="100" t="s">
        <v>1085</v>
      </c>
      <c r="F206" s="1090">
        <f>IFERROR(IF(OR(AND(OR(CALC_PlanetPositions!$M$7="Benefic",CALC_PlanetPositions!$M$7="Yogakaraka"),INDEX(REF_Aspects!$D$5:$O$13,1,MOD(10-(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10)),AND(OR(CALC_PlanetPositions!$M$8="Benefic",CALC_PlanetPositions!$M$8="Yogakaraka"),INDEX(REF_Aspects!$D$5:$O$13,2,MOD(10-(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10)),AND(OR(CALC_PlanetPositions!$M$9="Benefic",CALC_PlanetPositions!$M$9="Yogakaraka"),INDEX(REF_Aspects!$D$5:$O$13,3,MOD(10-(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10)),AND(OR(CALC_PlanetPositions!$M$10="Benefic",CALC_PlanetPositions!$M$10="Yogakaraka"),INDEX(REF_Aspects!$D$5:$O$13,4,MOD(10-(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10)),AND(OR(CALC_PlanetPositions!$M$11="Benefic",CALC_PlanetPositions!$M$11="Yogakaraka"),INDEX(REF_Aspects!$D$5:$O$13,5,MOD(10-(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10)),AND(OR(CALC_PlanetPositions!$M$12="Benefic",CALC_PlanetPositions!$M$12="Yogakaraka"),INDEX(REF_Aspects!$D$5:$O$13,6,MOD(10-(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10)),AND(OR(CALC_PlanetPositions!$M$13="Benefic",CALC_PlanetPositions!$M$13="Yogakaraka"),INDEX(REF_Aspects!$D$5:$O$13,7,MOD(10-(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10)),AND(FALSE(),INDEX(REF_Aspects!$D$5:$O$13,8,MOD(10-(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10)),AND(FALSE(),INDEX(REF_Aspects!$D$5:$O$13,9,MOD(10-(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10))),1,0),0)</f>
        <v>0</v>
      </c>
      <c r="G206" s="1091">
        <f>F206*0.75</f>
        <v>0</v>
      </c>
      <c r="H206" s="1092" t="s">
        <v>4535</v>
      </c>
    </row>
    <row r="207" spans="1:8" ht="18" customHeight="1" x14ac:dyDescent="0.2">
      <c r="A207" s="356" t="s">
        <v>3015</v>
      </c>
      <c r="B207" s="1093" t="s">
        <v>4536</v>
      </c>
      <c r="C207" s="463" t="s">
        <v>4528</v>
      </c>
      <c r="D207" s="1094" t="s">
        <v>4537</v>
      </c>
      <c r="E207" s="101" t="s">
        <v>1075</v>
      </c>
      <c r="F207" s="1090">
        <f>IFERROR(IF(AND(OR(CALC_BhaveshMap!$I$14="Yes",CALC_BhaveshMap!$J$14="Yes"),NOT(CALC_BhaveshMap!$K$14="Yes")),1,0),0)</f>
        <v>0</v>
      </c>
      <c r="G207" s="1095">
        <f>F207*2</f>
        <v>0</v>
      </c>
      <c r="H207" s="1092" t="s">
        <v>4538</v>
      </c>
    </row>
    <row r="208" spans="1:8" ht="18" customHeight="1" x14ac:dyDescent="0.2">
      <c r="A208" s="356" t="s">
        <v>3092</v>
      </c>
      <c r="B208" s="1093" t="s">
        <v>4536</v>
      </c>
      <c r="C208" s="463" t="s">
        <v>4533</v>
      </c>
      <c r="D208" s="1094" t="s">
        <v>3093</v>
      </c>
      <c r="E208" s="101" t="s">
        <v>1081</v>
      </c>
      <c r="F208" s="1090">
        <f>IFERROR(IF(OR(AND(CALC_BhaveshMap!$G$5=CALC_BhaveshMap!$G$14,CALC_BhaveshMap!$D$5&lt;&gt;CALC_BhaveshMap!$D$14),AND(CALC_BhaveshMap!$G$8=CALC_BhaveshMap!$G$14,CALC_BhaveshMap!$D$8&lt;&gt;CALC_BhaveshMap!$D$14),AND(CALC_BhaveshMap!$G$9=CALC_BhaveshMap!$G$14,CALC_BhaveshMap!$D$9&lt;&gt;CALC_BhaveshMap!$D$14),AND(CALC_BhaveshMap!$G$11=CALC_BhaveshMap!$G$14,CALC_BhaveshMap!$D$11&lt;&gt;CALC_BhaveshMap!$D$14),AND(CALC_BhaveshMap!$G$13=CALC_BhaveshMap!$G$14,CALC_BhaveshMap!$D$13&lt;&gt;CALC_BhaveshMap!$D$14),AND(CALC_BhaveshMap!$G$14=CALC_BhaveshMap!$G$14,CALC_BhaveshMap!$D$14&lt;&gt;CALC_BhaveshMap!$D$14)),1,0),0)</f>
        <v>1</v>
      </c>
      <c r="G208" s="1095">
        <f>F208*0.5</f>
        <v>0.5</v>
      </c>
      <c r="H208" s="1092" t="s">
        <v>4539</v>
      </c>
    </row>
    <row r="209" spans="1:8" ht="18" customHeight="1" x14ac:dyDescent="0.2">
      <c r="A209" s="356" t="s">
        <v>3028</v>
      </c>
      <c r="B209" s="1093" t="s">
        <v>4536</v>
      </c>
      <c r="C209" s="463" t="s">
        <v>4528</v>
      </c>
      <c r="D209" s="1094" t="s">
        <v>4540</v>
      </c>
      <c r="E209" s="101" t="s">
        <v>1081</v>
      </c>
      <c r="F209" s="1090">
        <v>0</v>
      </c>
      <c r="G209" s="1095">
        <f>F209*1</f>
        <v>0</v>
      </c>
      <c r="H209" s="1092" t="s">
        <v>4541</v>
      </c>
    </row>
    <row r="210" spans="1:8" ht="18" customHeight="1" x14ac:dyDescent="0.2">
      <c r="A210" s="356" t="s">
        <v>3112</v>
      </c>
      <c r="B210" s="1093" t="s">
        <v>4536</v>
      </c>
      <c r="C210" s="463" t="s">
        <v>4533</v>
      </c>
      <c r="D210" s="1094" t="s">
        <v>4542</v>
      </c>
      <c r="E210" s="101" t="s">
        <v>1081</v>
      </c>
      <c r="F210" s="1090">
        <f>IFERROR(IF(OR(AND(OR(CALC_PlanetPositions!$M$7="Benefic",CALC_PlanetPositions!$M$7="Yogakaraka"),INDEX(REF_Aspects!$D$5:$O$13,1,MOD(CALC_BhaveshMap!$H$14-(MOD(MATCH(CALC_PlanetPositions!$B$7,{"Aries","Taurus","Gemini","Cancer","Leo","Virgo","Libra","Scorpio","Sagittarius","Capricorn","Aquarius","Pisces"},0)-MATCH(INPUT_Chart!$C$5,{"Aries","Taurus","Gemini","Cancer","Leo","Virgo","Libra","Scorpio","Sagittarius","Capricorn","Aquarius","Pisces"},0),12)+1),12)+1)="FULL",NOT(CALC_PlanetPositions!$B$7=CALC_BhaveshMap!$G$14)),AND(OR(CALC_PlanetPositions!$M$8="Benefic",CALC_PlanetPositions!$M$8="Yogakaraka"),INDEX(REF_Aspects!$D$5:$O$13,2,MOD(CALC_BhaveshMap!$H$14-(MOD(MATCH(CALC_PlanetPositions!$B$8,{"Aries","Taurus","Gemini","Cancer","Leo","Virgo","Libra","Scorpio","Sagittarius","Capricorn","Aquarius","Pisces"},0)-MATCH(INPUT_Chart!$C$5,{"Aries","Taurus","Gemini","Cancer","Leo","Virgo","Libra","Scorpio","Sagittarius","Capricorn","Aquarius","Pisces"},0),12)+1),12)+1)="FULL",NOT(CALC_PlanetPositions!$B$8=CALC_BhaveshMap!$G$14)),AND(OR(CALC_PlanetPositions!$M$9="Benefic",CALC_PlanetPositions!$M$9="Yogakaraka"),INDEX(REF_Aspects!$D$5:$O$13,3,MOD(CALC_BhaveshMap!$H$14-(MOD(MATCH(CALC_PlanetPositions!$B$9,{"Aries","Taurus","Gemini","Cancer","Leo","Virgo","Libra","Scorpio","Sagittarius","Capricorn","Aquarius","Pisces"},0)-MATCH(INPUT_Chart!$C$5,{"Aries","Taurus","Gemini","Cancer","Leo","Virgo","Libra","Scorpio","Sagittarius","Capricorn","Aquarius","Pisces"},0),12)+1),12)+1)="FULL",NOT(CALC_PlanetPositions!$B$9=CALC_BhaveshMap!$G$14)),AND(OR(CALC_PlanetPositions!$M$10="Benefic",CALC_PlanetPositions!$M$10="Yogakaraka"),INDEX(REF_Aspects!$D$5:$O$13,4,MOD(CALC_BhaveshMap!$H$14-(MOD(MATCH(CALC_PlanetPositions!$B$10,{"Aries","Taurus","Gemini","Cancer","Leo","Virgo","Libra","Scorpio","Sagittarius","Capricorn","Aquarius","Pisces"},0)-MATCH(INPUT_Chart!$C$5,{"Aries","Taurus","Gemini","Cancer","Leo","Virgo","Libra","Scorpio","Sagittarius","Capricorn","Aquarius","Pisces"},0),12)+1),12)+1)="FULL",NOT(CALC_PlanetPositions!$B$10=CALC_BhaveshMap!$G$14)),AND(OR(CALC_PlanetPositions!$M$11="Benefic",CALC_PlanetPositions!$M$11="Yogakaraka"),INDEX(REF_Aspects!$D$5:$O$13,5,MOD(CALC_BhaveshMap!$H$14-(MOD(MATCH(CALC_PlanetPositions!$B$11,{"Aries","Taurus","Gemini","Cancer","Leo","Virgo","Libra","Scorpio","Sagittarius","Capricorn","Aquarius","Pisces"},0)-MATCH(INPUT_Chart!$C$5,{"Aries","Taurus","Gemini","Cancer","Leo","Virgo","Libra","Scorpio","Sagittarius","Capricorn","Aquarius","Pisces"},0),12)+1),12)+1)="FULL",NOT(CALC_PlanetPositions!$B$11=CALC_BhaveshMap!$G$14)),AND(OR(CALC_PlanetPositions!$M$12="Benefic",CALC_PlanetPositions!$M$12="Yogakaraka"),INDEX(REF_Aspects!$D$5:$O$13,6,MOD(CALC_BhaveshMap!$H$14-(MOD(MATCH(CALC_PlanetPositions!$B$12,{"Aries","Taurus","Gemini","Cancer","Leo","Virgo","Libra","Scorpio","Sagittarius","Capricorn","Aquarius","Pisces"},0)-MATCH(INPUT_Chart!$C$5,{"Aries","Taurus","Gemini","Cancer","Leo","Virgo","Libra","Scorpio","Sagittarius","Capricorn","Aquarius","Pisces"},0),12)+1),12)+1)="FULL",NOT(CALC_PlanetPositions!$B$12=CALC_BhaveshMap!$G$14)),AND(OR(CALC_PlanetPositions!$M$13="Benefic",CALC_PlanetPositions!$M$13="Yogakaraka"),INDEX(REF_Aspects!$D$5:$O$13,7,MOD(CALC_BhaveshMap!$H$14-(MOD(MATCH(CALC_PlanetPositions!$B$13,{"Aries","Taurus","Gemini","Cancer","Leo","Virgo","Libra","Scorpio","Sagittarius","Capricorn","Aquarius","Pisces"},0)-MATCH(INPUT_Chart!$C$5,{"Aries","Taurus","Gemini","Cancer","Leo","Virgo","Libra","Scorpio","Sagittarius","Capricorn","Aquarius","Pisces"},0),12)+1),12)+1)="FULL",NOT(CALC_PlanetPositions!$B$13=CALC_BhaveshMap!$G$14)),AND(FALSE(),INDEX(REF_Aspects!$D$5:$O$13,8,MOD(CALC_BhaveshMap!$H$14-(MOD(MATCH(CALC_PlanetPositions!$B$14,{"Aries","Taurus","Gemini","Cancer","Leo","Virgo","Libra","Scorpio","Sagittarius","Capricorn","Aquarius","Pisces"},0)-MATCH(INPUT_Chart!$C$5,{"Aries","Taurus","Gemini","Cancer","Leo","Virgo","Libra","Scorpio","Sagittarius","Capricorn","Aquarius","Pisces"},0),12)+1),12)+1)="FULL",NOT(CALC_PlanetPositions!$B$14=CALC_BhaveshMap!$G$14)),AND(FALSE(),INDEX(REF_Aspects!$D$5:$O$13,9,MOD(CALC_BhaveshMap!$H$14-(MOD(MATCH(CALC_PlanetPositions!$B$15,{"Aries","Taurus","Gemini","Cancer","Leo","Virgo","Libra","Scorpio","Sagittarius","Capricorn","Aquarius","Pisces"},0)-MATCH(INPUT_Chart!$C$5,{"Aries","Taurus","Gemini","Cancer","Leo","Virgo","Libra","Scorpio","Sagittarius","Capricorn","Aquarius","Pisces"},0),12)+1),12)+1)="FULL",NOT(CALC_PlanetPositions!$B$15=CALC_BhaveshMap!$G$14))),1,0),0)</f>
        <v>0</v>
      </c>
      <c r="G210" s="1095">
        <f>F210*0.5</f>
        <v>0</v>
      </c>
      <c r="H210" s="1092" t="s">
        <v>4543</v>
      </c>
    </row>
    <row r="211" spans="1:8" ht="18" customHeight="1" x14ac:dyDescent="0.2">
      <c r="A211" s="356" t="s">
        <v>3033</v>
      </c>
      <c r="B211" s="1093" t="s">
        <v>4536</v>
      </c>
      <c r="C211" s="463" t="s">
        <v>4528</v>
      </c>
      <c r="D211" s="1094" t="s">
        <v>3034</v>
      </c>
      <c r="E211" s="101" t="s">
        <v>1085</v>
      </c>
      <c r="F211"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$14-2,12)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$14-2,12)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$14-2,12)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$14-2,12)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$14-2,12)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$14-2,12)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$14-2,12)+1)),AND(FALSE(),MOD(MATCH(CALC_PlanetPositions!$B$14,{"Aries","Taurus","Gemini","Cancer","Leo","Virgo","Libra","Scorpio","Sagittarius","Capricorn","Aquarius","Pisces"},0)-MATCH(INPUT_Chart!$C$5,{"Aries","Taurus","Gemini","Cancer","Leo","Virgo","Libra","Scorpio","Sagittarius","Capricorn","Aquarius","Pisces"},0),12)+1=(MOD(CALC_BhaveshMap!$H$14-2,12)+1)),AND(FALSE(),MOD(MATCH(CALC_PlanetPositions!$B$15,{"Aries","Taurus","Gemini","Cancer","Leo","Virgo","Libra","Scorpio","Sagittarius","Capricorn","Aquarius","Pisces"},0)-MATCH(INPUT_Chart!$C$5,{"Aries","Taurus","Gemini","Cancer","Leo","Virgo","Libra","Scorpio","Sagittarius","Capricorn","Aquarius","Pisces"},0),12)+1=(MOD(CALC_BhaveshMap!$H$14-2,12)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$14,12)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$14,12)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$14,12)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$14,12)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$14,12)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$14,12)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$14,12)+1)),AND(FALSE(),MOD(MATCH(CALC_PlanetPositions!$B$14,{"Aries","Taurus","Gemini","Cancer","Leo","Virgo","Libra","Scorpio","Sagittarius","Capricorn","Aquarius","Pisces"},0)-MATCH(INPUT_Chart!$C$5,{"Aries","Taurus","Gemini","Cancer","Leo","Virgo","Libra","Scorpio","Sagittarius","Capricorn","Aquarius","Pisces"},0),12)+1=(MOD(CALC_BhaveshMap!$H$14,12)+1)),AND(FALSE(),MOD(MATCH(CALC_PlanetPositions!$B$15,{"Aries","Taurus","Gemini","Cancer","Leo","Virgo","Libra","Scorpio","Sagittarius","Capricorn","Aquarius","Pisces"},0)-MATCH(INPUT_Chart!$C$5,{"Aries","Taurus","Gemini","Cancer","Leo","Virgo","Libra","Scorpio","Sagittarius","Capricorn","Aquarius","Pisces"},0),12)+1=(MOD(CALC_BhaveshMap!$H$14,12)+1)))),1,0),0)</f>
        <v>0</v>
      </c>
      <c r="G211" s="1095">
        <f>F211*0.75</f>
        <v>0</v>
      </c>
      <c r="H211" s="1092" t="s">
        <v>4544</v>
      </c>
    </row>
    <row r="212" spans="1:8" ht="18" customHeight="1" x14ac:dyDescent="0.2">
      <c r="A212" s="315" t="s">
        <v>3050</v>
      </c>
      <c r="B212" s="1096" t="s">
        <v>4545</v>
      </c>
      <c r="C212" s="480" t="s">
        <v>4528</v>
      </c>
      <c r="D212" s="1097" t="s">
        <v>4546</v>
      </c>
      <c r="E212" s="99" t="s">
        <v>1109</v>
      </c>
      <c r="F212" s="1090">
        <f>IFERROR(IF(OR(AND(CALC_PlanetPositions!$M$7="Malefic",(MOD(MATCH(CALC_PlanetPositions!$B$7,{"Aries","Taurus","Gemini","Cancer","Leo","Virgo","Libra","Scorpio","Sagittarius","Capricorn","Aquarius","Pisces"},0)-MATCH(INPUT_Chart!$C$5,{"Aries","Taurus","Gemini","Cancer","Leo","Virgo","Libra","Scorpio","Sagittarius","Capricorn","Aquarius","Pisces"},0),12)+1)=10),AND(CALC_PlanetPositions!$M$8="Malefic",(MOD(MATCH(CALC_PlanetPositions!$B$8,{"Aries","Taurus","Gemini","Cancer","Leo","Virgo","Libra","Scorpio","Sagittarius","Capricorn","Aquarius","Pisces"},0)-MATCH(INPUT_Chart!$C$5,{"Aries","Taurus","Gemini","Cancer","Leo","Virgo","Libra","Scorpio","Sagittarius","Capricorn","Aquarius","Pisces"},0),12)+1)=10),AND(CALC_PlanetPositions!$M$9="Malefic",(MOD(MATCH(CALC_PlanetPositions!$B$9,{"Aries","Taurus","Gemini","Cancer","Leo","Virgo","Libra","Scorpio","Sagittarius","Capricorn","Aquarius","Pisces"},0)-MATCH(INPUT_Chart!$C$5,{"Aries","Taurus","Gemini","Cancer","Leo","Virgo","Libra","Scorpio","Sagittarius","Capricorn","Aquarius","Pisces"},0),12)+1)=10),AND(CALC_PlanetPositions!$M$10="Malefic",(MOD(MATCH(CALC_PlanetPositions!$B$10,{"Aries","Taurus","Gemini","Cancer","Leo","Virgo","Libra","Scorpio","Sagittarius","Capricorn","Aquarius","Pisces"},0)-MATCH(INPUT_Chart!$C$5,{"Aries","Taurus","Gemini","Cancer","Leo","Virgo","Libra","Scorpio","Sagittarius","Capricorn","Aquarius","Pisces"},0),12)+1)=10),AND(CALC_PlanetPositions!$M$11="Malefic",(MOD(MATCH(CALC_PlanetPositions!$B$11,{"Aries","Taurus","Gemini","Cancer","Leo","Virgo","Libra","Scorpio","Sagittarius","Capricorn","Aquarius","Pisces"},0)-MATCH(INPUT_Chart!$C$5,{"Aries","Taurus","Gemini","Cancer","Leo","Virgo","Libra","Scorpio","Sagittarius","Capricorn","Aquarius","Pisces"},0),12)+1)=10),AND(CALC_PlanetPositions!$M$12="Malefic",(MOD(MATCH(CALC_PlanetPositions!$B$12,{"Aries","Taurus","Gemini","Cancer","Leo","Virgo","Libra","Scorpio","Sagittarius","Capricorn","Aquarius","Pisces"},0)-MATCH(INPUT_Chart!$C$5,{"Aries","Taurus","Gemini","Cancer","Leo","Virgo","Libra","Scorpio","Sagittarius","Capricorn","Aquarius","Pisces"},0),12)+1)=10),AND(CALC_PlanetPositions!$M$13="Malefic",(MOD(MATCH(CALC_PlanetPositions!$B$13,{"Aries","Taurus","Gemini","Cancer","Leo","Virgo","Libra","Scorpio","Sagittarius","Capricorn","Aquarius","Pisces"},0)-MATCH(INPUT_Chart!$C$5,{"Aries","Taurus","Gemini","Cancer","Leo","Virgo","Libra","Scorpio","Sagittarius","Capricorn","Aquarius","Pisces"},0),12)+1)=10),AND(TRUE(),(MOD(MATCH(CALC_PlanetPositions!$B$14,{"Aries","Taurus","Gemini","Cancer","Leo","Virgo","Libra","Scorpio","Sagittarius","Capricorn","Aquarius","Pisces"},0)-MATCH(INPUT_Chart!$C$5,{"Aries","Taurus","Gemini","Cancer","Leo","Virgo","Libra","Scorpio","Sagittarius","Capricorn","Aquarius","Pisces"},0),12)+1)=10),AND(TRUE(),(MOD(MATCH(CALC_PlanetPositions!$B$15,{"Aries","Taurus","Gemini","Cancer","Leo","Virgo","Libra","Scorpio","Sagittarius","Capricorn","Aquarius","Pisces"},0)-MATCH(INPUT_Chart!$C$5,{"Aries","Taurus","Gemini","Cancer","Leo","Virgo","Libra","Scorpio","Sagittarius","Capricorn","Aquarius","Pisces"},0),12)+1)=10)),1,0),0)</f>
        <v>0</v>
      </c>
      <c r="G212" s="1098">
        <f>F212*-1</f>
        <v>0</v>
      </c>
      <c r="H212" s="1092" t="s">
        <v>4547</v>
      </c>
    </row>
    <row r="213" spans="1:8" ht="18" customHeight="1" x14ac:dyDescent="0.2">
      <c r="A213" s="315" t="s">
        <v>3066</v>
      </c>
      <c r="B213" s="1096" t="s">
        <v>4545</v>
      </c>
      <c r="C213" s="480" t="s">
        <v>4528</v>
      </c>
      <c r="D213" s="1097" t="s">
        <v>4548</v>
      </c>
      <c r="E213" s="99" t="s">
        <v>1109</v>
      </c>
      <c r="F213" s="1090">
        <f>IFERROR(IF(OR(AND(CALC_PlanetPositions!$M$7="Malefic",INDEX(REF_Aspects!$D$5:$O$13,1,MOD(10-(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10)),AND(CALC_PlanetPositions!$M$8="Malefic",INDEX(REF_Aspects!$D$5:$O$13,2,MOD(10-(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10)),AND(CALC_PlanetPositions!$M$9="Malefic",INDEX(REF_Aspects!$D$5:$O$13,3,MOD(10-(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10)),AND(CALC_PlanetPositions!$M$10="Malefic",INDEX(REF_Aspects!$D$5:$O$13,4,MOD(10-(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10)),AND(CALC_PlanetPositions!$M$11="Malefic",INDEX(REF_Aspects!$D$5:$O$13,5,MOD(10-(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10)),AND(CALC_PlanetPositions!$M$12="Malefic",INDEX(REF_Aspects!$D$5:$O$13,6,MOD(10-(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10)),AND(CALC_PlanetPositions!$M$13="Malefic",INDEX(REF_Aspects!$D$5:$O$13,7,MOD(10-(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10)),AND(TRUE(),INDEX(REF_Aspects!$D$5:$O$13,8,MOD(10-(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10)),AND(TRUE(),INDEX(REF_Aspects!$D$5:$O$13,9,MOD(10-(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10))),1,0),0)</f>
        <v>1</v>
      </c>
      <c r="G213" s="1098">
        <f>F213*-1</f>
        <v>-1</v>
      </c>
      <c r="H213" s="1092" t="s">
        <v>4549</v>
      </c>
    </row>
    <row r="214" spans="1:8" ht="18" customHeight="1" x14ac:dyDescent="0.2">
      <c r="A214" s="315" t="s">
        <v>3061</v>
      </c>
      <c r="B214" s="1096" t="s">
        <v>4545</v>
      </c>
      <c r="C214" s="480" t="s">
        <v>4528</v>
      </c>
      <c r="D214" s="1097" t="s">
        <v>3062</v>
      </c>
      <c r="E214" s="99" t="s">
        <v>4550</v>
      </c>
      <c r="F214" s="1090">
        <v>0</v>
      </c>
      <c r="G214" s="1098">
        <f>F214*-1.25</f>
        <v>0</v>
      </c>
      <c r="H214" s="1092" t="s">
        <v>4551</v>
      </c>
    </row>
    <row r="215" spans="1:8" ht="18" customHeight="1" x14ac:dyDescent="0.2">
      <c r="A215" s="315" t="s">
        <v>3095</v>
      </c>
      <c r="B215" s="1096" t="s">
        <v>4545</v>
      </c>
      <c r="C215" s="480" t="s">
        <v>4528</v>
      </c>
      <c r="D215" s="1097" t="s">
        <v>4552</v>
      </c>
      <c r="E215" s="99" t="s">
        <v>3564</v>
      </c>
      <c r="F215" s="1090">
        <f>IFERROR(IF(AND(OR(AND(CALC_PlanetPositions!$M$7="Malefic",MOD(MATCH(CALC_PlanetPositions!$B$7,{"Aries","Taurus","Gemini","Cancer","Leo","Virgo","Libra","Scorpio","Sagittarius","Capricorn","Aquarius","Pisces"},0)-MATCH(INPUT_Chart!$C$5,{"Aries","Taurus","Gemini","Cancer","Leo","Virgo","Libra","Scorpio","Sagittarius","Capricorn","Aquarius","Pisces"},0),12)+1=(MOD(10-2,12)+1)),AND(CALC_PlanetPositions!$M$8="Malefic",MOD(MATCH(CALC_PlanetPositions!$B$8,{"Aries","Taurus","Gemini","Cancer","Leo","Virgo","Libra","Scorpio","Sagittarius","Capricorn","Aquarius","Pisces"},0)-MATCH(INPUT_Chart!$C$5,{"Aries","Taurus","Gemini","Cancer","Leo","Virgo","Libra","Scorpio","Sagittarius","Capricorn","Aquarius","Pisces"},0),12)+1=(MOD(10-2,12)+1)),AND(CALC_PlanetPositions!$M$9="Malefic",MOD(MATCH(CALC_PlanetPositions!$B$9,{"Aries","Taurus","Gemini","Cancer","Leo","Virgo","Libra","Scorpio","Sagittarius","Capricorn","Aquarius","Pisces"},0)-MATCH(INPUT_Chart!$C$5,{"Aries","Taurus","Gemini","Cancer","Leo","Virgo","Libra","Scorpio","Sagittarius","Capricorn","Aquarius","Pisces"},0),12)+1=(MOD(10-2,12)+1)),AND(CALC_PlanetPositions!$M$10="Malefic",MOD(MATCH(CALC_PlanetPositions!$B$10,{"Aries","Taurus","Gemini","Cancer","Leo","Virgo","Libra","Scorpio","Sagittarius","Capricorn","Aquarius","Pisces"},0)-MATCH(INPUT_Chart!$C$5,{"Aries","Taurus","Gemini","Cancer","Leo","Virgo","Libra","Scorpio","Sagittarius","Capricorn","Aquarius","Pisces"},0),12)+1=(MOD(10-2,12)+1)),AND(CALC_PlanetPositions!$M$11="Malefic",MOD(MATCH(CALC_PlanetPositions!$B$11,{"Aries","Taurus","Gemini","Cancer","Leo","Virgo","Libra","Scorpio","Sagittarius","Capricorn","Aquarius","Pisces"},0)-MATCH(INPUT_Chart!$C$5,{"Aries","Taurus","Gemini","Cancer","Leo","Virgo","Libra","Scorpio","Sagittarius","Capricorn","Aquarius","Pisces"},0),12)+1=(MOD(10-2,12)+1)),AND(CALC_PlanetPositions!$M$12="Malefic",MOD(MATCH(CALC_PlanetPositions!$B$12,{"Aries","Taurus","Gemini","Cancer","Leo","Virgo","Libra","Scorpio","Sagittarius","Capricorn","Aquarius","Pisces"},0)-MATCH(INPUT_Chart!$C$5,{"Aries","Taurus","Gemini","Cancer","Leo","Virgo","Libra","Scorpio","Sagittarius","Capricorn","Aquarius","Pisces"},0),12)+1=(MOD(10-2,12)+1)),AND(CALC_PlanetPositions!$M$13="Malefic",MOD(MATCH(CALC_PlanetPositions!$B$13,{"Aries","Taurus","Gemini","Cancer","Leo","Virgo","Libra","Scorpio","Sagittarius","Capricorn","Aquarius","Pisces"},0)-MATCH(INPUT_Chart!$C$5,{"Aries","Taurus","Gemini","Cancer","Leo","Virgo","Libra","Scorpio","Sagittarius","Capricorn","Aquarius","Pisces"},0),12)+1=(MOD(10-2,12)+1)),AND(TRUE(),MOD(MATCH(CALC_PlanetPositions!$B$14,{"Aries","Taurus","Gemini","Cancer","Leo","Virgo","Libra","Scorpio","Sagittarius","Capricorn","Aquarius","Pisces"},0)-MATCH(INPUT_Chart!$C$5,{"Aries","Taurus","Gemini","Cancer","Leo","Virgo","Libra","Scorpio","Sagittarius","Capricorn","Aquarius","Pisces"},0),12)+1=(MOD(10-2,12)+1)),AND(TRUE(),MOD(MATCH(CALC_PlanetPositions!$B$15,{"Aries","Taurus","Gemini","Cancer","Leo","Virgo","Libra","Scorpio","Sagittarius","Capricorn","Aquarius","Pisces"},0)-MATCH(INPUT_Chart!$C$5,{"Aries","Taurus","Gemini","Cancer","Leo","Virgo","Libra","Scorpio","Sagittarius","Capricorn","Aquarius","Pisces"},0),12)+1=(MOD(10-2,12)+1))),OR(AND(CALC_PlanetPositions!$M$7="Malefic",MOD(MATCH(CALC_PlanetPositions!$B$7,{"Aries","Taurus","Gemini","Cancer","Leo","Virgo","Libra","Scorpio","Sagittarius","Capricorn","Aquarius","Pisces"},0)-MATCH(INPUT_Chart!$C$5,{"Aries","Taurus","Gemini","Cancer","Leo","Virgo","Libra","Scorpio","Sagittarius","Capricorn","Aquarius","Pisces"},0),12)+1=(MOD(10,12)+1)),AND(CALC_PlanetPositions!$M$8="Malefic",MOD(MATCH(CALC_PlanetPositions!$B$8,{"Aries","Taurus","Gemini","Cancer","Leo","Virgo","Libra","Scorpio","Sagittarius","Capricorn","Aquarius","Pisces"},0)-MATCH(INPUT_Chart!$C$5,{"Aries","Taurus","Gemini","Cancer","Leo","Virgo","Libra","Scorpio","Sagittarius","Capricorn","Aquarius","Pisces"},0),12)+1=(MOD(10,12)+1)),AND(CALC_PlanetPositions!$M$9="Malefic",MOD(MATCH(CALC_PlanetPositions!$B$9,{"Aries","Taurus","Gemini","Cancer","Leo","Virgo","Libra","Scorpio","Sagittarius","Capricorn","Aquarius","Pisces"},0)-MATCH(INPUT_Chart!$C$5,{"Aries","Taurus","Gemini","Cancer","Leo","Virgo","Libra","Scorpio","Sagittarius","Capricorn","Aquarius","Pisces"},0),12)+1=(MOD(10,12)+1)),AND(CALC_PlanetPositions!$M$10="Malefic",MOD(MATCH(CALC_PlanetPositions!$B$10,{"Aries","Taurus","Gemini","Cancer","Leo","Virgo","Libra","Scorpio","Sagittarius","Capricorn","Aquarius","Pisces"},0)-MATCH(INPUT_Chart!$C$5,{"Aries","Taurus","Gemini","Cancer","Leo","Virgo","Libra","Scorpio","Sagittarius","Capricorn","Aquarius","Pisces"},0),12)+1=(MOD(10,12)+1)),AND(CALC_PlanetPositions!$M$11="Malefic",MOD(MATCH(CALC_PlanetPositions!$B$11,{"Aries","Taurus","Gemini","Cancer","Leo","Virgo","Libra","Scorpio","Sagittarius","Capricorn","Aquarius","Pisces"},0)-MATCH(INPUT_Chart!$C$5,{"Aries","Taurus","Gemini","Cancer","Leo","Virgo","Libra","Scorpio","Sagittarius","Capricorn","Aquarius","Pisces"},0),12)+1=(MOD(10,12)+1)),AND(CALC_PlanetPositions!$M$12="Malefic",MOD(MATCH(CALC_PlanetPositions!$B$12,{"Aries","Taurus","Gemini","Cancer","Leo","Virgo","Libra","Scorpio","Sagittarius","Capricorn","Aquarius","Pisces"},0)-MATCH(INPUT_Chart!$C$5,{"Aries","Taurus","Gemini","Cancer","Leo","Virgo","Libra","Scorpio","Sagittarius","Capricorn","Aquarius","Pisces"},0),12)+1=(MOD(10,12)+1)),AND(CALC_PlanetPositions!$M$13="Malefic",MOD(MATCH(CALC_PlanetPositions!$B$13,{"Aries","Taurus","Gemini","Cancer","Leo","Virgo","Libra","Scorpio","Sagittarius","Capricorn","Aquarius","Pisces"},0)-MATCH(INPUT_Chart!$C$5,{"Aries","Taurus","Gemini","Cancer","Leo","Virgo","Libra","Scorpio","Sagittarius","Capricorn","Aquarius","Pisces"},0),12)+1=(MOD(10,12)+1)),AND(TRUE(),MOD(MATCH(CALC_PlanetPositions!$B$14,{"Aries","Taurus","Gemini","Cancer","Leo","Virgo","Libra","Scorpio","Sagittarius","Capricorn","Aquarius","Pisces"},0)-MATCH(INPUT_Chart!$C$5,{"Aries","Taurus","Gemini","Cancer","Leo","Virgo","Libra","Scorpio","Sagittarius","Capricorn","Aquarius","Pisces"},0),12)+1=(MOD(10,12)+1)),AND(TRUE(),MOD(MATCH(CALC_PlanetPositions!$B$15,{"Aries","Taurus","Gemini","Cancer","Leo","Virgo","Libra","Scorpio","Sagittarius","Capricorn","Aquarius","Pisces"},0)-MATCH(INPUT_Chart!$C$5,{"Aries","Taurus","Gemini","Cancer","Leo","Virgo","Libra","Scorpio","Sagittarius","Capricorn","Aquarius","Pisces"},0),12)+1=(MOD(10,12)+1)))),1,0),0)</f>
        <v>0</v>
      </c>
      <c r="G215" s="1098">
        <f>F215*-0.75</f>
        <v>0</v>
      </c>
      <c r="H215" s="1092" t="s">
        <v>4553</v>
      </c>
    </row>
    <row r="216" spans="1:8" ht="18" customHeight="1" x14ac:dyDescent="0.2">
      <c r="A216" s="1099" t="s">
        <v>3036</v>
      </c>
      <c r="B216" s="1100" t="s">
        <v>4554</v>
      </c>
      <c r="C216" s="1101" t="s">
        <v>4528</v>
      </c>
      <c r="D216" s="1102" t="s">
        <v>4555</v>
      </c>
      <c r="E216" s="1103" t="s">
        <v>1109</v>
      </c>
      <c r="F216" s="1090">
        <v>0</v>
      </c>
      <c r="G216" s="1104">
        <f>F216*-1</f>
        <v>0</v>
      </c>
      <c r="H216" s="1092" t="s">
        <v>4556</v>
      </c>
    </row>
    <row r="217" spans="1:8" ht="18" customHeight="1" x14ac:dyDescent="0.2">
      <c r="A217" s="1099" t="s">
        <v>3054</v>
      </c>
      <c r="B217" s="1100" t="s">
        <v>4554</v>
      </c>
      <c r="C217" s="1101" t="s">
        <v>4533</v>
      </c>
      <c r="D217" s="1102" t="s">
        <v>4557</v>
      </c>
      <c r="E217" s="1103" t="s">
        <v>1109</v>
      </c>
      <c r="F217" s="1090">
        <f>IFERROR(IF(OR(AND(CALC_PlanetPositions!$M$7="Malefic",INDEX(REF_Aspects!$D$5:$O$13,1,MOD(CALC_BhaveshMap!$H$14-(MOD(MATCH(CALC_PlanetPositions!$B$7,{"Aries","Taurus","Gemini","Cancer","Leo","Virgo","Libra","Scorpio","Sagittarius","Capricorn","Aquarius","Pisces"},0)-MATCH(INPUT_Chart!$C$5,{"Aries","Taurus","Gemini","Cancer","Leo","Virgo","Libra","Scorpio","Sagittarius","Capricorn","Aquarius","Pisces"},0),12)+1),12)+1)="FULL",NOT(CALC_PlanetPositions!$B$7=CALC_BhaveshMap!$G$14)),AND(CALC_PlanetPositions!$M$8="Malefic",INDEX(REF_Aspects!$D$5:$O$13,2,MOD(CALC_BhaveshMap!$H$14-(MOD(MATCH(CALC_PlanetPositions!$B$8,{"Aries","Taurus","Gemini","Cancer","Leo","Virgo","Libra","Scorpio","Sagittarius","Capricorn","Aquarius","Pisces"},0)-MATCH(INPUT_Chart!$C$5,{"Aries","Taurus","Gemini","Cancer","Leo","Virgo","Libra","Scorpio","Sagittarius","Capricorn","Aquarius","Pisces"},0),12)+1),12)+1)="FULL",NOT(CALC_PlanetPositions!$B$8=CALC_BhaveshMap!$G$14)),AND(CALC_PlanetPositions!$M$9="Malefic",INDEX(REF_Aspects!$D$5:$O$13,3,MOD(CALC_BhaveshMap!$H$14-(MOD(MATCH(CALC_PlanetPositions!$B$9,{"Aries","Taurus","Gemini","Cancer","Leo","Virgo","Libra","Scorpio","Sagittarius","Capricorn","Aquarius","Pisces"},0)-MATCH(INPUT_Chart!$C$5,{"Aries","Taurus","Gemini","Cancer","Leo","Virgo","Libra","Scorpio","Sagittarius","Capricorn","Aquarius","Pisces"},0),12)+1),12)+1)="FULL",NOT(CALC_PlanetPositions!$B$9=CALC_BhaveshMap!$G$14)),AND(CALC_PlanetPositions!$M$10="Malefic",INDEX(REF_Aspects!$D$5:$O$13,4,MOD(CALC_BhaveshMap!$H$14-(MOD(MATCH(CALC_PlanetPositions!$B$10,{"Aries","Taurus","Gemini","Cancer","Leo","Virgo","Libra","Scorpio","Sagittarius","Capricorn","Aquarius","Pisces"},0)-MATCH(INPUT_Chart!$C$5,{"Aries","Taurus","Gemini","Cancer","Leo","Virgo","Libra","Scorpio","Sagittarius","Capricorn","Aquarius","Pisces"},0),12)+1),12)+1)="FULL",NOT(CALC_PlanetPositions!$B$10=CALC_BhaveshMap!$G$14)),AND(CALC_PlanetPositions!$M$11="Malefic",INDEX(REF_Aspects!$D$5:$O$13,5,MOD(CALC_BhaveshMap!$H$14-(MOD(MATCH(CALC_PlanetPositions!$B$11,{"Aries","Taurus","Gemini","Cancer","Leo","Virgo","Libra","Scorpio","Sagittarius","Capricorn","Aquarius","Pisces"},0)-MATCH(INPUT_Chart!$C$5,{"Aries","Taurus","Gemini","Cancer","Leo","Virgo","Libra","Scorpio","Sagittarius","Capricorn","Aquarius","Pisces"},0),12)+1),12)+1)="FULL",NOT(CALC_PlanetPositions!$B$11=CALC_BhaveshMap!$G$14)),AND(CALC_PlanetPositions!$M$12="Malefic",INDEX(REF_Aspects!$D$5:$O$13,6,MOD(CALC_BhaveshMap!$H$14-(MOD(MATCH(CALC_PlanetPositions!$B$12,{"Aries","Taurus","Gemini","Cancer","Leo","Virgo","Libra","Scorpio","Sagittarius","Capricorn","Aquarius","Pisces"},0)-MATCH(INPUT_Chart!$C$5,{"Aries","Taurus","Gemini","Cancer","Leo","Virgo","Libra","Scorpio","Sagittarius","Capricorn","Aquarius","Pisces"},0),12)+1),12)+1)="FULL",NOT(CALC_PlanetPositions!$B$12=CALC_BhaveshMap!$G$14)),AND(CALC_PlanetPositions!$M$13="Malefic",INDEX(REF_Aspects!$D$5:$O$13,7,MOD(CALC_BhaveshMap!$H$14-(MOD(MATCH(CALC_PlanetPositions!$B$13,{"Aries","Taurus","Gemini","Cancer","Leo","Virgo","Libra","Scorpio","Sagittarius","Capricorn","Aquarius","Pisces"},0)-MATCH(INPUT_Chart!$C$5,{"Aries","Taurus","Gemini","Cancer","Leo","Virgo","Libra","Scorpio","Sagittarius","Capricorn","Aquarius","Pisces"},0),12)+1),12)+1)="FULL",NOT(CALC_PlanetPositions!$B$13=CALC_BhaveshMap!$G$14)),AND(TRUE(),INDEX(REF_Aspects!$D$5:$O$13,8,MOD(CALC_BhaveshMap!$H$14-(MOD(MATCH(CALC_PlanetPositions!$B$14,{"Aries","Taurus","Gemini","Cancer","Leo","Virgo","Libra","Scorpio","Sagittarius","Capricorn","Aquarius","Pisces"},0)-MATCH(INPUT_Chart!$C$5,{"Aries","Taurus","Gemini","Cancer","Leo","Virgo","Libra","Scorpio","Sagittarius","Capricorn","Aquarius","Pisces"},0),12)+1),12)+1)="FULL",NOT(CALC_PlanetPositions!$B$14=CALC_BhaveshMap!$G$14)),AND(TRUE(),INDEX(REF_Aspects!$D$5:$O$13,9,MOD(CALC_BhaveshMap!$H$14-(MOD(MATCH(CALC_PlanetPositions!$B$15,{"Aries","Taurus","Gemini","Cancer","Leo","Virgo","Libra","Scorpio","Sagittarius","Capricorn","Aquarius","Pisces"},0)-MATCH(INPUT_Chart!$C$5,{"Aries","Taurus","Gemini","Cancer","Leo","Virgo","Libra","Scorpio","Sagittarius","Capricorn","Aquarius","Pisces"},0),12)+1),12)+1)="FULL",NOT(CALC_PlanetPositions!$B$15=CALC_BhaveshMap!$G$14))),1,0),0)</f>
        <v>1</v>
      </c>
      <c r="G217" s="1104">
        <f>F217*-0.5</f>
        <v>-0.5</v>
      </c>
      <c r="H217" s="1092" t="s">
        <v>4558</v>
      </c>
    </row>
    <row r="218" spans="1:8" ht="18" customHeight="1" x14ac:dyDescent="0.2">
      <c r="A218" s="1099" t="s">
        <v>3041</v>
      </c>
      <c r="B218" s="1100" t="s">
        <v>4554</v>
      </c>
      <c r="C218" s="1101" t="s">
        <v>4528</v>
      </c>
      <c r="D218" s="1102" t="s">
        <v>3042</v>
      </c>
      <c r="E218" s="1103" t="s">
        <v>4559</v>
      </c>
      <c r="F218" s="1090">
        <f>IFERROR(IF(CALC_BhaveshMap!$K$14="Yes",1,0),0)</f>
        <v>0</v>
      </c>
      <c r="G218" s="1104">
        <f>F218*-2</f>
        <v>0</v>
      </c>
      <c r="H218" s="1092" t="s">
        <v>4560</v>
      </c>
    </row>
    <row r="219" spans="1:8" ht="18" customHeight="1" x14ac:dyDescent="0.2">
      <c r="A219" s="1099" t="s">
        <v>3058</v>
      </c>
      <c r="B219" s="1100" t="s">
        <v>4554</v>
      </c>
      <c r="C219" s="1101" t="s">
        <v>4528</v>
      </c>
      <c r="D219" s="1102" t="s">
        <v>3059</v>
      </c>
      <c r="E219" s="1103" t="s">
        <v>1109</v>
      </c>
      <c r="F219" s="1090">
        <f>IFERROR(IF(OR(AND(CALC_BhaveshMap!$G$10=CALC_BhaveshMap!$G$14,CALC_BhaveshMap!$D$10&lt;&gt;CALC_BhaveshMap!$D$14),AND(CALC_BhaveshMap!$G$12=CALC_BhaveshMap!$G$14,CALC_BhaveshMap!$D$12&lt;&gt;CALC_BhaveshMap!$D$14),AND(CALC_BhaveshMap!$G$16=CALC_BhaveshMap!$G$14,CALC_BhaveshMap!$D$16&lt;&gt;CALC_BhaveshMap!$D$14)),1,0),0)</f>
        <v>1</v>
      </c>
      <c r="G219" s="1104">
        <f>F219*-1</f>
        <v>-1</v>
      </c>
      <c r="H219" s="1092" t="s">
        <v>4561</v>
      </c>
    </row>
    <row r="220" spans="1:8" ht="18" customHeight="1" x14ac:dyDescent="0.2">
      <c r="A220" s="1105" t="s">
        <v>3083</v>
      </c>
      <c r="B220" s="1106" t="s">
        <v>4562</v>
      </c>
      <c r="C220" s="1107" t="s">
        <v>4528</v>
      </c>
      <c r="D220" s="1108" t="s">
        <v>3084</v>
      </c>
      <c r="E220" s="1109" t="s">
        <v>1089</v>
      </c>
      <c r="F220" s="1110">
        <f>IFERROR(IF(CALC_KarakMap!$M$14&gt;0,CALC_KarakMap!$M$14,0),0)</f>
        <v>0</v>
      </c>
      <c r="G220" s="1111">
        <f>F220</f>
        <v>0</v>
      </c>
      <c r="H220" s="1092" t="s">
        <v>4563</v>
      </c>
    </row>
    <row r="221" spans="1:8" ht="18" customHeight="1" x14ac:dyDescent="0.2">
      <c r="A221" s="1105" t="s">
        <v>3390</v>
      </c>
      <c r="B221" s="1106" t="s">
        <v>4562</v>
      </c>
      <c r="C221" s="1107" t="s">
        <v>4528</v>
      </c>
      <c r="D221" s="1108" t="s">
        <v>4564</v>
      </c>
      <c r="E221" s="1109" t="s">
        <v>1097</v>
      </c>
      <c r="F221" s="1090">
        <f>IFERROR(IF(CALC_KarakMap!$M$14&lt;0,CALC_KarakMap!$M$14,0),0)</f>
        <v>0</v>
      </c>
      <c r="G221" s="1111">
        <f>F221</f>
        <v>0</v>
      </c>
      <c r="H221" s="1092" t="s">
        <v>4565</v>
      </c>
    </row>
    <row r="222" spans="1:8" ht="21.75" customHeight="1" x14ac:dyDescent="0.2">
      <c r="A222" s="1592" t="s">
        <v>4594</v>
      </c>
      <c r="B222" s="1592"/>
      <c r="C222" s="1592"/>
      <c r="D222" s="1592"/>
      <c r="E222" s="1592"/>
      <c r="F222" s="1592"/>
      <c r="G222" s="1112">
        <f>SUM(G204:G221)</f>
        <v>-2</v>
      </c>
      <c r="H222" s="1113" t="s">
        <v>4595</v>
      </c>
    </row>
    <row r="223" spans="1:8" ht="24" customHeight="1" x14ac:dyDescent="0.2">
      <c r="A223" s="1114" t="s">
        <v>4568</v>
      </c>
      <c r="D223" s="1115" t="s">
        <v>5586</v>
      </c>
    </row>
    <row r="224" spans="1:8" ht="21.75" customHeight="1" x14ac:dyDescent="0.2">
      <c r="A224" s="1591" t="s">
        <v>4596</v>
      </c>
      <c r="B224" s="1591"/>
      <c r="C224" s="1591"/>
      <c r="D224" s="1591"/>
      <c r="E224" s="1591"/>
      <c r="F224" s="1591"/>
      <c r="G224" s="1591"/>
      <c r="H224" s="1591"/>
    </row>
    <row r="225" spans="1:8" ht="18" customHeight="1" x14ac:dyDescent="0.2">
      <c r="A225" s="1087" t="s">
        <v>2393</v>
      </c>
      <c r="B225" s="1087" t="s">
        <v>3141</v>
      </c>
      <c r="C225" s="1087" t="s">
        <v>4523</v>
      </c>
      <c r="D225" s="1087" t="s">
        <v>3617</v>
      </c>
      <c r="E225" s="1087" t="s">
        <v>2043</v>
      </c>
      <c r="F225" s="1087" t="s">
        <v>4524</v>
      </c>
      <c r="G225" s="1087" t="s">
        <v>4525</v>
      </c>
      <c r="H225" s="1087" t="s">
        <v>4526</v>
      </c>
    </row>
    <row r="226" spans="1:8" ht="18" customHeight="1" x14ac:dyDescent="0.2">
      <c r="A226" s="316" t="s">
        <v>3365</v>
      </c>
      <c r="B226" s="1088" t="s">
        <v>4527</v>
      </c>
      <c r="C226" s="467" t="s">
        <v>4528</v>
      </c>
      <c r="D226" s="1089" t="s">
        <v>4529</v>
      </c>
      <c r="E226" s="100" t="s">
        <v>3546</v>
      </c>
      <c r="F226" s="1090">
        <f>IFERROR(IF(INDEX(REF_Zodiac!$D$17:$O$17,MATCH(CALC_BhaveshMap!$C$15,REF_Zodiac!$D$3:$O$3,0))="Gentle",1,0),0)</f>
        <v>1</v>
      </c>
      <c r="G226" s="1091">
        <f>F226*0.5</f>
        <v>0.5</v>
      </c>
      <c r="H226" s="1092" t="s">
        <v>4530</v>
      </c>
    </row>
    <row r="227" spans="1:8" ht="18" customHeight="1" x14ac:dyDescent="0.2">
      <c r="A227" s="316" t="s">
        <v>3016</v>
      </c>
      <c r="B227" s="1088" t="s">
        <v>4527</v>
      </c>
      <c r="C227" s="467" t="s">
        <v>4528</v>
      </c>
      <c r="D227" s="1089" t="s">
        <v>4531</v>
      </c>
      <c r="E227" s="100" t="s">
        <v>1081</v>
      </c>
      <c r="F227"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11),AND(OR(CALC_PlanetPositions!$M$8="Benefic",CALC_PlanetPositions!$M$8="Yogakaraka"),(MOD(MATCH(CALC_PlanetPositions!$B$8,{"Aries","Taurus","Gemini","Cancer","Leo","Virgo","Libra","Scorpio","Sagittarius","Capricorn","Aquarius","Pisces"},0)-MATCH(INPUT_Chart!$C$5,{"Aries","Taurus","Gemini","Cancer","Leo","Virgo","Libra","Scorpio","Sagittarius","Capricorn","Aquarius","Pisces"},0),12)+1)=11),AND(OR(CALC_PlanetPositions!$M$9="Benefic",CALC_PlanetPositions!$M$9="Yogakaraka"),(MOD(MATCH(CALC_PlanetPositions!$B$9,{"Aries","Taurus","Gemini","Cancer","Leo","Virgo","Libra","Scorpio","Sagittarius","Capricorn","Aquarius","Pisces"},0)-MATCH(INPUT_Chart!$C$5,{"Aries","Taurus","Gemini","Cancer","Leo","Virgo","Libra","Scorpio","Sagittarius","Capricorn","Aquarius","Pisces"},0),12)+1)=11),AND(OR(CALC_PlanetPositions!$M$10="Benefic",CALC_PlanetPositions!$M$10="Yogakaraka"),(MOD(MATCH(CALC_PlanetPositions!$B$10,{"Aries","Taurus","Gemini","Cancer","Leo","Virgo","Libra","Scorpio","Sagittarius","Capricorn","Aquarius","Pisces"},0)-MATCH(INPUT_Chart!$C$5,{"Aries","Taurus","Gemini","Cancer","Leo","Virgo","Libra","Scorpio","Sagittarius","Capricorn","Aquarius","Pisces"},0),12)+1)=11),AND(OR(CALC_PlanetPositions!$M$11="Benefic",CALC_PlanetPositions!$M$11="Yogakaraka"),(MOD(MATCH(CALC_PlanetPositions!$B$11,{"Aries","Taurus","Gemini","Cancer","Leo","Virgo","Libra","Scorpio","Sagittarius","Capricorn","Aquarius","Pisces"},0)-MATCH(INPUT_Chart!$C$5,{"Aries","Taurus","Gemini","Cancer","Leo","Virgo","Libra","Scorpio","Sagittarius","Capricorn","Aquarius","Pisces"},0),12)+1)=11),AND(OR(CALC_PlanetPositions!$M$12="Benefic",CALC_PlanetPositions!$M$12="Yogakaraka"),(MOD(MATCH(CALC_PlanetPositions!$B$12,{"Aries","Taurus","Gemini","Cancer","Leo","Virgo","Libra","Scorpio","Sagittarius","Capricorn","Aquarius","Pisces"},0)-MATCH(INPUT_Chart!$C$5,{"Aries","Taurus","Gemini","Cancer","Leo","Virgo","Libra","Scorpio","Sagittarius","Capricorn","Aquarius","Pisces"},0),12)+1)=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AND(FALSE(),(MOD(MATCH(CALC_PlanetPositions!$B$14,{"Aries","Taurus","Gemini","Cancer","Leo","Virgo","Libra","Scorpio","Sagittarius","Capricorn","Aquarius","Pisces"},0)-MATCH(INPUT_Chart!$C$5,{"Aries","Taurus","Gemini","Cancer","Leo","Virgo","Libra","Scorpio","Sagittarius","Capricorn","Aquarius","Pisces"},0),12)+1)=11),AND(FALSE(),(MOD(MATCH(CALC_PlanetPositions!$B$15,{"Aries","Taurus","Gemini","Cancer","Leo","Virgo","Libra","Scorpio","Sagittarius","Capricorn","Aquarius","Pisces"},0)-MATCH(INPUT_Chart!$C$5,{"Aries","Taurus","Gemini","Cancer","Leo","Virgo","Libra","Scorpio","Sagittarius","Capricorn","Aquarius","Pisces"},0),12)+1)=11)),1,0),0)</f>
        <v>0</v>
      </c>
      <c r="G227" s="1091">
        <f>F227*1</f>
        <v>0</v>
      </c>
      <c r="H227" s="1092" t="s">
        <v>4532</v>
      </c>
    </row>
    <row r="228" spans="1:8" ht="18" customHeight="1" x14ac:dyDescent="0.2">
      <c r="A228" s="316" t="s">
        <v>3065</v>
      </c>
      <c r="B228" s="1088" t="s">
        <v>4527</v>
      </c>
      <c r="C228" s="467" t="s">
        <v>4533</v>
      </c>
      <c r="D228" s="1089" t="s">
        <v>4534</v>
      </c>
      <c r="E228" s="100" t="s">
        <v>1085</v>
      </c>
      <c r="F228" s="1090">
        <f>IFERROR(IF(OR(AND(OR(CALC_PlanetPositions!$M$7="Benefic",CALC_PlanetPositions!$M$7="Yogakaraka"),INDEX(REF_Aspects!$D$5:$O$13,1,MOD(11-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11)),AND(OR(CALC_PlanetPositions!$M$8="Benefic",CALC_PlanetPositions!$M$8="Yogakaraka"),INDEX(REF_Aspects!$D$5:$O$13,2,MOD(11-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11)),AND(OR(CALC_PlanetPositions!$M$9="Benefic",CALC_PlanetPositions!$M$9="Yogakaraka"),INDEX(REF_Aspects!$D$5:$O$13,3,MOD(11-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11)),AND(OR(CALC_PlanetPositions!$M$10="Benefic",CALC_PlanetPositions!$M$10="Yogakaraka"),INDEX(REF_Aspects!$D$5:$O$13,4,MOD(11-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11)),AND(OR(CALC_PlanetPositions!$M$11="Benefic",CALC_PlanetPositions!$M$11="Yogakaraka"),INDEX(REF_Aspects!$D$5:$O$13,5,MOD(11-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11)),AND(OR(CALC_PlanetPositions!$M$12="Benefic",CALC_PlanetPositions!$M$12="Yogakaraka"),INDEX(REF_Aspects!$D$5:$O$13,6,MOD(11-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11)),AND(OR(CALC_PlanetPositions!$M$13="Benefic",CALC_PlanetPositions!$M$13="Yogakaraka"),INDEX(REF_Aspects!$D$5:$O$13,7,MOD(11-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11)),AND(FALSE(),INDEX(REF_Aspects!$D$5:$O$13,8,MOD(11-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11)),AND(FALSE(),INDEX(REF_Aspects!$D$5:$O$13,9,MOD(11-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1,0),0)</f>
        <v>0</v>
      </c>
      <c r="G228" s="1091">
        <f>F228*0.75</f>
        <v>0</v>
      </c>
      <c r="H228" s="1092" t="s">
        <v>4535</v>
      </c>
    </row>
    <row r="229" spans="1:8" ht="18" customHeight="1" x14ac:dyDescent="0.2">
      <c r="A229" s="356" t="s">
        <v>3015</v>
      </c>
      <c r="B229" s="1093" t="s">
        <v>4536</v>
      </c>
      <c r="C229" s="463" t="s">
        <v>4528</v>
      </c>
      <c r="D229" s="1094" t="s">
        <v>4537</v>
      </c>
      <c r="E229" s="101" t="s">
        <v>1075</v>
      </c>
      <c r="F229" s="1090">
        <f>IFERROR(IF(AND(OR(CALC_BhaveshMap!$I$15="Yes",CALC_BhaveshMap!$J$15="Yes"),NOT(CALC_BhaveshMap!$K$15="Yes")),1,0),0)</f>
        <v>0</v>
      </c>
      <c r="G229" s="1095">
        <f>F229*2</f>
        <v>0</v>
      </c>
      <c r="H229" s="1092" t="s">
        <v>4538</v>
      </c>
    </row>
    <row r="230" spans="1:8" ht="18" customHeight="1" x14ac:dyDescent="0.2">
      <c r="A230" s="356" t="s">
        <v>3092</v>
      </c>
      <c r="B230" s="1093" t="s">
        <v>4536</v>
      </c>
      <c r="C230" s="463" t="s">
        <v>4533</v>
      </c>
      <c r="D230" s="1094" t="s">
        <v>3093</v>
      </c>
      <c r="E230" s="101" t="s">
        <v>1081</v>
      </c>
      <c r="F230" s="1090">
        <f>IFERROR(IF(OR(AND(CALC_BhaveshMap!$G$5=CALC_BhaveshMap!$G$15,CALC_BhaveshMap!$D$5&lt;&gt;CALC_BhaveshMap!$D$15),AND(CALC_BhaveshMap!$G$8=CALC_BhaveshMap!$G$15,CALC_BhaveshMap!$D$8&lt;&gt;CALC_BhaveshMap!$D$15),AND(CALC_BhaveshMap!$G$9=CALC_BhaveshMap!$G$15,CALC_BhaveshMap!$D$9&lt;&gt;CALC_BhaveshMap!$D$15),AND(CALC_BhaveshMap!$G$11=CALC_BhaveshMap!$G$15,CALC_BhaveshMap!$D$11&lt;&gt;CALC_BhaveshMap!$D$15),AND(CALC_BhaveshMap!$G$13=CALC_BhaveshMap!$G$15,CALC_BhaveshMap!$D$13&lt;&gt;CALC_BhaveshMap!$D$15),AND(CALC_BhaveshMap!$G$14=CALC_BhaveshMap!$G$15,CALC_BhaveshMap!$D$14&lt;&gt;CALC_BhaveshMap!$D$15)),1,0),0)</f>
        <v>0</v>
      </c>
      <c r="G230" s="1095">
        <f>F230*0.5</f>
        <v>0</v>
      </c>
      <c r="H230" s="1092" t="s">
        <v>4539</v>
      </c>
    </row>
    <row r="231" spans="1:8" ht="18" customHeight="1" x14ac:dyDescent="0.2">
      <c r="A231" s="356" t="s">
        <v>3028</v>
      </c>
      <c r="B231" s="1093" t="s">
        <v>4536</v>
      </c>
      <c r="C231" s="463" t="s">
        <v>4528</v>
      </c>
      <c r="D231" s="1094" t="s">
        <v>4540</v>
      </c>
      <c r="E231" s="101" t="s">
        <v>1081</v>
      </c>
      <c r="F231" s="1090">
        <v>0</v>
      </c>
      <c r="G231" s="1095">
        <f>F231*1</f>
        <v>0</v>
      </c>
      <c r="H231" s="1092" t="s">
        <v>4541</v>
      </c>
    </row>
    <row r="232" spans="1:8" ht="18" customHeight="1" x14ac:dyDescent="0.2">
      <c r="A232" s="356" t="s">
        <v>3112</v>
      </c>
      <c r="B232" s="1093" t="s">
        <v>4536</v>
      </c>
      <c r="C232" s="463" t="s">
        <v>4533</v>
      </c>
      <c r="D232" s="1094" t="s">
        <v>4542</v>
      </c>
      <c r="E232" s="101" t="s">
        <v>1081</v>
      </c>
      <c r="F232" s="1090">
        <f>IFERROR(IF(OR(AND(OR(CALC_PlanetPositions!$M$7="Benefic",CALC_PlanetPositions!$M$7="Yogakaraka"),INDEX(REF_Aspects!$D$5:$O$13,1,MOD(CALC_BhaveshMap!$H$15-(MOD(MATCH(CALC_PlanetPositions!$B$7,{"Aries","Taurus","Gemini","Cancer","Leo","Virgo","Libra","Scorpio","Sagittarius","Capricorn","Aquarius","Pisces"},0)-MATCH(INPUT_Chart!$C$5,{"Aries","Taurus","Gemini","Cancer","Leo","Virgo","Libra","Scorpio","Sagittarius","Capricorn","Aquarius","Pisces"},0),12)+1),12)+1)="FULL",NOT(CALC_PlanetPositions!$B$7=CALC_BhaveshMap!$G$15)),AND(OR(CALC_PlanetPositions!$M$8="Benefic",CALC_PlanetPositions!$M$8="Yogakaraka"),INDEX(REF_Aspects!$D$5:$O$13,2,MOD(CALC_BhaveshMap!$H$15-(MOD(MATCH(CALC_PlanetPositions!$B$8,{"Aries","Taurus","Gemini","Cancer","Leo","Virgo","Libra","Scorpio","Sagittarius","Capricorn","Aquarius","Pisces"},0)-MATCH(INPUT_Chart!$C$5,{"Aries","Taurus","Gemini","Cancer","Leo","Virgo","Libra","Scorpio","Sagittarius","Capricorn","Aquarius","Pisces"},0),12)+1),12)+1)="FULL",NOT(CALC_PlanetPositions!$B$8=CALC_BhaveshMap!$G$15)),AND(OR(CALC_PlanetPositions!$M$9="Benefic",CALC_PlanetPositions!$M$9="Yogakaraka"),INDEX(REF_Aspects!$D$5:$O$13,3,MOD(CALC_BhaveshMap!$H$15-(MOD(MATCH(CALC_PlanetPositions!$B$9,{"Aries","Taurus","Gemini","Cancer","Leo","Virgo","Libra","Scorpio","Sagittarius","Capricorn","Aquarius","Pisces"},0)-MATCH(INPUT_Chart!$C$5,{"Aries","Taurus","Gemini","Cancer","Leo","Virgo","Libra","Scorpio","Sagittarius","Capricorn","Aquarius","Pisces"},0),12)+1),12)+1)="FULL",NOT(CALC_PlanetPositions!$B$9=CALC_BhaveshMap!$G$15)),AND(OR(CALC_PlanetPositions!$M$10="Benefic",CALC_PlanetPositions!$M$10="Yogakaraka"),INDEX(REF_Aspects!$D$5:$O$13,4,MOD(CALC_BhaveshMap!$H$15-(MOD(MATCH(CALC_PlanetPositions!$B$10,{"Aries","Taurus","Gemini","Cancer","Leo","Virgo","Libra","Scorpio","Sagittarius","Capricorn","Aquarius","Pisces"},0)-MATCH(INPUT_Chart!$C$5,{"Aries","Taurus","Gemini","Cancer","Leo","Virgo","Libra","Scorpio","Sagittarius","Capricorn","Aquarius","Pisces"},0),12)+1),12)+1)="FULL",NOT(CALC_PlanetPositions!$B$10=CALC_BhaveshMap!$G$15)),AND(OR(CALC_PlanetPositions!$M$11="Benefic",CALC_PlanetPositions!$M$11="Yogakaraka"),INDEX(REF_Aspects!$D$5:$O$13,5,MOD(CALC_BhaveshMap!$H$15-(MOD(MATCH(CALC_PlanetPositions!$B$11,{"Aries","Taurus","Gemini","Cancer","Leo","Virgo","Libra","Scorpio","Sagittarius","Capricorn","Aquarius","Pisces"},0)-MATCH(INPUT_Chart!$C$5,{"Aries","Taurus","Gemini","Cancer","Leo","Virgo","Libra","Scorpio","Sagittarius","Capricorn","Aquarius","Pisces"},0),12)+1),12)+1)="FULL",NOT(CALC_PlanetPositions!$B$11=CALC_BhaveshMap!$G$15)),AND(OR(CALC_PlanetPositions!$M$12="Benefic",CALC_PlanetPositions!$M$12="Yogakaraka"),INDEX(REF_Aspects!$D$5:$O$13,6,MOD(CALC_BhaveshMap!$H$15-(MOD(MATCH(CALC_PlanetPositions!$B$12,{"Aries","Taurus","Gemini","Cancer","Leo","Virgo","Libra","Scorpio","Sagittarius","Capricorn","Aquarius","Pisces"},0)-MATCH(INPUT_Chart!$C$5,{"Aries","Taurus","Gemini","Cancer","Leo","Virgo","Libra","Scorpio","Sagittarius","Capricorn","Aquarius","Pisces"},0),12)+1),12)+1)="FULL",NOT(CALC_PlanetPositions!$B$12=CALC_BhaveshMap!$G$15)),AND(OR(CALC_PlanetPositions!$M$13="Benefic",CALC_PlanetPositions!$M$13="Yogakaraka"),INDEX(REF_Aspects!$D$5:$O$13,7,MOD(CALC_BhaveshMap!$H$15-(MOD(MATCH(CALC_PlanetPositions!$B$13,{"Aries","Taurus","Gemini","Cancer","Leo","Virgo","Libra","Scorpio","Sagittarius","Capricorn","Aquarius","Pisces"},0)-MATCH(INPUT_Chart!$C$5,{"Aries","Taurus","Gemini","Cancer","Leo","Virgo","Libra","Scorpio","Sagittarius","Capricorn","Aquarius","Pisces"},0),12)+1),12)+1)="FULL",NOT(CALC_PlanetPositions!$B$13=CALC_BhaveshMap!$G$15)),AND(FALSE(),INDEX(REF_Aspects!$D$5:$O$13,8,MOD(CALC_BhaveshMap!$H$15-(MOD(MATCH(CALC_PlanetPositions!$B$14,{"Aries","Taurus","Gemini","Cancer","Leo","Virgo","Libra","Scorpio","Sagittarius","Capricorn","Aquarius","Pisces"},0)-MATCH(INPUT_Chart!$C$5,{"Aries","Taurus","Gemini","Cancer","Leo","Virgo","Libra","Scorpio","Sagittarius","Capricorn","Aquarius","Pisces"},0),12)+1),12)+1)="FULL",NOT(CALC_PlanetPositions!$B$14=CALC_BhaveshMap!$G$15)),AND(FALSE(),INDEX(REF_Aspects!$D$5:$O$13,9,MOD(CALC_BhaveshMap!$H$15-(MOD(MATCH(CALC_PlanetPositions!$B$15,{"Aries","Taurus","Gemini","Cancer","Leo","Virgo","Libra","Scorpio","Sagittarius","Capricorn","Aquarius","Pisces"},0)-MATCH(INPUT_Chart!$C$5,{"Aries","Taurus","Gemini","Cancer","Leo","Virgo","Libra","Scorpio","Sagittarius","Capricorn","Aquarius","Pisces"},0),12)+1),12)+1)="FULL",NOT(CALC_PlanetPositions!$B$15=CALC_BhaveshMap!$G$15))),1,0),0)</f>
        <v>0</v>
      </c>
      <c r="G232" s="1095">
        <f>F232*0.5</f>
        <v>0</v>
      </c>
      <c r="H232" s="1092" t="s">
        <v>4543</v>
      </c>
    </row>
    <row r="233" spans="1:8" ht="18" customHeight="1" x14ac:dyDescent="0.2">
      <c r="A233" s="356" t="s">
        <v>3033</v>
      </c>
      <c r="B233" s="1093" t="s">
        <v>4536</v>
      </c>
      <c r="C233" s="463" t="s">
        <v>4528</v>
      </c>
      <c r="D233" s="1094" t="s">
        <v>3034</v>
      </c>
      <c r="E233" s="101" t="s">
        <v>1085</v>
      </c>
      <c r="F233"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$15-2,12)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$15-2,12)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$15-2,12)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$15-2,12)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$15-2,12)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$15-2,12)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$15-2,12)+1)),AND(FALSE(),MOD(MATCH(CALC_PlanetPositions!$B$14,{"Aries","Taurus","Gemini","Cancer","Leo","Virgo","Libra","Scorpio","Sagittarius","Capricorn","Aquarius","Pisces"},0)-MATCH(INPUT_Chart!$C$5,{"Aries","Taurus","Gemini","Cancer","Leo","Virgo","Libra","Scorpio","Sagittarius","Capricorn","Aquarius","Pisces"},0),12)+1=(MOD(CALC_BhaveshMap!$H$15-2,12)+1)),AND(FALSE(),MOD(MATCH(CALC_PlanetPositions!$B$15,{"Aries","Taurus","Gemini","Cancer","Leo","Virgo","Libra","Scorpio","Sagittarius","Capricorn","Aquarius","Pisces"},0)-MATCH(INPUT_Chart!$C$5,{"Aries","Taurus","Gemini","Cancer","Leo","Virgo","Libra","Scorpio","Sagittarius","Capricorn","Aquarius","Pisces"},0),12)+1=(MOD(CALC_BhaveshMap!$H$15-2,12)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$15,12)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$15,12)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$15,12)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$15,12)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$15,12)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$15,12)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$15,12)+1)),AND(FALSE(),MOD(MATCH(CALC_PlanetPositions!$B$14,{"Aries","Taurus","Gemini","Cancer","Leo","Virgo","Libra","Scorpio","Sagittarius","Capricorn","Aquarius","Pisces"},0)-MATCH(INPUT_Chart!$C$5,{"Aries","Taurus","Gemini","Cancer","Leo","Virgo","Libra","Scorpio","Sagittarius","Capricorn","Aquarius","Pisces"},0),12)+1=(MOD(CALC_BhaveshMap!$H$15,12)+1)),AND(FALSE(),MOD(MATCH(CALC_PlanetPositions!$B$15,{"Aries","Taurus","Gemini","Cancer","Leo","Virgo","Libra","Scorpio","Sagittarius","Capricorn","Aquarius","Pisces"},0)-MATCH(INPUT_Chart!$C$5,{"Aries","Taurus","Gemini","Cancer","Leo","Virgo","Libra","Scorpio","Sagittarius","Capricorn","Aquarius","Pisces"},0),12)+1=(MOD(CALC_BhaveshMap!$H$15,12)+1)))),1,0),0)</f>
        <v>0</v>
      </c>
      <c r="G233" s="1095">
        <f>F233*0.75</f>
        <v>0</v>
      </c>
      <c r="H233" s="1092" t="s">
        <v>4544</v>
      </c>
    </row>
    <row r="234" spans="1:8" ht="18" customHeight="1" x14ac:dyDescent="0.2">
      <c r="A234" s="315" t="s">
        <v>3050</v>
      </c>
      <c r="B234" s="1096" t="s">
        <v>4545</v>
      </c>
      <c r="C234" s="480" t="s">
        <v>4528</v>
      </c>
      <c r="D234" s="1097" t="s">
        <v>4546</v>
      </c>
      <c r="E234" s="99" t="s">
        <v>1109</v>
      </c>
      <c r="F234" s="1090">
        <f>IFERROR(IF(OR(AND(CALC_PlanetPositions!$M$7="Malefic",(MOD(MATCH(CALC_PlanetPositions!$B$7,{"Aries","Taurus","Gemini","Cancer","Leo","Virgo","Libra","Scorpio","Sagittarius","Capricorn","Aquarius","Pisces"},0)-MATCH(INPUT_Chart!$C$5,{"Aries","Taurus","Gemini","Cancer","Leo","Virgo","Libra","Scorpio","Sagittarius","Capricorn","Aquarius","Pisces"},0),12)+1)=11),AND(CALC_PlanetPositions!$M$8="Malefic",(MOD(MATCH(CALC_PlanetPositions!$B$8,{"Aries","Taurus","Gemini","Cancer","Leo","Virgo","Libra","Scorpio","Sagittarius","Capricorn","Aquarius","Pisces"},0)-MATCH(INPUT_Chart!$C$5,{"Aries","Taurus","Gemini","Cancer","Leo","Virgo","Libra","Scorpio","Sagittarius","Capricorn","Aquarius","Pisces"},0),12)+1)=11),AND(CALC_PlanetPositions!$M$9="Malefic",(MOD(MATCH(CALC_PlanetPositions!$B$9,{"Aries","Taurus","Gemini","Cancer","Leo","Virgo","Libra","Scorpio","Sagittarius","Capricorn","Aquarius","Pisces"},0)-MATCH(INPUT_Chart!$C$5,{"Aries","Taurus","Gemini","Cancer","Leo","Virgo","Libra","Scorpio","Sagittarius","Capricorn","Aquarius","Pisces"},0),12)+1)=11),AND(CALC_PlanetPositions!$M$10="Malefic",(MOD(MATCH(CALC_PlanetPositions!$B$10,{"Aries","Taurus","Gemini","Cancer","Leo","Virgo","Libra","Scorpio","Sagittarius","Capricorn","Aquarius","Pisces"},0)-MATCH(INPUT_Chart!$C$5,{"Aries","Taurus","Gemini","Cancer","Leo","Virgo","Libra","Scorpio","Sagittarius","Capricorn","Aquarius","Pisces"},0),12)+1)=11),AND(CALC_PlanetPositions!$M$11="Malefic",(MOD(MATCH(CALC_PlanetPositions!$B$11,{"Aries","Taurus","Gemini","Cancer","Leo","Virgo","Libra","Scorpio","Sagittarius","Capricorn","Aquarius","Pisces"},0)-MATCH(INPUT_Chart!$C$5,{"Aries","Taurus","Gemini","Cancer","Leo","Virgo","Libra","Scorpio","Sagittarius","Capricorn","Aquarius","Pisces"},0),12)+1)=11),AND(CALC_PlanetPositions!$M$12="Malefic",(MOD(MATCH(CALC_PlanetPositions!$B$12,{"Aries","Taurus","Gemini","Cancer","Leo","Virgo","Libra","Scorpio","Sagittarius","Capricorn","Aquarius","Pisces"},0)-MATCH(INPUT_Chart!$C$5,{"Aries","Taurus","Gemini","Cancer","Leo","Virgo","Libra","Scorpio","Sagittarius","Capricorn","Aquarius","Pisces"},0),12)+1)=11),AND(CALC_PlanetPositions!$M$13="Malefic",(MOD(MATCH(CALC_PlanetPositions!$B$13,{"Aries","Taurus","Gemini","Cancer","Leo","Virgo","Libra","Scorpio","Sagittarius","Capricorn","Aquarius","Pisces"},0)-MATCH(INPUT_Chart!$C$5,{"Aries","Taurus","Gemini","Cancer","Leo","Virgo","Libra","Scorpio","Sagittarius","Capricorn","Aquarius","Pisces"},0),12)+1)=11),AND(TRUE(),(MOD(MATCH(CALC_PlanetPositions!$B$14,{"Aries","Taurus","Gemini","Cancer","Leo","Virgo","Libra","Scorpio","Sagittarius","Capricorn","Aquarius","Pisces"},0)-MATCH(INPUT_Chart!$C$5,{"Aries","Taurus","Gemini","Cancer","Leo","Virgo","Libra","Scorpio","Sagittarius","Capricorn","Aquarius","Pisces"},0),12)+1)=11),AND(TRUE(),(MOD(MATCH(CALC_PlanetPositions!$B$15,{"Aries","Taurus","Gemini","Cancer","Leo","Virgo","Libra","Scorpio","Sagittarius","Capricorn","Aquarius","Pisces"},0)-MATCH(INPUT_Chart!$C$5,{"Aries","Taurus","Gemini","Cancer","Leo","Virgo","Libra","Scorpio","Sagittarius","Capricorn","Aquarius","Pisces"},0),12)+1)=11)),1,0),0)</f>
        <v>0</v>
      </c>
      <c r="G234" s="1098">
        <f>F234*-1</f>
        <v>0</v>
      </c>
      <c r="H234" s="1092" t="s">
        <v>4547</v>
      </c>
    </row>
    <row r="235" spans="1:8" ht="18" customHeight="1" x14ac:dyDescent="0.2">
      <c r="A235" s="315" t="s">
        <v>3066</v>
      </c>
      <c r="B235" s="1096" t="s">
        <v>4545</v>
      </c>
      <c r="C235" s="480" t="s">
        <v>4528</v>
      </c>
      <c r="D235" s="1097" t="s">
        <v>4548</v>
      </c>
      <c r="E235" s="99" t="s">
        <v>1109</v>
      </c>
      <c r="F235" s="1090">
        <f>IFERROR(IF(OR(AND(CALC_PlanetPositions!$M$7="Malefic",INDEX(REF_Aspects!$D$5:$O$13,1,MOD(11-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11)),AND(CALC_PlanetPositions!$M$8="Malefic",INDEX(REF_Aspects!$D$5:$O$13,2,MOD(11-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11)),AND(CALC_PlanetPositions!$M$9="Malefic",INDEX(REF_Aspects!$D$5:$O$13,3,MOD(11-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11)),AND(CALC_PlanetPositions!$M$10="Malefic",INDEX(REF_Aspects!$D$5:$O$13,4,MOD(11-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11)),AND(CALC_PlanetPositions!$M$11="Malefic",INDEX(REF_Aspects!$D$5:$O$13,5,MOD(11-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11)),AND(CALC_PlanetPositions!$M$12="Malefic",INDEX(REF_Aspects!$D$5:$O$13,6,MOD(11-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11)),AND(CALC_PlanetPositions!$M$13="Malefic",INDEX(REF_Aspects!$D$5:$O$13,7,MOD(11-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11)),AND(TRUE(),INDEX(REF_Aspects!$D$5:$O$13,8,MOD(11-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11)),AND(TRUE(),INDEX(REF_Aspects!$D$5:$O$13,9,MOD(11-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1,0),0)</f>
        <v>1</v>
      </c>
      <c r="G235" s="1098">
        <f>F235*-1</f>
        <v>-1</v>
      </c>
      <c r="H235" s="1092" t="s">
        <v>4549</v>
      </c>
    </row>
    <row r="236" spans="1:8" ht="18" customHeight="1" x14ac:dyDescent="0.2">
      <c r="A236" s="315" t="s">
        <v>3061</v>
      </c>
      <c r="B236" s="1096" t="s">
        <v>4545</v>
      </c>
      <c r="C236" s="480" t="s">
        <v>4528</v>
      </c>
      <c r="D236" s="1097" t="s">
        <v>3062</v>
      </c>
      <c r="E236" s="99" t="s">
        <v>4550</v>
      </c>
      <c r="F236" s="1090">
        <v>0</v>
      </c>
      <c r="G236" s="1098">
        <f>F236*-1.25</f>
        <v>0</v>
      </c>
      <c r="H236" s="1092" t="s">
        <v>4551</v>
      </c>
    </row>
    <row r="237" spans="1:8" ht="18" customHeight="1" x14ac:dyDescent="0.2">
      <c r="A237" s="315" t="s">
        <v>3095</v>
      </c>
      <c r="B237" s="1096" t="s">
        <v>4545</v>
      </c>
      <c r="C237" s="480" t="s">
        <v>4528</v>
      </c>
      <c r="D237" s="1097" t="s">
        <v>4552</v>
      </c>
      <c r="E237" s="99" t="s">
        <v>3564</v>
      </c>
      <c r="F237" s="1090">
        <f>IFERROR(IF(AND(OR(AND(CALC_PlanetPositions!$M$7="Malefic",MOD(MATCH(CALC_PlanetPositions!$B$7,{"Aries","Taurus","Gemini","Cancer","Leo","Virgo","Libra","Scorpio","Sagittarius","Capricorn","Aquarius","Pisces"},0)-MATCH(INPUT_Chart!$C$5,{"Aries","Taurus","Gemini","Cancer","Leo","Virgo","Libra","Scorpio","Sagittarius","Capricorn","Aquarius","Pisces"},0),12)+1=(MOD(11-2,12)+1)),AND(CALC_PlanetPositions!$M$8="Malefic",MOD(MATCH(CALC_PlanetPositions!$B$8,{"Aries","Taurus","Gemini","Cancer","Leo","Virgo","Libra","Scorpio","Sagittarius","Capricorn","Aquarius","Pisces"},0)-MATCH(INPUT_Chart!$C$5,{"Aries","Taurus","Gemini","Cancer","Leo","Virgo","Libra","Scorpio","Sagittarius","Capricorn","Aquarius","Pisces"},0),12)+1=(MOD(11-2,12)+1)),AND(CALC_PlanetPositions!$M$9="Malefic",MOD(MATCH(CALC_PlanetPositions!$B$9,{"Aries","Taurus","Gemini","Cancer","Leo","Virgo","Libra","Scorpio","Sagittarius","Capricorn","Aquarius","Pisces"},0)-MATCH(INPUT_Chart!$C$5,{"Aries","Taurus","Gemini","Cancer","Leo","Virgo","Libra","Scorpio","Sagittarius","Capricorn","Aquarius","Pisces"},0),12)+1=(MOD(11-2,12)+1)),AND(CALC_PlanetPositions!$M$10="Malefic",MOD(MATCH(CALC_PlanetPositions!$B$10,{"Aries","Taurus","Gemini","Cancer","Leo","Virgo","Libra","Scorpio","Sagittarius","Capricorn","Aquarius","Pisces"},0)-MATCH(INPUT_Chart!$C$5,{"Aries","Taurus","Gemini","Cancer","Leo","Virgo","Libra","Scorpio","Sagittarius","Capricorn","Aquarius","Pisces"},0),12)+1=(MOD(11-2,12)+1)),AND(CALC_PlanetPositions!$M$11="Malefic",MOD(MATCH(CALC_PlanetPositions!$B$11,{"Aries","Taurus","Gemini","Cancer","Leo","Virgo","Libra","Scorpio","Sagittarius","Capricorn","Aquarius","Pisces"},0)-MATCH(INPUT_Chart!$C$5,{"Aries","Taurus","Gemini","Cancer","Leo","Virgo","Libra","Scorpio","Sagittarius","Capricorn","Aquarius","Pisces"},0),12)+1=(MOD(11-2,12)+1)),AND(CALC_PlanetPositions!$M$12="Malefic",MOD(MATCH(CALC_PlanetPositions!$B$12,{"Aries","Taurus","Gemini","Cancer","Leo","Virgo","Libra","Scorpio","Sagittarius","Capricorn","Aquarius","Pisces"},0)-MATCH(INPUT_Chart!$C$5,{"Aries","Taurus","Gemini","Cancer","Leo","Virgo","Libra","Scorpio","Sagittarius","Capricorn","Aquarius","Pisces"},0),12)+1=(MOD(11-2,12)+1)),AND(CALC_PlanetPositions!$M$13="Malefic",MOD(MATCH(CALC_PlanetPositions!$B$13,{"Aries","Taurus","Gemini","Cancer","Leo","Virgo","Libra","Scorpio","Sagittarius","Capricorn","Aquarius","Pisces"},0)-MATCH(INPUT_Chart!$C$5,{"Aries","Taurus","Gemini","Cancer","Leo","Virgo","Libra","Scorpio","Sagittarius","Capricorn","Aquarius","Pisces"},0),12)+1=(MOD(11-2,12)+1)),AND(TRUE(),MOD(MATCH(CALC_PlanetPositions!$B$14,{"Aries","Taurus","Gemini","Cancer","Leo","Virgo","Libra","Scorpio","Sagittarius","Capricorn","Aquarius","Pisces"},0)-MATCH(INPUT_Chart!$C$5,{"Aries","Taurus","Gemini","Cancer","Leo","Virgo","Libra","Scorpio","Sagittarius","Capricorn","Aquarius","Pisces"},0),12)+1=(MOD(11-2,12)+1)),AND(TRUE(),MOD(MATCH(CALC_PlanetPositions!$B$15,{"Aries","Taurus","Gemini","Cancer","Leo","Virgo","Libra","Scorpio","Sagittarius","Capricorn","Aquarius","Pisces"},0)-MATCH(INPUT_Chart!$C$5,{"Aries","Taurus","Gemini","Cancer","Leo","Virgo","Libra","Scorpio","Sagittarius","Capricorn","Aquarius","Pisces"},0),12)+1=(MOD(11-2,12)+1))),OR(AND(CALC_PlanetPositions!$M$7="Malefic",MOD(MATCH(CALC_PlanetPositions!$B$7,{"Aries","Taurus","Gemini","Cancer","Leo","Virgo","Libra","Scorpio","Sagittarius","Capricorn","Aquarius","Pisces"},0)-MATCH(INPUT_Chart!$C$5,{"Aries","Taurus","Gemini","Cancer","Leo","Virgo","Libra","Scorpio","Sagittarius","Capricorn","Aquarius","Pisces"},0),12)+1=(MOD(11,12)+1)),AND(CALC_PlanetPositions!$M$8="Malefic",MOD(MATCH(CALC_PlanetPositions!$B$8,{"Aries","Taurus","Gemini","Cancer","Leo","Virgo","Libra","Scorpio","Sagittarius","Capricorn","Aquarius","Pisces"},0)-MATCH(INPUT_Chart!$C$5,{"Aries","Taurus","Gemini","Cancer","Leo","Virgo","Libra","Scorpio","Sagittarius","Capricorn","Aquarius","Pisces"},0),12)+1=(MOD(11,12)+1)),AND(CALC_PlanetPositions!$M$9="Malefic",MOD(MATCH(CALC_PlanetPositions!$B$9,{"Aries","Taurus","Gemini","Cancer","Leo","Virgo","Libra","Scorpio","Sagittarius","Capricorn","Aquarius","Pisces"},0)-MATCH(INPUT_Chart!$C$5,{"Aries","Taurus","Gemini","Cancer","Leo","Virgo","Libra","Scorpio","Sagittarius","Capricorn","Aquarius","Pisces"},0),12)+1=(MOD(11,12)+1)),AND(CALC_PlanetPositions!$M$10="Malefic",MOD(MATCH(CALC_PlanetPositions!$B$10,{"Aries","Taurus","Gemini","Cancer","Leo","Virgo","Libra","Scorpio","Sagittarius","Capricorn","Aquarius","Pisces"},0)-MATCH(INPUT_Chart!$C$5,{"Aries","Taurus","Gemini","Cancer","Leo","Virgo","Libra","Scorpio","Sagittarius","Capricorn","Aquarius","Pisces"},0),12)+1=(MOD(11,12)+1)),AND(CALC_PlanetPositions!$M$11="Malefic",MOD(MATCH(CALC_PlanetPositions!$B$11,{"Aries","Taurus","Gemini","Cancer","Leo","Virgo","Libra","Scorpio","Sagittarius","Capricorn","Aquarius","Pisces"},0)-MATCH(INPUT_Chart!$C$5,{"Aries","Taurus","Gemini","Cancer","Leo","Virgo","Libra","Scorpio","Sagittarius","Capricorn","Aquarius","Pisces"},0),12)+1=(MOD(11,12)+1)),AND(CALC_PlanetPositions!$M$12="Malefic",MOD(MATCH(CALC_PlanetPositions!$B$12,{"Aries","Taurus","Gemini","Cancer","Leo","Virgo","Libra","Scorpio","Sagittarius","Capricorn","Aquarius","Pisces"},0)-MATCH(INPUT_Chart!$C$5,{"Aries","Taurus","Gemini","Cancer","Leo","Virgo","Libra","Scorpio","Sagittarius","Capricorn","Aquarius","Pisces"},0),12)+1=(MOD(11,12)+1)),AND(CALC_PlanetPositions!$M$13="Malefic",MOD(MATCH(CALC_PlanetPositions!$B$13,{"Aries","Taurus","Gemini","Cancer","Leo","Virgo","Libra","Scorpio","Sagittarius","Capricorn","Aquarius","Pisces"},0)-MATCH(INPUT_Chart!$C$5,{"Aries","Taurus","Gemini","Cancer","Leo","Virgo","Libra","Scorpio","Sagittarius","Capricorn","Aquarius","Pisces"},0),12)+1=(MOD(11,12)+1)),AND(TRUE(),MOD(MATCH(CALC_PlanetPositions!$B$14,{"Aries","Taurus","Gemini","Cancer","Leo","Virgo","Libra","Scorpio","Sagittarius","Capricorn","Aquarius","Pisces"},0)-MATCH(INPUT_Chart!$C$5,{"Aries","Taurus","Gemini","Cancer","Leo","Virgo","Libra","Scorpio","Sagittarius","Capricorn","Aquarius","Pisces"},0),12)+1=(MOD(11,12)+1)),AND(TRUE(),MOD(MATCH(CALC_PlanetPositions!$B$15,{"Aries","Taurus","Gemini","Cancer","Leo","Virgo","Libra","Scorpio","Sagittarius","Capricorn","Aquarius","Pisces"},0)-MATCH(INPUT_Chart!$C$5,{"Aries","Taurus","Gemini","Cancer","Leo","Virgo","Libra","Scorpio","Sagittarius","Capricorn","Aquarius","Pisces"},0),12)+1=(MOD(11,12)+1)))),1,0),0)</f>
        <v>0</v>
      </c>
      <c r="G237" s="1098">
        <f>F237*-0.75</f>
        <v>0</v>
      </c>
      <c r="H237" s="1092" t="s">
        <v>4553</v>
      </c>
    </row>
    <row r="238" spans="1:8" ht="18" customHeight="1" x14ac:dyDescent="0.2">
      <c r="A238" s="1099" t="s">
        <v>3036</v>
      </c>
      <c r="B238" s="1100" t="s">
        <v>4554</v>
      </c>
      <c r="C238" s="1101" t="s">
        <v>4528</v>
      </c>
      <c r="D238" s="1102" t="s">
        <v>4555</v>
      </c>
      <c r="E238" s="1103" t="s">
        <v>1109</v>
      </c>
      <c r="F238" s="1090">
        <v>0</v>
      </c>
      <c r="G238" s="1104">
        <f>F238*-1</f>
        <v>0</v>
      </c>
      <c r="H238" s="1092" t="s">
        <v>4556</v>
      </c>
    </row>
    <row r="239" spans="1:8" ht="18" customHeight="1" x14ac:dyDescent="0.2">
      <c r="A239" s="1099" t="s">
        <v>3054</v>
      </c>
      <c r="B239" s="1100" t="s">
        <v>4554</v>
      </c>
      <c r="C239" s="1101" t="s">
        <v>4533</v>
      </c>
      <c r="D239" s="1102" t="s">
        <v>4557</v>
      </c>
      <c r="E239" s="1103" t="s">
        <v>1109</v>
      </c>
      <c r="F239" s="1090">
        <f>IFERROR(IF(OR(AND(CALC_PlanetPositions!$M$7="Malefic",INDEX(REF_Aspects!$D$5:$O$13,1,MOD(CALC_BhaveshMap!$H$15-(MOD(MATCH(CALC_PlanetPositions!$B$7,{"Aries","Taurus","Gemini","Cancer","Leo","Virgo","Libra","Scorpio","Sagittarius","Capricorn","Aquarius","Pisces"},0)-MATCH(INPUT_Chart!$C$5,{"Aries","Taurus","Gemini","Cancer","Leo","Virgo","Libra","Scorpio","Sagittarius","Capricorn","Aquarius","Pisces"},0),12)+1),12)+1)="FULL",NOT(CALC_PlanetPositions!$B$7=CALC_BhaveshMap!$G$15)),AND(CALC_PlanetPositions!$M$8="Malefic",INDEX(REF_Aspects!$D$5:$O$13,2,MOD(CALC_BhaveshMap!$H$15-(MOD(MATCH(CALC_PlanetPositions!$B$8,{"Aries","Taurus","Gemini","Cancer","Leo","Virgo","Libra","Scorpio","Sagittarius","Capricorn","Aquarius","Pisces"},0)-MATCH(INPUT_Chart!$C$5,{"Aries","Taurus","Gemini","Cancer","Leo","Virgo","Libra","Scorpio","Sagittarius","Capricorn","Aquarius","Pisces"},0),12)+1),12)+1)="FULL",NOT(CALC_PlanetPositions!$B$8=CALC_BhaveshMap!$G$15)),AND(CALC_PlanetPositions!$M$9="Malefic",INDEX(REF_Aspects!$D$5:$O$13,3,MOD(CALC_BhaveshMap!$H$15-(MOD(MATCH(CALC_PlanetPositions!$B$9,{"Aries","Taurus","Gemini","Cancer","Leo","Virgo","Libra","Scorpio","Sagittarius","Capricorn","Aquarius","Pisces"},0)-MATCH(INPUT_Chart!$C$5,{"Aries","Taurus","Gemini","Cancer","Leo","Virgo","Libra","Scorpio","Sagittarius","Capricorn","Aquarius","Pisces"},0),12)+1),12)+1)="FULL",NOT(CALC_PlanetPositions!$B$9=CALC_BhaveshMap!$G$15)),AND(CALC_PlanetPositions!$M$10="Malefic",INDEX(REF_Aspects!$D$5:$O$13,4,MOD(CALC_BhaveshMap!$H$15-(MOD(MATCH(CALC_PlanetPositions!$B$10,{"Aries","Taurus","Gemini","Cancer","Leo","Virgo","Libra","Scorpio","Sagittarius","Capricorn","Aquarius","Pisces"},0)-MATCH(INPUT_Chart!$C$5,{"Aries","Taurus","Gemini","Cancer","Leo","Virgo","Libra","Scorpio","Sagittarius","Capricorn","Aquarius","Pisces"},0),12)+1),12)+1)="FULL",NOT(CALC_PlanetPositions!$B$10=CALC_BhaveshMap!$G$15)),AND(CALC_PlanetPositions!$M$11="Malefic",INDEX(REF_Aspects!$D$5:$O$13,5,MOD(CALC_BhaveshMap!$H$15-(MOD(MATCH(CALC_PlanetPositions!$B$11,{"Aries","Taurus","Gemini","Cancer","Leo","Virgo","Libra","Scorpio","Sagittarius","Capricorn","Aquarius","Pisces"},0)-MATCH(INPUT_Chart!$C$5,{"Aries","Taurus","Gemini","Cancer","Leo","Virgo","Libra","Scorpio","Sagittarius","Capricorn","Aquarius","Pisces"},0),12)+1),12)+1)="FULL",NOT(CALC_PlanetPositions!$B$11=CALC_BhaveshMap!$G$15)),AND(CALC_PlanetPositions!$M$12="Malefic",INDEX(REF_Aspects!$D$5:$O$13,6,MOD(CALC_BhaveshMap!$H$15-(MOD(MATCH(CALC_PlanetPositions!$B$12,{"Aries","Taurus","Gemini","Cancer","Leo","Virgo","Libra","Scorpio","Sagittarius","Capricorn","Aquarius","Pisces"},0)-MATCH(INPUT_Chart!$C$5,{"Aries","Taurus","Gemini","Cancer","Leo","Virgo","Libra","Scorpio","Sagittarius","Capricorn","Aquarius","Pisces"},0),12)+1),12)+1)="FULL",NOT(CALC_PlanetPositions!$B$12=CALC_BhaveshMap!$G$15)),AND(CALC_PlanetPositions!$M$13="Malefic",INDEX(REF_Aspects!$D$5:$O$13,7,MOD(CALC_BhaveshMap!$H$15-(MOD(MATCH(CALC_PlanetPositions!$B$13,{"Aries","Taurus","Gemini","Cancer","Leo","Virgo","Libra","Scorpio","Sagittarius","Capricorn","Aquarius","Pisces"},0)-MATCH(INPUT_Chart!$C$5,{"Aries","Taurus","Gemini","Cancer","Leo","Virgo","Libra","Scorpio","Sagittarius","Capricorn","Aquarius","Pisces"},0),12)+1),12)+1)="FULL",NOT(CALC_PlanetPositions!$B$13=CALC_BhaveshMap!$G$15)),AND(TRUE(),INDEX(REF_Aspects!$D$5:$O$13,8,MOD(CALC_BhaveshMap!$H$15-(MOD(MATCH(CALC_PlanetPositions!$B$14,{"Aries","Taurus","Gemini","Cancer","Leo","Virgo","Libra","Scorpio","Sagittarius","Capricorn","Aquarius","Pisces"},0)-MATCH(INPUT_Chart!$C$5,{"Aries","Taurus","Gemini","Cancer","Leo","Virgo","Libra","Scorpio","Sagittarius","Capricorn","Aquarius","Pisces"},0),12)+1),12)+1)="FULL",NOT(CALC_PlanetPositions!$B$14=CALC_BhaveshMap!$G$15)),AND(TRUE(),INDEX(REF_Aspects!$D$5:$O$13,9,MOD(CALC_BhaveshMap!$H$15-(MOD(MATCH(CALC_PlanetPositions!$B$15,{"Aries","Taurus","Gemini","Cancer","Leo","Virgo","Libra","Scorpio","Sagittarius","Capricorn","Aquarius","Pisces"},0)-MATCH(INPUT_Chart!$C$5,{"Aries","Taurus","Gemini","Cancer","Leo","Virgo","Libra","Scorpio","Sagittarius","Capricorn","Aquarius","Pisces"},0),12)+1),12)+1)="FULL",NOT(CALC_PlanetPositions!$B$15=CALC_BhaveshMap!$G$15))),1,0),0)</f>
        <v>0</v>
      </c>
      <c r="G239" s="1104">
        <f>F239*-0.5</f>
        <v>0</v>
      </c>
      <c r="H239" s="1092" t="s">
        <v>4558</v>
      </c>
    </row>
    <row r="240" spans="1:8" ht="18" customHeight="1" x14ac:dyDescent="0.2">
      <c r="A240" s="1099" t="s">
        <v>3041</v>
      </c>
      <c r="B240" s="1100" t="s">
        <v>4554</v>
      </c>
      <c r="C240" s="1101" t="s">
        <v>4528</v>
      </c>
      <c r="D240" s="1102" t="s">
        <v>3042</v>
      </c>
      <c r="E240" s="1103" t="s">
        <v>4559</v>
      </c>
      <c r="F240" s="1090">
        <f>IFERROR(IF(CALC_BhaveshMap!$K$15="Yes",1,0),0)</f>
        <v>1</v>
      </c>
      <c r="G240" s="1104">
        <f>F240*-2</f>
        <v>-2</v>
      </c>
      <c r="H240" s="1092" t="s">
        <v>4560</v>
      </c>
    </row>
    <row r="241" spans="1:8" ht="18" customHeight="1" x14ac:dyDescent="0.2">
      <c r="A241" s="1099" t="s">
        <v>3058</v>
      </c>
      <c r="B241" s="1100" t="s">
        <v>4554</v>
      </c>
      <c r="C241" s="1101" t="s">
        <v>4528</v>
      </c>
      <c r="D241" s="1102" t="s">
        <v>3059</v>
      </c>
      <c r="E241" s="1103" t="s">
        <v>1109</v>
      </c>
      <c r="F241" s="1090">
        <f>IFERROR(IF(OR(AND(CALC_BhaveshMap!$G$10=CALC_BhaveshMap!$G$15,CALC_BhaveshMap!$D$10&lt;&gt;CALC_BhaveshMap!$D$15),AND(CALC_BhaveshMap!$G$12=CALC_BhaveshMap!$G$15,CALC_BhaveshMap!$D$12&lt;&gt;CALC_BhaveshMap!$D$15),AND(CALC_BhaveshMap!$G$16=CALC_BhaveshMap!$G$15,CALC_BhaveshMap!$D$16&lt;&gt;CALC_BhaveshMap!$D$15)),1,0),0)</f>
        <v>0</v>
      </c>
      <c r="G241" s="1104">
        <f>F241*-1</f>
        <v>0</v>
      </c>
      <c r="H241" s="1092" t="s">
        <v>4561</v>
      </c>
    </row>
    <row r="242" spans="1:8" ht="18" customHeight="1" x14ac:dyDescent="0.2">
      <c r="A242" s="1105" t="s">
        <v>3083</v>
      </c>
      <c r="B242" s="1106" t="s">
        <v>4562</v>
      </c>
      <c r="C242" s="1107" t="s">
        <v>4528</v>
      </c>
      <c r="D242" s="1108" t="s">
        <v>3084</v>
      </c>
      <c r="E242" s="1109" t="s">
        <v>1089</v>
      </c>
      <c r="F242" s="1110">
        <f>IFERROR(IF(CALC_KarakMap!$M$15&gt;0,CALC_KarakMap!$M$15,0),0)</f>
        <v>0</v>
      </c>
      <c r="G242" s="1111">
        <f>F242</f>
        <v>0</v>
      </c>
      <c r="H242" s="1092" t="s">
        <v>4563</v>
      </c>
    </row>
    <row r="243" spans="1:8" ht="18" customHeight="1" x14ac:dyDescent="0.2">
      <c r="A243" s="1105" t="s">
        <v>3390</v>
      </c>
      <c r="B243" s="1106" t="s">
        <v>4562</v>
      </c>
      <c r="C243" s="1107" t="s">
        <v>4528</v>
      </c>
      <c r="D243" s="1108" t="s">
        <v>4564</v>
      </c>
      <c r="E243" s="1109" t="s">
        <v>1097</v>
      </c>
      <c r="F243" s="1110">
        <f>IFERROR(IF(CALC_KarakMap!$M$15&lt;0,CALC_KarakMap!$M$15,0),0)</f>
        <v>-0.5</v>
      </c>
      <c r="G243" s="1111">
        <f>F243</f>
        <v>-0.5</v>
      </c>
      <c r="H243" s="1092" t="s">
        <v>4565</v>
      </c>
    </row>
    <row r="244" spans="1:8" ht="21.75" customHeight="1" x14ac:dyDescent="0.2">
      <c r="A244" s="1592" t="s">
        <v>4597</v>
      </c>
      <c r="B244" s="1592"/>
      <c r="C244" s="1592"/>
      <c r="D244" s="1592"/>
      <c r="E244" s="1592"/>
      <c r="F244" s="1592"/>
      <c r="G244" s="1112">
        <f>SUM(G226:G243)</f>
        <v>-3</v>
      </c>
      <c r="H244" s="1113" t="s">
        <v>4598</v>
      </c>
    </row>
    <row r="245" spans="1:8" ht="24" customHeight="1" x14ac:dyDescent="0.2">
      <c r="A245" s="1114" t="s">
        <v>4568</v>
      </c>
      <c r="D245" s="1115" t="s">
        <v>5587</v>
      </c>
    </row>
    <row r="246" spans="1:8" ht="21.75" customHeight="1" x14ac:dyDescent="0.2">
      <c r="A246" s="1593" t="s">
        <v>4599</v>
      </c>
      <c r="B246" s="1593"/>
      <c r="C246" s="1593"/>
      <c r="D246" s="1593"/>
      <c r="E246" s="1593"/>
      <c r="F246" s="1593"/>
      <c r="G246" s="1593"/>
      <c r="H246" s="1593"/>
    </row>
    <row r="247" spans="1:8" ht="18" customHeight="1" x14ac:dyDescent="0.2">
      <c r="A247" s="1116" t="s">
        <v>2393</v>
      </c>
      <c r="B247" s="1116" t="s">
        <v>3141</v>
      </c>
      <c r="C247" s="1116" t="s">
        <v>4523</v>
      </c>
      <c r="D247" s="1116" t="s">
        <v>3617</v>
      </c>
      <c r="E247" s="1116" t="s">
        <v>2043</v>
      </c>
      <c r="F247" s="1116" t="s">
        <v>4524</v>
      </c>
      <c r="G247" s="1116" t="s">
        <v>4525</v>
      </c>
      <c r="H247" s="1116" t="s">
        <v>4526</v>
      </c>
    </row>
    <row r="248" spans="1:8" ht="18" customHeight="1" x14ac:dyDescent="0.2">
      <c r="A248" s="316" t="s">
        <v>3365</v>
      </c>
      <c r="B248" s="1088" t="s">
        <v>4527</v>
      </c>
      <c r="C248" s="467" t="s">
        <v>4528</v>
      </c>
      <c r="D248" s="1089" t="s">
        <v>4529</v>
      </c>
      <c r="E248" s="100" t="s">
        <v>3546</v>
      </c>
      <c r="F248" s="1090">
        <f>IFERROR(IF(INDEX(REF_Zodiac!$D$17:$O$17,MATCH(CALC_BhaveshMap!$C$16,REF_Zodiac!$D$3:$O$3,0))="Gentle",1,0),0)</f>
        <v>0</v>
      </c>
      <c r="G248" s="1091">
        <f>F248*0.5</f>
        <v>0</v>
      </c>
      <c r="H248" s="1092" t="s">
        <v>4530</v>
      </c>
    </row>
    <row r="249" spans="1:8" ht="18" customHeight="1" x14ac:dyDescent="0.2">
      <c r="A249" s="316" t="s">
        <v>3016</v>
      </c>
      <c r="B249" s="1088" t="s">
        <v>4527</v>
      </c>
      <c r="C249" s="467" t="s">
        <v>4528</v>
      </c>
      <c r="D249" s="1089" t="s">
        <v>4531</v>
      </c>
      <c r="E249" s="100" t="s">
        <v>1081</v>
      </c>
      <c r="F249" s="1090">
        <f>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12),AND(OR(CALC_PlanetPositions!$M$8="Benefic",CALC_PlanetPositions!$M$8="Yogakaraka"),(MOD(MATCH(CALC_PlanetPositions!$B$8,{"Aries","Taurus","Gemini","Cancer","Leo","Virgo","Libra","Scorpio","Sagittarius","Capricorn","Aquarius","Pisces"},0)-MATCH(INPUT_Chart!$C$5,{"Aries","Taurus","Gemini","Cancer","Leo","Virgo","Libra","Scorpio","Sagittarius","Capricorn","Aquarius","Pisces"},0),12)+1)=12),AND(OR(CALC_PlanetPositions!$M$9="Benefic",CALC_PlanetPositions!$M$9="Yogakaraka"),(MOD(MATCH(CALC_PlanetPositions!$B$9,{"Aries","Taurus","Gemini","Cancer","Leo","Virgo","Libra","Scorpio","Sagittarius","Capricorn","Aquarius","Pisces"},0)-MATCH(INPUT_Chart!$C$5,{"Aries","Taurus","Gemini","Cancer","Leo","Virgo","Libra","Scorpio","Sagittarius","Capricorn","Aquarius","Pisces"},0),12)+1)=12),AND(OR(CALC_PlanetPositions!$M$10="Benefic",CALC_PlanetPositions!$M$10="Yogakaraka"),(MOD(MATCH(CALC_PlanetPositions!$B$10,{"Aries","Taurus","Gemini","Cancer","Leo","Virgo","Libra","Scorpio","Sagittarius","Capricorn","Aquarius","Pisces"},0)-MATCH(INPUT_Chart!$C$5,{"Aries","Taurus","Gemini","Cancer","Leo","Virgo","Libra","Scorpio","Sagittarius","Capricorn","Aquarius","Pisces"},0),12)+1)=12),AND(OR(CALC_PlanetPositions!$M$11="Benefic",CALC_PlanetPositions!$M$11="Yogakaraka"),(MOD(MATCH(CALC_PlanetPositions!$B$11,{"Aries","Taurus","Gemini","Cancer","Leo","Virgo","Libra","Scorpio","Sagittarius","Capricorn","Aquarius","Pisces"},0)-MATCH(INPUT_Chart!$C$5,{"Aries","Taurus","Gemini","Cancer","Leo","Virgo","Libra","Scorpio","Sagittarius","Capricorn","Aquarius","Pisces"},0),12)+1)=12),AND(OR(CALC_PlanetPositions!$M$12="Benefic",CALC_PlanetPositions!$M$12="Yogakaraka"),(MOD(MATCH(CALC_PlanetPositions!$B$12,{"Aries","Taurus","Gemini","Cancer","Leo","Virgo","Libra","Scorpio","Sagittarius","Capricorn","Aquarius","Pisces"},0)-MATCH(INPUT_Chart!$C$5,{"Aries","Taurus","Gemini","Cancer","Leo","Virgo","Libra","Scorpio","Sagittarius","Capricorn","Aquarius","Pisces"},0),12)+1)=12),AND(OR(CALC_PlanetPositions!$M$13="Benefic",CALC_PlanetPositions!$M$13="Yogakaraka"),(MOD(MATCH(CALC_PlanetPositions!$B$13,{"Aries","Taurus","Gemini","Cancer","Leo","Virgo","Libra","Scorpio","Sagittarius","Capricorn","Aquarius","Pisces"},0)-MATCH(INPUT_Chart!$C$5,{"Aries","Taurus","Gemini","Cancer","Leo","Virgo","Libra","Scorpio","Sagittarius","Capricorn","Aquarius","Pisces"},0),12)+1)=12),AND(FALSE(),(MOD(MATCH(CALC_PlanetPositions!$B$14,{"Aries","Taurus","Gemini","Cancer","Leo","Virgo","Libra","Scorpio","Sagittarius","Capricorn","Aquarius","Pisces"},0)-MATCH(INPUT_Chart!$C$5,{"Aries","Taurus","Gemini","Cancer","Leo","Virgo","Libra","Scorpio","Sagittarius","Capricorn","Aquarius","Pisces"},0),12)+1)=12),AND(FALSE(),(MOD(MATCH(CALC_PlanetPositions!$B$15,{"Aries","Taurus","Gemini","Cancer","Leo","Virgo","Libra","Scorpio","Sagittarius","Capricorn","Aquarius","Pisces"},0)-MATCH(INPUT_Chart!$C$5,{"Aries","Taurus","Gemini","Cancer","Leo","Virgo","Libra","Scorpio","Sagittarius","Capricorn","Aquarius","Pisces"},0),12)+1)=12)),1,0),0)</f>
        <v>0</v>
      </c>
      <c r="G249" s="1091">
        <f>F249*1</f>
        <v>0</v>
      </c>
      <c r="H249" s="1092" t="s">
        <v>4532</v>
      </c>
    </row>
    <row r="250" spans="1:8" ht="18" customHeight="1" x14ac:dyDescent="0.2">
      <c r="A250" s="316" t="s">
        <v>3065</v>
      </c>
      <c r="B250" s="1088" t="s">
        <v>4527</v>
      </c>
      <c r="C250" s="467" t="s">
        <v>4533</v>
      </c>
      <c r="D250" s="1089" t="s">
        <v>4534</v>
      </c>
      <c r="E250" s="100" t="s">
        <v>1085</v>
      </c>
      <c r="F250" s="1090">
        <f>IFERROR(IF(OR(AND(OR(CALC_PlanetPositions!$M$7="Benefic",CALC_PlanetPositions!$M$7="Yogakaraka"),INDEX(REF_Aspects!$D$5:$O$13,1,MOD(12-(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12)),AND(OR(CALC_PlanetPositions!$M$8="Benefic",CALC_PlanetPositions!$M$8="Yogakaraka"),INDEX(REF_Aspects!$D$5:$O$13,2,MOD(12-(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12)),AND(OR(CALC_PlanetPositions!$M$9="Benefic",CALC_PlanetPositions!$M$9="Yogakaraka"),INDEX(REF_Aspects!$D$5:$O$13,3,MOD(12-(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12)),AND(OR(CALC_PlanetPositions!$M$10="Benefic",CALC_PlanetPositions!$M$10="Yogakaraka"),INDEX(REF_Aspects!$D$5:$O$13,4,MOD(12-(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12)),AND(OR(CALC_PlanetPositions!$M$11="Benefic",CALC_PlanetPositions!$M$11="Yogakaraka"),INDEX(REF_Aspects!$D$5:$O$13,5,MOD(12-(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12)),AND(OR(CALC_PlanetPositions!$M$12="Benefic",CALC_PlanetPositions!$M$12="Yogakaraka"),INDEX(REF_Aspects!$D$5:$O$13,6,MOD(12-(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12)),AND(OR(CALC_PlanetPositions!$M$13="Benefic",CALC_PlanetPositions!$M$13="Yogakaraka"),INDEX(REF_Aspects!$D$5:$O$13,7,MOD(12-(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12)),AND(FALSE(),INDEX(REF_Aspects!$D$5:$O$13,8,MOD(12-(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12)),AND(FALSE(),INDEX(REF_Aspects!$D$5:$O$13,9,MOD(12-(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12))),1,0),0)</f>
        <v>1</v>
      </c>
      <c r="G250" s="1091">
        <f>F250*0.75</f>
        <v>0.75</v>
      </c>
      <c r="H250" s="1092" t="s">
        <v>4535</v>
      </c>
    </row>
    <row r="251" spans="1:8" ht="18" customHeight="1" x14ac:dyDescent="0.2">
      <c r="A251" s="356" t="s">
        <v>3015</v>
      </c>
      <c r="B251" s="1093" t="s">
        <v>4536</v>
      </c>
      <c r="C251" s="463" t="s">
        <v>4528</v>
      </c>
      <c r="D251" s="1094" t="s">
        <v>4537</v>
      </c>
      <c r="E251" s="101" t="s">
        <v>1075</v>
      </c>
      <c r="F251" s="1090">
        <f>IFERROR(IF(AND(OR(CALC_BhaveshMap!$I$16="Yes",CALC_BhaveshMap!$J$16="Yes"),NOT(CALC_BhaveshMap!$K$16="Yes")),1,0),0)</f>
        <v>0</v>
      </c>
      <c r="G251" s="1095">
        <f>F251*2</f>
        <v>0</v>
      </c>
      <c r="H251" s="1092" t="s">
        <v>4538</v>
      </c>
    </row>
    <row r="252" spans="1:8" ht="18" customHeight="1" x14ac:dyDescent="0.2">
      <c r="A252" s="356" t="s">
        <v>3092</v>
      </c>
      <c r="B252" s="1093" t="s">
        <v>4536</v>
      </c>
      <c r="C252" s="463" t="s">
        <v>4533</v>
      </c>
      <c r="D252" s="1094" t="s">
        <v>3093</v>
      </c>
      <c r="E252" s="101" t="s">
        <v>1081</v>
      </c>
      <c r="F252" s="1090">
        <f>IFERROR(IF(OR(AND(CALC_BhaveshMap!$G$5=CALC_BhaveshMap!$G$16,CALC_BhaveshMap!$D$5&lt;&gt;CALC_BhaveshMap!$D$16),AND(CALC_BhaveshMap!$G$8=CALC_BhaveshMap!$G$16,CALC_BhaveshMap!$D$8&lt;&gt;CALC_BhaveshMap!$D$16),AND(CALC_BhaveshMap!$G$9=CALC_BhaveshMap!$G$16,CALC_BhaveshMap!$D$9&lt;&gt;CALC_BhaveshMap!$D$16),AND(CALC_BhaveshMap!$G$11=CALC_BhaveshMap!$G$16,CALC_BhaveshMap!$D$11&lt;&gt;CALC_BhaveshMap!$D$16),AND(CALC_BhaveshMap!$G$13=CALC_BhaveshMap!$G$16,CALC_BhaveshMap!$D$13&lt;&gt;CALC_BhaveshMap!$D$16),AND(CALC_BhaveshMap!$G$14=CALC_BhaveshMap!$G$16,CALC_BhaveshMap!$D$14&lt;&gt;CALC_BhaveshMap!$D$16)),1,0),0)</f>
        <v>0</v>
      </c>
      <c r="G252" s="1095">
        <f>F252*0.5</f>
        <v>0</v>
      </c>
      <c r="H252" s="1092" t="s">
        <v>4539</v>
      </c>
    </row>
    <row r="253" spans="1:8" ht="18" customHeight="1" x14ac:dyDescent="0.2">
      <c r="A253" s="356" t="s">
        <v>3028</v>
      </c>
      <c r="B253" s="1093" t="s">
        <v>4536</v>
      </c>
      <c r="C253" s="463" t="s">
        <v>4528</v>
      </c>
      <c r="D253" s="1094" t="s">
        <v>4540</v>
      </c>
      <c r="E253" s="101" t="s">
        <v>1081</v>
      </c>
      <c r="F253" s="1090">
        <v>0</v>
      </c>
      <c r="G253" s="1095">
        <f>F253*1</f>
        <v>0</v>
      </c>
      <c r="H253" s="1092" t="s">
        <v>4541</v>
      </c>
    </row>
    <row r="254" spans="1:8" ht="18" customHeight="1" x14ac:dyDescent="0.2">
      <c r="A254" s="356" t="s">
        <v>3112</v>
      </c>
      <c r="B254" s="1093" t="s">
        <v>4536</v>
      </c>
      <c r="C254" s="463" t="s">
        <v>4533</v>
      </c>
      <c r="D254" s="1094" t="s">
        <v>4542</v>
      </c>
      <c r="E254" s="101" t="s">
        <v>1081</v>
      </c>
      <c r="F254" s="1090">
        <f>IFERROR(IF(OR(AND(OR(CALC_PlanetPositions!$M$7="Benefic",CALC_PlanetPositions!$M$7="Yogakaraka"),INDEX(REF_Aspects!$D$5:$O$13,1,MOD(CALC_BhaveshMap!$H$16-(MOD(MATCH(CALC_PlanetPositions!$B$7,{"Aries","Taurus","Gemini","Cancer","Leo","Virgo","Libra","Scorpio","Sagittarius","Capricorn","Aquarius","Pisces"},0)-MATCH(INPUT_Chart!$C$5,{"Aries","Taurus","Gemini","Cancer","Leo","Virgo","Libra","Scorpio","Sagittarius","Capricorn","Aquarius","Pisces"},0),12)+1),12)+1)="FULL",NOT(CALC_PlanetPositions!$B$7=CALC_BhaveshMap!$G$16)),AND(OR(CALC_PlanetPositions!$M$8="Benefic",CALC_PlanetPositions!$M$8="Yogakaraka"),INDEX(REF_Aspects!$D$5:$O$13,2,MOD(CALC_BhaveshMap!$H$16-(MOD(MATCH(CALC_PlanetPositions!$B$8,{"Aries","Taurus","Gemini","Cancer","Leo","Virgo","Libra","Scorpio","Sagittarius","Capricorn","Aquarius","Pisces"},0)-MATCH(INPUT_Chart!$C$5,{"Aries","Taurus","Gemini","Cancer","Leo","Virgo","Libra","Scorpio","Sagittarius","Capricorn","Aquarius","Pisces"},0),12)+1),12)+1)="FULL",NOT(CALC_PlanetPositions!$B$8=CALC_BhaveshMap!$G$16)),AND(OR(CALC_PlanetPositions!$M$9="Benefic",CALC_PlanetPositions!$M$9="Yogakaraka"),INDEX(REF_Aspects!$D$5:$O$13,3,MOD(CALC_BhaveshMap!$H$16-(MOD(MATCH(CALC_PlanetPositions!$B$9,{"Aries","Taurus","Gemini","Cancer","Leo","Virgo","Libra","Scorpio","Sagittarius","Capricorn","Aquarius","Pisces"},0)-MATCH(INPUT_Chart!$C$5,{"Aries","Taurus","Gemini","Cancer","Leo","Virgo","Libra","Scorpio","Sagittarius","Capricorn","Aquarius","Pisces"},0),12)+1),12)+1)="FULL",NOT(CALC_PlanetPositions!$B$9=CALC_BhaveshMap!$G$16)),AND(OR(CALC_PlanetPositions!$M$10="Benefic",CALC_PlanetPositions!$M$10="Yogakaraka"),INDEX(REF_Aspects!$D$5:$O$13,4,MOD(CALC_BhaveshMap!$H$16-(MOD(MATCH(CALC_PlanetPositions!$B$10,{"Aries","Taurus","Gemini","Cancer","Leo","Virgo","Libra","Scorpio","Sagittarius","Capricorn","Aquarius","Pisces"},0)-MATCH(INPUT_Chart!$C$5,{"Aries","Taurus","Gemini","Cancer","Leo","Virgo","Libra","Scorpio","Sagittarius","Capricorn","Aquarius","Pisces"},0),12)+1),12)+1)="FULL",NOT(CALC_PlanetPositions!$B$10=CALC_BhaveshMap!$G$16)),AND(OR(CALC_PlanetPositions!$M$11="Benefic",CALC_PlanetPositions!$M$11="Yogakaraka"),INDEX(REF_Aspects!$D$5:$O$13,5,MOD(CALC_BhaveshMap!$H$16-(MOD(MATCH(CALC_PlanetPositions!$B$11,{"Aries","Taurus","Gemini","Cancer","Leo","Virgo","Libra","Scorpio","Sagittarius","Capricorn","Aquarius","Pisces"},0)-MATCH(INPUT_Chart!$C$5,{"Aries","Taurus","Gemini","Cancer","Leo","Virgo","Libra","Scorpio","Sagittarius","Capricorn","Aquarius","Pisces"},0),12)+1),12)+1)="FULL",NOT(CALC_PlanetPositions!$B$11=CALC_BhaveshMap!$G$16)),AND(OR(CALC_PlanetPositions!$M$12="Benefic",CALC_PlanetPositions!$M$12="Yogakaraka"),INDEX(REF_Aspects!$D$5:$O$13,6,MOD(CALC_BhaveshMap!$H$16-(MOD(MATCH(CALC_PlanetPositions!$B$12,{"Aries","Taurus","Gemini","Cancer","Leo","Virgo","Libra","Scorpio","Sagittarius","Capricorn","Aquarius","Pisces"},0)-MATCH(INPUT_Chart!$C$5,{"Aries","Taurus","Gemini","Cancer","Leo","Virgo","Libra","Scorpio","Sagittarius","Capricorn","Aquarius","Pisces"},0),12)+1),12)+1)="FULL",NOT(CALC_PlanetPositions!$B$12=CALC_BhaveshMap!$G$16)),AND(OR(CALC_PlanetPositions!$M$13="Benefic",CALC_PlanetPositions!$M$13="Yogakaraka"),INDEX(REF_Aspects!$D$5:$O$13,7,MOD(CALC_BhaveshMap!$H$16-(MOD(MATCH(CALC_PlanetPositions!$B$13,{"Aries","Taurus","Gemini","Cancer","Leo","Virgo","Libra","Scorpio","Sagittarius","Capricorn","Aquarius","Pisces"},0)-MATCH(INPUT_Chart!$C$5,{"Aries","Taurus","Gemini","Cancer","Leo","Virgo","Libra","Scorpio","Sagittarius","Capricorn","Aquarius","Pisces"},0),12)+1),12)+1)="FULL",NOT(CALC_PlanetPositions!$B$13=CALC_BhaveshMap!$G$16)),AND(FALSE(),INDEX(REF_Aspects!$D$5:$O$13,8,MOD(CALC_BhaveshMap!$H$16-(MOD(MATCH(CALC_PlanetPositions!$B$14,{"Aries","Taurus","Gemini","Cancer","Leo","Virgo","Libra","Scorpio","Sagittarius","Capricorn","Aquarius","Pisces"},0)-MATCH(INPUT_Chart!$C$5,{"Aries","Taurus","Gemini","Cancer","Leo","Virgo","Libra","Scorpio","Sagittarius","Capricorn","Aquarius","Pisces"},0),12)+1),12)+1)="FULL",NOT(CALC_PlanetPositions!$B$14=CALC_BhaveshMap!$G$16)),AND(FALSE(),INDEX(REF_Aspects!$D$5:$O$13,9,MOD(CALC_BhaveshMap!$H$16-(MOD(MATCH(CALC_PlanetPositions!$B$15,{"Aries","Taurus","Gemini","Cancer","Leo","Virgo","Libra","Scorpio","Sagittarius","Capricorn","Aquarius","Pisces"},0)-MATCH(INPUT_Chart!$C$5,{"Aries","Taurus","Gemini","Cancer","Leo","Virgo","Libra","Scorpio","Sagittarius","Capricorn","Aquarius","Pisces"},0),12)+1),12)+1)="FULL",NOT(CALC_PlanetPositions!$B$15=CALC_BhaveshMap!$G$16))),1,0),0)</f>
        <v>0</v>
      </c>
      <c r="G254" s="1095">
        <f>F254*0.5</f>
        <v>0</v>
      </c>
      <c r="H254" s="1092" t="s">
        <v>4543</v>
      </c>
    </row>
    <row r="255" spans="1:8" ht="18" customHeight="1" x14ac:dyDescent="0.2">
      <c r="A255" s="356" t="s">
        <v>3033</v>
      </c>
      <c r="B255" s="1093" t="s">
        <v>4536</v>
      </c>
      <c r="C255" s="463" t="s">
        <v>4528</v>
      </c>
      <c r="D255" s="1094" t="s">
        <v>3034</v>
      </c>
      <c r="E255" s="101" t="s">
        <v>1085</v>
      </c>
      <c r="F255" s="1090">
        <f>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$16-2,12)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$16-2,12)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$16-2,12)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$16-2,12)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$16-2,12)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$16-2,12)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$16-2,12)+1)),AND(FALSE(),MOD(MATCH(CALC_PlanetPositions!$B$14,{"Aries","Taurus","Gemini","Cancer","Leo","Virgo","Libra","Scorpio","Sagittarius","Capricorn","Aquarius","Pisces"},0)-MATCH(INPUT_Chart!$C$5,{"Aries","Taurus","Gemini","Cancer","Leo","Virgo","Libra","Scorpio","Sagittarius","Capricorn","Aquarius","Pisces"},0),12)+1=(MOD(CALC_BhaveshMap!$H$16-2,12)+1)),AND(FALSE(),MOD(MATCH(CALC_PlanetPositions!$B$15,{"Aries","Taurus","Gemini","Cancer","Leo","Virgo","Libra","Scorpio","Sagittarius","Capricorn","Aquarius","Pisces"},0)-MATCH(INPUT_Chart!$C$5,{"Aries","Taurus","Gemini","Cancer","Leo","Virgo","Libra","Scorpio","Sagittarius","Capricorn","Aquarius","Pisces"},0),12)+1=(MOD(CALC_BhaveshMap!$H$16-2,12)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$16,12)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$16,12)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$16,12)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$16,12)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$16,12)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$16,12)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$16,12)+1)),AND(FALSE(),MOD(MATCH(CALC_PlanetPositions!$B$14,{"Aries","Taurus","Gemini","Cancer","Leo","Virgo","Libra","Scorpio","Sagittarius","Capricorn","Aquarius","Pisces"},0)-MATCH(INPUT_Chart!$C$5,{"Aries","Taurus","Gemini","Cancer","Leo","Virgo","Libra","Scorpio","Sagittarius","Capricorn","Aquarius","Pisces"},0),12)+1=(MOD(CALC_BhaveshMap!$H$16,12)+1)),AND(FALSE(),MOD(MATCH(CALC_PlanetPositions!$B$15,{"Aries","Taurus","Gemini","Cancer","Leo","Virgo","Libra","Scorpio","Sagittarius","Capricorn","Aquarius","Pisces"},0)-MATCH(INPUT_Chart!$C$5,{"Aries","Taurus","Gemini","Cancer","Leo","Virgo","Libra","Scorpio","Sagittarius","Capricorn","Aquarius","Pisces"},0),12)+1=(MOD(CALC_BhaveshMap!$H$16,12)+1)))),1,0),0)</f>
        <v>0</v>
      </c>
      <c r="G255" s="1095">
        <f>F255*0.75</f>
        <v>0</v>
      </c>
      <c r="H255" s="1092" t="s">
        <v>4544</v>
      </c>
    </row>
    <row r="256" spans="1:8" ht="18" customHeight="1" x14ac:dyDescent="0.2">
      <c r="A256" s="315" t="s">
        <v>3050</v>
      </c>
      <c r="B256" s="1096" t="s">
        <v>4545</v>
      </c>
      <c r="C256" s="480" t="s">
        <v>4528</v>
      </c>
      <c r="D256" s="1097" t="s">
        <v>4546</v>
      </c>
      <c r="E256" s="99" t="s">
        <v>1109</v>
      </c>
      <c r="F256" s="1090">
        <f>IFERROR(IF(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1,0),0)</f>
        <v>0</v>
      </c>
      <c r="G256" s="1098">
        <f>F256*-1</f>
        <v>0</v>
      </c>
      <c r="H256" s="1092" t="s">
        <v>4547</v>
      </c>
    </row>
    <row r="257" spans="1:8" ht="18" customHeight="1" x14ac:dyDescent="0.2">
      <c r="A257" s="315" t="s">
        <v>3066</v>
      </c>
      <c r="B257" s="1096" t="s">
        <v>4545</v>
      </c>
      <c r="C257" s="480" t="s">
        <v>4528</v>
      </c>
      <c r="D257" s="1097" t="s">
        <v>4548</v>
      </c>
      <c r="E257" s="99" t="s">
        <v>1109</v>
      </c>
      <c r="F257" s="1090">
        <f>IFERROR(IF(OR(AND(CALC_PlanetPositions!$M$7="Malefic",INDEX(REF_Aspects!$D$5:$O$13,1,MOD(12-(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12)),AND(CALC_PlanetPositions!$M$8="Malefic",INDEX(REF_Aspects!$D$5:$O$13,2,MOD(12-(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12)),AND(CALC_PlanetPositions!$M$9="Malefic",INDEX(REF_Aspects!$D$5:$O$13,3,MOD(12-(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12)),AND(CALC_PlanetPositions!$M$10="Malefic",INDEX(REF_Aspects!$D$5:$O$13,4,MOD(12-(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12)),AND(CALC_PlanetPositions!$M$11="Malefic",INDEX(REF_Aspects!$D$5:$O$13,5,MOD(12-(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12)),AND(CALC_PlanetPositions!$M$12="Malefic",INDEX(REF_Aspects!$D$5:$O$13,6,MOD(12-(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12)),AND(CALC_PlanetPositions!$M$13="Malefic",INDEX(REF_Aspects!$D$5:$O$13,7,MOD(12-(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12)),AND(TRUE(),INDEX(REF_Aspects!$D$5:$O$13,8,MOD(12-(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12)),AND(TRUE(),INDEX(REF_Aspects!$D$5:$O$13,9,MOD(12-(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12))),1,0),0)</f>
        <v>1</v>
      </c>
      <c r="G257" s="1098">
        <f>F257*-1</f>
        <v>-1</v>
      </c>
      <c r="H257" s="1092" t="s">
        <v>4549</v>
      </c>
    </row>
    <row r="258" spans="1:8" ht="18" customHeight="1" x14ac:dyDescent="0.2">
      <c r="A258" s="315" t="s">
        <v>3061</v>
      </c>
      <c r="B258" s="1096" t="s">
        <v>4545</v>
      </c>
      <c r="C258" s="480" t="s">
        <v>4528</v>
      </c>
      <c r="D258" s="1097" t="s">
        <v>3062</v>
      </c>
      <c r="E258" s="99" t="s">
        <v>4550</v>
      </c>
      <c r="F258" s="1090">
        <v>0</v>
      </c>
      <c r="G258" s="1098">
        <f>F258*-1.25</f>
        <v>0</v>
      </c>
      <c r="H258" s="1092" t="s">
        <v>4551</v>
      </c>
    </row>
    <row r="259" spans="1:8" ht="18" customHeight="1" x14ac:dyDescent="0.2">
      <c r="A259" s="315" t="s">
        <v>3095</v>
      </c>
      <c r="B259" s="1096" t="s">
        <v>4545</v>
      </c>
      <c r="C259" s="480" t="s">
        <v>4528</v>
      </c>
      <c r="D259" s="1097" t="s">
        <v>4552</v>
      </c>
      <c r="E259" s="99" t="s">
        <v>3564</v>
      </c>
      <c r="F259" s="1090">
        <f>IFERROR(IF(AND(OR(AND(CALC_PlanetPositions!$M$7="Malefic",MOD(MATCH(CALC_PlanetPositions!$B$7,{"Aries","Taurus","Gemini","Cancer","Leo","Virgo","Libra","Scorpio","Sagittarius","Capricorn","Aquarius","Pisces"},0)-MATCH(INPUT_Chart!$C$5,{"Aries","Taurus","Gemini","Cancer","Leo","Virgo","Libra","Scorpio","Sagittarius","Capricorn","Aquarius","Pisces"},0),12)+1=(MOD(12-2,12)+1)),AND(CALC_PlanetPositions!$M$8="Malefic",MOD(MATCH(CALC_PlanetPositions!$B$8,{"Aries","Taurus","Gemini","Cancer","Leo","Virgo","Libra","Scorpio","Sagittarius","Capricorn","Aquarius","Pisces"},0)-MATCH(INPUT_Chart!$C$5,{"Aries","Taurus","Gemini","Cancer","Leo","Virgo","Libra","Scorpio","Sagittarius","Capricorn","Aquarius","Pisces"},0),12)+1=(MOD(12-2,12)+1)),AND(CALC_PlanetPositions!$M$9="Malefic",MOD(MATCH(CALC_PlanetPositions!$B$9,{"Aries","Taurus","Gemini","Cancer","Leo","Virgo","Libra","Scorpio","Sagittarius","Capricorn","Aquarius","Pisces"},0)-MATCH(INPUT_Chart!$C$5,{"Aries","Taurus","Gemini","Cancer","Leo","Virgo","Libra","Scorpio","Sagittarius","Capricorn","Aquarius","Pisces"},0),12)+1=(MOD(12-2,12)+1)),AND(CALC_PlanetPositions!$M$10="Malefic",MOD(MATCH(CALC_PlanetPositions!$B$10,{"Aries","Taurus","Gemini","Cancer","Leo","Virgo","Libra","Scorpio","Sagittarius","Capricorn","Aquarius","Pisces"},0)-MATCH(INPUT_Chart!$C$5,{"Aries","Taurus","Gemini","Cancer","Leo","Virgo","Libra","Scorpio","Sagittarius","Capricorn","Aquarius","Pisces"},0),12)+1=(MOD(12-2,12)+1)),AND(CALC_PlanetPositions!$M$11="Malefic",MOD(MATCH(CALC_PlanetPositions!$B$11,{"Aries","Taurus","Gemini","Cancer","Leo","Virgo","Libra","Scorpio","Sagittarius","Capricorn","Aquarius","Pisces"},0)-MATCH(INPUT_Chart!$C$5,{"Aries","Taurus","Gemini","Cancer","Leo","Virgo","Libra","Scorpio","Sagittarius","Capricorn","Aquarius","Pisces"},0),12)+1=(MOD(12-2,12)+1)),AND(CALC_PlanetPositions!$M$12="Malefic",MOD(MATCH(CALC_PlanetPositions!$B$12,{"Aries","Taurus","Gemini","Cancer","Leo","Virgo","Libra","Scorpio","Sagittarius","Capricorn","Aquarius","Pisces"},0)-MATCH(INPUT_Chart!$C$5,{"Aries","Taurus","Gemini","Cancer","Leo","Virgo","Libra","Scorpio","Sagittarius","Capricorn","Aquarius","Pisces"},0),12)+1=(MOD(12-2,12)+1)),AND(CALC_PlanetPositions!$M$13="Malefic",MOD(MATCH(CALC_PlanetPositions!$B$13,{"Aries","Taurus","Gemini","Cancer","Leo","Virgo","Libra","Scorpio","Sagittarius","Capricorn","Aquarius","Pisces"},0)-MATCH(INPUT_Chart!$C$5,{"Aries","Taurus","Gemini","Cancer","Leo","Virgo","Libra","Scorpio","Sagittarius","Capricorn","Aquarius","Pisces"},0),12)+1=(MOD(12-2,12)+1)),AND(TRUE(),MOD(MATCH(CALC_PlanetPositions!$B$14,{"Aries","Taurus","Gemini","Cancer","Leo","Virgo","Libra","Scorpio","Sagittarius","Capricorn","Aquarius","Pisces"},0)-MATCH(INPUT_Chart!$C$5,{"Aries","Taurus","Gemini","Cancer","Leo","Virgo","Libra","Scorpio","Sagittarius","Capricorn","Aquarius","Pisces"},0),12)+1=(MOD(12-2,12)+1)),AND(TRUE(),MOD(MATCH(CALC_PlanetPositions!$B$15,{"Aries","Taurus","Gemini","Cancer","Leo","Virgo","Libra","Scorpio","Sagittarius","Capricorn","Aquarius","Pisces"},0)-MATCH(INPUT_Chart!$C$5,{"Aries","Taurus","Gemini","Cancer","Leo","Virgo","Libra","Scorpio","Sagittarius","Capricorn","Aquarius","Pisces"},0),12)+1=(MOD(12-2,12)+1))),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f>
        <v>0</v>
      </c>
      <c r="G259" s="1098">
        <f>F259*-0.75</f>
        <v>0</v>
      </c>
      <c r="H259" s="1092" t="s">
        <v>4553</v>
      </c>
    </row>
    <row r="260" spans="1:8" ht="18" customHeight="1" x14ac:dyDescent="0.2">
      <c r="A260" s="1099" t="s">
        <v>3036</v>
      </c>
      <c r="B260" s="1100" t="s">
        <v>4554</v>
      </c>
      <c r="C260" s="1101" t="s">
        <v>4528</v>
      </c>
      <c r="D260" s="1102" t="s">
        <v>4555</v>
      </c>
      <c r="E260" s="1103" t="s">
        <v>1109</v>
      </c>
      <c r="F260" s="1090">
        <v>0</v>
      </c>
      <c r="G260" s="1104">
        <f>F260*-1</f>
        <v>0</v>
      </c>
      <c r="H260" s="1092" t="s">
        <v>4556</v>
      </c>
    </row>
    <row r="261" spans="1:8" ht="18" customHeight="1" x14ac:dyDescent="0.2">
      <c r="A261" s="1099" t="s">
        <v>3054</v>
      </c>
      <c r="B261" s="1100" t="s">
        <v>4554</v>
      </c>
      <c r="C261" s="1101" t="s">
        <v>4533</v>
      </c>
      <c r="D261" s="1102" t="s">
        <v>4557</v>
      </c>
      <c r="E261" s="1103" t="s">
        <v>1109</v>
      </c>
      <c r="F261" s="1090">
        <f>IFERROR(IF(OR(AND(CALC_PlanetPositions!$M$7="Malefic",INDEX(REF_Aspects!$D$5:$O$13,1,MOD(CALC_BhaveshMap!$H$16-(MOD(MATCH(CALC_PlanetPositions!$B$7,{"Aries","Taurus","Gemini","Cancer","Leo","Virgo","Libra","Scorpio","Sagittarius","Capricorn","Aquarius","Pisces"},0)-MATCH(INPUT_Chart!$C$5,{"Aries","Taurus","Gemini","Cancer","Leo","Virgo","Libra","Scorpio","Sagittarius","Capricorn","Aquarius","Pisces"},0),12)+1),12)+1)="FULL",NOT(CALC_PlanetPositions!$B$7=CALC_BhaveshMap!$G$16)),AND(CALC_PlanetPositions!$M$8="Malefic",INDEX(REF_Aspects!$D$5:$O$13,2,MOD(CALC_BhaveshMap!$H$16-(MOD(MATCH(CALC_PlanetPositions!$B$8,{"Aries","Taurus","Gemini","Cancer","Leo","Virgo","Libra","Scorpio","Sagittarius","Capricorn","Aquarius","Pisces"},0)-MATCH(INPUT_Chart!$C$5,{"Aries","Taurus","Gemini","Cancer","Leo","Virgo","Libra","Scorpio","Sagittarius","Capricorn","Aquarius","Pisces"},0),12)+1),12)+1)="FULL",NOT(CALC_PlanetPositions!$B$8=CALC_BhaveshMap!$G$16)),AND(CALC_PlanetPositions!$M$9="Malefic",INDEX(REF_Aspects!$D$5:$O$13,3,MOD(CALC_BhaveshMap!$H$16-(MOD(MATCH(CALC_PlanetPositions!$B$9,{"Aries","Taurus","Gemini","Cancer","Leo","Virgo","Libra","Scorpio","Sagittarius","Capricorn","Aquarius","Pisces"},0)-MATCH(INPUT_Chart!$C$5,{"Aries","Taurus","Gemini","Cancer","Leo","Virgo","Libra","Scorpio","Sagittarius","Capricorn","Aquarius","Pisces"},0),12)+1),12)+1)="FULL",NOT(CALC_PlanetPositions!$B$9=CALC_BhaveshMap!$G$16)),AND(CALC_PlanetPositions!$M$10="Malefic",INDEX(REF_Aspects!$D$5:$O$13,4,MOD(CALC_BhaveshMap!$H$16-(MOD(MATCH(CALC_PlanetPositions!$B$10,{"Aries","Taurus","Gemini","Cancer","Leo","Virgo","Libra","Scorpio","Sagittarius","Capricorn","Aquarius","Pisces"},0)-MATCH(INPUT_Chart!$C$5,{"Aries","Taurus","Gemini","Cancer","Leo","Virgo","Libra","Scorpio","Sagittarius","Capricorn","Aquarius","Pisces"},0),12)+1),12)+1)="FULL",NOT(CALC_PlanetPositions!$B$10=CALC_BhaveshMap!$G$16)),AND(CALC_PlanetPositions!$M$11="Malefic",INDEX(REF_Aspects!$D$5:$O$13,5,MOD(CALC_BhaveshMap!$H$16-(MOD(MATCH(CALC_PlanetPositions!$B$11,{"Aries","Taurus","Gemini","Cancer","Leo","Virgo","Libra","Scorpio","Sagittarius","Capricorn","Aquarius","Pisces"},0)-MATCH(INPUT_Chart!$C$5,{"Aries","Taurus","Gemini","Cancer","Leo","Virgo","Libra","Scorpio","Sagittarius","Capricorn","Aquarius","Pisces"},0),12)+1),12)+1)="FULL",NOT(CALC_PlanetPositions!$B$11=CALC_BhaveshMap!$G$16)),AND(CALC_PlanetPositions!$M$12="Malefic",INDEX(REF_Aspects!$D$5:$O$13,6,MOD(CALC_BhaveshMap!$H$16-(MOD(MATCH(CALC_PlanetPositions!$B$12,{"Aries","Taurus","Gemini","Cancer","Leo","Virgo","Libra","Scorpio","Sagittarius","Capricorn","Aquarius","Pisces"},0)-MATCH(INPUT_Chart!$C$5,{"Aries","Taurus","Gemini","Cancer","Leo","Virgo","Libra","Scorpio","Sagittarius","Capricorn","Aquarius","Pisces"},0),12)+1),12)+1)="FULL",NOT(CALC_PlanetPositions!$B$12=CALC_BhaveshMap!$G$16)),AND(CALC_PlanetPositions!$M$13="Malefic",INDEX(REF_Aspects!$D$5:$O$13,7,MOD(CALC_BhaveshMap!$H$16-(MOD(MATCH(CALC_PlanetPositions!$B$13,{"Aries","Taurus","Gemini","Cancer","Leo","Virgo","Libra","Scorpio","Sagittarius","Capricorn","Aquarius","Pisces"},0)-MATCH(INPUT_Chart!$C$5,{"Aries","Taurus","Gemini","Cancer","Leo","Virgo","Libra","Scorpio","Sagittarius","Capricorn","Aquarius","Pisces"},0),12)+1),12)+1)="FULL",NOT(CALC_PlanetPositions!$B$13=CALC_BhaveshMap!$G$16)),AND(TRUE(),INDEX(REF_Aspects!$D$5:$O$13,8,MOD(CALC_BhaveshMap!$H$16-(MOD(MATCH(CALC_PlanetPositions!$B$14,{"Aries","Taurus","Gemini","Cancer","Leo","Virgo","Libra","Scorpio","Sagittarius","Capricorn","Aquarius","Pisces"},0)-MATCH(INPUT_Chart!$C$5,{"Aries","Taurus","Gemini","Cancer","Leo","Virgo","Libra","Scorpio","Sagittarius","Capricorn","Aquarius","Pisces"},0),12)+1),12)+1)="FULL",NOT(CALC_PlanetPositions!$B$14=CALC_BhaveshMap!$G$16)),AND(TRUE(),INDEX(REF_Aspects!$D$5:$O$13,9,MOD(CALC_BhaveshMap!$H$16-(MOD(MATCH(CALC_PlanetPositions!$B$15,{"Aries","Taurus","Gemini","Cancer","Leo","Virgo","Libra","Scorpio","Sagittarius","Capricorn","Aquarius","Pisces"},0)-MATCH(INPUT_Chart!$C$5,{"Aries","Taurus","Gemini","Cancer","Leo","Virgo","Libra","Scorpio","Sagittarius","Capricorn","Aquarius","Pisces"},0),12)+1),12)+1)="FULL",NOT(CALC_PlanetPositions!$B$15=CALC_BhaveshMap!$G$16))),1,0),0)</f>
        <v>1</v>
      </c>
      <c r="G261" s="1104">
        <f>F261*-0.5</f>
        <v>-0.5</v>
      </c>
      <c r="H261" s="1092" t="s">
        <v>4558</v>
      </c>
    </row>
    <row r="262" spans="1:8" ht="18" customHeight="1" x14ac:dyDescent="0.2">
      <c r="A262" s="1099" t="s">
        <v>3041</v>
      </c>
      <c r="B262" s="1100" t="s">
        <v>4554</v>
      </c>
      <c r="C262" s="1101" t="s">
        <v>4528</v>
      </c>
      <c r="D262" s="1102" t="s">
        <v>3042</v>
      </c>
      <c r="E262" s="1103" t="s">
        <v>4559</v>
      </c>
      <c r="F262" s="1090">
        <f>IFERROR(IF(CALC_BhaveshMap!$K$16="Yes",1,0),0)</f>
        <v>0</v>
      </c>
      <c r="G262" s="1104">
        <f>F262*-2</f>
        <v>0</v>
      </c>
      <c r="H262" s="1092" t="s">
        <v>4560</v>
      </c>
    </row>
    <row r="263" spans="1:8" ht="18" customHeight="1" x14ac:dyDescent="0.2">
      <c r="A263" s="1099" t="s">
        <v>3058</v>
      </c>
      <c r="B263" s="1100" t="s">
        <v>4554</v>
      </c>
      <c r="C263" s="1101" t="s">
        <v>4528</v>
      </c>
      <c r="D263" s="1102" t="s">
        <v>3059</v>
      </c>
      <c r="E263" s="1103" t="s">
        <v>1109</v>
      </c>
      <c r="F263" s="1090">
        <f>IFERROR(IF(OR(AND(CALC_BhaveshMap!$G$10=CALC_BhaveshMap!$G$16,CALC_BhaveshMap!$D$10&lt;&gt;CALC_BhaveshMap!$D$16),AND(CALC_BhaveshMap!$G$12=CALC_BhaveshMap!$G$16,CALC_BhaveshMap!$D$12&lt;&gt;CALC_BhaveshMap!$D$16),AND(CALC_BhaveshMap!$G$16=CALC_BhaveshMap!$G$16,CALC_BhaveshMap!$D$16&lt;&gt;CALC_BhaveshMap!$D$16)),1,0),0)</f>
        <v>0</v>
      </c>
      <c r="G263" s="1104">
        <f>F263*-1</f>
        <v>0</v>
      </c>
      <c r="H263" s="1092" t="s">
        <v>4561</v>
      </c>
    </row>
    <row r="264" spans="1:8" ht="18" customHeight="1" x14ac:dyDescent="0.2">
      <c r="A264" s="1105" t="s">
        <v>3083</v>
      </c>
      <c r="B264" s="1106" t="s">
        <v>4562</v>
      </c>
      <c r="C264" s="1107" t="s">
        <v>4528</v>
      </c>
      <c r="D264" s="1108" t="s">
        <v>3084</v>
      </c>
      <c r="E264" s="1109" t="s">
        <v>1089</v>
      </c>
      <c r="F264" s="1110">
        <f>IFERROR(IF(CALC_KarakMap!$M$16&gt;0,CALC_KarakMap!$M$16,0),0)</f>
        <v>0</v>
      </c>
      <c r="G264" s="1111">
        <f>F264</f>
        <v>0</v>
      </c>
      <c r="H264" s="1092" t="s">
        <v>4563</v>
      </c>
    </row>
    <row r="265" spans="1:8" ht="18" customHeight="1" x14ac:dyDescent="0.2">
      <c r="A265" s="1105" t="s">
        <v>3390</v>
      </c>
      <c r="B265" s="1106" t="s">
        <v>4562</v>
      </c>
      <c r="C265" s="1107" t="s">
        <v>4528</v>
      </c>
      <c r="D265" s="1108" t="s">
        <v>4564</v>
      </c>
      <c r="E265" s="1109" t="s">
        <v>1097</v>
      </c>
      <c r="F265" s="1090">
        <f>IFERROR(IF(CALC_KarakMap!$M$16&lt;0,CALC_KarakMap!$M$16,0),0)</f>
        <v>0</v>
      </c>
      <c r="G265" s="1111">
        <f>F265</f>
        <v>0</v>
      </c>
      <c r="H265" s="1092" t="s">
        <v>4565</v>
      </c>
    </row>
    <row r="266" spans="1:8" ht="21.75" customHeight="1" x14ac:dyDescent="0.2">
      <c r="A266" s="1592" t="s">
        <v>4600</v>
      </c>
      <c r="B266" s="1592"/>
      <c r="C266" s="1592"/>
      <c r="D266" s="1592"/>
      <c r="E266" s="1592"/>
      <c r="F266" s="1592"/>
      <c r="G266" s="1112">
        <f>SUM(G248:G265)</f>
        <v>-0.75</v>
      </c>
      <c r="H266" s="1113" t="s">
        <v>4601</v>
      </c>
    </row>
    <row r="267" spans="1:8" ht="24" customHeight="1" x14ac:dyDescent="0.2">
      <c r="A267" s="1114" t="s">
        <v>4568</v>
      </c>
      <c r="D267" s="1115" t="s">
        <v>5588</v>
      </c>
    </row>
  </sheetData>
  <mergeCells count="26">
    <mergeCell ref="A266:F266"/>
    <mergeCell ref="A202:H202"/>
    <mergeCell ref="A222:F222"/>
    <mergeCell ref="A224:H224"/>
    <mergeCell ref="A244:F244"/>
    <mergeCell ref="A246:H246"/>
    <mergeCell ref="A156:F156"/>
    <mergeCell ref="A158:H158"/>
    <mergeCell ref="A178:F178"/>
    <mergeCell ref="A180:H180"/>
    <mergeCell ref="A200:F200"/>
    <mergeCell ref="A92:H92"/>
    <mergeCell ref="A112:F112"/>
    <mergeCell ref="A114:H114"/>
    <mergeCell ref="A134:F134"/>
    <mergeCell ref="A136:H136"/>
    <mergeCell ref="A46:F46"/>
    <mergeCell ref="A48:H48"/>
    <mergeCell ref="A68:F68"/>
    <mergeCell ref="A70:H70"/>
    <mergeCell ref="A90:F90"/>
    <mergeCell ref="A1:H1"/>
    <mergeCell ref="A2:H2"/>
    <mergeCell ref="A4:H4"/>
    <mergeCell ref="A24:F24"/>
    <mergeCell ref="A26:H26"/>
  </mergeCells>
  <dataValidations count="1">
    <dataValidation type="list" showInputMessage="1" showErrorMessage="1" errorTitle="WC Rule" error="Enter 0 (not fired) or 1 (fired). Half-weight applied automatically." promptTitle="WC Rule" prompt="0=not fired, 1=fired. Contribution = input x half-weight." sqref="F8 F10 F12 F19 F30 F32 F34 F41 F52 F54 F56 F63 F74 F76 F78 F85 F96 F98 F100 F107 F118 F120 F122 F129 F140 F142 F144 F151 F162 F164 F166 F173 F184 F186 F188 F195 F206 F208 F210 F217 F228 F230 F232 F239 F250 F252 F254 F261" xr:uid="{00000000-0002-0000-4D00-000000000000}">
      <formula1>"0,1"</formula1>
      <formula2>0</formula2>
    </dataValidation>
  </dataValidations>
  <pageMargins left="0.75" right="0.75" top="1" bottom="1" header="0.511811023622047" footer="0.511811023622047"/>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4602</v>
      </c>
      <c r="B1" s="1518"/>
      <c r="C1" s="1518"/>
      <c r="D1" s="1518"/>
      <c r="L1" s="29" t="str">
        <f>HYPERLINK("#'00_INDEX'!A1","&lt;- Index")</f>
        <v>&lt;- Index</v>
      </c>
    </row>
    <row r="2" spans="1:12" ht="19.5" customHeight="1" x14ac:dyDescent="0.2">
      <c r="A2" s="1595" t="str">
        <f>IFERROR("Lagna: "&amp;INPUT_Chart!$C$5&amp;"  ·  H1 sign: "&amp;CALC_BhaveshMap!$C$5&amp;"  ·  Bhavesh: "&amp;CALC_BhaveshMap!$D$5&amp;" in H"&amp;CALC_BhaveshMap!$H$5&amp;" ("&amp;CALC_BhaveshMap!$L$5&amp;")","Enter Lagna in INPUT_Chart")</f>
        <v>Lagna: Taurus  ·  H1 sign: Taurus  ·  Bhavesh: Venus in H3 (Neutral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IFERROR((IFERROR(IF(INDEX(REF_Zodiac!$D$17:$O$17,MATCH(CALC_BhaveshMap!$C$5,REF_Zodiac!$D$3:$O$3,0))="Gentle",1,0),0))*0.5,0)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IFERROR(IF(AND(OR(CALC_BhaveshMap!$I$5="Yes",CALC_BhaveshMap!$J$5="Yes"),NOT(CALC_BhaveshMap!$K$5="Yes")),1,0)*IF(REF_Config!$B$6="KP",1.5,IF(REF_Config!$B$6="Jaimini",1.5,2)),0)</f>
        <v>0</v>
      </c>
      <c r="D9" s="403" t="s">
        <v>4612</v>
      </c>
    </row>
    <row r="10" spans="1:12" ht="27.75" customHeight="1" x14ac:dyDescent="0.2">
      <c r="A10" s="121" t="s">
        <v>4613</v>
      </c>
      <c r="B10" s="357" t="s">
        <v>3093</v>
      </c>
      <c r="C10" s="1117">
        <f>IFERROR((IFERROR(IF(OR(AND(CALC_BhaveshMap!$G$5=CALC_BhaveshMap!$G$5,CALC_BhaveshMap!$D$5&lt;&gt;CALC_BhaveshMap!$D$5),AND(CALC_BhaveshMap!$G$8=CALC_BhaveshMap!$G$5,CALC_BhaveshMap!$D$8&lt;&gt;CALC_BhaveshMap!$D$5),AND(CALC_BhaveshMap!$G$9=CALC_BhaveshMap!$G$5,CALC_BhaveshMap!$D$9&lt;&gt;CALC_BhaveshMap!$D$5),AND(CALC_BhaveshMap!$G$11=CALC_BhaveshMap!$G$5,CALC_BhaveshMap!$D$11&lt;&gt;CALC_BhaveshMap!$D$5),AND(CALC_BhaveshMap!$G$13=CALC_BhaveshMap!$G$5,CALC_BhaveshMap!$D$13&lt;&gt;CALC_BhaveshMap!$D$5),AND(CALC_BhaveshMap!$G$14=CALC_BhaveshMap!$G$5,CALC_BhaveshMap!$D$14&lt;&gt;CALC_BhaveshMap!$D$5)),1,0),0))*0.5,0)</f>
        <v>0.5</v>
      </c>
      <c r="D10" s="400" t="s">
        <v>4614</v>
      </c>
    </row>
    <row r="11" spans="1:12" ht="27.75" customHeight="1" x14ac:dyDescent="0.2">
      <c r="A11" s="121" t="s">
        <v>4615</v>
      </c>
      <c r="B11" s="203" t="s">
        <v>4540</v>
      </c>
      <c r="C11" s="1118">
        <f>IFERROR((IFERROR(IF(OR(AND(OR(CALC_PlanetPositions!$M$7="Benefic",CALC_PlanetPositions!$M$7="Yogakaraka"),CALC_PlanetPositions!$B$7=CALC_BhaveshMap!$G$5,CALC_BhaveshMap!$D$5&lt;&gt;"Sun"),AND(OR(CALC_PlanetPositions!$M$8="Benefic",CALC_PlanetPositions!$M$8="Yogakaraka"),CALC_PlanetPositions!$B$8=CALC_BhaveshMap!$G$5,CALC_BhaveshMap!$D$5&lt;&gt;"Moon"),AND(OR(CALC_PlanetPositions!$M$9="Benefic",CALC_PlanetPositions!$M$9="Yogakaraka"),CALC_PlanetPositions!$B$9=CALC_BhaveshMap!$G$5,CALC_BhaveshMap!$D$5&lt;&gt;"Mars"),AND(OR(CALC_PlanetPositions!$M$10="Benefic",CALC_PlanetPositions!$M$10="Yogakaraka"),CALC_PlanetPositions!$B$10=CALC_BhaveshMap!$G$5,CALC_BhaveshMap!$D$5&lt;&gt;"Mercury"),AND(OR(CALC_PlanetPositions!$M$11="Benefic",CALC_PlanetPositions!$M$11="Yogakaraka"),CALC_PlanetPositions!$B$11=CALC_BhaveshMap!$G$5,CALC_BhaveshMap!$D$5&lt;&gt;"Jupiter"),AND(OR(CALC_PlanetPositions!$M$12="Benefic",CALC_PlanetPositions!$M$12="Yogakaraka"),CALC_PlanetPositions!$B$12=CALC_BhaveshMap!$G$5,CALC_BhaveshMap!$D$5&lt;&gt;"Venus"),AND(OR(CALC_PlanetPositions!$M$13="Benefic",CALC_PlanetPositions!$M$13="Yogakaraka"),CALC_PlanetPositions!$B$13=CALC_BhaveshMap!$G$5,CALC_BhaveshMap!$D$5&lt;&gt;"Saturn")),1,0),0))*IF(OR(AND(CALC_PlanetPositions!$M$7="Yogakaraka",CALC_PlanetPositions!$B$7=CALC_BhaveshMap!$G$5,CALC_BhaveshMap!$D$5&lt;&gt;"Sun"),AND(CALC_PlanetPositions!$M$8="Yogakaraka",CALC_PlanetPositions!$B$8=CALC_BhaveshMap!$G$5,CALC_BhaveshMap!$D$5&lt;&gt;"Moon"),AND(CALC_PlanetPositions!$M$9="Yogakaraka",CALC_PlanetPositions!$B$9=CALC_BhaveshMap!$G$5,CALC_BhaveshMap!$D$5&lt;&gt;"Mars"),AND(CALC_PlanetPositions!$M$10="Yogakaraka",CALC_PlanetPositions!$B$10=CALC_BhaveshMap!$G$5,CALC_BhaveshMap!$D$5&lt;&gt;"Mercury"),AND(CALC_PlanetPositions!$M$11="Yogakaraka",CALC_PlanetPositions!$B$11=CALC_BhaveshMap!$G$5,CALC_BhaveshMap!$D$5&lt;&gt;"Jupiter"),AND(CALC_PlanetPositions!$M$12="Yogakaraka",CALC_PlanetPositions!$B$12=CALC_BhaveshMap!$G$5,CALC_BhaveshMap!$D$5&lt;&gt;"Venus"),AND(CALC_PlanetPositions!$M$13="Yogakaraka",CALC_PlanetPositions!$B$13=CALC_BhaveshMap!$G$5,CALC_BhaveshMap!$D$5&lt;&gt;"Saturn")),1.5,1),0)</f>
        <v>1.5</v>
      </c>
      <c r="D11" s="403" t="s">
        <v>4616</v>
      </c>
    </row>
    <row r="12" spans="1:12" ht="27.75" customHeight="1" x14ac:dyDescent="0.2">
      <c r="A12" s="121" t="s">
        <v>4617</v>
      </c>
      <c r="B12" s="357" t="s">
        <v>4542</v>
      </c>
      <c r="C12" s="1117">
        <f>IFERROR((IFERROR(IF(OR(AND(OR(CALC_PlanetPositions!$M$7="Benefic",CALC_PlanetPositions!$M$7="Yogakaraka"),INDEX(REF_Aspects!$D$5:$O$13,1,MOD(CALC_BhaveshMap!$H$5-(MOD(MATCH(CALC_PlanetPositions!$B$7,{"Aries","Taurus","Gemini","Cancer","Leo","Virgo","Libra","Scorpio","Sagittarius","Capricorn","Aquarius","Pisces"},0)-MATCH(INPUT_Chart!$C$5,{"Aries","Taurus","Gemini","Cancer","Leo","Virgo","Libra","Scorpio","Sagittarius","Capricorn","Aquarius","Pisces"},0),12)+1),12)+1)="FULL",NOT(CALC_PlanetPositions!$B$7=CALC_BhaveshMap!$G$5)),AND(OR(CALC_PlanetPositions!$M$8="Benefic",CALC_PlanetPositions!$M$8="Yogakaraka"),INDEX(REF_Aspects!$D$5:$O$13,2,MOD(CALC_BhaveshMap!$H$5-(MOD(MATCH(CALC_PlanetPositions!$B$8,{"Aries","Taurus","Gemini","Cancer","Leo","Virgo","Libra","Scorpio","Sagittarius","Capricorn","Aquarius","Pisces"},0)-MATCH(INPUT_Chart!$C$5,{"Aries","Taurus","Gemini","Cancer","Leo","Virgo","Libra","Scorpio","Sagittarius","Capricorn","Aquarius","Pisces"},0),12)+1),12)+1)="FULL",NOT(CALC_PlanetPositions!$B$8=CALC_BhaveshMap!$G$5)),AND(OR(CALC_PlanetPositions!$M$9="Benefic",CALC_PlanetPositions!$M$9="Yogakaraka"),INDEX(REF_Aspects!$D$5:$O$13,3,MOD(CALC_BhaveshMap!$H$5-(MOD(MATCH(CALC_PlanetPositions!$B$9,{"Aries","Taurus","Gemini","Cancer","Leo","Virgo","Libra","Scorpio","Sagittarius","Capricorn","Aquarius","Pisces"},0)-MATCH(INPUT_Chart!$C$5,{"Aries","Taurus","Gemini","Cancer","Leo","Virgo","Libra","Scorpio","Sagittarius","Capricorn","Aquarius","Pisces"},0),12)+1),12)+1)="FULL",NOT(CALC_PlanetPositions!$B$9=CALC_BhaveshMap!$G$5)),AND(OR(CALC_PlanetPositions!$M$10="Benefic",CALC_PlanetPositions!$M$10="Yogakaraka"),INDEX(REF_Aspects!$D$5:$O$13,4,MOD(CALC_BhaveshMap!$H$5-(MOD(MATCH(CALC_PlanetPositions!$B$10,{"Aries","Taurus","Gemini","Cancer","Leo","Virgo","Libra","Scorpio","Sagittarius","Capricorn","Aquarius","Pisces"},0)-MATCH(INPUT_Chart!$C$5,{"Aries","Taurus","Gemini","Cancer","Leo","Virgo","Libra","Scorpio","Sagittarius","Capricorn","Aquarius","Pisces"},0),12)+1),12)+1)="FULL",NOT(CALC_PlanetPositions!$B$10=CALC_BhaveshMap!$G$5)),AND(OR(CALC_PlanetPositions!$M$11="Benefic",CALC_PlanetPositions!$M$11="Yogakaraka"),INDEX(REF_Aspects!$D$5:$O$13,5,MOD(CALC_BhaveshMap!$H$5-(MOD(MATCH(CALC_PlanetPositions!$B$11,{"Aries","Taurus","Gemini","Cancer","Leo","Virgo","Libra","Scorpio","Sagittarius","Capricorn","Aquarius","Pisces"},0)-MATCH(INPUT_Chart!$C$5,{"Aries","Taurus","Gemini","Cancer","Leo","Virgo","Libra","Scorpio","Sagittarius","Capricorn","Aquarius","Pisces"},0),12)+1),12)+1)="FULL",NOT(CALC_PlanetPositions!$B$11=CALC_BhaveshMap!$G$5)),AND(OR(CALC_PlanetPositions!$M$12="Benefic",CALC_PlanetPositions!$M$12="Yogakaraka"),INDEX(REF_Aspects!$D$5:$O$13,6,MOD(CALC_BhaveshMap!$H$5-(MOD(MATCH(CALC_PlanetPositions!$B$12,{"Aries","Taurus","Gemini","Cancer","Leo","Virgo","Libra","Scorpio","Sagittarius","Capricorn","Aquarius","Pisces"},0)-MATCH(INPUT_Chart!$C$5,{"Aries","Taurus","Gemini","Cancer","Leo","Virgo","Libra","Scorpio","Sagittarius","Capricorn","Aquarius","Pisces"},0),12)+1),12)+1)="FULL",NOT(CALC_PlanetPositions!$B$12=CALC_BhaveshMap!$G$5)),AND(OR(CALC_PlanetPositions!$M$13="Benefic",CALC_PlanetPositions!$M$13="Yogakaraka"),INDEX(REF_Aspects!$D$5:$O$13,7,MOD(CALC_BhaveshMap!$H$5-(MOD(MATCH(CALC_PlanetPositions!$B$13,{"Aries","Taurus","Gemini","Cancer","Leo","Virgo","Libra","Scorpio","Sagittarius","Capricorn","Aquarius","Pisces"},0)-MATCH(INPUT_Chart!$C$5,{"Aries","Taurus","Gemini","Cancer","Leo","Virgo","Libra","Scorpio","Sagittarius","Capricorn","Aquarius","Pisces"},0),12)+1),12)+1)="FULL",NOT(CALC_PlanetPositions!$B$13=CALC_BhaveshMap!$G$5)),AND(FALSE(),INDEX(REF_Aspects!$D$5:$O$13,8,MOD(CALC_BhaveshMap!$H$5-(MOD(MATCH(CALC_PlanetPositions!$B$14,{"Aries","Taurus","Gemini","Cancer","Leo","Virgo","Libra","Scorpio","Sagittarius","Capricorn","Aquarius","Pisces"},0)-MATCH(INPUT_Chart!$C$5,{"Aries","Taurus","Gemini","Cancer","Leo","Virgo","Libra","Scorpio","Sagittarius","Capricorn","Aquarius","Pisces"},0),12)+1),12)+1)="FULL",NOT(CALC_PlanetPositions!$B$14=CALC_BhaveshMap!$G$5)),AND(FALSE(),INDEX(REF_Aspects!$D$5:$O$13,9,MOD(CALC_BhaveshMap!$H$5-(MOD(MATCH(CALC_PlanetPositions!$B$15,{"Aries","Taurus","Gemini","Cancer","Leo","Virgo","Libra","Scorpio","Sagittarius","Capricorn","Aquarius","Pisces"},0)-MATCH(INPUT_Chart!$C$5,{"Aries","Taurus","Gemini","Cancer","Leo","Virgo","Libra","Scorpio","Sagittarius","Capricorn","Aquarius","Pisces"},0),12)+1),12)+1)="FULL",NOT(CALC_PlanetPositions!$B$15=CALC_BhaveshMap!$G$5))),1,0),0))*0.5,0)</f>
        <v>0</v>
      </c>
      <c r="D12" s="400" t="s">
        <v>4618</v>
      </c>
    </row>
    <row r="13" spans="1:12" ht="27.75" customHeight="1" x14ac:dyDescent="0.2">
      <c r="A13" s="121"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$5-2,12)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$5-2,12)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$5-2,12)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$5-2,12)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$5-2,12)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$5-2,12)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$5-2,12)+1)),AND(FALSE(),MOD(MATCH(CALC_PlanetPositions!$B$14,{"Aries","Taurus","Gemini","Cancer","Leo","Virgo","Libra","Scorpio","Sagittarius","Capricorn","Aquarius","Pisces"},0)-MATCH(INPUT_Chart!$C$5,{"Aries","Taurus","Gemini","Cancer","Leo","Virgo","Libra","Scorpio","Sagittarius","Capricorn","Aquarius","Pisces"},0),12)+1=(MOD(CALC_BhaveshMap!$H$5-2,12)+1)),AND(FALSE(),MOD(MATCH(CALC_PlanetPositions!$B$15,{"Aries","Taurus","Gemini","Cancer","Leo","Virgo","Libra","Scorpio","Sagittarius","Capricorn","Aquarius","Pisces"},0)-MATCH(INPUT_Chart!$C$5,{"Aries","Taurus","Gemini","Cancer","Leo","Virgo","Libra","Scorpio","Sagittarius","Capricorn","Aquarius","Pisces"},0),12)+1=(MOD(CALC_BhaveshMap!$H$5-2,12)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$5,12)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$5,12)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$5,12)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$5,12)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$5,12)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$5,12)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$5,12)+1)),AND(FALSE(),MOD(MATCH(CALC_PlanetPositions!$B$14,{"Aries","Taurus","Gemini","Cancer","Leo","Virgo","Libra","Scorpio","Sagittarius","Capricorn","Aquarius","Pisces"},0)-MATCH(INPUT_Chart!$C$5,{"Aries","Taurus","Gemini","Cancer","Leo","Virgo","Libra","Scorpio","Sagittarius","Capricorn","Aquarius","Pisces"},0),12)+1=(MOD(CALC_BhaveshMap!$H$5,12)+1)),AND(FALSE(),MOD(MATCH(CALC_PlanetPositions!$B$15,{"Aries","Taurus","Gemini","Cancer","Leo","Virgo","Libra","Scorpio","Sagittarius","Capricorn","Aquarius","Pisces"},0)-MATCH(INPUT_Chart!$C$5,{"Aries","Taurus","Gemini","Cancer","Leo","Virgo","Libra","Scorpio","Sagittarius","Capricorn","Aquarius","Pisces"},0),12)+1=(MOD(CALC_BhaveshMap!$H$5,12)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IFERROR((IFERROR(IF(OR(AND(CALC_PlanetPositions!$M$7="Malefic",INDEX(REF_Aspects!$D$5:$O$13,1,MOD(CALC_BhaveshMap!$H$5-(MOD(MATCH(CALC_PlanetPositions!$B$7,{"Aries","Taurus","Gemini","Cancer","Leo","Virgo","Libra","Scorpio","Sagittarius","Capricorn","Aquarius","Pisces"},0)-MATCH(INPUT_Chart!$C$5,{"Aries","Taurus","Gemini","Cancer","Leo","Virgo","Libra","Scorpio","Sagittarius","Capricorn","Aquarius","Pisces"},0),12)+1),12)+1)="FULL",NOT(CALC_PlanetPositions!$B$7=CALC_BhaveshMap!$G$5)),AND(CALC_PlanetPositions!$M$8="Malefic",INDEX(REF_Aspects!$D$5:$O$13,2,MOD(CALC_BhaveshMap!$H$5-(MOD(MATCH(CALC_PlanetPositions!$B$8,{"Aries","Taurus","Gemini","Cancer","Leo","Virgo","Libra","Scorpio","Sagittarius","Capricorn","Aquarius","Pisces"},0)-MATCH(INPUT_Chart!$C$5,{"Aries","Taurus","Gemini","Cancer","Leo","Virgo","Libra","Scorpio","Sagittarius","Capricorn","Aquarius","Pisces"},0),12)+1),12)+1)="FULL",NOT(CALC_PlanetPositions!$B$8=CALC_BhaveshMap!$G$5)),AND(CALC_PlanetPositions!$M$9="Malefic",INDEX(REF_Aspects!$D$5:$O$13,3,MOD(CALC_BhaveshMap!$H$5-(MOD(MATCH(CALC_PlanetPositions!$B$9,{"Aries","Taurus","Gemini","Cancer","Leo","Virgo","Libra","Scorpio","Sagittarius","Capricorn","Aquarius","Pisces"},0)-MATCH(INPUT_Chart!$C$5,{"Aries","Taurus","Gemini","Cancer","Leo","Virgo","Libra","Scorpio","Sagittarius","Capricorn","Aquarius","Pisces"},0),12)+1),12)+1)="FULL",NOT(CALC_PlanetPositions!$B$9=CALC_BhaveshMap!$G$5)),AND(CALC_PlanetPositions!$M$10="Malefic",INDEX(REF_Aspects!$D$5:$O$13,4,MOD(CALC_BhaveshMap!$H$5-(MOD(MATCH(CALC_PlanetPositions!$B$10,{"Aries","Taurus","Gemini","Cancer","Leo","Virgo","Libra","Scorpio","Sagittarius","Capricorn","Aquarius","Pisces"},0)-MATCH(INPUT_Chart!$C$5,{"Aries","Taurus","Gemini","Cancer","Leo","Virgo","Libra","Scorpio","Sagittarius","Capricorn","Aquarius","Pisces"},0),12)+1),12)+1)="FULL",NOT(CALC_PlanetPositions!$B$10=CALC_BhaveshMap!$G$5)),AND(CALC_PlanetPositions!$M$11="Malefic",INDEX(REF_Aspects!$D$5:$O$13,5,MOD(CALC_BhaveshMap!$H$5-(MOD(MATCH(CALC_PlanetPositions!$B$11,{"Aries","Taurus","Gemini","Cancer","Leo","Virgo","Libra","Scorpio","Sagittarius","Capricorn","Aquarius","Pisces"},0)-MATCH(INPUT_Chart!$C$5,{"Aries","Taurus","Gemini","Cancer","Leo","Virgo","Libra","Scorpio","Sagittarius","Capricorn","Aquarius","Pisces"},0),12)+1),12)+1)="FULL",NOT(CALC_PlanetPositions!$B$11=CALC_BhaveshMap!$G$5)),AND(CALC_PlanetPositions!$M$12="Malefic",INDEX(REF_Aspects!$D$5:$O$13,6,MOD(CALC_BhaveshMap!$H$5-(MOD(MATCH(CALC_PlanetPositions!$B$12,{"Aries","Taurus","Gemini","Cancer","Leo","Virgo","Libra","Scorpio","Sagittarius","Capricorn","Aquarius","Pisces"},0)-MATCH(INPUT_Chart!$C$5,{"Aries","Taurus","Gemini","Cancer","Leo","Virgo","Libra","Scorpio","Sagittarius","Capricorn","Aquarius","Pisces"},0),12)+1),12)+1)="FULL",NOT(CALC_PlanetPositions!$B$12=CALC_BhaveshMap!$G$5)),AND(CALC_PlanetPositions!$M$13="Malefic",INDEX(REF_Aspects!$D$5:$O$13,7,MOD(CALC_BhaveshMap!$H$5-(MOD(MATCH(CALC_PlanetPositions!$B$13,{"Aries","Taurus","Gemini","Cancer","Leo","Virgo","Libra","Scorpio","Sagittarius","Capricorn","Aquarius","Pisces"},0)-MATCH(INPUT_Chart!$C$5,{"Aries","Taurus","Gemini","Cancer","Leo","Virgo","Libra","Scorpio","Sagittarius","Capricorn","Aquarius","Pisces"},0),12)+1),12)+1)="FULL",NOT(CALC_PlanetPositions!$B$13=CALC_BhaveshMap!$G$5)),AND(TRUE(),INDEX(REF_Aspects!$D$5:$O$13,8,MOD(CALC_BhaveshMap!$H$5-(MOD(MATCH(CALC_PlanetPositions!$B$14,{"Aries","Taurus","Gemini","Cancer","Leo","Virgo","Libra","Scorpio","Sagittarius","Capricorn","Aquarius","Pisces"},0)-MATCH(INPUT_Chart!$C$5,{"Aries","Taurus","Gemini","Cancer","Leo","Virgo","Libra","Scorpio","Sagittarius","Capricorn","Aquarius","Pisces"},0),12)+1),12)+1)="FULL",NOT(CALC_PlanetPositions!$B$14=CALC_BhaveshMap!$G$5)),AND(TRUE(),INDEX(REF_Aspects!$D$5:$O$13,9,MOD(CALC_BhaveshMap!$H$5-(MOD(MATCH(CALC_PlanetPositions!$B$15,{"Aries","Taurus","Gemini","Cancer","Leo","Virgo","Libra","Scorpio","Sagittarius","Capricorn","Aquarius","Pisces"},0)-MATCH(INPUT_Chart!$C$5,{"Aries","Taurus","Gemini","Cancer","Leo","Virgo","Libra","Scorpio","Sagittarius","Capricorn","Aquarius","Pisces"},0),12)+1),12)+1)="FULL",NOT(CALC_PlanetPositions!$B$15=CALC_BhaveshMap!$G$5))),1,0),0))*-0.5,0)</f>
        <v>-0.5</v>
      </c>
      <c r="D21" s="403" t="s">
        <v>4634</v>
      </c>
    </row>
    <row r="22" spans="1:7" ht="27.75" customHeight="1" x14ac:dyDescent="0.2">
      <c r="A22" s="121" t="s">
        <v>4635</v>
      </c>
      <c r="B22" s="357" t="s">
        <v>3042</v>
      </c>
      <c r="C22" s="1117">
        <f>IFERROR((IFERROR(IF(CALC_BhaveshMap!$K$5="Yes",1,0),0))*IF(REF_Config!$B$6="KP",-1.75,IF(REF_Config!$B$6="Jaimini",-2,-2)),0)</f>
        <v>0</v>
      </c>
      <c r="D22" s="400" t="s">
        <v>4636</v>
      </c>
    </row>
    <row r="23" spans="1:7" ht="27.75" customHeight="1" x14ac:dyDescent="0.2">
      <c r="A23" s="121" t="s">
        <v>4637</v>
      </c>
      <c r="B23" s="203" t="s">
        <v>3059</v>
      </c>
      <c r="C23" s="1118">
        <f>IFERROR((IFERROR(IF(OR(AND(CALC_BhaveshMap!$G$10=CALC_BhaveshMap!$G$5,CALC_BhaveshMap!$D$10&lt;&gt;CALC_BhaveshMap!$D$5),AND(CALC_BhaveshMap!$G$12=CALC_BhaveshMap!$G$5,CALC_BhaveshMap!$D$12&lt;&gt;CALC_BhaveshMap!$D$5),AND(CALC_BhaveshMap!$G$16=CALC_BhaveshMap!$G$5,CALC_BhaveshMap!$D$16&lt;&gt;CALC_BhaveshMap!$D$5)),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IFERROR(IF(OR(CALC_BhaveshMap!$D$5="Sun",CALC_BhaveshMap!$D$5="Rahu",CALC_BhaveshMap!$D$5="Ketu"),0,IF(CALC_BhaveshMap!$D$5="Moon",IF(CALC_CombustionCheck!$G$4="Cazimi ✓",0.5,IF(CALC_CombustionCheck!$F$4="COMBUST ⚠",-1,0)),IF(CALC_BhaveshMap!$D$5="Mars",IF(CALC_CombustionCheck!$G$5="Cazimi ✓",0.5,IF(AND(CALC_CombustionCheck!$F$5="COMBUST ⚠",CALC_RetrogradeFix!$F$6="Rx ✓"),-0.5,IF(CALC_CombustionCheck!$F$5="COMBUST ⚠",-1,0))),IF(CALC_BhaveshMap!$D$5="Mercury",IF(CALC_CombustionCheck!$G$6="Cazimi ✓",0.5,IF(AND(CALC_CombustionCheck!$F$6="COMBUST ⚠",CALC_RetrogradeFix!$F$7="Rx ✓"),-0.5,IF(CALC_CombustionCheck!$F$6="COMBUST ⚠",-1,0))),IF(CALC_BhaveshMap!$D$5="Jupiter",IF(CALC_CombustionCheck!$G$7="Cazimi ✓",0.5,IF(AND(CALC_CombustionCheck!$F$7="COMBUST ⚠",CALC_RetrogradeFix!$F$8="Rx ✓"),-0.5,IF(CALC_CombustionCheck!$F$7="COMBUST ⚠",-1,0))),IF(CALC_BhaveshMap!$D$5="Venus",IF(CALC_CombustionCheck!$G$8="Cazimi ✓",0.5,IF(AND(CALC_CombustionCheck!$F$8="COMBUST ⚠",CALC_RetrogradeFix!$F$9="Rx ✓"),-0.5,IF(CALC_CombustionCheck!$F$8="COMBUST ⚠",-1,0))),IF(CALC_BhaveshMap!$D$5="Saturn",IF(CALC_CombustionCheck!$G$9="Cazimi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BhaveshMap!$D$5="Rahu",CALC_BhaveshMap!$D$5="Ketu"),0,IF(ISNUMBER(MATCH(CALC_BhaveshMap!$D$5,{"Sun","Moon","Mars","Mercury","Jupiter","Venus","Saturn"},0)),IF(INDEX(CALC_DigBala!$F$4:$F$10,MATCH(CALC_BhaveshMap!$D$5,{"Sun","Moon","Mars","Mercury","Jupiter","Venus","Saturn"},0))="Yes",0.5,0),0)),0)</f>
        <v>0</v>
      </c>
      <c r="D28" s="400" t="s">
        <v>4647</v>
      </c>
    </row>
    <row r="29" spans="1:7" ht="27.75" customHeight="1" x14ac:dyDescent="0.2">
      <c r="A29" s="1120" t="s">
        <v>4648</v>
      </c>
      <c r="B29" s="296" t="s">
        <v>3372</v>
      </c>
      <c r="C29" s="1117">
        <f>IFERROR(IF(COUNTIFS(REF_PushkaraNavamsha!$A$4:$A$27,CALC_BhaveshMap!$G$5,REF_PushkaraNavamsha!$B$4:$B$27,INDEX(CALC_PlanetPositions!$G$7:$G$15,MATCH(CALC_BhaveshMap!$D$5,CALC_PlanetPositions!$A$7:$A$15,0)))&gt;0,0.5,0),0)</f>
        <v>0</v>
      </c>
      <c r="D29" s="400" t="s">
        <v>4649</v>
      </c>
    </row>
    <row r="30" spans="1:7" ht="25.5" customHeight="1" x14ac:dyDescent="0.2">
      <c r="A30" s="147" t="s">
        <v>4650</v>
      </c>
      <c r="B30" s="1121" t="s">
        <v>4651</v>
      </c>
      <c r="C30" s="1122">
        <f>IFERROR(IF(ISNUMBER(MATCH(CALC_BhaveshMap!$D$5,{"Sun","Moon","Mars","Mercury","Jupiter","Venus","Saturn"},0)),INDEX(CALC_RetrogradeFix!$G$4:$G$10,MATCH(CALC_BhaveshMap!$D$5,{"Sun","Moon","Mars","Mercury","Jupiter","Venus","Saturn"},0)),0),0)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IFERROR(SUM(C9:C13,C28:C30,F31,0),0)</f>
        <v>2.5</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-0.5</v>
      </c>
      <c r="D37" s="1129"/>
    </row>
    <row r="38" spans="1:4" ht="21.75" customHeight="1" x14ac:dyDescent="0.2">
      <c r="A38" s="89" t="s">
        <v>4661</v>
      </c>
      <c r="B38" s="1129"/>
      <c r="C38" s="1131">
        <f>IFERROR(MAX(-10,MIN(10,C37)),0)</f>
        <v>-0.5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IFERROR(MAX(-10,MIN(10,C38+C39)),0)</f>
        <v>-0.5</v>
      </c>
      <c r="D40" s="1136" t="str">
        <f>IFERROR(IF(C40&gt;=7,"Excellent — Self domain very strong",IF(C40&gt;=4,"Good — Self domain strong",IF(C40&gt;=1,"Moderate",IF(C40&gt;=-2,"Mixed — Self has challenges",IF(C40&gt;=-5,"Weak","Very weak — Self heavily afflicted"))))),"—")</f>
        <v>Mixed — Self has challenges</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4665</v>
      </c>
      <c r="B1" s="1518"/>
      <c r="C1" s="1518"/>
      <c r="D1" s="1518"/>
      <c r="L1" s="29" t="str">
        <f>HYPERLINK("#'00_INDEX'!A1","&lt;- Index")</f>
        <v>&lt;- Index</v>
      </c>
    </row>
    <row r="2" spans="1:12" ht="19.5" customHeight="1" x14ac:dyDescent="0.2">
      <c r="A2" s="1595" t="str">
        <f>IFERROR("Lagna: "&amp;INPUT_Chart!$C$5&amp;"  ·  H2 sign: "&amp;CALC_BhaveshMap!$C$6&amp;"  ·  Bhavesh: "&amp;CALC_BhaveshMap!$D$6&amp;" in H"&amp;CALC_BhaveshMap!$H$6&amp;" ("&amp;CALC_BhaveshMap!$L$6&amp;")","Enter Lagna in INPUT_Chart")</f>
        <v>Lagna: Taurus  ·  H2 sign: Gemini  ·  Bhavesh: Mercury in H3 (Enemy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0" t="s">
        <v>4605</v>
      </c>
      <c r="B5" s="357" t="s">
        <v>4529</v>
      </c>
      <c r="C5" s="1117">
        <f>IFERROR((IFERROR(IF(INDEX(REF_Zodiac!$D$17:$O$17,MATCH(CALC_BhaveshMap!$C$6,REF_Zodiac!$D$3:$O$3,0))="Gentle",1,0),0))*0.5,0)</f>
        <v>0.5</v>
      </c>
      <c r="D5" s="400" t="s">
        <v>4606</v>
      </c>
    </row>
    <row r="6" spans="1:12" ht="27.75" customHeight="1" x14ac:dyDescent="0.2">
      <c r="A6" s="120"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0" t="s">
        <v>4609</v>
      </c>
      <c r="B7" s="357" t="s">
        <v>4534</v>
      </c>
      <c r="C7" s="1117">
        <f>IFERROR((IFERROR(IF(OR(AND(OR(CALC_PlanetPositions!$M$7="Benefic",CALC_PlanetPositions!$M$7="Yogakaraka"),INDEX(REF_Aspects!$D$5:$O$13,1,MOD(2-(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2)),AND(OR(CALC_PlanetPositions!$M$8="Benefic",CALC_PlanetPositions!$M$8="Yogakaraka"),INDEX(REF_Aspects!$D$5:$O$13,2,MOD(2-(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2)),AND(OR(CALC_PlanetPositions!$M$9="Benefic",CALC_PlanetPositions!$M$9="Yogakaraka"),INDEX(REF_Aspects!$D$5:$O$13,3,MOD(2-(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2)),AND(OR(CALC_PlanetPositions!$M$10="Benefic",CALC_PlanetPositions!$M$10="Yogakaraka"),INDEX(REF_Aspects!$D$5:$O$13,4,MOD(2-(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2)),AND(OR(CALC_PlanetPositions!$M$11="Benefic",CALC_PlanetPositions!$M$11="Yogakaraka"),INDEX(REF_Aspects!$D$5:$O$13,5,MOD(2-(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2)),AND(OR(CALC_PlanetPositions!$M$12="Benefic",CALC_PlanetPositions!$M$12="Yogakaraka"),INDEX(REF_Aspects!$D$5:$O$13,6,MOD(2-(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2)),AND(OR(CALC_PlanetPositions!$M$13="Benefic",CALC_PlanetPositions!$M$13="Yogakaraka"),INDEX(REF_Aspects!$D$5:$O$13,7,MOD(2-(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2)),AND(FALSE(),INDEX(REF_Aspects!$D$5:$O$13,8,MOD(2-(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2)),AND(FALSE(),INDEX(REF_Aspects!$D$5:$O$13,9,MOD(2-(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2))),1,0),0))*IF(REF_Config!$B$6="KP",0.5,IF(REF_Config!$B$6="Jaimini",0.75,0.75)),0)</f>
        <v>0</v>
      </c>
      <c r="D7" s="400" t="s">
        <v>4610</v>
      </c>
    </row>
    <row r="8" spans="1:12" ht="15.75" customHeight="1" x14ac:dyDescent="0.2">
      <c r="A8" s="1597" t="s">
        <v>3372</v>
      </c>
      <c r="B8" s="1597"/>
      <c r="C8" s="1597"/>
      <c r="D8" s="1597"/>
    </row>
    <row r="9" spans="1:12" ht="27.75" customHeight="1" x14ac:dyDescent="0.2">
      <c r="A9" s="120" t="s">
        <v>4611</v>
      </c>
      <c r="B9" s="203" t="s">
        <v>4537</v>
      </c>
      <c r="C9" s="1118">
        <f>IFERROR(IF(AND(OR(CALC_BhaveshMap!$I$6="Yes",CALC_BhaveshMap!$J$6="Yes"),NOT(CALC_BhaveshMap!$K$6="Yes")),1,0)*IF(REF_Config!$B$6="KP",1.5,IF(REF_Config!$B$6="Jaimini",1.5,2)),0)</f>
        <v>0</v>
      </c>
      <c r="D9" s="403" t="s">
        <v>4612</v>
      </c>
    </row>
    <row r="10" spans="1:12" ht="27.75" customHeight="1" x14ac:dyDescent="0.2">
      <c r="A10" s="120" t="s">
        <v>4613</v>
      </c>
      <c r="B10" s="357" t="s">
        <v>3093</v>
      </c>
      <c r="C10" s="1117">
        <f>IFERROR((IFERROR(IF(OR(AND(CALC_BhaveshMap!$G$5=CALC_BhaveshMap!$G$6,CALC_BhaveshMap!$D$5&lt;&gt;CALC_BhaveshMap!$D$6),AND(CALC_BhaveshMap!$G$8=CALC_BhaveshMap!$G$6,CALC_BhaveshMap!$D$8&lt;&gt;CALC_BhaveshMap!$D$6),AND(CALC_BhaveshMap!$G$9=CALC_BhaveshMap!$G$6,CALC_BhaveshMap!$D$9&lt;&gt;CALC_BhaveshMap!$D$6),AND(CALC_BhaveshMap!$G$11=CALC_BhaveshMap!$G$6,CALC_BhaveshMap!$D$11&lt;&gt;CALC_BhaveshMap!$D$6),AND(CALC_BhaveshMap!$G$13=CALC_BhaveshMap!$G$6,CALC_BhaveshMap!$D$13&lt;&gt;CALC_BhaveshMap!$D$6),AND(CALC_BhaveshMap!$G$14=CALC_BhaveshMap!$G$6,CALC_BhaveshMap!$D$14&lt;&gt;CALC_BhaveshMap!$D$6)),1,0),0))*0.5,0)</f>
        <v>0.5</v>
      </c>
      <c r="D10" s="400" t="s">
        <v>4614</v>
      </c>
    </row>
    <row r="11" spans="1:12" ht="27.75" customHeight="1" x14ac:dyDescent="0.2">
      <c r="A11" s="120" t="s">
        <v>4615</v>
      </c>
      <c r="B11" s="203" t="s">
        <v>4540</v>
      </c>
      <c r="C11" s="1118">
        <f>IFERROR((IFERROR(IF(OR(AND(OR(CALC_PlanetPositions!$M$7="Benefic",CALC_PlanetPositions!$M$7="Yogakaraka"),CALC_PlanetPositions!$B$7=CALC_BhaveshMap!$G$6,CALC_BhaveshMap!$D$6&lt;&gt;"Sun"),AND(OR(CALC_PlanetPositions!$M$8="Benefic",CALC_PlanetPositions!$M$8="Yogakaraka"),CALC_PlanetPositions!$B$8=CALC_BhaveshMap!$G$6,CALC_BhaveshMap!$D$6&lt;&gt;"Moon"),AND(OR(CALC_PlanetPositions!$M$9="Benefic",CALC_PlanetPositions!$M$9="Yogakaraka"),CALC_PlanetPositions!$B$9=CALC_BhaveshMap!$G$6,CALC_BhaveshMap!$D$6&lt;&gt;"Mars"),AND(OR(CALC_PlanetPositions!$M$10="Benefic",CALC_PlanetPositions!$M$10="Yogakaraka"),CALC_PlanetPositions!$B$10=CALC_BhaveshMap!$G$6,CALC_BhaveshMap!$D$6&lt;&gt;"Mercury"),AND(OR(CALC_PlanetPositions!$M$11="Benefic",CALC_PlanetPositions!$M$11="Yogakaraka"),CALC_PlanetPositions!$B$11=CALC_BhaveshMap!$G$6,CALC_BhaveshMap!$D$6&lt;&gt;"Jupiter"),AND(OR(CALC_PlanetPositions!$M$12="Benefic",CALC_PlanetPositions!$M$12="Yogakaraka"),CALC_PlanetPositions!$B$12=CALC_BhaveshMap!$G$6,CALC_BhaveshMap!$D$6&lt;&gt;"Venus"),AND(OR(CALC_PlanetPositions!$M$13="Benefic",CALC_PlanetPositions!$M$13="Yogakaraka"),CALC_PlanetPositions!$B$13=CALC_BhaveshMap!$G$6,CALC_BhaveshMap!$D$6&lt;&gt;"Saturn")),1,0),0))*IF(OR(AND(CALC_PlanetPositions!$M$7="Yogakaraka",CALC_PlanetPositions!$B$7=CALC_BhaveshMap!$G$6,CALC_BhaveshMap!$D$6&lt;&gt;"Sun"),AND(CALC_PlanetPositions!$M$8="Yogakaraka",CALC_PlanetPositions!$B$8=CALC_BhaveshMap!$G$6,CALC_BhaveshMap!$D$6&lt;&gt;"Moon"),AND(CALC_PlanetPositions!$M$9="Yogakaraka",CALC_PlanetPositions!$B$9=CALC_BhaveshMap!$G$6,CALC_BhaveshMap!$D$6&lt;&gt;"Mars"),AND(CALC_PlanetPositions!$M$10="Yogakaraka",CALC_PlanetPositions!$B$10=CALC_BhaveshMap!$G$6,CALC_BhaveshMap!$D$6&lt;&gt;"Mercury"),AND(CALC_PlanetPositions!$M$11="Yogakaraka",CALC_PlanetPositions!$B$11=CALC_BhaveshMap!$G$6,CALC_BhaveshMap!$D$6&lt;&gt;"Jupiter"),AND(CALC_PlanetPositions!$M$12="Yogakaraka",CALC_PlanetPositions!$B$12=CALC_BhaveshMap!$G$6,CALC_BhaveshMap!$D$6&lt;&gt;"Venus"),AND(CALC_PlanetPositions!$M$13="Yogakaraka",CALC_PlanetPositions!$B$13=CALC_BhaveshMap!$G$6,CALC_BhaveshMap!$D$6&lt;&gt;"Saturn")),1.5,1),0)</f>
        <v>1.5</v>
      </c>
      <c r="D11" s="403" t="s">
        <v>4616</v>
      </c>
    </row>
    <row r="12" spans="1:12" ht="27.75" customHeight="1" x14ac:dyDescent="0.2">
      <c r="A12" s="120" t="s">
        <v>4617</v>
      </c>
      <c r="B12" s="357" t="s">
        <v>4542</v>
      </c>
      <c r="C12" s="1117">
        <f>IFERROR((IFERROR(IF(OR(AND(OR(CALC_PlanetPositions!$M$7="Benefic",CALC_PlanetPositions!$M$7="Yogakaraka"),INDEX(REF_Aspects!$D$5:$O$13,1,MOD(CALC_BhaveshMap!$H$6-(MOD(MATCH(CALC_PlanetPositions!$B$7,{"Aries","Taurus","Gemini","Cancer","Leo","Virgo","Libra","Scorpio","Sagittarius","Capricorn","Aquarius","Pisces"},0)-MATCH(INPUT_Chart!$C$5,{"Aries","Taurus","Gemini","Cancer","Leo","Virgo","Libra","Scorpio","Sagittarius","Capricorn","Aquarius","Pisces"},0),12)+1),12)+1)="FULL",NOT(CALC_PlanetPositions!$B$7=CALC_BhaveshMap!$G$6)),AND(OR(CALC_PlanetPositions!$M$8="Benefic",CALC_PlanetPositions!$M$8="Yogakaraka"),INDEX(REF_Aspects!$D$5:$O$13,2,MOD(CALC_BhaveshMap!$H$6-(MOD(MATCH(CALC_PlanetPositions!$B$8,{"Aries","Taurus","Gemini","Cancer","Leo","Virgo","Libra","Scorpio","Sagittarius","Capricorn","Aquarius","Pisces"},0)-MATCH(INPUT_Chart!$C$5,{"Aries","Taurus","Gemini","Cancer","Leo","Virgo","Libra","Scorpio","Sagittarius","Capricorn","Aquarius","Pisces"},0),12)+1),12)+1)="FULL",NOT(CALC_PlanetPositions!$B$8=CALC_BhaveshMap!$G$6)),AND(OR(CALC_PlanetPositions!$M$9="Benefic",CALC_PlanetPositions!$M$9="Yogakaraka"),INDEX(REF_Aspects!$D$5:$O$13,3,MOD(CALC_BhaveshMap!$H$6-(MOD(MATCH(CALC_PlanetPositions!$B$9,{"Aries","Taurus","Gemini","Cancer","Leo","Virgo","Libra","Scorpio","Sagittarius","Capricorn","Aquarius","Pisces"},0)-MATCH(INPUT_Chart!$C$5,{"Aries","Taurus","Gemini","Cancer","Leo","Virgo","Libra","Scorpio","Sagittarius","Capricorn","Aquarius","Pisces"},0),12)+1),12)+1)="FULL",NOT(CALC_PlanetPositions!$B$9=CALC_BhaveshMap!$G$6)),AND(OR(CALC_PlanetPositions!$M$10="Benefic",CALC_PlanetPositions!$M$10="Yogakaraka"),INDEX(REF_Aspects!$D$5:$O$13,4,MOD(CALC_BhaveshMap!$H$6-(MOD(MATCH(CALC_PlanetPositions!$B$10,{"Aries","Taurus","Gemini","Cancer","Leo","Virgo","Libra","Scorpio","Sagittarius","Capricorn","Aquarius","Pisces"},0)-MATCH(INPUT_Chart!$C$5,{"Aries","Taurus","Gemini","Cancer","Leo","Virgo","Libra","Scorpio","Sagittarius","Capricorn","Aquarius","Pisces"},0),12)+1),12)+1)="FULL",NOT(CALC_PlanetPositions!$B$10=CALC_BhaveshMap!$G$6)),AND(OR(CALC_PlanetPositions!$M$11="Benefic",CALC_PlanetPositions!$M$11="Yogakaraka"),INDEX(REF_Aspects!$D$5:$O$13,5,MOD(CALC_BhaveshMap!$H$6-(MOD(MATCH(CALC_PlanetPositions!$B$11,{"Aries","Taurus","Gemini","Cancer","Leo","Virgo","Libra","Scorpio","Sagittarius","Capricorn","Aquarius","Pisces"},0)-MATCH(INPUT_Chart!$C$5,{"Aries","Taurus","Gemini","Cancer","Leo","Virgo","Libra","Scorpio","Sagittarius","Capricorn","Aquarius","Pisces"},0),12)+1),12)+1)="FULL",NOT(CALC_PlanetPositions!$B$11=CALC_BhaveshMap!$G$6)),AND(OR(CALC_PlanetPositions!$M$12="Benefic",CALC_PlanetPositions!$M$12="Yogakaraka"),INDEX(REF_Aspects!$D$5:$O$13,6,MOD(CALC_BhaveshMap!$H$6-(MOD(MATCH(CALC_PlanetPositions!$B$12,{"Aries","Taurus","Gemini","Cancer","Leo","Virgo","Libra","Scorpio","Sagittarius","Capricorn","Aquarius","Pisces"},0)-MATCH(INPUT_Chart!$C$5,{"Aries","Taurus","Gemini","Cancer","Leo","Virgo","Libra","Scorpio","Sagittarius","Capricorn","Aquarius","Pisces"},0),12)+1),12)+1)="FULL",NOT(CALC_PlanetPositions!$B$12=CALC_BhaveshMap!$G$6)),AND(OR(CALC_PlanetPositions!$M$13="Benefic",CALC_PlanetPositions!$M$13="Yogakaraka"),INDEX(REF_Aspects!$D$5:$O$13,7,MOD(CALC_BhaveshMap!$H$6-(MOD(MATCH(CALC_PlanetPositions!$B$13,{"Aries","Taurus","Gemini","Cancer","Leo","Virgo","Libra","Scorpio","Sagittarius","Capricorn","Aquarius","Pisces"},0)-MATCH(INPUT_Chart!$C$5,{"Aries","Taurus","Gemini","Cancer","Leo","Virgo","Libra","Scorpio","Sagittarius","Capricorn","Aquarius","Pisces"},0),12)+1),12)+1)="FULL",NOT(CALC_PlanetPositions!$B$13=CALC_BhaveshMap!$G$6)),AND(FALSE(),INDEX(REF_Aspects!$D$5:$O$13,8,MOD(CALC_BhaveshMap!$H$6-(MOD(MATCH(CALC_PlanetPositions!$B$14,{"Aries","Taurus","Gemini","Cancer","Leo","Virgo","Libra","Scorpio","Sagittarius","Capricorn","Aquarius","Pisces"},0)-MATCH(INPUT_Chart!$C$5,{"Aries","Taurus","Gemini","Cancer","Leo","Virgo","Libra","Scorpio","Sagittarius","Capricorn","Aquarius","Pisces"},0),12)+1),12)+1)="FULL",NOT(CALC_PlanetPositions!$B$14=CALC_BhaveshMap!$G$6)),AND(FALSE(),INDEX(REF_Aspects!$D$5:$O$13,9,MOD(CALC_BhaveshMap!$H$6-(MOD(MATCH(CALC_PlanetPositions!$B$15,{"Aries","Taurus","Gemini","Cancer","Leo","Virgo","Libra","Scorpio","Sagittarius","Capricorn","Aquarius","Pisces"},0)-MATCH(INPUT_Chart!$C$5,{"Aries","Taurus","Gemini","Cancer","Leo","Virgo","Libra","Scorpio","Sagittarius","Capricorn","Aquarius","Pisces"},0),12)+1),12)+1)="FULL",NOT(CALC_PlanetPositions!$B$15=CALC_BhaveshMap!$G$6))),1,0),0))*0.5,0)</f>
        <v>0</v>
      </c>
      <c r="D12" s="400" t="s">
        <v>4618</v>
      </c>
    </row>
    <row r="13" spans="1:12" ht="27.75" customHeight="1" x14ac:dyDescent="0.2">
      <c r="A13" s="120"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$6-2,12)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$6-2,12)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$6-2,12)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$6-2,12)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$6-2,12)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$6-2,12)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$6-2,12)+1)),AND(FALSE(),MOD(MATCH(CALC_PlanetPositions!$B$14,{"Aries","Taurus","Gemini","Cancer","Leo","Virgo","Libra","Scorpio","Sagittarius","Capricorn","Aquarius","Pisces"},0)-MATCH(INPUT_Chart!$C$5,{"Aries","Taurus","Gemini","Cancer","Leo","Virgo","Libra","Scorpio","Sagittarius","Capricorn","Aquarius","Pisces"},0),12)+1=(MOD(CALC_BhaveshMap!$H$6-2,12)+1)),AND(FALSE(),MOD(MATCH(CALC_PlanetPositions!$B$15,{"Aries","Taurus","Gemini","Cancer","Leo","Virgo","Libra","Scorpio","Sagittarius","Capricorn","Aquarius","Pisces"},0)-MATCH(INPUT_Chart!$C$5,{"Aries","Taurus","Gemini","Cancer","Leo","Virgo","Libra","Scorpio","Sagittarius","Capricorn","Aquarius","Pisces"},0),12)+1=(MOD(CALC_BhaveshMap!$H$6-2,12)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$6,12)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$6,12)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$6,12)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$6,12)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$6,12)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$6,12)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$6,12)+1)),AND(FALSE(),MOD(MATCH(CALC_PlanetPositions!$B$14,{"Aries","Taurus","Gemini","Cancer","Leo","Virgo","Libra","Scorpio","Sagittarius","Capricorn","Aquarius","Pisces"},0)-MATCH(INPUT_Chart!$C$5,{"Aries","Taurus","Gemini","Cancer","Leo","Virgo","Libra","Scorpio","Sagittarius","Capricorn","Aquarius","Pisces"},0),12)+1=(MOD(CALC_BhaveshMap!$H$6,12)+1)),AND(FALSE(),MOD(MATCH(CALC_PlanetPositions!$B$15,{"Aries","Taurus","Gemini","Cancer","Leo","Virgo","Libra","Scorpio","Sagittarius","Capricorn","Aquarius","Pisces"},0)-MATCH(INPUT_Chart!$C$5,{"Aries","Taurus","Gemini","Cancer","Leo","Virgo","Libra","Scorpio","Sagittarius","Capricorn","Aquarius","Pisces"},0),12)+1=(MOD(CALC_BhaveshMap!$H$6,12)+1)))),1,0),0))*IF(REF_Config!$B$6="KP",0.75,IF(REF_Config!$B$6="Jaimini",0.5,0.75)),0)</f>
        <v>0</v>
      </c>
      <c r="D13" s="403" t="s">
        <v>4620</v>
      </c>
    </row>
    <row r="14" spans="1:12" ht="15.75" customHeight="1" x14ac:dyDescent="0.2">
      <c r="A14" s="1598" t="s">
        <v>4621</v>
      </c>
      <c r="B14" s="1598"/>
      <c r="C14" s="1598"/>
      <c r="D14" s="1598"/>
    </row>
    <row r="15" spans="1:12" ht="27.75" customHeight="1" x14ac:dyDescent="0.2">
      <c r="A15" s="120"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2),AND(CALC_PlanetPositions!$M$8="Malefic",(MOD(MATCH(CALC_PlanetPositions!$B$8,{"Aries","Taurus","Gemini","Cancer","Leo","Virgo","Libra","Scorpio","Sagittarius","Capricorn","Aquarius","Pisces"},0)-MATCH(INPUT_Chart!$C$5,{"Aries","Taurus","Gemini","Cancer","Leo","Virgo","Libra","Scorpio","Sagittarius","Capricorn","Aquarius","Pisces"},0),12)+1)=2),AND(CALC_PlanetPositions!$M$9="Malefic",(MOD(MATCH(CALC_PlanetPositions!$B$9,{"Aries","Taurus","Gemini","Cancer","Leo","Virgo","Libra","Scorpio","Sagittarius","Capricorn","Aquarius","Pisces"},0)-MATCH(INPUT_Chart!$C$5,{"Aries","Taurus","Gemini","Cancer","Leo","Virgo","Libra","Scorpio","Sagittarius","Capricorn","Aquarius","Pisces"},0),12)+1)=2),AND(CALC_PlanetPositions!$M$10="Malefic",(MOD(MATCH(CALC_PlanetPositions!$B$10,{"Aries","Taurus","Gemini","Cancer","Leo","Virgo","Libra","Scorpio","Sagittarius","Capricorn","Aquarius","Pisces"},0)-MATCH(INPUT_Chart!$C$5,{"Aries","Taurus","Gemini","Cancer","Leo","Virgo","Libra","Scorpio","Sagittarius","Capricorn","Aquarius","Pisces"},0),12)+1)=2),AND(CALC_PlanetPositions!$M$11="Malefic",(MOD(MATCH(CALC_PlanetPositions!$B$11,{"Aries","Taurus","Gemini","Cancer","Leo","Virgo","Libra","Scorpio","Sagittarius","Capricorn","Aquarius","Pisces"},0)-MATCH(INPUT_Chart!$C$5,{"Aries","Taurus","Gemini","Cancer","Leo","Virgo","Libra","Scorpio","Sagittarius","Capricorn","Aquarius","Pisces"},0),12)+1)=2),AND(CALC_PlanetPositions!$M$12="Malefic",(MOD(MATCH(CALC_PlanetPositions!$B$12,{"Aries","Taurus","Gemini","Cancer","Leo","Virgo","Libra","Scorpio","Sagittarius","Capricorn","Aquarius","Pisces"},0)-MATCH(INPUT_Chart!$C$5,{"Aries","Taurus","Gemini","Cancer","Leo","Virgo","Libra","Scorpio","Sagittarius","Capricorn","Aquarius","Pisces"},0),12)+1)=2),AND(CALC_PlanetPositions!$M$13="Malefic",(MOD(MATCH(CALC_PlanetPositions!$B$13,{"Aries","Taurus","Gemini","Cancer","Leo","Virgo","Libra","Scorpio","Sagittarius","Capricorn","Aquarius","Pisces"},0)-MATCH(INPUT_Chart!$C$5,{"Aries","Taurus","Gemini","Cancer","Leo","Virgo","Libra","Scorpio","Sagittarius","Capricorn","Aquarius","Pisces"},0),12)+1)=2),AND(TRUE(),(MOD(MATCH(CALC_PlanetPositions!$B$14,{"Aries","Taurus","Gemini","Cancer","Leo","Virgo","Libra","Scorpio","Sagittarius","Capricorn","Aquarius","Pisces"},0)-MATCH(INPUT_Chart!$C$5,{"Aries","Taurus","Gemini","Cancer","Leo","Virgo","Libra","Scorpio","Sagittarius","Capricorn","Aquarius","Pisces"},0),12)+1)=2),AND(TRUE(),(MOD(MATCH(CALC_PlanetPositions!$B$15,{"Aries","Taurus","Gemini","Cancer","Leo","Virgo","Libra","Scorpio","Sagittarius","Capricorn","Aquarius","Pisces"},0)-MATCH(INPUT_Chart!$C$5,{"Aries","Taurus","Gemini","Cancer","Leo","Virgo","Libra","Scorpio","Sagittarius","Capricorn","Aquarius","Pisces"},0),12)+1)=2)),1,0),0))*-1,0)</f>
        <v>-1</v>
      </c>
      <c r="D15" s="400" t="s">
        <v>4623</v>
      </c>
    </row>
    <row r="16" spans="1:12" ht="27.75" customHeight="1" x14ac:dyDescent="0.2">
      <c r="A16" s="120" t="s">
        <v>4624</v>
      </c>
      <c r="B16" s="203" t="s">
        <v>4548</v>
      </c>
      <c r="C16" s="1118">
        <f>IFERROR((IFERROR(IF(OR(AND(CALC_PlanetPositions!$M$7="Malefic",INDEX(REF_Aspects!$D$5:$O$13,1,MOD(2-(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2)),AND(CALC_PlanetPositions!$M$8="Malefic",INDEX(REF_Aspects!$D$5:$O$13,2,MOD(2-(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2)),AND(CALC_PlanetPositions!$M$9="Malefic",INDEX(REF_Aspects!$D$5:$O$13,3,MOD(2-(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2)),AND(CALC_PlanetPositions!$M$10="Malefic",INDEX(REF_Aspects!$D$5:$O$13,4,MOD(2-(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2)),AND(CALC_PlanetPositions!$M$11="Malefic",INDEX(REF_Aspects!$D$5:$O$13,5,MOD(2-(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2)),AND(CALC_PlanetPositions!$M$12="Malefic",INDEX(REF_Aspects!$D$5:$O$13,6,MOD(2-(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2)),AND(CALC_PlanetPositions!$M$13="Malefic",INDEX(REF_Aspects!$D$5:$O$13,7,MOD(2-(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2)),AND(TRUE(),INDEX(REF_Aspects!$D$5:$O$13,8,MOD(2-(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2)),AND(TRUE(),INDEX(REF_Aspects!$D$5:$O$13,9,MOD(2-(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2))),1,0),0))*-1,0)</f>
        <v>-1</v>
      </c>
      <c r="D16" s="403" t="s">
        <v>4625</v>
      </c>
    </row>
    <row r="17" spans="1:7" ht="27.75" customHeight="1" x14ac:dyDescent="0.2">
      <c r="A17" s="120" t="s">
        <v>4626</v>
      </c>
      <c r="B17" s="357" t="s">
        <v>3062</v>
      </c>
      <c r="C17" s="1117">
        <v>0</v>
      </c>
      <c r="D17" s="400" t="s">
        <v>4627</v>
      </c>
    </row>
    <row r="18" spans="1:7" ht="27.75" customHeight="1" x14ac:dyDescent="0.2">
      <c r="A18" s="120"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(2-2,12)+1)),AND(CALC_PlanetPositions!$M$8="Malefic",MOD(MATCH(CALC_PlanetPositions!$B$8,{"Aries","Taurus","Gemini","Cancer","Leo","Virgo","Libra","Scorpio","Sagittarius","Capricorn","Aquarius","Pisces"},0)-MATCH(INPUT_Chart!$C$5,{"Aries","Taurus","Gemini","Cancer","Leo","Virgo","Libra","Scorpio","Sagittarius","Capricorn","Aquarius","Pisces"},0),12)+1=(MOD(2-2,12)+1)),AND(CALC_PlanetPositions!$M$9="Malefic",MOD(MATCH(CALC_PlanetPositions!$B$9,{"Aries","Taurus","Gemini","Cancer","Leo","Virgo","Libra","Scorpio","Sagittarius","Capricorn","Aquarius","Pisces"},0)-MATCH(INPUT_Chart!$C$5,{"Aries","Taurus","Gemini","Cancer","Leo","Virgo","Libra","Scorpio","Sagittarius","Capricorn","Aquarius","Pisces"},0),12)+1=(MOD(2-2,12)+1)),AND(CALC_PlanetPositions!$M$10="Malefic",MOD(MATCH(CALC_PlanetPositions!$B$10,{"Aries","Taurus","Gemini","Cancer","Leo","Virgo","Libra","Scorpio","Sagittarius","Capricorn","Aquarius","Pisces"},0)-MATCH(INPUT_Chart!$C$5,{"Aries","Taurus","Gemini","Cancer","Leo","Virgo","Libra","Scorpio","Sagittarius","Capricorn","Aquarius","Pisces"},0),12)+1=(MOD(2-2,12)+1)),AND(CALC_PlanetPositions!$M$11="Malefic",MOD(MATCH(CALC_PlanetPositions!$B$11,{"Aries","Taurus","Gemini","Cancer","Leo","Virgo","Libra","Scorpio","Sagittarius","Capricorn","Aquarius","Pisces"},0)-MATCH(INPUT_Chart!$C$5,{"Aries","Taurus","Gemini","Cancer","Leo","Virgo","Libra","Scorpio","Sagittarius","Capricorn","Aquarius","Pisces"},0),12)+1=(MOD(2-2,12)+1)),AND(CALC_PlanetPositions!$M$12="Malefic",MOD(MATCH(CALC_PlanetPositions!$B$12,{"Aries","Taurus","Gemini","Cancer","Leo","Virgo","Libra","Scorpio","Sagittarius","Capricorn","Aquarius","Pisces"},0)-MATCH(INPUT_Chart!$C$5,{"Aries","Taurus","Gemini","Cancer","Leo","Virgo","Libra","Scorpio","Sagittarius","Capricorn","Aquarius","Pisces"},0),12)+1=(MOD(2-2,12)+1)),AND(CALC_PlanetPositions!$M$13="Malefic",MOD(MATCH(CALC_PlanetPositions!$B$13,{"Aries","Taurus","Gemini","Cancer","Leo","Virgo","Libra","Scorpio","Sagittarius","Capricorn","Aquarius","Pisces"},0)-MATCH(INPUT_Chart!$C$5,{"Aries","Taurus","Gemini","Cancer","Leo","Virgo","Libra","Scorpio","Sagittarius","Capricorn","Aquarius","Pisces"},0),12)+1=(MOD(2-2,12)+1)),AND(TRUE(),MOD(MATCH(CALC_PlanetPositions!$B$14,{"Aries","Taurus","Gemini","Cancer","Leo","Virgo","Libra","Scorpio","Sagittarius","Capricorn","Aquarius","Pisces"},0)-MATCH(INPUT_Chart!$C$5,{"Aries","Taurus","Gemini","Cancer","Leo","Virgo","Libra","Scorpio","Sagittarius","Capricorn","Aquarius","Pisces"},0),12)+1=(MOD(2-2,12)+1)),AND(TRUE(),MOD(MATCH(CALC_PlanetPositions!$B$15,{"Aries","Taurus","Gemini","Cancer","Leo","Virgo","Libra","Scorpio","Sagittarius","Capricorn","Aquarius","Pisces"},0)-MATCH(INPUT_Chart!$C$5,{"Aries","Taurus","Gemini","Cancer","Leo","Virgo","Libra","Scorpio","Sagittarius","Capricorn","Aquarius","Pisces"},0),12)+1=(MOD(2-2,12)+1))),OR(AND(CALC_PlanetPositions!$M$7="Malefic",MOD(MATCH(CALC_PlanetPositions!$B$7,{"Aries","Taurus","Gemini","Cancer","Leo","Virgo","Libra","Scorpio","Sagittarius","Capricorn","Aquarius","Pisces"},0)-MATCH(INPUT_Chart!$C$5,{"Aries","Taurus","Gemini","Cancer","Leo","Virgo","Libra","Scorpio","Sagittarius","Capricorn","Aquarius","Pisces"},0),12)+1=(MOD(2,12)+1)),AND(CALC_PlanetPositions!$M$8="Malefic",MOD(MATCH(CALC_PlanetPositions!$B$8,{"Aries","Taurus","Gemini","Cancer","Leo","Virgo","Libra","Scorpio","Sagittarius","Capricorn","Aquarius","Pisces"},0)-MATCH(INPUT_Chart!$C$5,{"Aries","Taurus","Gemini","Cancer","Leo","Virgo","Libra","Scorpio","Sagittarius","Capricorn","Aquarius","Pisces"},0),12)+1=(MOD(2,12)+1)),AND(CALC_PlanetPositions!$M$9="Malefic",MOD(MATCH(CALC_PlanetPositions!$B$9,{"Aries","Taurus","Gemini","Cancer","Leo","Virgo","Libra","Scorpio","Sagittarius","Capricorn","Aquarius","Pisces"},0)-MATCH(INPUT_Chart!$C$5,{"Aries","Taurus","Gemini","Cancer","Leo","Virgo","Libra","Scorpio","Sagittarius","Capricorn","Aquarius","Pisces"},0),12)+1=(MOD(2,12)+1)),AND(CALC_PlanetPositions!$M$10="Malefic",MOD(MATCH(CALC_PlanetPositions!$B$10,{"Aries","Taurus","Gemini","Cancer","Leo","Virgo","Libra","Scorpio","Sagittarius","Capricorn","Aquarius","Pisces"},0)-MATCH(INPUT_Chart!$C$5,{"Aries","Taurus","Gemini","Cancer","Leo","Virgo","Libra","Scorpio","Sagittarius","Capricorn","Aquarius","Pisces"},0),12)+1=(MOD(2,12)+1)),AND(CALC_PlanetPositions!$M$11="Malefic",MOD(MATCH(CALC_PlanetPositions!$B$11,{"Aries","Taurus","Gemini","Cancer","Leo","Virgo","Libra","Scorpio","Sagittarius","Capricorn","Aquarius","Pisces"},0)-MATCH(INPUT_Chart!$C$5,{"Aries","Taurus","Gemini","Cancer","Leo","Virgo","Libra","Scorpio","Sagittarius","Capricorn","Aquarius","Pisces"},0),12)+1=(MOD(2,12)+1)),AND(CALC_PlanetPositions!$M$12="Malefic",MOD(MATCH(CALC_PlanetPositions!$B$12,{"Aries","Taurus","Gemini","Cancer","Leo","Virgo","Libra","Scorpio","Sagittarius","Capricorn","Aquarius","Pisces"},0)-MATCH(INPUT_Chart!$C$5,{"Aries","Taurus","Gemini","Cancer","Leo","Virgo","Libra","Scorpio","Sagittarius","Capricorn","Aquarius","Pisces"},0),12)+1=(MOD(2,12)+1)),AND(CALC_PlanetPositions!$M$13="Malefic",MOD(MATCH(CALC_PlanetPositions!$B$13,{"Aries","Taurus","Gemini","Cancer","Leo","Virgo","Libra","Scorpio","Sagittarius","Capricorn","Aquarius","Pisces"},0)-MATCH(INPUT_Chart!$C$5,{"Aries","Taurus","Gemini","Cancer","Leo","Virgo","Libra","Scorpio","Sagittarius","Capricorn","Aquarius","Pisces"},0),12)+1=(MOD(2,12)+1)),AND(TRUE(),MOD(MATCH(CALC_PlanetPositions!$B$14,{"Aries","Taurus","Gemini","Cancer","Leo","Virgo","Libra","Scorpio","Sagittarius","Capricorn","Aquarius","Pisces"},0)-MATCH(INPUT_Chart!$C$5,{"Aries","Taurus","Gemini","Cancer","Leo","Virgo","Libra","Scorpio","Sagittarius","Capricorn","Aquarius","Pisces"},0),12)+1=(MOD(2,12)+1)),AND(TRUE(),MOD(MATCH(CALC_PlanetPositions!$B$15,{"Aries","Taurus","Gemini","Cancer","Leo","Virgo","Libra","Scorpio","Sagittarius","Capricorn","Aquarius","Pisces"},0)-MATCH(INPUT_Chart!$C$5,{"Aries","Taurus","Gemini","Cancer","Leo","Virgo","Libra","Scorpio","Sagittarius","Capricorn","Aquarius","Pisces"},0),12)+1=(MOD(2,12)+1)))),1,0),0))*IF(REF_Config!$B$6="KP",-0.75,IF(REF_Config!$B$6="Jaimini",-0.5,-0.75)),0)</f>
        <v>-0.75</v>
      </c>
      <c r="D18" s="403" t="s">
        <v>4629</v>
      </c>
    </row>
    <row r="19" spans="1:7" ht="15.75" customHeight="1" x14ac:dyDescent="0.2">
      <c r="A19" s="1594" t="s">
        <v>3624</v>
      </c>
      <c r="B19" s="1594"/>
      <c r="C19" s="1594"/>
      <c r="D19" s="1594"/>
    </row>
    <row r="20" spans="1:7" ht="27.75" customHeight="1" x14ac:dyDescent="0.2">
      <c r="A20" s="120" t="s">
        <v>4630</v>
      </c>
      <c r="B20" s="357" t="s">
        <v>4555</v>
      </c>
      <c r="C20" s="1117">
        <v>0</v>
      </c>
      <c r="D20" s="400" t="s">
        <v>4631</v>
      </c>
    </row>
    <row r="21" spans="1:7" ht="27.75" customHeight="1" x14ac:dyDescent="0.2">
      <c r="A21" s="120" t="s">
        <v>4632</v>
      </c>
      <c r="B21" s="203" t="s">
        <v>4633</v>
      </c>
      <c r="C21" s="1118">
        <f>IFERROR((IFERROR(IF(OR(AND(CALC_PlanetPositions!$M$7="Malefic",INDEX(REF_Aspects!$D$5:$O$13,1,MOD(CALC_BhaveshMap!$H$6-(MOD(MATCH(CALC_PlanetPositions!$B$7,{"Aries","Taurus","Gemini","Cancer","Leo","Virgo","Libra","Scorpio","Sagittarius","Capricorn","Aquarius","Pisces"},0)-MATCH(INPUT_Chart!$C$5,{"Aries","Taurus","Gemini","Cancer","Leo","Virgo","Libra","Scorpio","Sagittarius","Capricorn","Aquarius","Pisces"},0),12)+1),12)+1)="FULL",NOT(CALC_PlanetPositions!$B$7=CALC_BhaveshMap!$G$6)),AND(CALC_PlanetPositions!$M$8="Malefic",INDEX(REF_Aspects!$D$5:$O$13,2,MOD(CALC_BhaveshMap!$H$6-(MOD(MATCH(CALC_PlanetPositions!$B$8,{"Aries","Taurus","Gemini","Cancer","Leo","Virgo","Libra","Scorpio","Sagittarius","Capricorn","Aquarius","Pisces"},0)-MATCH(INPUT_Chart!$C$5,{"Aries","Taurus","Gemini","Cancer","Leo","Virgo","Libra","Scorpio","Sagittarius","Capricorn","Aquarius","Pisces"},0),12)+1),12)+1)="FULL",NOT(CALC_PlanetPositions!$B$8=CALC_BhaveshMap!$G$6)),AND(CALC_PlanetPositions!$M$9="Malefic",INDEX(REF_Aspects!$D$5:$O$13,3,MOD(CALC_BhaveshMap!$H$6-(MOD(MATCH(CALC_PlanetPositions!$B$9,{"Aries","Taurus","Gemini","Cancer","Leo","Virgo","Libra","Scorpio","Sagittarius","Capricorn","Aquarius","Pisces"},0)-MATCH(INPUT_Chart!$C$5,{"Aries","Taurus","Gemini","Cancer","Leo","Virgo","Libra","Scorpio","Sagittarius","Capricorn","Aquarius","Pisces"},0),12)+1),12)+1)="FULL",NOT(CALC_PlanetPositions!$B$9=CALC_BhaveshMap!$G$6)),AND(CALC_PlanetPositions!$M$10="Malefic",INDEX(REF_Aspects!$D$5:$O$13,4,MOD(CALC_BhaveshMap!$H$6-(MOD(MATCH(CALC_PlanetPositions!$B$10,{"Aries","Taurus","Gemini","Cancer","Leo","Virgo","Libra","Scorpio","Sagittarius","Capricorn","Aquarius","Pisces"},0)-MATCH(INPUT_Chart!$C$5,{"Aries","Taurus","Gemini","Cancer","Leo","Virgo","Libra","Scorpio","Sagittarius","Capricorn","Aquarius","Pisces"},0),12)+1),12)+1)="FULL",NOT(CALC_PlanetPositions!$B$10=CALC_BhaveshMap!$G$6)),AND(CALC_PlanetPositions!$M$11="Malefic",INDEX(REF_Aspects!$D$5:$O$13,5,MOD(CALC_BhaveshMap!$H$6-(MOD(MATCH(CALC_PlanetPositions!$B$11,{"Aries","Taurus","Gemini","Cancer","Leo","Virgo","Libra","Scorpio","Sagittarius","Capricorn","Aquarius","Pisces"},0)-MATCH(INPUT_Chart!$C$5,{"Aries","Taurus","Gemini","Cancer","Leo","Virgo","Libra","Scorpio","Sagittarius","Capricorn","Aquarius","Pisces"},0),12)+1),12)+1)="FULL",NOT(CALC_PlanetPositions!$B$11=CALC_BhaveshMap!$G$6)),AND(CALC_PlanetPositions!$M$12="Malefic",INDEX(REF_Aspects!$D$5:$O$13,6,MOD(CALC_BhaveshMap!$H$6-(MOD(MATCH(CALC_PlanetPositions!$B$12,{"Aries","Taurus","Gemini","Cancer","Leo","Virgo","Libra","Scorpio","Sagittarius","Capricorn","Aquarius","Pisces"},0)-MATCH(INPUT_Chart!$C$5,{"Aries","Taurus","Gemini","Cancer","Leo","Virgo","Libra","Scorpio","Sagittarius","Capricorn","Aquarius","Pisces"},0),12)+1),12)+1)="FULL",NOT(CALC_PlanetPositions!$B$12=CALC_BhaveshMap!$G$6)),AND(CALC_PlanetPositions!$M$13="Malefic",INDEX(REF_Aspects!$D$5:$O$13,7,MOD(CALC_BhaveshMap!$H$6-(MOD(MATCH(CALC_PlanetPositions!$B$13,{"Aries","Taurus","Gemini","Cancer","Leo","Virgo","Libra","Scorpio","Sagittarius","Capricorn","Aquarius","Pisces"},0)-MATCH(INPUT_Chart!$C$5,{"Aries","Taurus","Gemini","Cancer","Leo","Virgo","Libra","Scorpio","Sagittarius","Capricorn","Aquarius","Pisces"},0),12)+1),12)+1)="FULL",NOT(CALC_PlanetPositions!$B$13=CALC_BhaveshMap!$G$6)),AND(TRUE(),INDEX(REF_Aspects!$D$5:$O$13,8,MOD(CALC_BhaveshMap!$H$6-(MOD(MATCH(CALC_PlanetPositions!$B$14,{"Aries","Taurus","Gemini","Cancer","Leo","Virgo","Libra","Scorpio","Sagittarius","Capricorn","Aquarius","Pisces"},0)-MATCH(INPUT_Chart!$C$5,{"Aries","Taurus","Gemini","Cancer","Leo","Virgo","Libra","Scorpio","Sagittarius","Capricorn","Aquarius","Pisces"},0),12)+1),12)+1)="FULL",NOT(CALC_PlanetPositions!$B$14=CALC_BhaveshMap!$G$6)),AND(TRUE(),INDEX(REF_Aspects!$D$5:$O$13,9,MOD(CALC_BhaveshMap!$H$6-(MOD(MATCH(CALC_PlanetPositions!$B$15,{"Aries","Taurus","Gemini","Cancer","Leo","Virgo","Libra","Scorpio","Sagittarius","Capricorn","Aquarius","Pisces"},0)-MATCH(INPUT_Chart!$C$5,{"Aries","Taurus","Gemini","Cancer","Leo","Virgo","Libra","Scorpio","Sagittarius","Capricorn","Aquarius","Pisces"},0),12)+1),12)+1)="FULL",NOT(CALC_PlanetPositions!$B$15=CALC_BhaveshMap!$G$6))),1,0),0))*-0.5,0)</f>
        <v>-0.5</v>
      </c>
      <c r="D21" s="403" t="s">
        <v>4634</v>
      </c>
    </row>
    <row r="22" spans="1:7" ht="27.75" customHeight="1" x14ac:dyDescent="0.2">
      <c r="A22" s="120" t="s">
        <v>4635</v>
      </c>
      <c r="B22" s="357" t="s">
        <v>3042</v>
      </c>
      <c r="C22" s="1117">
        <f>IFERROR((IFERROR(IF(CALC_BhaveshMap!$K$6="Yes",1,0),0))*IF(REF_Config!$B$6="KP",-1.75,IF(REF_Config!$B$6="Jaimini",-2,-2)),0)</f>
        <v>0</v>
      </c>
      <c r="D22" s="400" t="s">
        <v>4636</v>
      </c>
    </row>
    <row r="23" spans="1:7" ht="27.75" customHeight="1" x14ac:dyDescent="0.2">
      <c r="A23" s="120" t="s">
        <v>4637</v>
      </c>
      <c r="B23" s="203" t="s">
        <v>3059</v>
      </c>
      <c r="C23" s="1118">
        <f>IFERROR((IFERROR(IF(OR(AND(CALC_BhaveshMap!$G$10=CALC_BhaveshMap!$G$6,CALC_BhaveshMap!$D$10&lt;&gt;CALC_BhaveshMap!$D$6),AND(CALC_BhaveshMap!$G$12=CALC_BhaveshMap!$G$6,CALC_BhaveshMap!$D$12&lt;&gt;CALC_BhaveshMap!$D$6),AND(CALC_BhaveshMap!$G$16=CALC_BhaveshMap!$G$6,CALC_BhaveshMap!$D$16&lt;&gt;CALC_BhaveshMap!$D$6)),1,0),0))*-1,0)</f>
        <v>-1</v>
      </c>
      <c r="D23" s="403" t="s">
        <v>4638</v>
      </c>
    </row>
    <row r="24" spans="1:7" ht="15.75" customHeight="1" x14ac:dyDescent="0.2">
      <c r="A24" s="1484" t="s">
        <v>4639</v>
      </c>
      <c r="B24" s="1484"/>
      <c r="C24" s="1484"/>
      <c r="D24" s="1484"/>
    </row>
    <row r="25" spans="1:7" ht="27.75" customHeight="1" x14ac:dyDescent="0.2">
      <c r="A25" s="120" t="s">
        <v>4640</v>
      </c>
      <c r="B25" s="357" t="s">
        <v>3084</v>
      </c>
      <c r="C25" s="1117">
        <f>IFERROR(IF(CALC_KarakMap!$M$6&gt;0,CALC_KarakMap!$M$6,0),0)</f>
        <v>0</v>
      </c>
      <c r="D25" s="400" t="s">
        <v>4641</v>
      </c>
    </row>
    <row r="26" spans="1:7" ht="27.75" customHeight="1" x14ac:dyDescent="0.2">
      <c r="A26" s="120" t="s">
        <v>4642</v>
      </c>
      <c r="B26" s="203" t="s">
        <v>4564</v>
      </c>
      <c r="C26" s="1118">
        <f>IFERROR(IF(CALC_KarakMap!$M$6&lt;0,CALC_KarakMap!$M$6,0),0)</f>
        <v>-0.5</v>
      </c>
      <c r="D26" s="403" t="s">
        <v>4643</v>
      </c>
    </row>
    <row r="27" spans="1:7" ht="27.75" customHeight="1" x14ac:dyDescent="0.2">
      <c r="A27" s="1119" t="s">
        <v>4644</v>
      </c>
      <c r="B27" s="296" t="s">
        <v>3624</v>
      </c>
      <c r="C27" s="1117">
        <f>IFERROR(IF(OR(CALC_BhaveshMap!$D$6="Sun",CALC_BhaveshMap!$D$6="Rahu",CALC_BhaveshMap!$D$6="Ketu"),0,IF(CALC_BhaveshMap!$D$6="Moon",IF(CALC_CombustionCheck!$G$4="Cazimi ✓",0.5,IF(CALC_CombustionCheck!$F$4="COMBUST ⚠",-1,0)),IF(CALC_BhaveshMap!$D$6="Mars",IF(CALC_CombustionCheck!$G$5="Cazimi ✓",0.5,IF(AND(CALC_CombustionCheck!$F$5="COMBUST ⚠",CALC_RetrogradeFix!$F$6="Rx ✓"),-0.5,IF(CALC_CombustionCheck!$F$5="COMBUST ⚠",-1,0))),IF(CALC_BhaveshMap!$D$6="Mercury",IF(CALC_CombustionCheck!$G$6="Cazimi ✓",0.5,IF(AND(CALC_CombustionCheck!$F$6="COMBUST ⚠",CALC_RetrogradeFix!$F$7="Rx ✓"),-0.5,IF(CALC_CombustionCheck!$F$6="COMBUST ⚠",-1,0))),IF(CALC_BhaveshMap!$D$6="Jupiter",IF(CALC_CombustionCheck!$G$7="Cazimi ✓",0.5,IF(AND(CALC_CombustionCheck!$F$7="COMBUST ⚠",CALC_RetrogradeFix!$F$8="Rx ✓"),-0.5,IF(CALC_CombustionCheck!$F$7="COMBUST ⚠",-1,0))),IF(CALC_BhaveshMap!$D$6="Venus",IF(CALC_CombustionCheck!$G$8="Cazimi ✓",0.5,IF(AND(CALC_CombustionCheck!$F$8="COMBUST ⚠",CALC_RetrogradeFix!$F$9="Rx ✓"),-0.5,IF(CALC_CombustionCheck!$F$8="COMBUST ⚠",-1,0))),IF(CALC_BhaveshMap!$D$6="Saturn",IF(CALC_CombustionCheck!$G$9="Cazimi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BhaveshMap!$D$6="Rahu",CALC_BhaveshMap!$D$6="Ketu"),0,IF(ISNUMBER(MATCH(CALC_BhaveshMap!$D$6,{"Sun","Moon","Mars","Mercury","Jupiter","Venus","Saturn"},0)),IF(INDEX(CALC_DigBala!$F$4:$F$10,MATCH(CALC_BhaveshMap!$D$6,{"Sun","Moon","Mars","Mercury","Jupiter","Venus","Saturn"},0))="Yes",0.5,0),0)),0)</f>
        <v>0</v>
      </c>
      <c r="D28" s="400" t="s">
        <v>4647</v>
      </c>
    </row>
    <row r="29" spans="1:7" ht="27.75" customHeight="1" x14ac:dyDescent="0.2">
      <c r="A29" s="1120" t="s">
        <v>4648</v>
      </c>
      <c r="B29" s="296" t="s">
        <v>3372</v>
      </c>
      <c r="C29" s="1117">
        <f>IFERROR(IF(COUNTIFS(REF_PushkaraNavamsha!$A$4:$A$27,CALC_BhaveshMap!$G$6,REF_PushkaraNavamsha!$B$4:$B$27,INDEX(CALC_PlanetPositions!$G$7:$G$15,MATCH(CALC_BhaveshMap!$D$6,CALC_PlanetPositions!$A$7:$A$15,0)))&gt;0,0.5,0),0)</f>
        <v>0.5</v>
      </c>
      <c r="D29" s="400" t="s">
        <v>4649</v>
      </c>
    </row>
    <row r="30" spans="1:7" ht="25.5" customHeight="1" x14ac:dyDescent="0.2">
      <c r="A30" s="147" t="s">
        <v>4650</v>
      </c>
      <c r="B30" s="1121" t="s">
        <v>4651</v>
      </c>
      <c r="C30" s="1122">
        <f>IFERROR(IF(ISNUMBER(MATCH(CALC_BhaveshMap!$D$6,{"Sun","Moon","Mars","Mercury","Jupiter","Venus","Saturn"},0)),INDEX(CALC_RetrogradeFix!$G$4:$G$10,MATCH(CALC_BhaveshMap!$D$6,{"Sun","Moon","Mars","Mercury","Jupiter","Venus","Saturn"},0)),0),0)</f>
        <v>0</v>
      </c>
      <c r="D30" s="1123" t="s">
        <v>4652</v>
      </c>
    </row>
    <row r="31" spans="1:7" ht="18" customHeight="1" x14ac:dyDescent="0.2">
      <c r="A31" s="1555" t="s">
        <v>4653</v>
      </c>
      <c r="B31" s="1555"/>
      <c r="C31" s="1555"/>
      <c r="D31" s="1555"/>
      <c r="E31" s="1124" t="s">
        <v>4654</v>
      </c>
      <c r="F31" s="1125">
        <f>IFERROR(IF(CALC_Ashtakavarga!C$15&gt;28,0.5,IF(CALC_Ashtakavarga!C$15&lt;22,-0.5,0)),0)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IFERROR(SUM(C9:C13,C28:C30,F31,0),0)</f>
        <v>2</v>
      </c>
      <c r="D33" s="1129"/>
    </row>
    <row r="34" spans="1:4" ht="18" customHeight="1" x14ac:dyDescent="0.2">
      <c r="A34" s="189" t="s">
        <v>4621</v>
      </c>
      <c r="B34" s="1127" t="s">
        <v>4658</v>
      </c>
      <c r="C34" s="1128">
        <f>IFERROR(SUM(C15:C18),0)</f>
        <v>-2.75</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-2.25</v>
      </c>
      <c r="D37" s="1129"/>
    </row>
    <row r="38" spans="1:4" ht="21.75" customHeight="1" x14ac:dyDescent="0.2">
      <c r="A38" s="89" t="s">
        <v>4661</v>
      </c>
      <c r="B38" s="1129"/>
      <c r="C38" s="1131">
        <f>IFERROR(MAX(-10,MIN(10,C37)),0)</f>
        <v>-2.25</v>
      </c>
      <c r="D38" s="1132"/>
    </row>
    <row r="39" spans="1:4" ht="18" customHeight="1" x14ac:dyDescent="0.2">
      <c r="A39" s="517" t="s">
        <v>4662</v>
      </c>
      <c r="B39" s="1129"/>
      <c r="C39" s="1133">
        <f>IFERROR(CALC_LagneshStrength!$I$4,0)</f>
        <v>0</v>
      </c>
      <c r="D39" s="1129"/>
    </row>
    <row r="40" spans="1:4" ht="25.5" customHeight="1" x14ac:dyDescent="0.2">
      <c r="A40" s="1137" t="s">
        <v>4663</v>
      </c>
      <c r="B40" s="1129"/>
      <c r="C40" s="1138">
        <f>IFERROR(MAX(-10,MIN(10,C38+C39)),0)</f>
        <v>-2.25</v>
      </c>
      <c r="D40" s="1139" t="str">
        <f>IFERROR(IF(C40&gt;=7,"Excellent — Wealth domain very strong",IF(C40&gt;=4,"Good — Wealth domain strong",IF(C40&gt;=1,"Moderate",IF(C40&gt;=-2,"Mixed — Wealth has challenges",IF(C40&gt;=-5,"Weak","Very weak — Wealth heavily afflicted"))))),"—")</f>
        <v>Weak</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4666</v>
      </c>
      <c r="B1" s="1518"/>
      <c r="C1" s="1518"/>
      <c r="D1" s="1518"/>
      <c r="L1" s="29" t="str">
        <f>HYPERLINK("#'00_INDEX'!A1","&lt;- Index")</f>
        <v>&lt;- Index</v>
      </c>
    </row>
    <row r="2" spans="1:12" ht="19.5" customHeight="1" x14ac:dyDescent="0.2">
      <c r="A2" s="1595" t="str">
        <f>IFERROR("Lagna: "&amp;INPUT_Chart!$C$5&amp;"  ·  H3 sign: "&amp;CALC_BhaveshMap!$C$7&amp;"  ·  Bhavesh: "&amp;CALC_BhaveshMap!$D$7&amp;" in H"&amp;CALC_BhaveshMap!$H$7&amp;" ("&amp;CALC_BhaveshMap!$L$7&amp;")","Enter Lagna in INPUT_Chart")</f>
        <v>Lagna: Taurus  ·  H3 sign: Cancer  ·  Bhavesh: Moon in H3 (Own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47" t="s">
        <v>4605</v>
      </c>
      <c r="B5" s="357" t="s">
        <v>4529</v>
      </c>
      <c r="C5" s="1117">
        <f>IFERROR((IFERROR(IF(INDEX(REF_Zodiac!$D$17:$O$17,MATCH(CALC_BhaveshMap!$C$7,REF_Zodiac!$D$3:$O$3,0))="Gentle",1,0),0))*0.5,0)</f>
        <v>0.5</v>
      </c>
      <c r="D5" s="400" t="s">
        <v>4606</v>
      </c>
    </row>
    <row r="6" spans="1:12" ht="27.75" customHeight="1" x14ac:dyDescent="0.2">
      <c r="A6" s="147"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47" t="s">
        <v>4609</v>
      </c>
      <c r="B7" s="357" t="s">
        <v>4534</v>
      </c>
      <c r="C7" s="1117">
        <f>IFERROR((IFERROR(IF(OR(AND(OR(CALC_PlanetPositions!$M$7="Benefic",CALC_PlanetPositions!$M$7="Yogakaraka"),INDEX(REF_Aspects!$D$5:$O$13,1,MOD(3-(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3)),AND(OR(CALC_PlanetPositions!$M$8="Benefic",CALC_PlanetPositions!$M$8="Yogakaraka"),INDEX(REF_Aspects!$D$5:$O$13,2,MOD(3-(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3)),AND(OR(CALC_PlanetPositions!$M$9="Benefic",CALC_PlanetPositions!$M$9="Yogakaraka"),INDEX(REF_Aspects!$D$5:$O$13,3,MOD(3-(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3)),AND(OR(CALC_PlanetPositions!$M$10="Benefic",CALC_PlanetPositions!$M$10="Yogakaraka"),INDEX(REF_Aspects!$D$5:$O$13,4,MOD(3-(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3)),AND(OR(CALC_PlanetPositions!$M$11="Benefic",CALC_PlanetPositions!$M$11="Yogakaraka"),INDEX(REF_Aspects!$D$5:$O$13,5,MOD(3-(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3)),AND(OR(CALC_PlanetPositions!$M$12="Benefic",CALC_PlanetPositions!$M$12="Yogakaraka"),INDEX(REF_Aspects!$D$5:$O$13,6,MOD(3-(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3)),AND(OR(CALC_PlanetPositions!$M$13="Benefic",CALC_PlanetPositions!$M$13="Yogakaraka"),INDEX(REF_Aspects!$D$5:$O$13,7,MOD(3-(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3)),AND(FALSE(),INDEX(REF_Aspects!$D$5:$O$13,8,MOD(3-(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3)),AND(FALSE(),INDEX(REF_Aspects!$D$5:$O$13,9,MOD(3-(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3))),1,0),0))*IF(REF_Config!$B$6="KP",0.5,IF(REF_Config!$B$6="Jaimini",0.75,0.75)),0)</f>
        <v>0</v>
      </c>
      <c r="D7" s="400" t="s">
        <v>4610</v>
      </c>
    </row>
    <row r="8" spans="1:12" ht="15.75" customHeight="1" x14ac:dyDescent="0.2">
      <c r="A8" s="1597" t="s">
        <v>3372</v>
      </c>
      <c r="B8" s="1597"/>
      <c r="C8" s="1597"/>
      <c r="D8" s="1597"/>
    </row>
    <row r="9" spans="1:12" ht="27.75" customHeight="1" x14ac:dyDescent="0.2">
      <c r="A9" s="147" t="s">
        <v>4611</v>
      </c>
      <c r="B9" s="203" t="s">
        <v>4537</v>
      </c>
      <c r="C9" s="1118">
        <f>IFERROR(IF(AND(OR(CALC_BhaveshMap!$I$7="Yes",CALC_BhaveshMap!$J$7="Yes"),NOT(CALC_BhaveshMap!$K$7="Yes")),1,0)*IF(REF_Config!$B$6="KP",1.5,IF(REF_Config!$B$6="Jaimini",1.5,2)),0)</f>
        <v>0</v>
      </c>
      <c r="D9" s="403" t="s">
        <v>4612</v>
      </c>
    </row>
    <row r="10" spans="1:12" ht="27.75" customHeight="1" x14ac:dyDescent="0.2">
      <c r="A10" s="147" t="s">
        <v>4613</v>
      </c>
      <c r="B10" s="357" t="s">
        <v>3093</v>
      </c>
      <c r="C10" s="1117">
        <f>IFERROR((IFERROR(IF(OR(AND(CALC_BhaveshMap!$G$5=CALC_BhaveshMap!$G$7,CALC_BhaveshMap!$D$5&lt;&gt;CALC_BhaveshMap!$D$7),AND(CALC_BhaveshMap!$G$8=CALC_BhaveshMap!$G$7,CALC_BhaveshMap!$D$8&lt;&gt;CALC_BhaveshMap!$D$7),AND(CALC_BhaveshMap!$G$9=CALC_BhaveshMap!$G$7,CALC_BhaveshMap!$D$9&lt;&gt;CALC_BhaveshMap!$D$7),AND(CALC_BhaveshMap!$G$11=CALC_BhaveshMap!$G$7,CALC_BhaveshMap!$D$11&lt;&gt;CALC_BhaveshMap!$D$7),AND(CALC_BhaveshMap!$G$13=CALC_BhaveshMap!$G$7,CALC_BhaveshMap!$D$13&lt;&gt;CALC_BhaveshMap!$D$7),AND(CALC_BhaveshMap!$G$14=CALC_BhaveshMap!$G$7,CALC_BhaveshMap!$D$14&lt;&gt;CALC_BhaveshMap!$D$7)),1,0),0))*0.5,0)</f>
        <v>0.5</v>
      </c>
      <c r="D10" s="400" t="s">
        <v>4614</v>
      </c>
    </row>
    <row r="11" spans="1:12" ht="27.75" customHeight="1" x14ac:dyDescent="0.2">
      <c r="A11" s="147" t="s">
        <v>4615</v>
      </c>
      <c r="B11" s="203" t="s">
        <v>4540</v>
      </c>
      <c r="C11" s="1118">
        <f>IFERROR((IFERROR(IF(OR(AND(OR(CALC_PlanetPositions!$M$7="Benefic",CALC_PlanetPositions!$M$7="Yogakaraka"),CALC_PlanetPositions!$B$7=CALC_BhaveshMap!$G$7,CALC_BhaveshMap!$D$7&lt;&gt;"Sun"),AND(OR(CALC_PlanetPositions!$M$8="Benefic",CALC_PlanetPositions!$M$8="Yogakaraka"),CALC_PlanetPositions!$B$8=CALC_BhaveshMap!$G$7,CALC_BhaveshMap!$D$7&lt;&gt;"Moon"),AND(OR(CALC_PlanetPositions!$M$9="Benefic",CALC_PlanetPositions!$M$9="Yogakaraka"),CALC_PlanetPositions!$B$9=CALC_BhaveshMap!$G$7,CALC_BhaveshMap!$D$7&lt;&gt;"Mars"),AND(OR(CALC_PlanetPositions!$M$10="Benefic",CALC_PlanetPositions!$M$10="Yogakaraka"),CALC_PlanetPositions!$B$10=CALC_BhaveshMap!$G$7,CALC_BhaveshMap!$D$7&lt;&gt;"Mercury"),AND(OR(CALC_PlanetPositions!$M$11="Benefic",CALC_PlanetPositions!$M$11="Yogakaraka"),CALC_PlanetPositions!$B$11=CALC_BhaveshMap!$G$7,CALC_BhaveshMap!$D$7&lt;&gt;"Jupiter"),AND(OR(CALC_PlanetPositions!$M$12="Benefic",CALC_PlanetPositions!$M$12="Yogakaraka"),CALC_PlanetPositions!$B$12=CALC_BhaveshMap!$G$7,CALC_BhaveshMap!$D$7&lt;&gt;"Venus"),AND(OR(CALC_PlanetPositions!$M$13="Benefic",CALC_PlanetPositions!$M$13="Yogakaraka"),CALC_PlanetPositions!$B$13=CALC_BhaveshMap!$G$7,CALC_BhaveshMap!$D$7&lt;&gt;"Saturn")),1,0),0))*IF(OR(AND(CALC_PlanetPositions!$M$7="Yogakaraka",CALC_PlanetPositions!$B$7=CALC_BhaveshMap!$G$7,CALC_BhaveshMap!$D$7&lt;&gt;"Sun"),AND(CALC_PlanetPositions!$M$8="Yogakaraka",CALC_PlanetPositions!$B$8=CALC_BhaveshMap!$G$7,CALC_BhaveshMap!$D$7&lt;&gt;"Moon"),AND(CALC_PlanetPositions!$M$9="Yogakaraka",CALC_PlanetPositions!$B$9=CALC_BhaveshMap!$G$7,CALC_BhaveshMap!$D$7&lt;&gt;"Mars"),AND(CALC_PlanetPositions!$M$10="Yogakaraka",CALC_PlanetPositions!$B$10=CALC_BhaveshMap!$G$7,CALC_BhaveshMap!$D$7&lt;&gt;"Mercury"),AND(CALC_PlanetPositions!$M$11="Yogakaraka",CALC_PlanetPositions!$B$11=CALC_BhaveshMap!$G$7,CALC_BhaveshMap!$D$7&lt;&gt;"Jupiter"),AND(CALC_PlanetPositions!$M$12="Yogakaraka",CALC_PlanetPositions!$B$12=CALC_BhaveshMap!$G$7,CALC_BhaveshMap!$D$7&lt;&gt;"Venus"),AND(CALC_PlanetPositions!$M$13="Yogakaraka",CALC_PlanetPositions!$B$13=CALC_BhaveshMap!$G$7,CALC_BhaveshMap!$D$7&lt;&gt;"Saturn")),1.5,1),0)</f>
        <v>1.5</v>
      </c>
      <c r="D11" s="403" t="s">
        <v>4616</v>
      </c>
    </row>
    <row r="12" spans="1:12" ht="27.75" customHeight="1" x14ac:dyDescent="0.2">
      <c r="A12" s="147" t="s">
        <v>4617</v>
      </c>
      <c r="B12" s="357" t="s">
        <v>4542</v>
      </c>
      <c r="C12" s="1117">
        <f>IFERROR((IFERROR(IF(OR(AND(OR(CALC_PlanetPositions!$M$7="Benefic",CALC_PlanetPositions!$M$7="Yogakaraka"),INDEX(REF_Aspects!$D$5:$O$13,1,MOD(CALC_BhaveshMap!$H$7-(MOD(MATCH(CALC_PlanetPositions!$B$7,{"Aries","Taurus","Gemini","Cancer","Leo","Virgo","Libra","Scorpio","Sagittarius","Capricorn","Aquarius","Pisces"},0)-MATCH(INPUT_Chart!$C$5,{"Aries","Taurus","Gemini","Cancer","Leo","Virgo","Libra","Scorpio","Sagittarius","Capricorn","Aquarius","Pisces"},0),12)+1),12)+1)="FULL",NOT(CALC_PlanetPositions!$B$7=CALC_BhaveshMap!$G$7)),AND(OR(CALC_PlanetPositions!$M$8="Benefic",CALC_PlanetPositions!$M$8="Yogakaraka"),INDEX(REF_Aspects!$D$5:$O$13,2,MOD(CALC_BhaveshMap!$H$7-(MOD(MATCH(CALC_PlanetPositions!$B$8,{"Aries","Taurus","Gemini","Cancer","Leo","Virgo","Libra","Scorpio","Sagittarius","Capricorn","Aquarius","Pisces"},0)-MATCH(INPUT_Chart!$C$5,{"Aries","Taurus","Gemini","Cancer","Leo","Virgo","Libra","Scorpio","Sagittarius","Capricorn","Aquarius","Pisces"},0),12)+1),12)+1)="FULL",NOT(CALC_PlanetPositions!$B$8=CALC_BhaveshMap!$G$7)),AND(OR(CALC_PlanetPositions!$M$9="Benefic",CALC_PlanetPositions!$M$9="Yogakaraka"),INDEX(REF_Aspects!$D$5:$O$13,3,MOD(CALC_BhaveshMap!$H$7-(MOD(MATCH(CALC_PlanetPositions!$B$9,{"Aries","Taurus","Gemini","Cancer","Leo","Virgo","Libra","Scorpio","Sagittarius","Capricorn","Aquarius","Pisces"},0)-MATCH(INPUT_Chart!$C$5,{"Aries","Taurus","Gemini","Cancer","Leo","Virgo","Libra","Scorpio","Sagittarius","Capricorn","Aquarius","Pisces"},0),12)+1),12)+1)="FULL",NOT(CALC_PlanetPositions!$B$9=CALC_BhaveshMap!$G$7)),AND(OR(CALC_PlanetPositions!$M$10="Benefic",CALC_PlanetPositions!$M$10="Yogakaraka"),INDEX(REF_Aspects!$D$5:$O$13,4,MOD(CALC_BhaveshMap!$H$7-(MOD(MATCH(CALC_PlanetPositions!$B$10,{"Aries","Taurus","Gemini","Cancer","Leo","Virgo","Libra","Scorpio","Sagittarius","Capricorn","Aquarius","Pisces"},0)-MATCH(INPUT_Chart!$C$5,{"Aries","Taurus","Gemini","Cancer","Leo","Virgo","Libra","Scorpio","Sagittarius","Capricorn","Aquarius","Pisces"},0),12)+1),12)+1)="FULL",NOT(CALC_PlanetPositions!$B$10=CALC_BhaveshMap!$G$7)),AND(OR(CALC_PlanetPositions!$M$11="Benefic",CALC_PlanetPositions!$M$11="Yogakaraka"),INDEX(REF_Aspects!$D$5:$O$13,5,MOD(CALC_BhaveshMap!$H$7-(MOD(MATCH(CALC_PlanetPositions!$B$11,{"Aries","Taurus","Gemini","Cancer","Leo","Virgo","Libra","Scorpio","Sagittarius","Capricorn","Aquarius","Pisces"},0)-MATCH(INPUT_Chart!$C$5,{"Aries","Taurus","Gemini","Cancer","Leo","Virgo","Libra","Scorpio","Sagittarius","Capricorn","Aquarius","Pisces"},0),12)+1),12)+1)="FULL",NOT(CALC_PlanetPositions!$B$11=CALC_BhaveshMap!$G$7)),AND(OR(CALC_PlanetPositions!$M$12="Benefic",CALC_PlanetPositions!$M$12="Yogakaraka"),INDEX(REF_Aspects!$D$5:$O$13,6,MOD(CALC_BhaveshMap!$H$7-(MOD(MATCH(CALC_PlanetPositions!$B$12,{"Aries","Taurus","Gemini","Cancer","Leo","Virgo","Libra","Scorpio","Sagittarius","Capricorn","Aquarius","Pisces"},0)-MATCH(INPUT_Chart!$C$5,{"Aries","Taurus","Gemini","Cancer","Leo","Virgo","Libra","Scorpio","Sagittarius","Capricorn","Aquarius","Pisces"},0),12)+1),12)+1)="FULL",NOT(CALC_PlanetPositions!$B$12=CALC_BhaveshMap!$G$7)),AND(OR(CALC_PlanetPositions!$M$13="Benefic",CALC_PlanetPositions!$M$13="Yogakaraka"),INDEX(REF_Aspects!$D$5:$O$13,7,MOD(CALC_BhaveshMap!$H$7-(MOD(MATCH(CALC_PlanetPositions!$B$13,{"Aries","Taurus","Gemini","Cancer","Leo","Virgo","Libra","Scorpio","Sagittarius","Capricorn","Aquarius","Pisces"},0)-MATCH(INPUT_Chart!$C$5,{"Aries","Taurus","Gemini","Cancer","Leo","Virgo","Libra","Scorpio","Sagittarius","Capricorn","Aquarius","Pisces"},0),12)+1),12)+1)="FULL",NOT(CALC_PlanetPositions!$B$13=CALC_BhaveshMap!$G$7)),AND(FALSE(),INDEX(REF_Aspects!$D$5:$O$13,8,MOD(CALC_BhaveshMap!$H$7-(MOD(MATCH(CALC_PlanetPositions!$B$14,{"Aries","Taurus","Gemini","Cancer","Leo","Virgo","Libra","Scorpio","Sagittarius","Capricorn","Aquarius","Pisces"},0)-MATCH(INPUT_Chart!$C$5,{"Aries","Taurus","Gemini","Cancer","Leo","Virgo","Libra","Scorpio","Sagittarius","Capricorn","Aquarius","Pisces"},0),12)+1),12)+1)="FULL",NOT(CALC_PlanetPositions!$B$14=CALC_BhaveshMap!$G$7)),AND(FALSE(),INDEX(REF_Aspects!$D$5:$O$13,9,MOD(CALC_BhaveshMap!$H$7-(MOD(MATCH(CALC_PlanetPositions!$B$15,{"Aries","Taurus","Gemini","Cancer","Leo","Virgo","Libra","Scorpio","Sagittarius","Capricorn","Aquarius","Pisces"},0)-MATCH(INPUT_Chart!$C$5,{"Aries","Taurus","Gemini","Cancer","Leo","Virgo","Libra","Scorpio","Sagittarius","Capricorn","Aquarius","Pisces"},0),12)+1),12)+1)="FULL",NOT(CALC_PlanetPositions!$B$15=CALC_BhaveshMap!$G$7))),1,0),0))*0.5,0)</f>
        <v>0</v>
      </c>
      <c r="D12" s="400" t="s">
        <v>4618</v>
      </c>
    </row>
    <row r="13" spans="1:12" ht="27.75" customHeight="1" x14ac:dyDescent="0.2">
      <c r="A13" s="147"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$7-2,12)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$7-2,12)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$7-2,12)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$7-2,12)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$7-2,12)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$7-2,12)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$7-2,12)+1)),AND(FALSE(),MOD(MATCH(CALC_PlanetPositions!$B$14,{"Aries","Taurus","Gemini","Cancer","Leo","Virgo","Libra","Scorpio","Sagittarius","Capricorn","Aquarius","Pisces"},0)-MATCH(INPUT_Chart!$C$5,{"Aries","Taurus","Gemini","Cancer","Leo","Virgo","Libra","Scorpio","Sagittarius","Capricorn","Aquarius","Pisces"},0),12)+1=(MOD(CALC_BhaveshMap!$H$7-2,12)+1)),AND(FALSE(),MOD(MATCH(CALC_PlanetPositions!$B$15,{"Aries","Taurus","Gemini","Cancer","Leo","Virgo","Libra","Scorpio","Sagittarius","Capricorn","Aquarius","Pisces"},0)-MATCH(INPUT_Chart!$C$5,{"Aries","Taurus","Gemini","Cancer","Leo","Virgo","Libra","Scorpio","Sagittarius","Capricorn","Aquarius","Pisces"},0),12)+1=(MOD(CALC_BhaveshMap!$H$7-2,12)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$7,12)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$7,12)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$7,12)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$7,12)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$7,12)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$7,12)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$7,12)+1)),AND(FALSE(),MOD(MATCH(CALC_PlanetPositions!$B$14,{"Aries","Taurus","Gemini","Cancer","Leo","Virgo","Libra","Scorpio","Sagittarius","Capricorn","Aquarius","Pisces"},0)-MATCH(INPUT_Chart!$C$5,{"Aries","Taurus","Gemini","Cancer","Leo","Virgo","Libra","Scorpio","Sagittarius","Capricorn","Aquarius","Pisces"},0),12)+1=(MOD(CALC_BhaveshMap!$H$7,12)+1)),AND(FALSE(),MOD(MATCH(CALC_PlanetPositions!$B$15,{"Aries","Taurus","Gemini","Cancer","Leo","Virgo","Libra","Scorpio","Sagittarius","Capricorn","Aquarius","Pisces"},0)-MATCH(INPUT_Chart!$C$5,{"Aries","Taurus","Gemini","Cancer","Leo","Virgo","Libra","Scorpio","Sagittarius","Capricorn","Aquarius","Pisces"},0),12)+1=(MOD(CALC_BhaveshMap!$H$7,12)+1)))),1,0),0))*IF(REF_Config!$B$6="KP",0.75,IF(REF_Config!$B$6="Jaimini",0.5,0.75)),0)</f>
        <v>0</v>
      </c>
      <c r="D13" s="403" t="s">
        <v>4620</v>
      </c>
    </row>
    <row r="14" spans="1:12" ht="15.75" customHeight="1" x14ac:dyDescent="0.2">
      <c r="A14" s="1598" t="s">
        <v>4621</v>
      </c>
      <c r="B14" s="1598"/>
      <c r="C14" s="1598"/>
      <c r="D14" s="1598"/>
    </row>
    <row r="15" spans="1:12" ht="27.75" customHeight="1" x14ac:dyDescent="0.2">
      <c r="A15" s="147"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3),AND(CALC_PlanetPositions!$M$8="Malefic",(MOD(MATCH(CALC_PlanetPositions!$B$8,{"Aries","Taurus","Gemini","Cancer","Leo","Virgo","Libra","Scorpio","Sagittarius","Capricorn","Aquarius","Pisces"},0)-MATCH(INPUT_Chart!$C$5,{"Aries","Taurus","Gemini","Cancer","Leo","Virgo","Libra","Scorpio","Sagittarius","Capricorn","Aquarius","Pisces"},0),12)+1)=3),AND(CALC_PlanetPositions!$M$9="Malefic",(MOD(MATCH(CALC_PlanetPositions!$B$9,{"Aries","Taurus","Gemini","Cancer","Leo","Virgo","Libra","Scorpio","Sagittarius","Capricorn","Aquarius","Pisces"},0)-MATCH(INPUT_Chart!$C$5,{"Aries","Taurus","Gemini","Cancer","Leo","Virgo","Libra","Scorpio","Sagittarius","Capricorn","Aquarius","Pisces"},0),12)+1)=3),AND(CALC_PlanetPositions!$M$10="Malefic",(MOD(MATCH(CALC_PlanetPositions!$B$10,{"Aries","Taurus","Gemini","Cancer","Leo","Virgo","Libra","Scorpio","Sagittarius","Capricorn","Aquarius","Pisces"},0)-MATCH(INPUT_Chart!$C$5,{"Aries","Taurus","Gemini","Cancer","Leo","Virgo","Libra","Scorpio","Sagittarius","Capricorn","Aquarius","Pisces"},0),12)+1)=3),AND(CALC_PlanetPositions!$M$11="Malefic",(MOD(MATCH(CALC_PlanetPositions!$B$11,{"Aries","Taurus","Gemini","Cancer","Leo","Virgo","Libra","Scorpio","Sagittarius","Capricorn","Aquarius","Pisces"},0)-MATCH(INPUT_Chart!$C$5,{"Aries","Taurus","Gemini","Cancer","Leo","Virgo","Libra","Scorpio","Sagittarius","Capricorn","Aquarius","Pisces"},0),12)+1)=3),AND(CALC_PlanetPositions!$M$12="Malefic",(MOD(MATCH(CALC_PlanetPositions!$B$12,{"Aries","Taurus","Gemini","Cancer","Leo","Virgo","Libra","Scorpio","Sagittarius","Capricorn","Aquarius","Pisces"},0)-MATCH(INPUT_Chart!$C$5,{"Aries","Taurus","Gemini","Cancer","Leo","Virgo","Libra","Scorpio","Sagittarius","Capricorn","Aquarius","Pisces"},0),12)+1)=3),AND(CALC_PlanetPositions!$M$13="Malefic",(MOD(MATCH(CALC_PlanetPositions!$B$13,{"Aries","Taurus","Gemini","Cancer","Leo","Virgo","Libra","Scorpio","Sagittarius","Capricorn","Aquarius","Pisces"},0)-MATCH(INPUT_Chart!$C$5,{"Aries","Taurus","Gemini","Cancer","Leo","Virgo","Libra","Scorpio","Sagittarius","Capricorn","Aquarius","Pisces"},0),12)+1)=3),AND(TRUE(),(MOD(MATCH(CALC_PlanetPositions!$B$14,{"Aries","Taurus","Gemini","Cancer","Leo","Virgo","Libra","Scorpio","Sagittarius","Capricorn","Aquarius","Pisces"},0)-MATCH(INPUT_Chart!$C$5,{"Aries","Taurus","Gemini","Cancer","Leo","Virgo","Libra","Scorpio","Sagittarius","Capricorn","Aquarius","Pisces"},0),12)+1)=3),AND(TRUE(),(MOD(MATCH(CALC_PlanetPositions!$B$15,{"Aries","Taurus","Gemini","Cancer","Leo","Virgo","Libra","Scorpio","Sagittarius","Capricorn","Aquarius","Pisces"},0)-MATCH(INPUT_Chart!$C$5,{"Aries","Taurus","Gemini","Cancer","Leo","Virgo","Libra","Scorpio","Sagittarius","Capricorn","Aquarius","Pisces"},0),12)+1)=3)),1,0),0))*-1,0)</f>
        <v>-1</v>
      </c>
      <c r="D15" s="400" t="s">
        <v>4623</v>
      </c>
    </row>
    <row r="16" spans="1:12" ht="27.75" customHeight="1" x14ac:dyDescent="0.2">
      <c r="A16" s="147" t="s">
        <v>4624</v>
      </c>
      <c r="B16" s="203" t="s">
        <v>4548</v>
      </c>
      <c r="C16" s="1118">
        <f>IFERROR((IFERROR(IF(OR(AND(CALC_PlanetPositions!$M$7="Malefic",INDEX(REF_Aspects!$D$5:$O$13,1,MOD(3-(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3)),AND(CALC_PlanetPositions!$M$8="Malefic",INDEX(REF_Aspects!$D$5:$O$13,2,MOD(3-(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3)),AND(CALC_PlanetPositions!$M$9="Malefic",INDEX(REF_Aspects!$D$5:$O$13,3,MOD(3-(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3)),AND(CALC_PlanetPositions!$M$10="Malefic",INDEX(REF_Aspects!$D$5:$O$13,4,MOD(3-(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3)),AND(CALC_PlanetPositions!$M$11="Malefic",INDEX(REF_Aspects!$D$5:$O$13,5,MOD(3-(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3)),AND(CALC_PlanetPositions!$M$12="Malefic",INDEX(REF_Aspects!$D$5:$O$13,6,MOD(3-(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3)),AND(CALC_PlanetPositions!$M$13="Malefic",INDEX(REF_Aspects!$D$5:$O$13,7,MOD(3-(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3)),AND(TRUE(),INDEX(REF_Aspects!$D$5:$O$13,8,MOD(3-(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3)),AND(TRUE(),INDEX(REF_Aspects!$D$5:$O$13,9,MOD(3-(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3))),1,0),0))*-1,0)</f>
        <v>-1</v>
      </c>
      <c r="D16" s="403" t="s">
        <v>4625</v>
      </c>
    </row>
    <row r="17" spans="1:7" ht="27.75" customHeight="1" x14ac:dyDescent="0.2">
      <c r="A17" s="147" t="s">
        <v>4626</v>
      </c>
      <c r="B17" s="357" t="s">
        <v>3062</v>
      </c>
      <c r="C17" s="1117">
        <v>0</v>
      </c>
      <c r="D17" s="400" t="s">
        <v>4627</v>
      </c>
    </row>
    <row r="18" spans="1:7" ht="27.75" customHeight="1" x14ac:dyDescent="0.2">
      <c r="A18" s="147"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(3-2,12)+1)),AND(CALC_PlanetPositions!$M$8="Malefic",MOD(MATCH(CALC_PlanetPositions!$B$8,{"Aries","Taurus","Gemini","Cancer","Leo","Virgo","Libra","Scorpio","Sagittarius","Capricorn","Aquarius","Pisces"},0)-MATCH(INPUT_Chart!$C$5,{"Aries","Taurus","Gemini","Cancer","Leo","Virgo","Libra","Scorpio","Sagittarius","Capricorn","Aquarius","Pisces"},0),12)+1=(MOD(3-2,12)+1)),AND(CALC_PlanetPositions!$M$9="Malefic",MOD(MATCH(CALC_PlanetPositions!$B$9,{"Aries","Taurus","Gemini","Cancer","Leo","Virgo","Libra","Scorpio","Sagittarius","Capricorn","Aquarius","Pisces"},0)-MATCH(INPUT_Chart!$C$5,{"Aries","Taurus","Gemini","Cancer","Leo","Virgo","Libra","Scorpio","Sagittarius","Capricorn","Aquarius","Pisces"},0),12)+1=(MOD(3-2,12)+1)),AND(CALC_PlanetPositions!$M$10="Malefic",MOD(MATCH(CALC_PlanetPositions!$B$10,{"Aries","Taurus","Gemini","Cancer","Leo","Virgo","Libra","Scorpio","Sagittarius","Capricorn","Aquarius","Pisces"},0)-MATCH(INPUT_Chart!$C$5,{"Aries","Taurus","Gemini","Cancer","Leo","Virgo","Libra","Scorpio","Sagittarius","Capricorn","Aquarius","Pisces"},0),12)+1=(MOD(3-2,12)+1)),AND(CALC_PlanetPositions!$M$11="Malefic",MOD(MATCH(CALC_PlanetPositions!$B$11,{"Aries","Taurus","Gemini","Cancer","Leo","Virgo","Libra","Scorpio","Sagittarius","Capricorn","Aquarius","Pisces"},0)-MATCH(INPUT_Chart!$C$5,{"Aries","Taurus","Gemini","Cancer","Leo","Virgo","Libra","Scorpio","Sagittarius","Capricorn","Aquarius","Pisces"},0),12)+1=(MOD(3-2,12)+1)),AND(CALC_PlanetPositions!$M$12="Malefic",MOD(MATCH(CALC_PlanetPositions!$B$12,{"Aries","Taurus","Gemini","Cancer","Leo","Virgo","Libra","Scorpio","Sagittarius","Capricorn","Aquarius","Pisces"},0)-MATCH(INPUT_Chart!$C$5,{"Aries","Taurus","Gemini","Cancer","Leo","Virgo","Libra","Scorpio","Sagittarius","Capricorn","Aquarius","Pisces"},0),12)+1=(MOD(3-2,12)+1)),AND(CALC_PlanetPositions!$M$13="Malefic",MOD(MATCH(CALC_PlanetPositions!$B$13,{"Aries","Taurus","Gemini","Cancer","Leo","Virgo","Libra","Scorpio","Sagittarius","Capricorn","Aquarius","Pisces"},0)-MATCH(INPUT_Chart!$C$5,{"Aries","Taurus","Gemini","Cancer","Leo","Virgo","Libra","Scorpio","Sagittarius","Capricorn","Aquarius","Pisces"},0),12)+1=(MOD(3-2,12)+1)),AND(TRUE(),MOD(MATCH(CALC_PlanetPositions!$B$14,{"Aries","Taurus","Gemini","Cancer","Leo","Virgo","Libra","Scorpio","Sagittarius","Capricorn","Aquarius","Pisces"},0)-MATCH(INPUT_Chart!$C$5,{"Aries","Taurus","Gemini","Cancer","Leo","Virgo","Libra","Scorpio","Sagittarius","Capricorn","Aquarius","Pisces"},0),12)+1=(MOD(3-2,12)+1)),AND(TRUE(),MOD(MATCH(CALC_PlanetPositions!$B$15,{"Aries","Taurus","Gemini","Cancer","Leo","Virgo","Libra","Scorpio","Sagittarius","Capricorn","Aquarius","Pisces"},0)-MATCH(INPUT_Chart!$C$5,{"Aries","Taurus","Gemini","Cancer","Leo","Virgo","Libra","Scorpio","Sagittarius","Capricorn","Aquarius","Pisces"},0),12)+1=(MOD(3-2,12)+1))),OR(AND(CALC_PlanetPositions!$M$7="Malefic",MOD(MATCH(CALC_PlanetPositions!$B$7,{"Aries","Taurus","Gemini","Cancer","Leo","Virgo","Libra","Scorpio","Sagittarius","Capricorn","Aquarius","Pisces"},0)-MATCH(INPUT_Chart!$C$5,{"Aries","Taurus","Gemini","Cancer","Leo","Virgo","Libra","Scorpio","Sagittarius","Capricorn","Aquarius","Pisces"},0),12)+1=(MOD(3,12)+1)),AND(CALC_PlanetPositions!$M$8="Malefic",MOD(MATCH(CALC_PlanetPositions!$B$8,{"Aries","Taurus","Gemini","Cancer","Leo","Virgo","Libra","Scorpio","Sagittarius","Capricorn","Aquarius","Pisces"},0)-MATCH(INPUT_Chart!$C$5,{"Aries","Taurus","Gemini","Cancer","Leo","Virgo","Libra","Scorpio","Sagittarius","Capricorn","Aquarius","Pisces"},0),12)+1=(MOD(3,12)+1)),AND(CALC_PlanetPositions!$M$9="Malefic",MOD(MATCH(CALC_PlanetPositions!$B$9,{"Aries","Taurus","Gemini","Cancer","Leo","Virgo","Libra","Scorpio","Sagittarius","Capricorn","Aquarius","Pisces"},0)-MATCH(INPUT_Chart!$C$5,{"Aries","Taurus","Gemini","Cancer","Leo","Virgo","Libra","Scorpio","Sagittarius","Capricorn","Aquarius","Pisces"},0),12)+1=(MOD(3,12)+1)),AND(CALC_PlanetPositions!$M$10="Malefic",MOD(MATCH(CALC_PlanetPositions!$B$10,{"Aries","Taurus","Gemini","Cancer","Leo","Virgo","Libra","Scorpio","Sagittarius","Capricorn","Aquarius","Pisces"},0)-MATCH(INPUT_Chart!$C$5,{"Aries","Taurus","Gemini","Cancer","Leo","Virgo","Libra","Scorpio","Sagittarius","Capricorn","Aquarius","Pisces"},0),12)+1=(MOD(3,12)+1)),AND(CALC_PlanetPositions!$M$11="Malefic",MOD(MATCH(CALC_PlanetPositions!$B$11,{"Aries","Taurus","Gemini","Cancer","Leo","Virgo","Libra","Scorpio","Sagittarius","Capricorn","Aquarius","Pisces"},0)-MATCH(INPUT_Chart!$C$5,{"Aries","Taurus","Gemini","Cancer","Leo","Virgo","Libra","Scorpio","Sagittarius","Capricorn","Aquarius","Pisces"},0),12)+1=(MOD(3,12)+1)),AND(CALC_PlanetPositions!$M$12="Malefic",MOD(MATCH(CALC_PlanetPositions!$B$12,{"Aries","Taurus","Gemini","Cancer","Leo","Virgo","Libra","Scorpio","Sagittarius","Capricorn","Aquarius","Pisces"},0)-MATCH(INPUT_Chart!$C$5,{"Aries","Taurus","Gemini","Cancer","Leo","Virgo","Libra","Scorpio","Sagittarius","Capricorn","Aquarius","Pisces"},0),12)+1=(MOD(3,12)+1)),AND(CALC_PlanetPositions!$M$13="Malefic",MOD(MATCH(CALC_PlanetPositions!$B$13,{"Aries","Taurus","Gemini","Cancer","Leo","Virgo","Libra","Scorpio","Sagittarius","Capricorn","Aquarius","Pisces"},0)-MATCH(INPUT_Chart!$C$5,{"Aries","Taurus","Gemini","Cancer","Leo","Virgo","Libra","Scorpio","Sagittarius","Capricorn","Aquarius","Pisces"},0),12)+1=(MOD(3,12)+1)),AND(TRUE(),MOD(MATCH(CALC_PlanetPositions!$B$14,{"Aries","Taurus","Gemini","Cancer","Leo","Virgo","Libra","Scorpio","Sagittarius","Capricorn","Aquarius","Pisces"},0)-MATCH(INPUT_Chart!$C$5,{"Aries","Taurus","Gemini","Cancer","Leo","Virgo","Libra","Scorpio","Sagittarius","Capricorn","Aquarius","Pisces"},0),12)+1=(MOD(3,12)+1)),AND(TRUE(),MOD(MATCH(CALC_PlanetPositions!$B$15,{"Aries","Taurus","Gemini","Cancer","Leo","Virgo","Libra","Scorpio","Sagittarius","Capricorn","Aquarius","Pisces"},0)-MATCH(INPUT_Chart!$C$5,{"Aries","Taurus","Gemini","Cancer","Leo","Virgo","Libra","Scorpio","Sagittarius","Capricorn","Aquarius","Pisces"},0),12)+1=(MOD(3,12)+1)))),1,0),0))*IF(REF_Config!$B$6="KP",-0.75,IF(REF_Config!$B$6="Jaimini",-0.5,-0.75)),0)</f>
        <v>0</v>
      </c>
      <c r="D18" s="403" t="s">
        <v>4629</v>
      </c>
    </row>
    <row r="19" spans="1:7" ht="15.75" customHeight="1" x14ac:dyDescent="0.2">
      <c r="A19" s="1594" t="s">
        <v>3624</v>
      </c>
      <c r="B19" s="1594"/>
      <c r="C19" s="1594"/>
      <c r="D19" s="1594"/>
    </row>
    <row r="20" spans="1:7" ht="27.75" customHeight="1" x14ac:dyDescent="0.2">
      <c r="A20" s="147" t="s">
        <v>4630</v>
      </c>
      <c r="B20" s="357" t="s">
        <v>4555</v>
      </c>
      <c r="C20" s="1117">
        <v>0</v>
      </c>
      <c r="D20" s="400" t="s">
        <v>4631</v>
      </c>
    </row>
    <row r="21" spans="1:7" ht="27.75" customHeight="1" x14ac:dyDescent="0.2">
      <c r="A21" s="147" t="s">
        <v>4632</v>
      </c>
      <c r="B21" s="203" t="s">
        <v>4633</v>
      </c>
      <c r="C21" s="1118">
        <f>IFERROR((IFERROR(IF(OR(AND(CALC_PlanetPositions!$M$7="Malefic",INDEX(REF_Aspects!$D$5:$O$13,1,MOD(CALC_BhaveshMap!$H$7-(MOD(MATCH(CALC_PlanetPositions!$B$7,{"Aries","Taurus","Gemini","Cancer","Leo","Virgo","Libra","Scorpio","Sagittarius","Capricorn","Aquarius","Pisces"},0)-MATCH(INPUT_Chart!$C$5,{"Aries","Taurus","Gemini","Cancer","Leo","Virgo","Libra","Scorpio","Sagittarius","Capricorn","Aquarius","Pisces"},0),12)+1),12)+1)="FULL",NOT(CALC_PlanetPositions!$B$7=CALC_BhaveshMap!$G$7)),AND(CALC_PlanetPositions!$M$8="Malefic",INDEX(REF_Aspects!$D$5:$O$13,2,MOD(CALC_BhaveshMap!$H$7-(MOD(MATCH(CALC_PlanetPositions!$B$8,{"Aries","Taurus","Gemini","Cancer","Leo","Virgo","Libra","Scorpio","Sagittarius","Capricorn","Aquarius","Pisces"},0)-MATCH(INPUT_Chart!$C$5,{"Aries","Taurus","Gemini","Cancer","Leo","Virgo","Libra","Scorpio","Sagittarius","Capricorn","Aquarius","Pisces"},0),12)+1),12)+1)="FULL",NOT(CALC_PlanetPositions!$B$8=CALC_BhaveshMap!$G$7)),AND(CALC_PlanetPositions!$M$9="Malefic",INDEX(REF_Aspects!$D$5:$O$13,3,MOD(CALC_BhaveshMap!$H$7-(MOD(MATCH(CALC_PlanetPositions!$B$9,{"Aries","Taurus","Gemini","Cancer","Leo","Virgo","Libra","Scorpio","Sagittarius","Capricorn","Aquarius","Pisces"},0)-MATCH(INPUT_Chart!$C$5,{"Aries","Taurus","Gemini","Cancer","Leo","Virgo","Libra","Scorpio","Sagittarius","Capricorn","Aquarius","Pisces"},0),12)+1),12)+1)="FULL",NOT(CALC_PlanetPositions!$B$9=CALC_BhaveshMap!$G$7)),AND(CALC_PlanetPositions!$M$10="Malefic",INDEX(REF_Aspects!$D$5:$O$13,4,MOD(CALC_BhaveshMap!$H$7-(MOD(MATCH(CALC_PlanetPositions!$B$10,{"Aries","Taurus","Gemini","Cancer","Leo","Virgo","Libra","Scorpio","Sagittarius","Capricorn","Aquarius","Pisces"},0)-MATCH(INPUT_Chart!$C$5,{"Aries","Taurus","Gemini","Cancer","Leo","Virgo","Libra","Scorpio","Sagittarius","Capricorn","Aquarius","Pisces"},0),12)+1),12)+1)="FULL",NOT(CALC_PlanetPositions!$B$10=CALC_BhaveshMap!$G$7)),AND(CALC_PlanetPositions!$M$11="Malefic",INDEX(REF_Aspects!$D$5:$O$13,5,MOD(CALC_BhaveshMap!$H$7-(MOD(MATCH(CALC_PlanetPositions!$B$11,{"Aries","Taurus","Gemini","Cancer","Leo","Virgo","Libra","Scorpio","Sagittarius","Capricorn","Aquarius","Pisces"},0)-MATCH(INPUT_Chart!$C$5,{"Aries","Taurus","Gemini","Cancer","Leo","Virgo","Libra","Scorpio","Sagittarius","Capricorn","Aquarius","Pisces"},0),12)+1),12)+1)="FULL",NOT(CALC_PlanetPositions!$B$11=CALC_BhaveshMap!$G$7)),AND(CALC_PlanetPositions!$M$12="Malefic",INDEX(REF_Aspects!$D$5:$O$13,6,MOD(CALC_BhaveshMap!$H$7-(MOD(MATCH(CALC_PlanetPositions!$B$12,{"Aries","Taurus","Gemini","Cancer","Leo","Virgo","Libra","Scorpio","Sagittarius","Capricorn","Aquarius","Pisces"},0)-MATCH(INPUT_Chart!$C$5,{"Aries","Taurus","Gemini","Cancer","Leo","Virgo","Libra","Scorpio","Sagittarius","Capricorn","Aquarius","Pisces"},0),12)+1),12)+1)="FULL",NOT(CALC_PlanetPositions!$B$12=CALC_BhaveshMap!$G$7)),AND(CALC_PlanetPositions!$M$13="Malefic",INDEX(REF_Aspects!$D$5:$O$13,7,MOD(CALC_BhaveshMap!$H$7-(MOD(MATCH(CALC_PlanetPositions!$B$13,{"Aries","Taurus","Gemini","Cancer","Leo","Virgo","Libra","Scorpio","Sagittarius","Capricorn","Aquarius","Pisces"},0)-MATCH(INPUT_Chart!$C$5,{"Aries","Taurus","Gemini","Cancer","Leo","Virgo","Libra","Scorpio","Sagittarius","Capricorn","Aquarius","Pisces"},0),12)+1),12)+1)="FULL",NOT(CALC_PlanetPositions!$B$13=CALC_BhaveshMap!$G$7)),AND(TRUE(),INDEX(REF_Aspects!$D$5:$O$13,8,MOD(CALC_BhaveshMap!$H$7-(MOD(MATCH(CALC_PlanetPositions!$B$14,{"Aries","Taurus","Gemini","Cancer","Leo","Virgo","Libra","Scorpio","Sagittarius","Capricorn","Aquarius","Pisces"},0)-MATCH(INPUT_Chart!$C$5,{"Aries","Taurus","Gemini","Cancer","Leo","Virgo","Libra","Scorpio","Sagittarius","Capricorn","Aquarius","Pisces"},0),12)+1),12)+1)="FULL",NOT(CALC_PlanetPositions!$B$14=CALC_BhaveshMap!$G$7)),AND(TRUE(),INDEX(REF_Aspects!$D$5:$O$13,9,MOD(CALC_BhaveshMap!$H$7-(MOD(MATCH(CALC_PlanetPositions!$B$15,{"Aries","Taurus","Gemini","Cancer","Leo","Virgo","Libra","Scorpio","Sagittarius","Capricorn","Aquarius","Pisces"},0)-MATCH(INPUT_Chart!$C$5,{"Aries","Taurus","Gemini","Cancer","Leo","Virgo","Libra","Scorpio","Sagittarius","Capricorn","Aquarius","Pisces"},0),12)+1),12)+1)="FULL",NOT(CALC_PlanetPositions!$B$15=CALC_BhaveshMap!$G$7))),1,0),0))*-0.5,0)</f>
        <v>-0.5</v>
      </c>
      <c r="D21" s="403" t="s">
        <v>4634</v>
      </c>
    </row>
    <row r="22" spans="1:7" ht="27.75" customHeight="1" x14ac:dyDescent="0.2">
      <c r="A22" s="147" t="s">
        <v>4635</v>
      </c>
      <c r="B22" s="357" t="s">
        <v>3042</v>
      </c>
      <c r="C22" s="1117">
        <f>IFERROR((IFERROR(IF(CALC_BhaveshMap!$K$7="Yes",1,0),0))*IF(REF_Config!$B$6="KP",-1.75,IF(REF_Config!$B$6="Jaimini",-2,-2)),0)</f>
        <v>0</v>
      </c>
      <c r="D22" s="400" t="s">
        <v>4636</v>
      </c>
    </row>
    <row r="23" spans="1:7" ht="27.75" customHeight="1" x14ac:dyDescent="0.2">
      <c r="A23" s="147" t="s">
        <v>4637</v>
      </c>
      <c r="B23" s="203" t="s">
        <v>3059</v>
      </c>
      <c r="C23" s="1118">
        <f>IFERROR((IFERROR(IF(OR(AND(CALC_BhaveshMap!$G$10=CALC_BhaveshMap!$G$7,CALC_BhaveshMap!$D$10&lt;&gt;CALC_BhaveshMap!$D$7),AND(CALC_BhaveshMap!$G$12=CALC_BhaveshMap!$G$7,CALC_BhaveshMap!$D$12&lt;&gt;CALC_BhaveshMap!$D$7),AND(CALC_BhaveshMap!$G$16=CALC_BhaveshMap!$G$7,CALC_BhaveshMap!$D$16&lt;&gt;CALC_BhaveshMap!$D$7)),1,0),0))*-1,0)</f>
        <v>-1</v>
      </c>
      <c r="D23" s="403" t="s">
        <v>4638</v>
      </c>
    </row>
    <row r="24" spans="1:7" ht="15.75" customHeight="1" x14ac:dyDescent="0.2">
      <c r="A24" s="1484" t="s">
        <v>4639</v>
      </c>
      <c r="B24" s="1484"/>
      <c r="C24" s="1484"/>
      <c r="D24" s="1484"/>
    </row>
    <row r="25" spans="1:7" ht="27.75" customHeight="1" x14ac:dyDescent="0.2">
      <c r="A25" s="147" t="s">
        <v>4640</v>
      </c>
      <c r="B25" s="357" t="s">
        <v>3084</v>
      </c>
      <c r="C25" s="1117">
        <f>IFERROR(IF(CALC_KarakMap!$M$7&gt;0,CALC_KarakMap!$M$7,0),0)</f>
        <v>0</v>
      </c>
      <c r="D25" s="400" t="s">
        <v>4641</v>
      </c>
    </row>
    <row r="26" spans="1:7" ht="27.75" customHeight="1" x14ac:dyDescent="0.2">
      <c r="A26" s="147" t="s">
        <v>4642</v>
      </c>
      <c r="B26" s="203" t="s">
        <v>4564</v>
      </c>
      <c r="C26" s="1118">
        <f>IFERROR(IF(CALC_KarakMap!$M$7&lt;0,CALC_KarakMap!$M$7,0),0)</f>
        <v>0</v>
      </c>
      <c r="D26" s="403" t="s">
        <v>4643</v>
      </c>
    </row>
    <row r="27" spans="1:7" ht="27.75" customHeight="1" x14ac:dyDescent="0.2">
      <c r="A27" s="1119" t="s">
        <v>4644</v>
      </c>
      <c r="B27" s="296" t="s">
        <v>3624</v>
      </c>
      <c r="C27" s="1117">
        <f>IFERROR(IF(OR(CALC_BhaveshMap!$D$7="Sun",CALC_BhaveshMap!$D$7="Rahu",CALC_BhaveshMap!$D$7="Ketu"),0,IF(CALC_BhaveshMap!$D$7="Moon",IF(CALC_CombustionCheck!$G$4="Cazimi ✓",0.5,IF(CALC_CombustionCheck!$F$4="COMBUST ⚠",-1,0)),IF(CALC_BhaveshMap!$D$7="Mars",IF(CALC_CombustionCheck!$G$5="Cazimi ✓",0.5,IF(AND(CALC_CombustionCheck!$F$5="COMBUST ⚠",CALC_RetrogradeFix!$F$6="Rx ✓"),-0.5,IF(CALC_CombustionCheck!$F$5="COMBUST ⚠",-1,0))),IF(CALC_BhaveshMap!$D$7="Mercury",IF(CALC_CombustionCheck!$G$6="Cazimi ✓",0.5,IF(AND(CALC_CombustionCheck!$F$6="COMBUST ⚠",CALC_RetrogradeFix!$F$7="Rx ✓"),-0.5,IF(CALC_CombustionCheck!$F$6="COMBUST ⚠",-1,0))),IF(CALC_BhaveshMap!$D$7="Jupiter",IF(CALC_CombustionCheck!$G$7="Cazimi ✓",0.5,IF(AND(CALC_CombustionCheck!$F$7="COMBUST ⚠",CALC_RetrogradeFix!$F$8="Rx ✓"),-0.5,IF(CALC_CombustionCheck!$F$7="COMBUST ⚠",-1,0))),IF(CALC_BhaveshMap!$D$7="Venus",IF(CALC_CombustionCheck!$G$8="Cazimi ✓",0.5,IF(AND(CALC_CombustionCheck!$F$8="COMBUST ⚠",CALC_RetrogradeFix!$F$9="Rx ✓"),-0.5,IF(CALC_CombustionCheck!$F$8="COMBUST ⚠",-1,0))),IF(CALC_BhaveshMap!$D$7="Saturn",IF(CALC_CombustionCheck!$G$9="Cazimi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BhaveshMap!$D$7="Rahu",CALC_BhaveshMap!$D$7="Ketu"),0,IF(ISNUMBER(MATCH(CALC_BhaveshMap!$D$7,{"Sun","Moon","Mars","Mercury","Jupiter","Venus","Saturn"},0)),IF(INDEX(CALC_DigBala!$F$4:$F$10,MATCH(CALC_BhaveshMap!$D$7,{"Sun","Moon","Mars","Mercury","Jupiter","Venus","Saturn"},0))="Yes",0.5,0),0)),0)</f>
        <v>0</v>
      </c>
      <c r="D28" s="400" t="s">
        <v>4647</v>
      </c>
    </row>
    <row r="29" spans="1:7" ht="27.75" customHeight="1" x14ac:dyDescent="0.2">
      <c r="A29" s="1120" t="s">
        <v>4648</v>
      </c>
      <c r="B29" s="296" t="s">
        <v>3372</v>
      </c>
      <c r="C29" s="1117">
        <f>IFERROR(IF(COUNTIFS(REF_PushkaraNavamsha!$A$4:$A$27,CALC_BhaveshMap!$G$7,REF_PushkaraNavamsha!$B$4:$B$27,INDEX(CALC_PlanetPositions!$G$7:$G$15,MATCH(CALC_BhaveshMap!$D$7,CALC_PlanetPositions!$A$7:$A$15,0)))&gt;0,0.5,0),0)</f>
        <v>0.5</v>
      </c>
      <c r="D29" s="400" t="s">
        <v>4649</v>
      </c>
    </row>
    <row r="30" spans="1:7" ht="25.5" customHeight="1" x14ac:dyDescent="0.2">
      <c r="A30" s="147" t="s">
        <v>4650</v>
      </c>
      <c r="B30" s="1121" t="s">
        <v>4651</v>
      </c>
      <c r="C30" s="1122">
        <f>IFERROR(IF(ISNUMBER(MATCH(CALC_BhaveshMap!$D$7,{"Sun","Moon","Mars","Mercury","Jupiter","Venus","Saturn"},0)),INDEX(CALC_RetrogradeFix!$G$4:$G$10,MATCH(CALC_BhaveshMap!$D$7,{"Sun","Moon","Mars","Mercury","Jupiter","Venus","Saturn"},0)),0),0)</f>
        <v>0</v>
      </c>
      <c r="D30" s="1123" t="s">
        <v>4652</v>
      </c>
    </row>
    <row r="31" spans="1:7" ht="18" customHeight="1" x14ac:dyDescent="0.2">
      <c r="A31" s="1555" t="s">
        <v>4653</v>
      </c>
      <c r="B31" s="1555"/>
      <c r="C31" s="1555"/>
      <c r="D31" s="1555"/>
      <c r="E31" s="1124" t="s">
        <v>4654</v>
      </c>
      <c r="F31" s="1125">
        <f>IFERROR(IF(CALC_Ashtakavarga!D$15&gt;28,0.5,IF(CALC_Ashtakavarga!D$15&lt;22,-0.5,0)),0)</f>
        <v>0</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IFERROR(SUM(C9:C13,C28:C30,F31,0),0)</f>
        <v>2.5</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-0.5</v>
      </c>
      <c r="D37" s="1129"/>
    </row>
    <row r="38" spans="1:4" ht="21.75" customHeight="1" x14ac:dyDescent="0.2">
      <c r="A38" s="89" t="s">
        <v>4661</v>
      </c>
      <c r="B38" s="1129"/>
      <c r="C38" s="1131">
        <f>IFERROR(MAX(-10,MIN(10,C37)),0)</f>
        <v>-0.5</v>
      </c>
      <c r="D38" s="1132"/>
    </row>
    <row r="39" spans="1:4" ht="18" customHeight="1" x14ac:dyDescent="0.2">
      <c r="A39" s="517" t="s">
        <v>4662</v>
      </c>
      <c r="B39" s="1129"/>
      <c r="C39" s="1133">
        <f>IFERROR(CALC_LagneshStrength!$I$4,0)</f>
        <v>0</v>
      </c>
      <c r="D39" s="1129"/>
    </row>
    <row r="40" spans="1:4" ht="25.5" customHeight="1" x14ac:dyDescent="0.2">
      <c r="A40" s="1" t="s">
        <v>4663</v>
      </c>
      <c r="B40" s="1129"/>
      <c r="C40" s="1140">
        <f>IFERROR(MAX(-10,MIN(10,C38+C39)),0)</f>
        <v>-0.5</v>
      </c>
      <c r="D40" s="1141" t="str">
        <f>IFERROR(IF(C40&gt;=7,"Excellent — Courage domain very strong",IF(C40&gt;=4,"Good — Courage domain strong",IF(C40&gt;=1,"Moderate",IF(C40&gt;=-2,"Mixed — Courage has challenges",IF(C40&gt;=-5,"Weak","Very weak — Courage heavily afflicted"))))),"—")</f>
        <v>Mixed — Courage has challenges</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4667</v>
      </c>
      <c r="B1" s="1518"/>
      <c r="C1" s="1518"/>
      <c r="D1" s="1518"/>
      <c r="L1" s="29" t="str">
        <f>HYPERLINK("#'00_INDEX'!A1","&lt;- Index")</f>
        <v>&lt;- Index</v>
      </c>
    </row>
    <row r="2" spans="1:12" ht="19.5" customHeight="1" x14ac:dyDescent="0.2">
      <c r="A2" s="1595" t="str">
        <f>IFERROR("Lagna: "&amp;INPUT_Chart!$C$5&amp;"  ·  H4 sign: "&amp;CALC_BhaveshMap!$C$8&amp;"  ·  Bhavesh: "&amp;CALC_BhaveshMap!$D$8&amp;" in H"&amp;CALC_BhaveshMap!$H$8&amp;" ("&amp;CALC_BhaveshMap!$L$8&amp;")","Enter Lagna in INPUT_Chart")</f>
        <v>Lagna: Taurus  ·  H4 sign: Leo  ·  Bhavesh: Sun in H3 (Friendly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2" t="s">
        <v>4605</v>
      </c>
      <c r="B5" s="357" t="s">
        <v>4529</v>
      </c>
      <c r="C5" s="1117">
        <f>IFERROR((IFERROR(IF(INDEX(REF_Zodiac!$D$17:$O$17,MATCH(CALC_BhaveshMap!$C$8,REF_Zodiac!$D$3:$O$3,0))="Gentle",1,0),0))*0.5,0)</f>
        <v>0</v>
      </c>
      <c r="D5" s="400" t="s">
        <v>4606</v>
      </c>
    </row>
    <row r="6" spans="1:12" ht="27.75" customHeight="1" x14ac:dyDescent="0.2">
      <c r="A6" s="122"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2" t="s">
        <v>4609</v>
      </c>
      <c r="B7" s="357" t="s">
        <v>4534</v>
      </c>
      <c r="C7" s="1117">
        <f>IFERROR((IFERROR(IF(OR(AND(OR(CALC_PlanetPositions!$M$7="Benefic",CALC_PlanetPositions!$M$7="Yogakaraka"),INDEX(REF_Aspects!$D$5:$O$13,1,MOD(4-(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4)),AND(OR(CALC_PlanetPositions!$M$8="Benefic",CALC_PlanetPositions!$M$8="Yogakaraka"),INDEX(REF_Aspects!$D$5:$O$13,2,MOD(4-(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4)),AND(OR(CALC_PlanetPositions!$M$9="Benefic",CALC_PlanetPositions!$M$9="Yogakaraka"),INDEX(REF_Aspects!$D$5:$O$13,3,MOD(4-(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4)),AND(OR(CALC_PlanetPositions!$M$10="Benefic",CALC_PlanetPositions!$M$10="Yogakaraka"),INDEX(REF_Aspects!$D$5:$O$13,4,MOD(4-(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4)),AND(OR(CALC_PlanetPositions!$M$11="Benefic",CALC_PlanetPositions!$M$11="Yogakaraka"),INDEX(REF_Aspects!$D$5:$O$13,5,MOD(4-(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4)),AND(OR(CALC_PlanetPositions!$M$12="Benefic",CALC_PlanetPositions!$M$12="Yogakaraka"),INDEX(REF_Aspects!$D$5:$O$13,6,MOD(4-(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4)),AND(OR(CALC_PlanetPositions!$M$13="Benefic",CALC_PlanetPositions!$M$13="Yogakaraka"),INDEX(REF_Aspects!$D$5:$O$13,7,MOD(4-(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4)),AND(FALSE(),INDEX(REF_Aspects!$D$5:$O$13,8,MOD(4-(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4)),AND(FALSE(),INDEX(REF_Aspects!$D$5:$O$13,9,MOD(4-(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4))),1,0),0))*IF(REF_Config!$B$6="KP",0.5,IF(REF_Config!$B$6="Jaimini",0.75,0.75)),0)</f>
        <v>0</v>
      </c>
      <c r="D7" s="400" t="s">
        <v>4610</v>
      </c>
    </row>
    <row r="8" spans="1:12" ht="15.75" customHeight="1" x14ac:dyDescent="0.2">
      <c r="A8" s="1597" t="s">
        <v>3372</v>
      </c>
      <c r="B8" s="1597"/>
      <c r="C8" s="1597"/>
      <c r="D8" s="1597"/>
    </row>
    <row r="9" spans="1:12" ht="27.75" customHeight="1" x14ac:dyDescent="0.2">
      <c r="A9" s="122" t="s">
        <v>4611</v>
      </c>
      <c r="B9" s="203" t="s">
        <v>4537</v>
      </c>
      <c r="C9" s="1118">
        <f>IFERROR(IF(AND(OR(CALC_BhaveshMap!$I$8="Yes",CALC_BhaveshMap!$J$8="Yes"),NOT(CALC_BhaveshMap!$K$8="Yes")),1,0)*IF(REF_Config!$B$6="KP",1.5,IF(REF_Config!$B$6="Jaimini",1.5,2)),0)</f>
        <v>0</v>
      </c>
      <c r="D9" s="403" t="s">
        <v>4612</v>
      </c>
    </row>
    <row r="10" spans="1:12" ht="27.75" customHeight="1" x14ac:dyDescent="0.2">
      <c r="A10" s="122" t="s">
        <v>4613</v>
      </c>
      <c r="B10" s="357" t="s">
        <v>3093</v>
      </c>
      <c r="C10" s="1117">
        <f>IFERROR((IFERROR(IF(OR(AND(CALC_BhaveshMap!$G$5=CALC_BhaveshMap!$G$8,CALC_BhaveshMap!$D$5&lt;&gt;CALC_BhaveshMap!$D$8),AND(CALC_BhaveshMap!$G$8=CALC_BhaveshMap!$G$8,CALC_BhaveshMap!$D$8&lt;&gt;CALC_BhaveshMap!$D$8),AND(CALC_BhaveshMap!$G$9=CALC_BhaveshMap!$G$8,CALC_BhaveshMap!$D$9&lt;&gt;CALC_BhaveshMap!$D$8),AND(CALC_BhaveshMap!$G$11=CALC_BhaveshMap!$G$8,CALC_BhaveshMap!$D$11&lt;&gt;CALC_BhaveshMap!$D$8),AND(CALC_BhaveshMap!$G$13=CALC_BhaveshMap!$G$8,CALC_BhaveshMap!$D$13&lt;&gt;CALC_BhaveshMap!$D$8),AND(CALC_BhaveshMap!$G$14=CALC_BhaveshMap!$G$8,CALC_BhaveshMap!$D$14&lt;&gt;CALC_BhaveshMap!$D$8)),1,0),0))*0.5,0)</f>
        <v>0.5</v>
      </c>
      <c r="D10" s="400" t="s">
        <v>4614</v>
      </c>
    </row>
    <row r="11" spans="1:12" ht="27.75" customHeight="1" x14ac:dyDescent="0.2">
      <c r="A11" s="122" t="s">
        <v>4615</v>
      </c>
      <c r="B11" s="203" t="s">
        <v>4540</v>
      </c>
      <c r="C11" s="1118">
        <f>IFERROR((IFERROR(IF(OR(AND(OR(CALC_PlanetPositions!$M$7="Benefic",CALC_PlanetPositions!$M$7="Yogakaraka"),CALC_PlanetPositions!$B$7=CALC_BhaveshMap!$G$8,CALC_BhaveshMap!$D$8&lt;&gt;"Sun"),AND(OR(CALC_PlanetPositions!$M$8="Benefic",CALC_PlanetPositions!$M$8="Yogakaraka"),CALC_PlanetPositions!$B$8=CALC_BhaveshMap!$G$8,CALC_BhaveshMap!$D$8&lt;&gt;"Moon"),AND(OR(CALC_PlanetPositions!$M$9="Benefic",CALC_PlanetPositions!$M$9="Yogakaraka"),CALC_PlanetPositions!$B$9=CALC_BhaveshMap!$G$8,CALC_BhaveshMap!$D$8&lt;&gt;"Mars"),AND(OR(CALC_PlanetPositions!$M$10="Benefic",CALC_PlanetPositions!$M$10="Yogakaraka"),CALC_PlanetPositions!$B$10=CALC_BhaveshMap!$G$8,CALC_BhaveshMap!$D$8&lt;&gt;"Mercury"),AND(OR(CALC_PlanetPositions!$M$11="Benefic",CALC_PlanetPositions!$M$11="Yogakaraka"),CALC_PlanetPositions!$B$11=CALC_BhaveshMap!$G$8,CALC_BhaveshMap!$D$8&lt;&gt;"Jupiter"),AND(OR(CALC_PlanetPositions!$M$12="Benefic",CALC_PlanetPositions!$M$12="Yogakaraka"),CALC_PlanetPositions!$B$12=CALC_BhaveshMap!$G$8,CALC_BhaveshMap!$D$8&lt;&gt;"Venus"),AND(OR(CALC_PlanetPositions!$M$13="Benefic",CALC_PlanetPositions!$M$13="Yogakaraka"),CALC_PlanetPositions!$B$13=CALC_BhaveshMap!$G$8,CALC_BhaveshMap!$D$8&lt;&gt;"Saturn")),1,0),0))*IF(OR(AND(CALC_PlanetPositions!$M$7="Yogakaraka",CALC_PlanetPositions!$B$7=CALC_BhaveshMap!$G$8,CALC_BhaveshMap!$D$8&lt;&gt;"Sun"),AND(CALC_PlanetPositions!$M$8="Yogakaraka",CALC_PlanetPositions!$B$8=CALC_BhaveshMap!$G$8,CALC_BhaveshMap!$D$8&lt;&gt;"Moon"),AND(CALC_PlanetPositions!$M$9="Yogakaraka",CALC_PlanetPositions!$B$9=CALC_BhaveshMap!$G$8,CALC_BhaveshMap!$D$8&lt;&gt;"Mars"),AND(CALC_PlanetPositions!$M$10="Yogakaraka",CALC_PlanetPositions!$B$10=CALC_BhaveshMap!$G$8,CALC_BhaveshMap!$D$8&lt;&gt;"Mercury"),AND(CALC_PlanetPositions!$M$11="Yogakaraka",CALC_PlanetPositions!$B$11=CALC_BhaveshMap!$G$8,CALC_BhaveshMap!$D$8&lt;&gt;"Jupiter"),AND(CALC_PlanetPositions!$M$12="Yogakaraka",CALC_PlanetPositions!$B$12=CALC_BhaveshMap!$G$8,CALC_BhaveshMap!$D$8&lt;&gt;"Venus"),AND(CALC_PlanetPositions!$M$13="Yogakaraka",CALC_PlanetPositions!$B$13=CALC_BhaveshMap!$G$8,CALC_BhaveshMap!$D$8&lt;&gt;"Saturn")),1.5,1),0)</f>
        <v>1.5</v>
      </c>
      <c r="D11" s="403" t="s">
        <v>4616</v>
      </c>
    </row>
    <row r="12" spans="1:12" ht="27.75" customHeight="1" x14ac:dyDescent="0.2">
      <c r="A12" s="122" t="s">
        <v>4617</v>
      </c>
      <c r="B12" s="357" t="s">
        <v>4542</v>
      </c>
      <c r="C12" s="1117">
        <f>IFERROR((IFERROR(IF(OR(AND(OR(CALC_PlanetPositions!$M$7="Benefic",CALC_PlanetPositions!$M$7="Yogakaraka"),INDEX(REF_Aspects!$D$5:$O$13,1,MOD(CALC_BhaveshMap!$H$8-(MOD(MATCH(CALC_PlanetPositions!$B$7,{"Aries","Taurus","Gemini","Cancer","Leo","Virgo","Libra","Scorpio","Sagittarius","Capricorn","Aquarius","Pisces"},0)-MATCH(INPUT_Chart!$C$5,{"Aries","Taurus","Gemini","Cancer","Leo","Virgo","Libra","Scorpio","Sagittarius","Capricorn","Aquarius","Pisces"},0),12)+1),12)+1)="FULL",NOT(CALC_PlanetPositions!$B$7=CALC_BhaveshMap!$G$8)),AND(OR(CALC_PlanetPositions!$M$8="Benefic",CALC_PlanetPositions!$M$8="Yogakaraka"),INDEX(REF_Aspects!$D$5:$O$13,2,MOD(CALC_BhaveshMap!$H$8-(MOD(MATCH(CALC_PlanetPositions!$B$8,{"Aries","Taurus","Gemini","Cancer","Leo","Virgo","Libra","Scorpio","Sagittarius","Capricorn","Aquarius","Pisces"},0)-MATCH(INPUT_Chart!$C$5,{"Aries","Taurus","Gemini","Cancer","Leo","Virgo","Libra","Scorpio","Sagittarius","Capricorn","Aquarius","Pisces"},0),12)+1),12)+1)="FULL",NOT(CALC_PlanetPositions!$B$8=CALC_BhaveshMap!$G$8)),AND(OR(CALC_PlanetPositions!$M$9="Benefic",CALC_PlanetPositions!$M$9="Yogakaraka"),INDEX(REF_Aspects!$D$5:$O$13,3,MOD(CALC_BhaveshMap!$H$8-(MOD(MATCH(CALC_PlanetPositions!$B$9,{"Aries","Taurus","Gemini","Cancer","Leo","Virgo","Libra","Scorpio","Sagittarius","Capricorn","Aquarius","Pisces"},0)-MATCH(INPUT_Chart!$C$5,{"Aries","Taurus","Gemini","Cancer","Leo","Virgo","Libra","Scorpio","Sagittarius","Capricorn","Aquarius","Pisces"},0),12)+1),12)+1)="FULL",NOT(CALC_PlanetPositions!$B$9=CALC_BhaveshMap!$G$8)),AND(OR(CALC_PlanetPositions!$M$10="Benefic",CALC_PlanetPositions!$M$10="Yogakaraka"),INDEX(REF_Aspects!$D$5:$O$13,4,MOD(CALC_BhaveshMap!$H$8-(MOD(MATCH(CALC_PlanetPositions!$B$10,{"Aries","Taurus","Gemini","Cancer","Leo","Virgo","Libra","Scorpio","Sagittarius","Capricorn","Aquarius","Pisces"},0)-MATCH(INPUT_Chart!$C$5,{"Aries","Taurus","Gemini","Cancer","Leo","Virgo","Libra","Scorpio","Sagittarius","Capricorn","Aquarius","Pisces"},0),12)+1),12)+1)="FULL",NOT(CALC_PlanetPositions!$B$10=CALC_BhaveshMap!$G$8)),AND(OR(CALC_PlanetPositions!$M$11="Benefic",CALC_PlanetPositions!$M$11="Yogakaraka"),INDEX(REF_Aspects!$D$5:$O$13,5,MOD(CALC_BhaveshMap!$H$8-(MOD(MATCH(CALC_PlanetPositions!$B$11,{"Aries","Taurus","Gemini","Cancer","Leo","Virgo","Libra","Scorpio","Sagittarius","Capricorn","Aquarius","Pisces"},0)-MATCH(INPUT_Chart!$C$5,{"Aries","Taurus","Gemini","Cancer","Leo","Virgo","Libra","Scorpio","Sagittarius","Capricorn","Aquarius","Pisces"},0),12)+1),12)+1)="FULL",NOT(CALC_PlanetPositions!$B$11=CALC_BhaveshMap!$G$8)),AND(OR(CALC_PlanetPositions!$M$12="Benefic",CALC_PlanetPositions!$M$12="Yogakaraka"),INDEX(REF_Aspects!$D$5:$O$13,6,MOD(CALC_BhaveshMap!$H$8-(MOD(MATCH(CALC_PlanetPositions!$B$12,{"Aries","Taurus","Gemini","Cancer","Leo","Virgo","Libra","Scorpio","Sagittarius","Capricorn","Aquarius","Pisces"},0)-MATCH(INPUT_Chart!$C$5,{"Aries","Taurus","Gemini","Cancer","Leo","Virgo","Libra","Scorpio","Sagittarius","Capricorn","Aquarius","Pisces"},0),12)+1),12)+1)="FULL",NOT(CALC_PlanetPositions!$B$12=CALC_BhaveshMap!$G$8)),AND(OR(CALC_PlanetPositions!$M$13="Benefic",CALC_PlanetPositions!$M$13="Yogakaraka"),INDEX(REF_Aspects!$D$5:$O$13,7,MOD(CALC_BhaveshMap!$H$8-(MOD(MATCH(CALC_PlanetPositions!$B$13,{"Aries","Taurus","Gemini","Cancer","Leo","Virgo","Libra","Scorpio","Sagittarius","Capricorn","Aquarius","Pisces"},0)-MATCH(INPUT_Chart!$C$5,{"Aries","Taurus","Gemini","Cancer","Leo","Virgo","Libra","Scorpio","Sagittarius","Capricorn","Aquarius","Pisces"},0),12)+1),12)+1)="FULL",NOT(CALC_PlanetPositions!$B$13=CALC_BhaveshMap!$G$8)),AND(FALSE(),INDEX(REF_Aspects!$D$5:$O$13,8,MOD(CALC_BhaveshMap!$H$8-(MOD(MATCH(CALC_PlanetPositions!$B$14,{"Aries","Taurus","Gemini","Cancer","Leo","Virgo","Libra","Scorpio","Sagittarius","Capricorn","Aquarius","Pisces"},0)-MATCH(INPUT_Chart!$C$5,{"Aries","Taurus","Gemini","Cancer","Leo","Virgo","Libra","Scorpio","Sagittarius","Capricorn","Aquarius","Pisces"},0),12)+1),12)+1)="FULL",NOT(CALC_PlanetPositions!$B$14=CALC_BhaveshMap!$G$8)),AND(FALSE(),INDEX(REF_Aspects!$D$5:$O$13,9,MOD(CALC_BhaveshMap!$H$8-(MOD(MATCH(CALC_PlanetPositions!$B$15,{"Aries","Taurus","Gemini","Cancer","Leo","Virgo","Libra","Scorpio","Sagittarius","Capricorn","Aquarius","Pisces"},0)-MATCH(INPUT_Chart!$C$5,{"Aries","Taurus","Gemini","Cancer","Leo","Virgo","Libra","Scorpio","Sagittarius","Capricorn","Aquarius","Pisces"},0),12)+1),12)+1)="FULL",NOT(CALC_PlanetPositions!$B$15=CALC_BhaveshMap!$G$8))),1,0),0))*0.5,0)</f>
        <v>0</v>
      </c>
      <c r="D12" s="400" t="s">
        <v>4618</v>
      </c>
    </row>
    <row r="13" spans="1:12" ht="27.75" customHeight="1" x14ac:dyDescent="0.2">
      <c r="A13" s="122"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$8-2,12)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$8-2,12)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$8-2,12)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$8-2,12)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$8-2,12)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$8-2,12)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$8-2,12)+1)),AND(FALSE(),MOD(MATCH(CALC_PlanetPositions!$B$14,{"Aries","Taurus","Gemini","Cancer","Leo","Virgo","Libra","Scorpio","Sagittarius","Capricorn","Aquarius","Pisces"},0)-MATCH(INPUT_Chart!$C$5,{"Aries","Taurus","Gemini","Cancer","Leo","Virgo","Libra","Scorpio","Sagittarius","Capricorn","Aquarius","Pisces"},0),12)+1=(MOD(CALC_BhaveshMap!$H$8-2,12)+1)),AND(FALSE(),MOD(MATCH(CALC_PlanetPositions!$B$15,{"Aries","Taurus","Gemini","Cancer","Leo","Virgo","Libra","Scorpio","Sagittarius","Capricorn","Aquarius","Pisces"},0)-MATCH(INPUT_Chart!$C$5,{"Aries","Taurus","Gemini","Cancer","Leo","Virgo","Libra","Scorpio","Sagittarius","Capricorn","Aquarius","Pisces"},0),12)+1=(MOD(CALC_BhaveshMap!$H$8-2,12)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$8,12)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$8,12)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$8,12)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$8,12)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$8,12)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$8,12)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$8,12)+1)),AND(FALSE(),MOD(MATCH(CALC_PlanetPositions!$B$14,{"Aries","Taurus","Gemini","Cancer","Leo","Virgo","Libra","Scorpio","Sagittarius","Capricorn","Aquarius","Pisces"},0)-MATCH(INPUT_Chart!$C$5,{"Aries","Taurus","Gemini","Cancer","Leo","Virgo","Libra","Scorpio","Sagittarius","Capricorn","Aquarius","Pisces"},0),12)+1=(MOD(CALC_BhaveshMap!$H$8,12)+1)),AND(FALSE(),MOD(MATCH(CALC_PlanetPositions!$B$15,{"Aries","Taurus","Gemini","Cancer","Leo","Virgo","Libra","Scorpio","Sagittarius","Capricorn","Aquarius","Pisces"},0)-MATCH(INPUT_Chart!$C$5,{"Aries","Taurus","Gemini","Cancer","Leo","Virgo","Libra","Scorpio","Sagittarius","Capricorn","Aquarius","Pisces"},0),12)+1=(MOD(CALC_BhaveshMap!$H$8,12)+1)))),1,0),0))*IF(REF_Config!$B$6="KP",0.75,IF(REF_Config!$B$6="Jaimini",0.5,0.75)),0)</f>
        <v>0</v>
      </c>
      <c r="D13" s="403" t="s">
        <v>4620</v>
      </c>
    </row>
    <row r="14" spans="1:12" ht="15.75" customHeight="1" x14ac:dyDescent="0.2">
      <c r="A14" s="1598" t="s">
        <v>4621</v>
      </c>
      <c r="B14" s="1598"/>
      <c r="C14" s="1598"/>
      <c r="D14" s="1598"/>
    </row>
    <row r="15" spans="1:12" ht="27.75" customHeight="1" x14ac:dyDescent="0.2">
      <c r="A15" s="122"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4),AND(CALC_PlanetPositions!$M$8="Malefic",(MOD(MATCH(CALC_PlanetPositions!$B$8,{"Aries","Taurus","Gemini","Cancer","Leo","Virgo","Libra","Scorpio","Sagittarius","Capricorn","Aquarius","Pisces"},0)-MATCH(INPUT_Chart!$C$5,{"Aries","Taurus","Gemini","Cancer","Leo","Virgo","Libra","Scorpio","Sagittarius","Capricorn","Aquarius","Pisces"},0),12)+1)=4),AND(CALC_PlanetPositions!$M$9="Malefic",(MOD(MATCH(CALC_PlanetPositions!$B$9,{"Aries","Taurus","Gemini","Cancer","Leo","Virgo","Libra","Scorpio","Sagittarius","Capricorn","Aquarius","Pisces"},0)-MATCH(INPUT_Chart!$C$5,{"Aries","Taurus","Gemini","Cancer","Leo","Virgo","Libra","Scorpio","Sagittarius","Capricorn","Aquarius","Pisces"},0),12)+1)=4),AND(CALC_PlanetPositions!$M$10="Malefic",(MOD(MATCH(CALC_PlanetPositions!$B$10,{"Aries","Taurus","Gemini","Cancer","Leo","Virgo","Libra","Scorpio","Sagittarius","Capricorn","Aquarius","Pisces"},0)-MATCH(INPUT_Chart!$C$5,{"Aries","Taurus","Gemini","Cancer","Leo","Virgo","Libra","Scorpio","Sagittarius","Capricorn","Aquarius","Pisces"},0),12)+1)=4),AND(CALC_PlanetPositions!$M$11="Malefic",(MOD(MATCH(CALC_PlanetPositions!$B$11,{"Aries","Taurus","Gemini","Cancer","Leo","Virgo","Libra","Scorpio","Sagittarius","Capricorn","Aquarius","Pisces"},0)-MATCH(INPUT_Chart!$C$5,{"Aries","Taurus","Gemini","Cancer","Leo","Virgo","Libra","Scorpio","Sagittarius","Capricorn","Aquarius","Pisces"},0),12)+1)=4),AND(CALC_PlanetPositions!$M$12="Malefic",(MOD(MATCH(CALC_PlanetPositions!$B$12,{"Aries","Taurus","Gemini","Cancer","Leo","Virgo","Libra","Scorpio","Sagittarius","Capricorn","Aquarius","Pisces"},0)-MATCH(INPUT_Chart!$C$5,{"Aries","Taurus","Gemini","Cancer","Leo","Virgo","Libra","Scorpio","Sagittarius","Capricorn","Aquarius","Pisces"},0),12)+1)=4),AND(CALC_PlanetPositions!$M$13="Malefic",(MOD(MATCH(CALC_PlanetPositions!$B$13,{"Aries","Taurus","Gemini","Cancer","Leo","Virgo","Libra","Scorpio","Sagittarius","Capricorn","Aquarius","Pisces"},0)-MATCH(INPUT_Chart!$C$5,{"Aries","Taurus","Gemini","Cancer","Leo","Virgo","Libra","Scorpio","Sagittarius","Capricorn","Aquarius","Pisces"},0),12)+1)=4),AND(TRUE(),(MOD(MATCH(CALC_PlanetPositions!$B$14,{"Aries","Taurus","Gemini","Cancer","Leo","Virgo","Libra","Scorpio","Sagittarius","Capricorn","Aquarius","Pisces"},0)-MATCH(INPUT_Chart!$C$5,{"Aries","Taurus","Gemini","Cancer","Leo","Virgo","Libra","Scorpio","Sagittarius","Capricorn","Aquarius","Pisces"},0),12)+1)=4),AND(TRUE(),(MOD(MATCH(CALC_PlanetPositions!$B$15,{"Aries","Taurus","Gemini","Cancer","Leo","Virgo","Libra","Scorpio","Sagittarius","Capricorn","Aquarius","Pisces"},0)-MATCH(INPUT_Chart!$C$5,{"Aries","Taurus","Gemini","Cancer","Leo","Virgo","Libra","Scorpio","Sagittarius","Capricorn","Aquarius","Pisces"},0),12)+1)=4)),1,0),0))*-1,0)</f>
        <v>0</v>
      </c>
      <c r="D15" s="400" t="s">
        <v>4623</v>
      </c>
    </row>
    <row r="16" spans="1:12" ht="27.75" customHeight="1" x14ac:dyDescent="0.2">
      <c r="A16" s="122" t="s">
        <v>4624</v>
      </c>
      <c r="B16" s="203" t="s">
        <v>4548</v>
      </c>
      <c r="C16" s="1118">
        <f>IFERROR((IFERROR(IF(OR(AND(CALC_PlanetPositions!$M$7="Malefic",INDEX(REF_Aspects!$D$5:$O$13,1,MOD(4-(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4)),AND(CALC_PlanetPositions!$M$8="Malefic",INDEX(REF_Aspects!$D$5:$O$13,2,MOD(4-(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4)),AND(CALC_PlanetPositions!$M$9="Malefic",INDEX(REF_Aspects!$D$5:$O$13,3,MOD(4-(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4)),AND(CALC_PlanetPositions!$M$10="Malefic",INDEX(REF_Aspects!$D$5:$O$13,4,MOD(4-(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4)),AND(CALC_PlanetPositions!$M$11="Malefic",INDEX(REF_Aspects!$D$5:$O$13,5,MOD(4-(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4)),AND(CALC_PlanetPositions!$M$12="Malefic",INDEX(REF_Aspects!$D$5:$O$13,6,MOD(4-(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4)),AND(CALC_PlanetPositions!$M$13="Malefic",INDEX(REF_Aspects!$D$5:$O$13,7,MOD(4-(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4)),AND(TRUE(),INDEX(REF_Aspects!$D$5:$O$13,8,MOD(4-(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4)),AND(TRUE(),INDEX(REF_Aspects!$D$5:$O$13,9,MOD(4-(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4))),1,0),0))*-1,0)</f>
        <v>0</v>
      </c>
      <c r="D16" s="403" t="s">
        <v>4625</v>
      </c>
    </row>
    <row r="17" spans="1:7" ht="27.75" customHeight="1" x14ac:dyDescent="0.2">
      <c r="A17" s="122" t="s">
        <v>4626</v>
      </c>
      <c r="B17" s="357" t="s">
        <v>3062</v>
      </c>
      <c r="C17" s="1117">
        <v>0</v>
      </c>
      <c r="D17" s="400" t="s">
        <v>4627</v>
      </c>
    </row>
    <row r="18" spans="1:7" ht="27.75" customHeight="1" x14ac:dyDescent="0.2">
      <c r="A18" s="122"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(4-2,12)+1)),AND(CALC_PlanetPositions!$M$8="Malefic",MOD(MATCH(CALC_PlanetPositions!$B$8,{"Aries","Taurus","Gemini","Cancer","Leo","Virgo","Libra","Scorpio","Sagittarius","Capricorn","Aquarius","Pisces"},0)-MATCH(INPUT_Chart!$C$5,{"Aries","Taurus","Gemini","Cancer","Leo","Virgo","Libra","Scorpio","Sagittarius","Capricorn","Aquarius","Pisces"},0),12)+1=(MOD(4-2,12)+1)),AND(CALC_PlanetPositions!$M$9="Malefic",MOD(MATCH(CALC_PlanetPositions!$B$9,{"Aries","Taurus","Gemini","Cancer","Leo","Virgo","Libra","Scorpio","Sagittarius","Capricorn","Aquarius","Pisces"},0)-MATCH(INPUT_Chart!$C$5,{"Aries","Taurus","Gemini","Cancer","Leo","Virgo","Libra","Scorpio","Sagittarius","Capricorn","Aquarius","Pisces"},0),12)+1=(MOD(4-2,12)+1)),AND(CALC_PlanetPositions!$M$10="Malefic",MOD(MATCH(CALC_PlanetPositions!$B$10,{"Aries","Taurus","Gemini","Cancer","Leo","Virgo","Libra","Scorpio","Sagittarius","Capricorn","Aquarius","Pisces"},0)-MATCH(INPUT_Chart!$C$5,{"Aries","Taurus","Gemini","Cancer","Leo","Virgo","Libra","Scorpio","Sagittarius","Capricorn","Aquarius","Pisces"},0),12)+1=(MOD(4-2,12)+1)),AND(CALC_PlanetPositions!$M$11="Malefic",MOD(MATCH(CALC_PlanetPositions!$B$11,{"Aries","Taurus","Gemini","Cancer","Leo","Virgo","Libra","Scorpio","Sagittarius","Capricorn","Aquarius","Pisces"},0)-MATCH(INPUT_Chart!$C$5,{"Aries","Taurus","Gemini","Cancer","Leo","Virgo","Libra","Scorpio","Sagittarius","Capricorn","Aquarius","Pisces"},0),12)+1=(MOD(4-2,12)+1)),AND(CALC_PlanetPositions!$M$12="Malefic",MOD(MATCH(CALC_PlanetPositions!$B$12,{"Aries","Taurus","Gemini","Cancer","Leo","Virgo","Libra","Scorpio","Sagittarius","Capricorn","Aquarius","Pisces"},0)-MATCH(INPUT_Chart!$C$5,{"Aries","Taurus","Gemini","Cancer","Leo","Virgo","Libra","Scorpio","Sagittarius","Capricorn","Aquarius","Pisces"},0),12)+1=(MOD(4-2,12)+1)),AND(CALC_PlanetPositions!$M$13="Malefic",MOD(MATCH(CALC_PlanetPositions!$B$13,{"Aries","Taurus","Gemini","Cancer","Leo","Virgo","Libra","Scorpio","Sagittarius","Capricorn","Aquarius","Pisces"},0)-MATCH(INPUT_Chart!$C$5,{"Aries","Taurus","Gemini","Cancer","Leo","Virgo","Libra","Scorpio","Sagittarius","Capricorn","Aquarius","Pisces"},0),12)+1=(MOD(4-2,12)+1)),AND(TRUE(),MOD(MATCH(CALC_PlanetPositions!$B$14,{"Aries","Taurus","Gemini","Cancer","Leo","Virgo","Libra","Scorpio","Sagittarius","Capricorn","Aquarius","Pisces"},0)-MATCH(INPUT_Chart!$C$5,{"Aries","Taurus","Gemini","Cancer","Leo","Virgo","Libra","Scorpio","Sagittarius","Capricorn","Aquarius","Pisces"},0),12)+1=(MOD(4-2,12)+1)),AND(TRUE(),MOD(MATCH(CALC_PlanetPositions!$B$15,{"Aries","Taurus","Gemini","Cancer","Leo","Virgo","Libra","Scorpio","Sagittarius","Capricorn","Aquarius","Pisces"},0)-MATCH(INPUT_Chart!$C$5,{"Aries","Taurus","Gemini","Cancer","Leo","Virgo","Libra","Scorpio","Sagittarius","Capricorn","Aquarius","Pisces"},0),12)+1=(MOD(4-2,12)+1))),OR(AND(CALC_PlanetPositions!$M$7="Malefic",MOD(MATCH(CALC_PlanetPositions!$B$7,{"Aries","Taurus","Gemini","Cancer","Leo","Virgo","Libra","Scorpio","Sagittarius","Capricorn","Aquarius","Pisces"},0)-MATCH(INPUT_Chart!$C$5,{"Aries","Taurus","Gemini","Cancer","Leo","Virgo","Libra","Scorpio","Sagittarius","Capricorn","Aquarius","Pisces"},0),12)+1=(MOD(4,12)+1)),AND(CALC_PlanetPositions!$M$8="Malefic",MOD(MATCH(CALC_PlanetPositions!$B$8,{"Aries","Taurus","Gemini","Cancer","Leo","Virgo","Libra","Scorpio","Sagittarius","Capricorn","Aquarius","Pisces"},0)-MATCH(INPUT_Chart!$C$5,{"Aries","Taurus","Gemini","Cancer","Leo","Virgo","Libra","Scorpio","Sagittarius","Capricorn","Aquarius","Pisces"},0),12)+1=(MOD(4,12)+1)),AND(CALC_PlanetPositions!$M$9="Malefic",MOD(MATCH(CALC_PlanetPositions!$B$9,{"Aries","Taurus","Gemini","Cancer","Leo","Virgo","Libra","Scorpio","Sagittarius","Capricorn","Aquarius","Pisces"},0)-MATCH(INPUT_Chart!$C$5,{"Aries","Taurus","Gemini","Cancer","Leo","Virgo","Libra","Scorpio","Sagittarius","Capricorn","Aquarius","Pisces"},0),12)+1=(MOD(4,12)+1)),AND(CALC_PlanetPositions!$M$10="Malefic",MOD(MATCH(CALC_PlanetPositions!$B$10,{"Aries","Taurus","Gemini","Cancer","Leo","Virgo","Libra","Scorpio","Sagittarius","Capricorn","Aquarius","Pisces"},0)-MATCH(INPUT_Chart!$C$5,{"Aries","Taurus","Gemini","Cancer","Leo","Virgo","Libra","Scorpio","Sagittarius","Capricorn","Aquarius","Pisces"},0),12)+1=(MOD(4,12)+1)),AND(CALC_PlanetPositions!$M$11="Malefic",MOD(MATCH(CALC_PlanetPositions!$B$11,{"Aries","Taurus","Gemini","Cancer","Leo","Virgo","Libra","Scorpio","Sagittarius","Capricorn","Aquarius","Pisces"},0)-MATCH(INPUT_Chart!$C$5,{"Aries","Taurus","Gemini","Cancer","Leo","Virgo","Libra","Scorpio","Sagittarius","Capricorn","Aquarius","Pisces"},0),12)+1=(MOD(4,12)+1)),AND(CALC_PlanetPositions!$M$12="Malefic",MOD(MATCH(CALC_PlanetPositions!$B$12,{"Aries","Taurus","Gemini","Cancer","Leo","Virgo","Libra","Scorpio","Sagittarius","Capricorn","Aquarius","Pisces"},0)-MATCH(INPUT_Chart!$C$5,{"Aries","Taurus","Gemini","Cancer","Leo","Virgo","Libra","Scorpio","Sagittarius","Capricorn","Aquarius","Pisces"},0),12)+1=(MOD(4,12)+1)),AND(CALC_PlanetPositions!$M$13="Malefic",MOD(MATCH(CALC_PlanetPositions!$B$13,{"Aries","Taurus","Gemini","Cancer","Leo","Virgo","Libra","Scorpio","Sagittarius","Capricorn","Aquarius","Pisces"},0)-MATCH(INPUT_Chart!$C$5,{"Aries","Taurus","Gemini","Cancer","Leo","Virgo","Libra","Scorpio","Sagittarius","Capricorn","Aquarius","Pisces"},0),12)+1=(MOD(4,12)+1)),AND(TRUE(),MOD(MATCH(CALC_PlanetPositions!$B$14,{"Aries","Taurus","Gemini","Cancer","Leo","Virgo","Libra","Scorpio","Sagittarius","Capricorn","Aquarius","Pisces"},0)-MATCH(INPUT_Chart!$C$5,{"Aries","Taurus","Gemini","Cancer","Leo","Virgo","Libra","Scorpio","Sagittarius","Capricorn","Aquarius","Pisces"},0),12)+1=(MOD(4,12)+1)),AND(TRUE(),MOD(MATCH(CALC_PlanetPositions!$B$15,{"Aries","Taurus","Gemini","Cancer","Leo","Virgo","Libra","Scorpio","Sagittarius","Capricorn","Aquarius","Pisces"},0)-MATCH(INPUT_Chart!$C$5,{"Aries","Taurus","Gemini","Cancer","Leo","Virgo","Libra","Scorpio","Sagittarius","Capricorn","Aquarius","Pisces"},0),12)+1=(MOD(4,12)+1)))),1,0),0))*IF(REF_Config!$B$6="KP",-0.75,IF(REF_Config!$B$6="Jaimini",-0.5,-0.75)),0)</f>
        <v>0</v>
      </c>
      <c r="D18" s="403" t="s">
        <v>4629</v>
      </c>
    </row>
    <row r="19" spans="1:7" ht="15.75" customHeight="1" x14ac:dyDescent="0.2">
      <c r="A19" s="1594" t="s">
        <v>3624</v>
      </c>
      <c r="B19" s="1594"/>
      <c r="C19" s="1594"/>
      <c r="D19" s="1594"/>
    </row>
    <row r="20" spans="1:7" ht="27.75" customHeight="1" x14ac:dyDescent="0.2">
      <c r="A20" s="122" t="s">
        <v>4630</v>
      </c>
      <c r="B20" s="357" t="s">
        <v>4555</v>
      </c>
      <c r="C20" s="1117">
        <v>0</v>
      </c>
      <c r="D20" s="400" t="s">
        <v>4631</v>
      </c>
    </row>
    <row r="21" spans="1:7" ht="27.75" customHeight="1" x14ac:dyDescent="0.2">
      <c r="A21" s="122" t="s">
        <v>4632</v>
      </c>
      <c r="B21" s="203" t="s">
        <v>4633</v>
      </c>
      <c r="C21" s="1118">
        <f>IFERROR((IFERROR(IF(OR(AND(CALC_PlanetPositions!$M$7="Malefic",INDEX(REF_Aspects!$D$5:$O$13,1,MOD(CALC_BhaveshMap!$H$8-(MOD(MATCH(CALC_PlanetPositions!$B$7,{"Aries","Taurus","Gemini","Cancer","Leo","Virgo","Libra","Scorpio","Sagittarius","Capricorn","Aquarius","Pisces"},0)-MATCH(INPUT_Chart!$C$5,{"Aries","Taurus","Gemini","Cancer","Leo","Virgo","Libra","Scorpio","Sagittarius","Capricorn","Aquarius","Pisces"},0),12)+1),12)+1)="FULL",NOT(CALC_PlanetPositions!$B$7=CALC_BhaveshMap!$G$8)),AND(CALC_PlanetPositions!$M$8="Malefic",INDEX(REF_Aspects!$D$5:$O$13,2,MOD(CALC_BhaveshMap!$H$8-(MOD(MATCH(CALC_PlanetPositions!$B$8,{"Aries","Taurus","Gemini","Cancer","Leo","Virgo","Libra","Scorpio","Sagittarius","Capricorn","Aquarius","Pisces"},0)-MATCH(INPUT_Chart!$C$5,{"Aries","Taurus","Gemini","Cancer","Leo","Virgo","Libra","Scorpio","Sagittarius","Capricorn","Aquarius","Pisces"},0),12)+1),12)+1)="FULL",NOT(CALC_PlanetPositions!$B$8=CALC_BhaveshMap!$G$8)),AND(CALC_PlanetPositions!$M$9="Malefic",INDEX(REF_Aspects!$D$5:$O$13,3,MOD(CALC_BhaveshMap!$H$8-(MOD(MATCH(CALC_PlanetPositions!$B$9,{"Aries","Taurus","Gemini","Cancer","Leo","Virgo","Libra","Scorpio","Sagittarius","Capricorn","Aquarius","Pisces"},0)-MATCH(INPUT_Chart!$C$5,{"Aries","Taurus","Gemini","Cancer","Leo","Virgo","Libra","Scorpio","Sagittarius","Capricorn","Aquarius","Pisces"},0),12)+1),12)+1)="FULL",NOT(CALC_PlanetPositions!$B$9=CALC_BhaveshMap!$G$8)),AND(CALC_PlanetPositions!$M$10="Malefic",INDEX(REF_Aspects!$D$5:$O$13,4,MOD(CALC_BhaveshMap!$H$8-(MOD(MATCH(CALC_PlanetPositions!$B$10,{"Aries","Taurus","Gemini","Cancer","Leo","Virgo","Libra","Scorpio","Sagittarius","Capricorn","Aquarius","Pisces"},0)-MATCH(INPUT_Chart!$C$5,{"Aries","Taurus","Gemini","Cancer","Leo","Virgo","Libra","Scorpio","Sagittarius","Capricorn","Aquarius","Pisces"},0),12)+1),12)+1)="FULL",NOT(CALC_PlanetPositions!$B$10=CALC_BhaveshMap!$G$8)),AND(CALC_PlanetPositions!$M$11="Malefic",INDEX(REF_Aspects!$D$5:$O$13,5,MOD(CALC_BhaveshMap!$H$8-(MOD(MATCH(CALC_PlanetPositions!$B$11,{"Aries","Taurus","Gemini","Cancer","Leo","Virgo","Libra","Scorpio","Sagittarius","Capricorn","Aquarius","Pisces"},0)-MATCH(INPUT_Chart!$C$5,{"Aries","Taurus","Gemini","Cancer","Leo","Virgo","Libra","Scorpio","Sagittarius","Capricorn","Aquarius","Pisces"},0),12)+1),12)+1)="FULL",NOT(CALC_PlanetPositions!$B$11=CALC_BhaveshMap!$G$8)),AND(CALC_PlanetPositions!$M$12="Malefic",INDEX(REF_Aspects!$D$5:$O$13,6,MOD(CALC_BhaveshMap!$H$8-(MOD(MATCH(CALC_PlanetPositions!$B$12,{"Aries","Taurus","Gemini","Cancer","Leo","Virgo","Libra","Scorpio","Sagittarius","Capricorn","Aquarius","Pisces"},0)-MATCH(INPUT_Chart!$C$5,{"Aries","Taurus","Gemini","Cancer","Leo","Virgo","Libra","Scorpio","Sagittarius","Capricorn","Aquarius","Pisces"},0),12)+1),12)+1)="FULL",NOT(CALC_PlanetPositions!$B$12=CALC_BhaveshMap!$G$8)),AND(CALC_PlanetPositions!$M$13="Malefic",INDEX(REF_Aspects!$D$5:$O$13,7,MOD(CALC_BhaveshMap!$H$8-(MOD(MATCH(CALC_PlanetPositions!$B$13,{"Aries","Taurus","Gemini","Cancer","Leo","Virgo","Libra","Scorpio","Sagittarius","Capricorn","Aquarius","Pisces"},0)-MATCH(INPUT_Chart!$C$5,{"Aries","Taurus","Gemini","Cancer","Leo","Virgo","Libra","Scorpio","Sagittarius","Capricorn","Aquarius","Pisces"},0),12)+1),12)+1)="FULL",NOT(CALC_PlanetPositions!$B$13=CALC_BhaveshMap!$G$8)),AND(TRUE(),INDEX(REF_Aspects!$D$5:$O$13,8,MOD(CALC_BhaveshMap!$H$8-(MOD(MATCH(CALC_PlanetPositions!$B$14,{"Aries","Taurus","Gemini","Cancer","Leo","Virgo","Libra","Scorpio","Sagittarius","Capricorn","Aquarius","Pisces"},0)-MATCH(INPUT_Chart!$C$5,{"Aries","Taurus","Gemini","Cancer","Leo","Virgo","Libra","Scorpio","Sagittarius","Capricorn","Aquarius","Pisces"},0),12)+1),12)+1)="FULL",NOT(CALC_PlanetPositions!$B$14=CALC_BhaveshMap!$G$8)),AND(TRUE(),INDEX(REF_Aspects!$D$5:$O$13,9,MOD(CALC_BhaveshMap!$H$8-(MOD(MATCH(CALC_PlanetPositions!$B$15,{"Aries","Taurus","Gemini","Cancer","Leo","Virgo","Libra","Scorpio","Sagittarius","Capricorn","Aquarius","Pisces"},0)-MATCH(INPUT_Chart!$C$5,{"Aries","Taurus","Gemini","Cancer","Leo","Virgo","Libra","Scorpio","Sagittarius","Capricorn","Aquarius","Pisces"},0),12)+1),12)+1)="FULL",NOT(CALC_PlanetPositions!$B$15=CALC_BhaveshMap!$G$8))),1,0),0))*-0.5,0)</f>
        <v>-0.5</v>
      </c>
      <c r="D21" s="403" t="s">
        <v>4634</v>
      </c>
    </row>
    <row r="22" spans="1:7" ht="27.75" customHeight="1" x14ac:dyDescent="0.2">
      <c r="A22" s="122" t="s">
        <v>4635</v>
      </c>
      <c r="B22" s="357" t="s">
        <v>3042</v>
      </c>
      <c r="C22" s="1117">
        <f>IFERROR((IFERROR(IF(CALC_BhaveshMap!$K$8="Yes",1,0),0))*IF(REF_Config!$B$6="KP",-1.75,IF(REF_Config!$B$6="Jaimini",-2,-2)),0)</f>
        <v>0</v>
      </c>
      <c r="D22" s="400" t="s">
        <v>4636</v>
      </c>
    </row>
    <row r="23" spans="1:7" ht="27.75" customHeight="1" x14ac:dyDescent="0.2">
      <c r="A23" s="122" t="s">
        <v>4637</v>
      </c>
      <c r="B23" s="203" t="s">
        <v>3059</v>
      </c>
      <c r="C23" s="1118">
        <f>IFERROR((IFERROR(IF(OR(AND(CALC_BhaveshMap!$G$10=CALC_BhaveshMap!$G$8,CALC_BhaveshMap!$D$10&lt;&gt;CALC_BhaveshMap!$D$8),AND(CALC_BhaveshMap!$G$12=CALC_BhaveshMap!$G$8,CALC_BhaveshMap!$D$12&lt;&gt;CALC_BhaveshMap!$D$8),AND(CALC_BhaveshMap!$G$16=CALC_BhaveshMap!$G$8,CALC_BhaveshMap!$D$16&lt;&gt;CALC_BhaveshMap!$D$8)),1,0),0))*-1,0)</f>
        <v>-1</v>
      </c>
      <c r="D23" s="403" t="s">
        <v>4638</v>
      </c>
    </row>
    <row r="24" spans="1:7" ht="15.75" customHeight="1" x14ac:dyDescent="0.2">
      <c r="A24" s="1484" t="s">
        <v>4639</v>
      </c>
      <c r="B24" s="1484"/>
      <c r="C24" s="1484"/>
      <c r="D24" s="1484"/>
    </row>
    <row r="25" spans="1:7" ht="27.75" customHeight="1" x14ac:dyDescent="0.2">
      <c r="A25" s="122" t="s">
        <v>4640</v>
      </c>
      <c r="B25" s="357" t="s">
        <v>3084</v>
      </c>
      <c r="C25" s="1117">
        <f>IFERROR(IF(CALC_KarakMap!$M$8&gt;0,CALC_KarakMap!$M$8,0),0)</f>
        <v>0</v>
      </c>
      <c r="D25" s="400" t="s">
        <v>4641</v>
      </c>
    </row>
    <row r="26" spans="1:7" ht="27.75" customHeight="1" x14ac:dyDescent="0.2">
      <c r="A26" s="122" t="s">
        <v>4642</v>
      </c>
      <c r="B26" s="203" t="s">
        <v>4564</v>
      </c>
      <c r="C26" s="1118">
        <f>IFERROR(IF(CALC_KarakMap!$M$8&lt;0,CALC_KarakMap!$M$8,0),0)</f>
        <v>0</v>
      </c>
      <c r="D26" s="403" t="s">
        <v>4643</v>
      </c>
    </row>
    <row r="27" spans="1:7" ht="27.75" customHeight="1" x14ac:dyDescent="0.2">
      <c r="A27" s="1119" t="s">
        <v>4644</v>
      </c>
      <c r="B27" s="296" t="s">
        <v>3624</v>
      </c>
      <c r="C27" s="1117">
        <f>IFERROR(IF(OR(CALC_BhaveshMap!$D$8="Sun",CALC_BhaveshMap!$D$8="Rahu",CALC_BhaveshMap!$D$8="Ketu"),0,IF(CALC_BhaveshMap!$D$8="Moon",IF(CALC_CombustionCheck!$G$4="Cazimi ✓",0.5,IF(CALC_CombustionCheck!$F$4="COMBUST ⚠",-1,0)),IF(CALC_BhaveshMap!$D$8="Mars",IF(CALC_CombustionCheck!$G$5="Cazimi ✓",0.5,IF(AND(CALC_CombustionCheck!$F$5="COMBUST ⚠",CALC_RetrogradeFix!$F$6="Rx ✓"),-0.5,IF(CALC_CombustionCheck!$F$5="COMBUST ⚠",-1,0))),IF(CALC_BhaveshMap!$D$8="Mercury",IF(CALC_CombustionCheck!$G$6="Cazimi ✓",0.5,IF(AND(CALC_CombustionCheck!$F$6="COMBUST ⚠",CALC_RetrogradeFix!$F$7="Rx ✓"),-0.5,IF(CALC_CombustionCheck!$F$6="COMBUST ⚠",-1,0))),IF(CALC_BhaveshMap!$D$8="Jupiter",IF(CALC_CombustionCheck!$G$7="Cazimi ✓",0.5,IF(AND(CALC_CombustionCheck!$F$7="COMBUST ⚠",CALC_RetrogradeFix!$F$8="Rx ✓"),-0.5,IF(CALC_CombustionCheck!$F$7="COMBUST ⚠",-1,0))),IF(CALC_BhaveshMap!$D$8="Venus",IF(CALC_CombustionCheck!$G$8="Cazimi ✓",0.5,IF(AND(CALC_CombustionCheck!$F$8="COMBUST ⚠",CALC_RetrogradeFix!$F$9="Rx ✓"),-0.5,IF(CALC_CombustionCheck!$F$8="COMBUST ⚠",-1,0))),IF(CALC_BhaveshMap!$D$8="Saturn",IF(CALC_CombustionCheck!$G$9="Cazimi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BhaveshMap!$D$8="Rahu",CALC_BhaveshMap!$D$8="Ketu"),0,IF(ISNUMBER(MATCH(CALC_BhaveshMap!$D$8,{"Sun","Moon","Mars","Mercury","Jupiter","Venus","Saturn"},0)),IF(INDEX(CALC_DigBala!$F$4:$F$10,MATCH(CALC_BhaveshMap!$D$8,{"Sun","Moon","Mars","Mercury","Jupiter","Venus","Saturn"},0))="Yes",0.5,0),0)),0)</f>
        <v>0</v>
      </c>
      <c r="D28" s="400" t="s">
        <v>4647</v>
      </c>
    </row>
    <row r="29" spans="1:7" ht="27.75" customHeight="1" x14ac:dyDescent="0.2">
      <c r="A29" s="1120" t="s">
        <v>4648</v>
      </c>
      <c r="B29" s="296" t="s">
        <v>3372</v>
      </c>
      <c r="C29" s="1117">
        <f>IFERROR(IF(COUNTIFS(REF_PushkaraNavamsha!$A$4:$A$27,CALC_BhaveshMap!$G$8,REF_PushkaraNavamsha!$B$4:$B$27,INDEX(CALC_PlanetPositions!$G$7:$G$15,MATCH(CALC_BhaveshMap!$D$8,CALC_PlanetPositions!$A$7:$A$15,0)))&gt;0,0.5,0),0)</f>
        <v>0.5</v>
      </c>
      <c r="D29" s="400" t="s">
        <v>4649</v>
      </c>
    </row>
    <row r="30" spans="1:7" ht="25.5" customHeight="1" x14ac:dyDescent="0.2">
      <c r="A30" s="147" t="s">
        <v>4650</v>
      </c>
      <c r="B30" s="1121" t="s">
        <v>4651</v>
      </c>
      <c r="C30" s="1122">
        <f>IFERROR(IF(ISNUMBER(MATCH(CALC_BhaveshMap!$D$8,{"Sun","Moon","Mars","Mercury","Jupiter","Venus","Saturn"},0)),INDEX(CALC_RetrogradeFix!$G$4:$G$10,MATCH(CALC_BhaveshMap!$D$8,{"Sun","Moon","Mars","Mercury","Jupiter","Venus","Saturn"},0)),0),0)</f>
        <v>0</v>
      </c>
      <c r="D30" s="1123" t="s">
        <v>4652</v>
      </c>
    </row>
    <row r="31" spans="1:7" ht="18" customHeight="1" x14ac:dyDescent="0.2">
      <c r="A31" s="1555" t="s">
        <v>4653</v>
      </c>
      <c r="B31" s="1555"/>
      <c r="C31" s="1555"/>
      <c r="D31" s="1555"/>
      <c r="E31" s="1124" t="s">
        <v>4654</v>
      </c>
      <c r="F31" s="1125">
        <f>IFERROR(IF(CALC_Ashtakavarga!E$15&gt;28,0.5,IF(CALC_Ashtakavarga!E$15&lt;22,-0.5,0)),0)</f>
        <v>0</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IFERROR(SUM(C9:C13,C28:C30,F31,0),0)</f>
        <v>2.5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1</v>
      </c>
      <c r="D37" s="1129"/>
    </row>
    <row r="38" spans="1:4" ht="21.75" customHeight="1" x14ac:dyDescent="0.2">
      <c r="A38" s="89" t="s">
        <v>4661</v>
      </c>
      <c r="B38" s="1129"/>
      <c r="C38" s="1131">
        <f>IFERROR(MAX(-10,MIN(10,C37)),0)</f>
        <v>1</v>
      </c>
      <c r="D38" s="1132"/>
    </row>
    <row r="39" spans="1:4" ht="18" customHeight="1" x14ac:dyDescent="0.2">
      <c r="A39" s="517" t="s">
        <v>4662</v>
      </c>
      <c r="B39" s="1129"/>
      <c r="C39" s="1133">
        <f>IFERROR(CALC_LagneshStrength!$I$4,0)</f>
        <v>0</v>
      </c>
      <c r="D39" s="1129"/>
    </row>
    <row r="40" spans="1:4" ht="25.5" customHeight="1" x14ac:dyDescent="0.2">
      <c r="A40" s="1142" t="s">
        <v>4663</v>
      </c>
      <c r="B40" s="1129"/>
      <c r="C40" s="1143">
        <f>IFERROR(MAX(-10,MIN(10,C38+C39)),0)</f>
        <v>1</v>
      </c>
      <c r="D40" s="1144" t="str">
        <f>IFERROR(IF(C40&gt;=7,"Excellent — Home domain very strong",IF(C40&gt;=4,"Good — Home domain strong",IF(C40&gt;=1,"Moderate",IF(C40&gt;=-2,"Mixed — Home has challenges",IF(C40&gt;=-5,"Weak","Very weak — Home heavily afflicted"))))),"—")</f>
        <v>Moderate</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4668</v>
      </c>
      <c r="B1" s="1518"/>
      <c r="C1" s="1518"/>
      <c r="D1" s="1518"/>
      <c r="L1" s="29" t="str">
        <f>HYPERLINK("#'00_INDEX'!A1","&lt;- Index")</f>
        <v>&lt;- Index</v>
      </c>
    </row>
    <row r="2" spans="1:12" ht="19.5" customHeight="1" x14ac:dyDescent="0.2">
      <c r="A2" s="1595" t="str">
        <f>IFERROR("Lagna: "&amp;INPUT_Chart!$C$5&amp;"  ·  H5 sign: "&amp;CALC_BhaveshMap!$C$9&amp;"  ·  Bhavesh: "&amp;CALC_BhaveshMap!$D$9&amp;" in H"&amp;CALC_BhaveshMap!$H$9&amp;" ("&amp;CALC_BhaveshMap!$L$9&amp;")","Enter Lagna in INPUT_Chart")</f>
        <v>Lagna: Taurus  ·  H5 sign: Virgo  ·  Bhavesh: Mercury in H3 (Enemy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6" t="s">
        <v>4605</v>
      </c>
      <c r="B5" s="357" t="s">
        <v>4529</v>
      </c>
      <c r="C5" s="1117">
        <f>IFERROR((IFERROR(IF(INDEX(REF_Zodiac!$D$17:$O$17,MATCH(CALC_BhaveshMap!$C$9,REF_Zodiac!$D$3:$O$3,0))="Gentle",1,0),0))*0.5,0)</f>
        <v>0.5</v>
      </c>
      <c r="D5" s="400" t="s">
        <v>4606</v>
      </c>
    </row>
    <row r="6" spans="1:12" ht="27.75" customHeight="1" x14ac:dyDescent="0.2">
      <c r="A6" s="126"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6" t="s">
        <v>4609</v>
      </c>
      <c r="B7" s="357" t="s">
        <v>4534</v>
      </c>
      <c r="C7" s="1117">
        <f>IFERROR((IFERROR(IF(OR(AND(OR(CALC_PlanetPositions!$M$7="Benefic",CALC_PlanetPositions!$M$7="Yogakaraka"),INDEX(REF_Aspects!$D$5:$O$13,1,MOD(5-(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5)),AND(OR(CALC_PlanetPositions!$M$8="Benefic",CALC_PlanetPositions!$M$8="Yogakaraka"),INDEX(REF_Aspects!$D$5:$O$13,2,MOD(5-(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5)),AND(OR(CALC_PlanetPositions!$M$9="Benefic",CALC_PlanetPositions!$M$9="Yogakaraka"),INDEX(REF_Aspects!$D$5:$O$13,3,MOD(5-(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5)),AND(OR(CALC_PlanetPositions!$M$10="Benefic",CALC_PlanetPositions!$M$10="Yogakaraka"),INDEX(REF_Aspects!$D$5:$O$13,4,MOD(5-(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5)),AND(OR(CALC_PlanetPositions!$M$11="Benefic",CALC_PlanetPositions!$M$11="Yogakaraka"),INDEX(REF_Aspects!$D$5:$O$13,5,MOD(5-(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5)),AND(OR(CALC_PlanetPositions!$M$12="Benefic",CALC_PlanetPositions!$M$12="Yogakaraka"),INDEX(REF_Aspects!$D$5:$O$13,6,MOD(5-(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5)),AND(OR(CALC_PlanetPositions!$M$13="Benefic",CALC_PlanetPositions!$M$13="Yogakaraka"),INDEX(REF_Aspects!$D$5:$O$13,7,MOD(5-(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5)),AND(FALSE(),INDEX(REF_Aspects!$D$5:$O$13,8,MOD(5-(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5)),AND(FALSE(),INDEX(REF_Aspects!$D$5:$O$13,9,MOD(5-(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5))),1,0),0))*IF(REF_Config!$B$6="KP",0.5,IF(REF_Config!$B$6="Jaimini",0.75,0.75)),0)</f>
        <v>0.75</v>
      </c>
      <c r="D7" s="400" t="s">
        <v>4610</v>
      </c>
    </row>
    <row r="8" spans="1:12" ht="15.75" customHeight="1" x14ac:dyDescent="0.2">
      <c r="A8" s="1597" t="s">
        <v>3372</v>
      </c>
      <c r="B8" s="1597"/>
      <c r="C8" s="1597"/>
      <c r="D8" s="1597"/>
    </row>
    <row r="9" spans="1:12" ht="27.75" customHeight="1" x14ac:dyDescent="0.2">
      <c r="A9" s="126" t="s">
        <v>4611</v>
      </c>
      <c r="B9" s="203" t="s">
        <v>4537</v>
      </c>
      <c r="C9" s="1118">
        <f>IFERROR(IF(AND(OR(CALC_BhaveshMap!$I$9="Yes",CALC_BhaveshMap!$J$9="Yes"),NOT(CALC_BhaveshMap!$K$9="Yes")),1,0)*IF(REF_Config!$B$6="KP",1.5,IF(REF_Config!$B$6="Jaimini",1.5,2)),0)</f>
        <v>0</v>
      </c>
      <c r="D9" s="403" t="s">
        <v>4612</v>
      </c>
    </row>
    <row r="10" spans="1:12" ht="27.75" customHeight="1" x14ac:dyDescent="0.2">
      <c r="A10" s="126" t="s">
        <v>4613</v>
      </c>
      <c r="B10" s="357" t="s">
        <v>3093</v>
      </c>
      <c r="C10" s="1117">
        <f>IFERROR((IFERROR(IF(OR(AND(CALC_BhaveshMap!$G$5=CALC_BhaveshMap!$G$9,CALC_BhaveshMap!$D$5&lt;&gt;CALC_BhaveshMap!$D$9),AND(CALC_BhaveshMap!$G$8=CALC_BhaveshMap!$G$9,CALC_BhaveshMap!$D$8&lt;&gt;CALC_BhaveshMap!$D$9),AND(CALC_BhaveshMap!$G$9=CALC_BhaveshMap!$G$9,CALC_BhaveshMap!$D$9&lt;&gt;CALC_BhaveshMap!$D$9),AND(CALC_BhaveshMap!$G$11=CALC_BhaveshMap!$G$9,CALC_BhaveshMap!$D$11&lt;&gt;CALC_BhaveshMap!$D$9),AND(CALC_BhaveshMap!$G$13=CALC_BhaveshMap!$G$9,CALC_BhaveshMap!$D$13&lt;&gt;CALC_BhaveshMap!$D$9),AND(CALC_BhaveshMap!$G$14=CALC_BhaveshMap!$G$9,CALC_BhaveshMap!$D$14&lt;&gt;CALC_BhaveshMap!$D$9)),1,0),0))*0.5,0)</f>
        <v>0.5</v>
      </c>
      <c r="D10" s="400" t="s">
        <v>4614</v>
      </c>
    </row>
    <row r="11" spans="1:12" ht="27.75" customHeight="1" x14ac:dyDescent="0.2">
      <c r="A11" s="126" t="s">
        <v>4615</v>
      </c>
      <c r="B11" s="203" t="s">
        <v>4540</v>
      </c>
      <c r="C11" s="1118">
        <f>IFERROR((IFERROR(IF(OR(AND(OR(CALC_PlanetPositions!$M$7="Benefic",CALC_PlanetPositions!$M$7="Yogakaraka"),CALC_PlanetPositions!$B$7=CALC_BhaveshMap!$G$9,CALC_BhaveshMap!$D$9&lt;&gt;"Sun"),AND(OR(CALC_PlanetPositions!$M$8="Benefic",CALC_PlanetPositions!$M$8="Yogakaraka"),CALC_PlanetPositions!$B$8=CALC_BhaveshMap!$G$9,CALC_BhaveshMap!$D$9&lt;&gt;"Moon"),AND(OR(CALC_PlanetPositions!$M$9="Benefic",CALC_PlanetPositions!$M$9="Yogakaraka"),CALC_PlanetPositions!$B$9=CALC_BhaveshMap!$G$9,CALC_BhaveshMap!$D$9&lt;&gt;"Mars"),AND(OR(CALC_PlanetPositions!$M$10="Benefic",CALC_PlanetPositions!$M$10="Yogakaraka"),CALC_PlanetPositions!$B$10=CALC_BhaveshMap!$G$9,CALC_BhaveshMap!$D$9&lt;&gt;"Mercury"),AND(OR(CALC_PlanetPositions!$M$11="Benefic",CALC_PlanetPositions!$M$11="Yogakaraka"),CALC_PlanetPositions!$B$11=CALC_BhaveshMap!$G$9,CALC_BhaveshMap!$D$9&lt;&gt;"Jupiter"),AND(OR(CALC_PlanetPositions!$M$12="Benefic",CALC_PlanetPositions!$M$12="Yogakaraka"),CALC_PlanetPositions!$B$12=CALC_BhaveshMap!$G$9,CALC_BhaveshMap!$D$9&lt;&gt;"Venus"),AND(OR(CALC_PlanetPositions!$M$13="Benefic",CALC_PlanetPositions!$M$13="Yogakaraka"),CALC_PlanetPositions!$B$13=CALC_BhaveshMap!$G$9,CALC_BhaveshMap!$D$9&lt;&gt;"Saturn")),1,0),0))*IF(OR(AND(CALC_PlanetPositions!$M$7="Yogakaraka",CALC_PlanetPositions!$B$7=CALC_BhaveshMap!$G$9,CALC_BhaveshMap!$D$9&lt;&gt;"Sun"),AND(CALC_PlanetPositions!$M$8="Yogakaraka",CALC_PlanetPositions!$B$8=CALC_BhaveshMap!$G$9,CALC_BhaveshMap!$D$9&lt;&gt;"Moon"),AND(CALC_PlanetPositions!$M$9="Yogakaraka",CALC_PlanetPositions!$B$9=CALC_BhaveshMap!$G$9,CALC_BhaveshMap!$D$9&lt;&gt;"Mars"),AND(CALC_PlanetPositions!$M$10="Yogakaraka",CALC_PlanetPositions!$B$10=CALC_BhaveshMap!$G$9,CALC_BhaveshMap!$D$9&lt;&gt;"Mercury"),AND(CALC_PlanetPositions!$M$11="Yogakaraka",CALC_PlanetPositions!$B$11=CALC_BhaveshMap!$G$9,CALC_BhaveshMap!$D$9&lt;&gt;"Jupiter"),AND(CALC_PlanetPositions!$M$12="Yogakaraka",CALC_PlanetPositions!$B$12=CALC_BhaveshMap!$G$9,CALC_BhaveshMap!$D$9&lt;&gt;"Venus"),AND(CALC_PlanetPositions!$M$13="Yogakaraka",CALC_PlanetPositions!$B$13=CALC_BhaveshMap!$G$9,CALC_BhaveshMap!$D$9&lt;&gt;"Saturn")),1.5,1),0)</f>
        <v>1.5</v>
      </c>
      <c r="D11" s="403" t="s">
        <v>4616</v>
      </c>
    </row>
    <row r="12" spans="1:12" ht="27.75" customHeight="1" x14ac:dyDescent="0.2">
      <c r="A12" s="126" t="s">
        <v>4617</v>
      </c>
      <c r="B12" s="357" t="s">
        <v>4542</v>
      </c>
      <c r="C12" s="1117">
        <f>IFERROR((IFERROR(IF(OR(AND(OR(CALC_PlanetPositions!$M$7="Benefic",CALC_PlanetPositions!$M$7="Yogakaraka"),INDEX(REF_Aspects!$D$5:$O$13,1,MOD(CALC_BhaveshMap!$H$9-(MOD(MATCH(CALC_PlanetPositions!$B$7,{"Aries","Taurus","Gemini","Cancer","Leo","Virgo","Libra","Scorpio","Sagittarius","Capricorn","Aquarius","Pisces"},0)-MATCH(INPUT_Chart!$C$5,{"Aries","Taurus","Gemini","Cancer","Leo","Virgo","Libra","Scorpio","Sagittarius","Capricorn","Aquarius","Pisces"},0),12)+1),12)+1)="FULL",NOT(CALC_PlanetPositions!$B$7=CALC_BhaveshMap!$G$9)),AND(OR(CALC_PlanetPositions!$M$8="Benefic",CALC_PlanetPositions!$M$8="Yogakaraka"),INDEX(REF_Aspects!$D$5:$O$13,2,MOD(CALC_BhaveshMap!$H$9-(MOD(MATCH(CALC_PlanetPositions!$B$8,{"Aries","Taurus","Gemini","Cancer","Leo","Virgo","Libra","Scorpio","Sagittarius","Capricorn","Aquarius","Pisces"},0)-MATCH(INPUT_Chart!$C$5,{"Aries","Taurus","Gemini","Cancer","Leo","Virgo","Libra","Scorpio","Sagittarius","Capricorn","Aquarius","Pisces"},0),12)+1),12)+1)="FULL",NOT(CALC_PlanetPositions!$B$8=CALC_BhaveshMap!$G$9)),AND(OR(CALC_PlanetPositions!$M$9="Benefic",CALC_PlanetPositions!$M$9="Yogakaraka"),INDEX(REF_Aspects!$D$5:$O$13,3,MOD(CALC_BhaveshMap!$H$9-(MOD(MATCH(CALC_PlanetPositions!$B$9,{"Aries","Taurus","Gemini","Cancer","Leo","Virgo","Libra","Scorpio","Sagittarius","Capricorn","Aquarius","Pisces"},0)-MATCH(INPUT_Chart!$C$5,{"Aries","Taurus","Gemini","Cancer","Leo","Virgo","Libra","Scorpio","Sagittarius","Capricorn","Aquarius","Pisces"},0),12)+1),12)+1)="FULL",NOT(CALC_PlanetPositions!$B$9=CALC_BhaveshMap!$G$9)),AND(OR(CALC_PlanetPositions!$M$10="Benefic",CALC_PlanetPositions!$M$10="Yogakaraka"),INDEX(REF_Aspects!$D$5:$O$13,4,MOD(CALC_BhaveshMap!$H$9-(MOD(MATCH(CALC_PlanetPositions!$B$10,{"Aries","Taurus","Gemini","Cancer","Leo","Virgo","Libra","Scorpio","Sagittarius","Capricorn","Aquarius","Pisces"},0)-MATCH(INPUT_Chart!$C$5,{"Aries","Taurus","Gemini","Cancer","Leo","Virgo","Libra","Scorpio","Sagittarius","Capricorn","Aquarius","Pisces"},0),12)+1),12)+1)="FULL",NOT(CALC_PlanetPositions!$B$10=CALC_BhaveshMap!$G$9)),AND(OR(CALC_PlanetPositions!$M$11="Benefic",CALC_PlanetPositions!$M$11="Yogakaraka"),INDEX(REF_Aspects!$D$5:$O$13,5,MOD(CALC_BhaveshMap!$H$9-(MOD(MATCH(CALC_PlanetPositions!$B$11,{"Aries","Taurus","Gemini","Cancer","Leo","Virgo","Libra","Scorpio","Sagittarius","Capricorn","Aquarius","Pisces"},0)-MATCH(INPUT_Chart!$C$5,{"Aries","Taurus","Gemini","Cancer","Leo","Virgo","Libra","Scorpio","Sagittarius","Capricorn","Aquarius","Pisces"},0),12)+1),12)+1)="FULL",NOT(CALC_PlanetPositions!$B$11=CALC_BhaveshMap!$G$9)),AND(OR(CALC_PlanetPositions!$M$12="Benefic",CALC_PlanetPositions!$M$12="Yogakaraka"),INDEX(REF_Aspects!$D$5:$O$13,6,MOD(CALC_BhaveshMap!$H$9-(MOD(MATCH(CALC_PlanetPositions!$B$12,{"Aries","Taurus","Gemini","Cancer","Leo","Virgo","Libra","Scorpio","Sagittarius","Capricorn","Aquarius","Pisces"},0)-MATCH(INPUT_Chart!$C$5,{"Aries","Taurus","Gemini","Cancer","Leo","Virgo","Libra","Scorpio","Sagittarius","Capricorn","Aquarius","Pisces"},0),12)+1),12)+1)="FULL",NOT(CALC_PlanetPositions!$B$12=CALC_BhaveshMap!$G$9)),AND(OR(CALC_PlanetPositions!$M$13="Benefic",CALC_PlanetPositions!$M$13="Yogakaraka"),INDEX(REF_Aspects!$D$5:$O$13,7,MOD(CALC_BhaveshMap!$H$9-(MOD(MATCH(CALC_PlanetPositions!$B$13,{"Aries","Taurus","Gemini","Cancer","Leo","Virgo","Libra","Scorpio","Sagittarius","Capricorn","Aquarius","Pisces"},0)-MATCH(INPUT_Chart!$C$5,{"Aries","Taurus","Gemini","Cancer","Leo","Virgo","Libra","Scorpio","Sagittarius","Capricorn","Aquarius","Pisces"},0),12)+1),12)+1)="FULL",NOT(CALC_PlanetPositions!$B$13=CALC_BhaveshMap!$G$9)),AND(FALSE(),INDEX(REF_Aspects!$D$5:$O$13,8,MOD(CALC_BhaveshMap!$H$9-(MOD(MATCH(CALC_PlanetPositions!$B$14,{"Aries","Taurus","Gemini","Cancer","Leo","Virgo","Libra","Scorpio","Sagittarius","Capricorn","Aquarius","Pisces"},0)-MATCH(INPUT_Chart!$C$5,{"Aries","Taurus","Gemini","Cancer","Leo","Virgo","Libra","Scorpio","Sagittarius","Capricorn","Aquarius","Pisces"},0),12)+1),12)+1)="FULL",NOT(CALC_PlanetPositions!$B$14=CALC_BhaveshMap!$G$9)),AND(FALSE(),INDEX(REF_Aspects!$D$5:$O$13,9,MOD(CALC_BhaveshMap!$H$9-(MOD(MATCH(CALC_PlanetPositions!$B$15,{"Aries","Taurus","Gemini","Cancer","Leo","Virgo","Libra","Scorpio","Sagittarius","Capricorn","Aquarius","Pisces"},0)-MATCH(INPUT_Chart!$C$5,{"Aries","Taurus","Gemini","Cancer","Leo","Virgo","Libra","Scorpio","Sagittarius","Capricorn","Aquarius","Pisces"},0),12)+1),12)+1)="FULL",NOT(CALC_PlanetPositions!$B$15=CALC_BhaveshMap!$G$9))),1,0),0))*0.5,0)</f>
        <v>0</v>
      </c>
      <c r="D12" s="400" t="s">
        <v>4618</v>
      </c>
    </row>
    <row r="13" spans="1:12" ht="27.75" customHeight="1" x14ac:dyDescent="0.2">
      <c r="A13" s="126"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$9-2,12)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$9-2,12)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$9-2,12)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$9-2,12)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$9-2,12)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$9-2,12)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$9-2,12)+1)),AND(FALSE(),MOD(MATCH(CALC_PlanetPositions!$B$14,{"Aries","Taurus","Gemini","Cancer","Leo","Virgo","Libra","Scorpio","Sagittarius","Capricorn","Aquarius","Pisces"},0)-MATCH(INPUT_Chart!$C$5,{"Aries","Taurus","Gemini","Cancer","Leo","Virgo","Libra","Scorpio","Sagittarius","Capricorn","Aquarius","Pisces"},0),12)+1=(MOD(CALC_BhaveshMap!$H$9-2,12)+1)),AND(FALSE(),MOD(MATCH(CALC_PlanetPositions!$B$15,{"Aries","Taurus","Gemini","Cancer","Leo","Virgo","Libra","Scorpio","Sagittarius","Capricorn","Aquarius","Pisces"},0)-MATCH(INPUT_Chart!$C$5,{"Aries","Taurus","Gemini","Cancer","Leo","Virgo","Libra","Scorpio","Sagittarius","Capricorn","Aquarius","Pisces"},0),12)+1=(MOD(CALC_BhaveshMap!$H$9-2,12)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$9,12)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$9,12)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$9,12)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$9,12)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$9,12)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$9,12)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$9,12)+1)),AND(FALSE(),MOD(MATCH(CALC_PlanetPositions!$B$14,{"Aries","Taurus","Gemini","Cancer","Leo","Virgo","Libra","Scorpio","Sagittarius","Capricorn","Aquarius","Pisces"},0)-MATCH(INPUT_Chart!$C$5,{"Aries","Taurus","Gemini","Cancer","Leo","Virgo","Libra","Scorpio","Sagittarius","Capricorn","Aquarius","Pisces"},0),12)+1=(MOD(CALC_BhaveshMap!$H$9,12)+1)),AND(FALSE(),MOD(MATCH(CALC_PlanetPositions!$B$15,{"Aries","Taurus","Gemini","Cancer","Leo","Virgo","Libra","Scorpio","Sagittarius","Capricorn","Aquarius","Pisces"},0)-MATCH(INPUT_Chart!$C$5,{"Aries","Taurus","Gemini","Cancer","Leo","Virgo","Libra","Scorpio","Sagittarius","Capricorn","Aquarius","Pisces"},0),12)+1=(MOD(CALC_BhaveshMap!$H$9,12)+1)))),1,0),0))*IF(REF_Config!$B$6="KP",0.75,IF(REF_Config!$B$6="Jaimini",0.5,0.75)),0)</f>
        <v>0</v>
      </c>
      <c r="D13" s="403" t="s">
        <v>4620</v>
      </c>
    </row>
    <row r="14" spans="1:12" ht="15.75" customHeight="1" x14ac:dyDescent="0.2">
      <c r="A14" s="1598" t="s">
        <v>4621</v>
      </c>
      <c r="B14" s="1598"/>
      <c r="C14" s="1598"/>
      <c r="D14" s="1598"/>
    </row>
    <row r="15" spans="1:12" ht="27.75" customHeight="1" x14ac:dyDescent="0.2">
      <c r="A15" s="126"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5),AND(CALC_PlanetPositions!$M$8="Malefic",(MOD(MATCH(CALC_PlanetPositions!$B$8,{"Aries","Taurus","Gemini","Cancer","Leo","Virgo","Libra","Scorpio","Sagittarius","Capricorn","Aquarius","Pisces"},0)-MATCH(INPUT_Chart!$C$5,{"Aries","Taurus","Gemini","Cancer","Leo","Virgo","Libra","Scorpio","Sagittarius","Capricorn","Aquarius","Pisces"},0),12)+1)=5),AND(CALC_PlanetPositions!$M$9="Malefic",(MOD(MATCH(CALC_PlanetPositions!$B$9,{"Aries","Taurus","Gemini","Cancer","Leo","Virgo","Libra","Scorpio","Sagittarius","Capricorn","Aquarius","Pisces"},0)-MATCH(INPUT_Chart!$C$5,{"Aries","Taurus","Gemini","Cancer","Leo","Virgo","Libra","Scorpio","Sagittarius","Capricorn","Aquarius","Pisces"},0),12)+1)=5),AND(CALC_PlanetPositions!$M$10="Malefic",(MOD(MATCH(CALC_PlanetPositions!$B$10,{"Aries","Taurus","Gemini","Cancer","Leo","Virgo","Libra","Scorpio","Sagittarius","Capricorn","Aquarius","Pisces"},0)-MATCH(INPUT_Chart!$C$5,{"Aries","Taurus","Gemini","Cancer","Leo","Virgo","Libra","Scorpio","Sagittarius","Capricorn","Aquarius","Pisces"},0),12)+1)=5),AND(CALC_PlanetPositions!$M$11="Malefic",(MOD(MATCH(CALC_PlanetPositions!$B$11,{"Aries","Taurus","Gemini","Cancer","Leo","Virgo","Libra","Scorpio","Sagittarius","Capricorn","Aquarius","Pisces"},0)-MATCH(INPUT_Chart!$C$5,{"Aries","Taurus","Gemini","Cancer","Leo","Virgo","Libra","Scorpio","Sagittarius","Capricorn","Aquarius","Pisces"},0),12)+1)=5),AND(CALC_PlanetPositions!$M$12="Malefic",(MOD(MATCH(CALC_PlanetPositions!$B$12,{"Aries","Taurus","Gemini","Cancer","Leo","Virgo","Libra","Scorpio","Sagittarius","Capricorn","Aquarius","Pisces"},0)-MATCH(INPUT_Chart!$C$5,{"Aries","Taurus","Gemini","Cancer","Leo","Virgo","Libra","Scorpio","Sagittarius","Capricorn","Aquarius","Pisces"},0),12)+1)=5),AND(CALC_PlanetPositions!$M$13="Malefic",(MOD(MATCH(CALC_PlanetPositions!$B$13,{"Aries","Taurus","Gemini","Cancer","Leo","Virgo","Libra","Scorpio","Sagittarius","Capricorn","Aquarius","Pisces"},0)-MATCH(INPUT_Chart!$C$5,{"Aries","Taurus","Gemini","Cancer","Leo","Virgo","Libra","Scorpio","Sagittarius","Capricorn","Aquarius","Pisces"},0),12)+1)=5),AND(TRUE(),(MOD(MATCH(CALC_PlanetPositions!$B$14,{"Aries","Taurus","Gemini","Cancer","Leo","Virgo","Libra","Scorpio","Sagittarius","Capricorn","Aquarius","Pisces"},0)-MATCH(INPUT_Chart!$C$5,{"Aries","Taurus","Gemini","Cancer","Leo","Virgo","Libra","Scorpio","Sagittarius","Capricorn","Aquarius","Pisces"},0),12)+1)=5),AND(TRUE(),(MOD(MATCH(CALC_PlanetPositions!$B$15,{"Aries","Taurus","Gemini","Cancer","Leo","Virgo","Libra","Scorpio","Sagittarius","Capricorn","Aquarius","Pisces"},0)-MATCH(INPUT_Chart!$C$5,{"Aries","Taurus","Gemini","Cancer","Leo","Virgo","Libra","Scorpio","Sagittarius","Capricorn","Aquarius","Pisces"},0),12)+1)=5)),1,0),0))*-1,0)</f>
        <v>0</v>
      </c>
      <c r="D15" s="400" t="s">
        <v>4623</v>
      </c>
    </row>
    <row r="16" spans="1:12" ht="27.75" customHeight="1" x14ac:dyDescent="0.2">
      <c r="A16" s="126" t="s">
        <v>4624</v>
      </c>
      <c r="B16" s="203" t="s">
        <v>4548</v>
      </c>
      <c r="C16" s="1118">
        <f>IFERROR((IFERROR(IF(OR(AND(CALC_PlanetPositions!$M$7="Malefic",INDEX(REF_Aspects!$D$5:$O$13,1,MOD(5-(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5)),AND(CALC_PlanetPositions!$M$8="Malefic",INDEX(REF_Aspects!$D$5:$O$13,2,MOD(5-(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5)),AND(CALC_PlanetPositions!$M$9="Malefic",INDEX(REF_Aspects!$D$5:$O$13,3,MOD(5-(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5)),AND(CALC_PlanetPositions!$M$10="Malefic",INDEX(REF_Aspects!$D$5:$O$13,4,MOD(5-(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5)),AND(CALC_PlanetPositions!$M$11="Malefic",INDEX(REF_Aspects!$D$5:$O$13,5,MOD(5-(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5)),AND(CALC_PlanetPositions!$M$12="Malefic",INDEX(REF_Aspects!$D$5:$O$13,6,MOD(5-(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5)),AND(CALC_PlanetPositions!$M$13="Malefic",INDEX(REF_Aspects!$D$5:$O$13,7,MOD(5-(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5)),AND(TRUE(),INDEX(REF_Aspects!$D$5:$O$13,8,MOD(5-(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5)),AND(TRUE(),INDEX(REF_Aspects!$D$5:$O$13,9,MOD(5-(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5))),1,0),0))*-1,0)</f>
        <v>-1</v>
      </c>
      <c r="D16" s="403" t="s">
        <v>4625</v>
      </c>
    </row>
    <row r="17" spans="1:7" ht="27.75" customHeight="1" x14ac:dyDescent="0.2">
      <c r="A17" s="126" t="s">
        <v>4626</v>
      </c>
      <c r="B17" s="357" t="s">
        <v>3062</v>
      </c>
      <c r="C17" s="1117">
        <v>0</v>
      </c>
      <c r="D17" s="400" t="s">
        <v>4627</v>
      </c>
    </row>
    <row r="18" spans="1:7" ht="27.75" customHeight="1" x14ac:dyDescent="0.2">
      <c r="A18" s="126"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(5-2,12)+1)),AND(CALC_PlanetPositions!$M$8="Malefic",MOD(MATCH(CALC_PlanetPositions!$B$8,{"Aries","Taurus","Gemini","Cancer","Leo","Virgo","Libra","Scorpio","Sagittarius","Capricorn","Aquarius","Pisces"},0)-MATCH(INPUT_Chart!$C$5,{"Aries","Taurus","Gemini","Cancer","Leo","Virgo","Libra","Scorpio","Sagittarius","Capricorn","Aquarius","Pisces"},0),12)+1=(MOD(5-2,12)+1)),AND(CALC_PlanetPositions!$M$9="Malefic",MOD(MATCH(CALC_PlanetPositions!$B$9,{"Aries","Taurus","Gemini","Cancer","Leo","Virgo","Libra","Scorpio","Sagittarius","Capricorn","Aquarius","Pisces"},0)-MATCH(INPUT_Chart!$C$5,{"Aries","Taurus","Gemini","Cancer","Leo","Virgo","Libra","Scorpio","Sagittarius","Capricorn","Aquarius","Pisces"},0),12)+1=(MOD(5-2,12)+1)),AND(CALC_PlanetPositions!$M$10="Malefic",MOD(MATCH(CALC_PlanetPositions!$B$10,{"Aries","Taurus","Gemini","Cancer","Leo","Virgo","Libra","Scorpio","Sagittarius","Capricorn","Aquarius","Pisces"},0)-MATCH(INPUT_Chart!$C$5,{"Aries","Taurus","Gemini","Cancer","Leo","Virgo","Libra","Scorpio","Sagittarius","Capricorn","Aquarius","Pisces"},0),12)+1=(MOD(5-2,12)+1)),AND(CALC_PlanetPositions!$M$11="Malefic",MOD(MATCH(CALC_PlanetPositions!$B$11,{"Aries","Taurus","Gemini","Cancer","Leo","Virgo","Libra","Scorpio","Sagittarius","Capricorn","Aquarius","Pisces"},0)-MATCH(INPUT_Chart!$C$5,{"Aries","Taurus","Gemini","Cancer","Leo","Virgo","Libra","Scorpio","Sagittarius","Capricorn","Aquarius","Pisces"},0),12)+1=(MOD(5-2,12)+1)),AND(CALC_PlanetPositions!$M$12="Malefic",MOD(MATCH(CALC_PlanetPositions!$B$12,{"Aries","Taurus","Gemini","Cancer","Leo","Virgo","Libra","Scorpio","Sagittarius","Capricorn","Aquarius","Pisces"},0)-MATCH(INPUT_Chart!$C$5,{"Aries","Taurus","Gemini","Cancer","Leo","Virgo","Libra","Scorpio","Sagittarius","Capricorn","Aquarius","Pisces"},0),12)+1=(MOD(5-2,12)+1)),AND(CALC_PlanetPositions!$M$13="Malefic",MOD(MATCH(CALC_PlanetPositions!$B$13,{"Aries","Taurus","Gemini","Cancer","Leo","Virgo","Libra","Scorpio","Sagittarius","Capricorn","Aquarius","Pisces"},0)-MATCH(INPUT_Chart!$C$5,{"Aries","Taurus","Gemini","Cancer","Leo","Virgo","Libra","Scorpio","Sagittarius","Capricorn","Aquarius","Pisces"},0),12)+1=(MOD(5-2,12)+1)),AND(TRUE(),MOD(MATCH(CALC_PlanetPositions!$B$14,{"Aries","Taurus","Gemini","Cancer","Leo","Virgo","Libra","Scorpio","Sagittarius","Capricorn","Aquarius","Pisces"},0)-MATCH(INPUT_Chart!$C$5,{"Aries","Taurus","Gemini","Cancer","Leo","Virgo","Libra","Scorpio","Sagittarius","Capricorn","Aquarius","Pisces"},0),12)+1=(MOD(5-2,12)+1)),AND(TRUE(),MOD(MATCH(CALC_PlanetPositions!$B$15,{"Aries","Taurus","Gemini","Cancer","Leo","Virgo","Libra","Scorpio","Sagittarius","Capricorn","Aquarius","Pisces"},0)-MATCH(INPUT_Chart!$C$5,{"Aries","Taurus","Gemini","Cancer","Leo","Virgo","Libra","Scorpio","Sagittarius","Capricorn","Aquarius","Pisces"},0),12)+1=(MOD(5-2,12)+1))),OR(AND(CALC_PlanetPositions!$M$7="Malefic",MOD(MATCH(CALC_PlanetPositions!$B$7,{"Aries","Taurus","Gemini","Cancer","Leo","Virgo","Libra","Scorpio","Sagittarius","Capricorn","Aquarius","Pisces"},0)-MATCH(INPUT_Chart!$C$5,{"Aries","Taurus","Gemini","Cancer","Leo","Virgo","Libra","Scorpio","Sagittarius","Capricorn","Aquarius","Pisces"},0),12)+1=(MOD(5,12)+1)),AND(CALC_PlanetPositions!$M$8="Malefic",MOD(MATCH(CALC_PlanetPositions!$B$8,{"Aries","Taurus","Gemini","Cancer","Leo","Virgo","Libra","Scorpio","Sagittarius","Capricorn","Aquarius","Pisces"},0)-MATCH(INPUT_Chart!$C$5,{"Aries","Taurus","Gemini","Cancer","Leo","Virgo","Libra","Scorpio","Sagittarius","Capricorn","Aquarius","Pisces"},0),12)+1=(MOD(5,12)+1)),AND(CALC_PlanetPositions!$M$9="Malefic",MOD(MATCH(CALC_PlanetPositions!$B$9,{"Aries","Taurus","Gemini","Cancer","Leo","Virgo","Libra","Scorpio","Sagittarius","Capricorn","Aquarius","Pisces"},0)-MATCH(INPUT_Chart!$C$5,{"Aries","Taurus","Gemini","Cancer","Leo","Virgo","Libra","Scorpio","Sagittarius","Capricorn","Aquarius","Pisces"},0),12)+1=(MOD(5,12)+1)),AND(CALC_PlanetPositions!$M$10="Malefic",MOD(MATCH(CALC_PlanetPositions!$B$10,{"Aries","Taurus","Gemini","Cancer","Leo","Virgo","Libra","Scorpio","Sagittarius","Capricorn","Aquarius","Pisces"},0)-MATCH(INPUT_Chart!$C$5,{"Aries","Taurus","Gemini","Cancer","Leo","Virgo","Libra","Scorpio","Sagittarius","Capricorn","Aquarius","Pisces"},0),12)+1=(MOD(5,12)+1)),AND(CALC_PlanetPositions!$M$11="Malefic",MOD(MATCH(CALC_PlanetPositions!$B$11,{"Aries","Taurus","Gemini","Cancer","Leo","Virgo","Libra","Scorpio","Sagittarius","Capricorn","Aquarius","Pisces"},0)-MATCH(INPUT_Chart!$C$5,{"Aries","Taurus","Gemini","Cancer","Leo","Virgo","Libra","Scorpio","Sagittarius","Capricorn","Aquarius","Pisces"},0),12)+1=(MOD(5,12)+1)),AND(CALC_PlanetPositions!$M$12="Malefic",MOD(MATCH(CALC_PlanetPositions!$B$12,{"Aries","Taurus","Gemini","Cancer","Leo","Virgo","Libra","Scorpio","Sagittarius","Capricorn","Aquarius","Pisces"},0)-MATCH(INPUT_Chart!$C$5,{"Aries","Taurus","Gemini","Cancer","Leo","Virgo","Libra","Scorpio","Sagittarius","Capricorn","Aquarius","Pisces"},0),12)+1=(MOD(5,12)+1)),AND(CALC_PlanetPositions!$M$13="Malefic",MOD(MATCH(CALC_PlanetPositions!$B$13,{"Aries","Taurus","Gemini","Cancer","Leo","Virgo","Libra","Scorpio","Sagittarius","Capricorn","Aquarius","Pisces"},0)-MATCH(INPUT_Chart!$C$5,{"Aries","Taurus","Gemini","Cancer","Leo","Virgo","Libra","Scorpio","Sagittarius","Capricorn","Aquarius","Pisces"},0),12)+1=(MOD(5,12)+1)),AND(TRUE(),MOD(MATCH(CALC_PlanetPositions!$B$14,{"Aries","Taurus","Gemini","Cancer","Leo","Virgo","Libra","Scorpio","Sagittarius","Capricorn","Aquarius","Pisces"},0)-MATCH(INPUT_Chart!$C$5,{"Aries","Taurus","Gemini","Cancer","Leo","Virgo","Libra","Scorpio","Sagittarius","Capricorn","Aquarius","Pisces"},0),12)+1=(MOD(5,12)+1)),AND(TRUE(),MOD(MATCH(CALC_PlanetPositions!$B$15,{"Aries","Taurus","Gemini","Cancer","Leo","Virgo","Libra","Scorpio","Sagittarius","Capricorn","Aquarius","Pisces"},0)-MATCH(INPUT_Chart!$C$5,{"Aries","Taurus","Gemini","Cancer","Leo","Virgo","Libra","Scorpio","Sagittarius","Capricorn","Aquarius","Pisces"},0),12)+1=(MOD(5,12)+1)))),1,0),0))*IF(REF_Config!$B$6="KP",-0.75,IF(REF_Config!$B$6="Jaimini",-0.5,-0.75)),0)</f>
        <v>0</v>
      </c>
      <c r="D18" s="403" t="s">
        <v>4629</v>
      </c>
    </row>
    <row r="19" spans="1:7" ht="15.75" customHeight="1" x14ac:dyDescent="0.2">
      <c r="A19" s="1594" t="s">
        <v>3624</v>
      </c>
      <c r="B19" s="1594"/>
      <c r="C19" s="1594"/>
      <c r="D19" s="1594"/>
    </row>
    <row r="20" spans="1:7" ht="27.75" customHeight="1" x14ac:dyDescent="0.2">
      <c r="A20" s="126" t="s">
        <v>4630</v>
      </c>
      <c r="B20" s="357" t="s">
        <v>4555</v>
      </c>
      <c r="C20" s="1117">
        <v>0</v>
      </c>
      <c r="D20" s="400" t="s">
        <v>4631</v>
      </c>
    </row>
    <row r="21" spans="1:7" ht="27.75" customHeight="1" x14ac:dyDescent="0.2">
      <c r="A21" s="126" t="s">
        <v>4632</v>
      </c>
      <c r="B21" s="203" t="s">
        <v>4633</v>
      </c>
      <c r="C21" s="1118">
        <f>IFERROR((IFERROR(IF(OR(AND(CALC_PlanetPositions!$M$7="Malefic",INDEX(REF_Aspects!$D$5:$O$13,1,MOD(CALC_BhaveshMap!$H$9-(MOD(MATCH(CALC_PlanetPositions!$B$7,{"Aries","Taurus","Gemini","Cancer","Leo","Virgo","Libra","Scorpio","Sagittarius","Capricorn","Aquarius","Pisces"},0)-MATCH(INPUT_Chart!$C$5,{"Aries","Taurus","Gemini","Cancer","Leo","Virgo","Libra","Scorpio","Sagittarius","Capricorn","Aquarius","Pisces"},0),12)+1),12)+1)="FULL",NOT(CALC_PlanetPositions!$B$7=CALC_BhaveshMap!$G$9)),AND(CALC_PlanetPositions!$M$8="Malefic",INDEX(REF_Aspects!$D$5:$O$13,2,MOD(CALC_BhaveshMap!$H$9-(MOD(MATCH(CALC_PlanetPositions!$B$8,{"Aries","Taurus","Gemini","Cancer","Leo","Virgo","Libra","Scorpio","Sagittarius","Capricorn","Aquarius","Pisces"},0)-MATCH(INPUT_Chart!$C$5,{"Aries","Taurus","Gemini","Cancer","Leo","Virgo","Libra","Scorpio","Sagittarius","Capricorn","Aquarius","Pisces"},0),12)+1),12)+1)="FULL",NOT(CALC_PlanetPositions!$B$8=CALC_BhaveshMap!$G$9)),AND(CALC_PlanetPositions!$M$9="Malefic",INDEX(REF_Aspects!$D$5:$O$13,3,MOD(CALC_BhaveshMap!$H$9-(MOD(MATCH(CALC_PlanetPositions!$B$9,{"Aries","Taurus","Gemini","Cancer","Leo","Virgo","Libra","Scorpio","Sagittarius","Capricorn","Aquarius","Pisces"},0)-MATCH(INPUT_Chart!$C$5,{"Aries","Taurus","Gemini","Cancer","Leo","Virgo","Libra","Scorpio","Sagittarius","Capricorn","Aquarius","Pisces"},0),12)+1),12)+1)="FULL",NOT(CALC_PlanetPositions!$B$9=CALC_BhaveshMap!$G$9)),AND(CALC_PlanetPositions!$M$10="Malefic",INDEX(REF_Aspects!$D$5:$O$13,4,MOD(CALC_BhaveshMap!$H$9-(MOD(MATCH(CALC_PlanetPositions!$B$10,{"Aries","Taurus","Gemini","Cancer","Leo","Virgo","Libra","Scorpio","Sagittarius","Capricorn","Aquarius","Pisces"},0)-MATCH(INPUT_Chart!$C$5,{"Aries","Taurus","Gemini","Cancer","Leo","Virgo","Libra","Scorpio","Sagittarius","Capricorn","Aquarius","Pisces"},0),12)+1),12)+1)="FULL",NOT(CALC_PlanetPositions!$B$10=CALC_BhaveshMap!$G$9)),AND(CALC_PlanetPositions!$M$11="Malefic",INDEX(REF_Aspects!$D$5:$O$13,5,MOD(CALC_BhaveshMap!$H$9-(MOD(MATCH(CALC_PlanetPositions!$B$11,{"Aries","Taurus","Gemini","Cancer","Leo","Virgo","Libra","Scorpio","Sagittarius","Capricorn","Aquarius","Pisces"},0)-MATCH(INPUT_Chart!$C$5,{"Aries","Taurus","Gemini","Cancer","Leo","Virgo","Libra","Scorpio","Sagittarius","Capricorn","Aquarius","Pisces"},0),12)+1),12)+1)="FULL",NOT(CALC_PlanetPositions!$B$11=CALC_BhaveshMap!$G$9)),AND(CALC_PlanetPositions!$M$12="Malefic",INDEX(REF_Aspects!$D$5:$O$13,6,MOD(CALC_BhaveshMap!$H$9-(MOD(MATCH(CALC_PlanetPositions!$B$12,{"Aries","Taurus","Gemini","Cancer","Leo","Virgo","Libra","Scorpio","Sagittarius","Capricorn","Aquarius","Pisces"},0)-MATCH(INPUT_Chart!$C$5,{"Aries","Taurus","Gemini","Cancer","Leo","Virgo","Libra","Scorpio","Sagittarius","Capricorn","Aquarius","Pisces"},0),12)+1),12)+1)="FULL",NOT(CALC_PlanetPositions!$B$12=CALC_BhaveshMap!$G$9)),AND(CALC_PlanetPositions!$M$13="Malefic",INDEX(REF_Aspects!$D$5:$O$13,7,MOD(CALC_BhaveshMap!$H$9-(MOD(MATCH(CALC_PlanetPositions!$B$13,{"Aries","Taurus","Gemini","Cancer","Leo","Virgo","Libra","Scorpio","Sagittarius","Capricorn","Aquarius","Pisces"},0)-MATCH(INPUT_Chart!$C$5,{"Aries","Taurus","Gemini","Cancer","Leo","Virgo","Libra","Scorpio","Sagittarius","Capricorn","Aquarius","Pisces"},0),12)+1),12)+1)="FULL",NOT(CALC_PlanetPositions!$B$13=CALC_BhaveshMap!$G$9)),AND(TRUE(),INDEX(REF_Aspects!$D$5:$O$13,8,MOD(CALC_BhaveshMap!$H$9-(MOD(MATCH(CALC_PlanetPositions!$B$14,{"Aries","Taurus","Gemini","Cancer","Leo","Virgo","Libra","Scorpio","Sagittarius","Capricorn","Aquarius","Pisces"},0)-MATCH(INPUT_Chart!$C$5,{"Aries","Taurus","Gemini","Cancer","Leo","Virgo","Libra","Scorpio","Sagittarius","Capricorn","Aquarius","Pisces"},0),12)+1),12)+1)="FULL",NOT(CALC_PlanetPositions!$B$14=CALC_BhaveshMap!$G$9)),AND(TRUE(),INDEX(REF_Aspects!$D$5:$O$13,9,MOD(CALC_BhaveshMap!$H$9-(MOD(MATCH(CALC_PlanetPositions!$B$15,{"Aries","Taurus","Gemini","Cancer","Leo","Virgo","Libra","Scorpio","Sagittarius","Capricorn","Aquarius","Pisces"},0)-MATCH(INPUT_Chart!$C$5,{"Aries","Taurus","Gemini","Cancer","Leo","Virgo","Libra","Scorpio","Sagittarius","Capricorn","Aquarius","Pisces"},0),12)+1),12)+1)="FULL",NOT(CALC_PlanetPositions!$B$15=CALC_BhaveshMap!$G$9))),1,0),0))*-0.5,0)</f>
        <v>-0.5</v>
      </c>
      <c r="D21" s="403" t="s">
        <v>4634</v>
      </c>
    </row>
    <row r="22" spans="1:7" ht="27.75" customHeight="1" x14ac:dyDescent="0.2">
      <c r="A22" s="126" t="s">
        <v>4635</v>
      </c>
      <c r="B22" s="357" t="s">
        <v>3042</v>
      </c>
      <c r="C22" s="1117">
        <f>IFERROR((IFERROR(IF(CALC_BhaveshMap!$K$9="Yes",1,0),0))*IF(REF_Config!$B$6="KP",-1.75,IF(REF_Config!$B$6="Jaimini",-2,-2)),0)</f>
        <v>0</v>
      </c>
      <c r="D22" s="400" t="s">
        <v>4636</v>
      </c>
    </row>
    <row r="23" spans="1:7" ht="27.75" customHeight="1" x14ac:dyDescent="0.2">
      <c r="A23" s="126" t="s">
        <v>4637</v>
      </c>
      <c r="B23" s="203" t="s">
        <v>3059</v>
      </c>
      <c r="C23" s="1118">
        <f>IFERROR((IFERROR(IF(OR(AND(CALC_BhaveshMap!$G$10=CALC_BhaveshMap!$G$9,CALC_BhaveshMap!$D$10&lt;&gt;CALC_BhaveshMap!$D$9),AND(CALC_BhaveshMap!$G$12=CALC_BhaveshMap!$G$9,CALC_BhaveshMap!$D$12&lt;&gt;CALC_BhaveshMap!$D$9),AND(CALC_BhaveshMap!$G$16=CALC_BhaveshMap!$G$9,CALC_BhaveshMap!$D$16&lt;&gt;CALC_BhaveshMap!$D$9)),1,0),0))*-1,0)</f>
        <v>-1</v>
      </c>
      <c r="D23" s="403" t="s">
        <v>4638</v>
      </c>
    </row>
    <row r="24" spans="1:7" ht="15.75" customHeight="1" x14ac:dyDescent="0.2">
      <c r="A24" s="1484" t="s">
        <v>4639</v>
      </c>
      <c r="B24" s="1484"/>
      <c r="C24" s="1484"/>
      <c r="D24" s="1484"/>
    </row>
    <row r="25" spans="1:7" ht="27.75" customHeight="1" x14ac:dyDescent="0.2">
      <c r="A25" s="126" t="s">
        <v>4640</v>
      </c>
      <c r="B25" s="357" t="s">
        <v>3084</v>
      </c>
      <c r="C25" s="1117">
        <f>IFERROR(IF(CALC_KarakMap!$M$9&gt;0,CALC_KarakMap!$M$9,0),0)</f>
        <v>0</v>
      </c>
      <c r="D25" s="400" t="s">
        <v>4641</v>
      </c>
    </row>
    <row r="26" spans="1:7" ht="27.75" customHeight="1" x14ac:dyDescent="0.2">
      <c r="A26" s="126" t="s">
        <v>4642</v>
      </c>
      <c r="B26" s="203" t="s">
        <v>4564</v>
      </c>
      <c r="C26" s="1118">
        <f>IFERROR(IF(CALC_KarakMap!$M$9&lt;0,CALC_KarakMap!$M$9,0),0)</f>
        <v>-0.5</v>
      </c>
      <c r="D26" s="403" t="s">
        <v>4643</v>
      </c>
    </row>
    <row r="27" spans="1:7" ht="27.75" customHeight="1" x14ac:dyDescent="0.2">
      <c r="A27" s="1119" t="s">
        <v>4644</v>
      </c>
      <c r="B27" s="296" t="s">
        <v>3624</v>
      </c>
      <c r="C27" s="1117">
        <f>IFERROR(IF(OR(CALC_BhaveshMap!$D$9="Sun",CALC_BhaveshMap!$D$9="Rahu",CALC_BhaveshMap!$D$9="Ketu"),0,IF(CALC_BhaveshMap!$D$9="Moon",IF(CALC_CombustionCheck!$G$4="Cazimi ✓",0.5,IF(CALC_CombustionCheck!$F$4="COMBUST ⚠",-1,0)),IF(CALC_BhaveshMap!$D$9="Mars",IF(CALC_CombustionCheck!$G$5="Cazimi ✓",0.5,IF(AND(CALC_CombustionCheck!$F$5="COMBUST ⚠",CALC_RetrogradeFix!$F$6="Rx ✓"),-0.5,IF(CALC_CombustionCheck!$F$5="COMBUST ⚠",-1,0))),IF(CALC_BhaveshMap!$D$9="Mercury",IF(CALC_CombustionCheck!$G$6="Cazimi ✓",0.5,IF(AND(CALC_CombustionCheck!$F$6="COMBUST ⚠",CALC_RetrogradeFix!$F$7="Rx ✓"),-0.5,IF(CALC_CombustionCheck!$F$6="COMBUST ⚠",-1,0))),IF(CALC_BhaveshMap!$D$9="Jupiter",IF(CALC_CombustionCheck!$G$7="Cazimi ✓",0.5,IF(AND(CALC_CombustionCheck!$F$7="COMBUST ⚠",CALC_RetrogradeFix!$F$8="Rx ✓"),-0.5,IF(CALC_CombustionCheck!$F$7="COMBUST ⚠",-1,0))),IF(CALC_BhaveshMap!$D$9="Venus",IF(CALC_CombustionCheck!$G$8="Cazimi ✓",0.5,IF(AND(CALC_CombustionCheck!$F$8="COMBUST ⚠",CALC_RetrogradeFix!$F$9="Rx ✓"),-0.5,IF(CALC_CombustionCheck!$F$8="COMBUST ⚠",-1,0))),IF(CALC_BhaveshMap!$D$9="Saturn",IF(CALC_CombustionCheck!$G$9="Cazimi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BhaveshMap!$D$9="Rahu",CALC_BhaveshMap!$D$9="Ketu"),0,IF(ISNUMBER(MATCH(CALC_BhaveshMap!$D$9,{"Sun","Moon","Mars","Mercury","Jupiter","Venus","Saturn"},0)),IF(INDEX(CALC_DigBala!$F$4:$F$10,MATCH(CALC_BhaveshMap!$D$9,{"Sun","Moon","Mars","Mercury","Jupiter","Venus","Saturn"},0))="Yes",0.5,0),0)),0)</f>
        <v>0</v>
      </c>
      <c r="D28" s="400" t="s">
        <v>4647</v>
      </c>
    </row>
    <row r="29" spans="1:7" ht="27.75" customHeight="1" x14ac:dyDescent="0.2">
      <c r="A29" s="1120" t="s">
        <v>4648</v>
      </c>
      <c r="B29" s="296" t="s">
        <v>3372</v>
      </c>
      <c r="C29" s="1117">
        <f>IFERROR(IF(COUNTIFS(REF_PushkaraNavamsha!$A$4:$A$27,CALC_BhaveshMap!$G$9,REF_PushkaraNavamsha!$B$4:$B$27,INDEX(CALC_PlanetPositions!$G$7:$G$15,MATCH(CALC_BhaveshMap!$D$9,CALC_PlanetPositions!$A$7:$A$15,0)))&gt;0,0.5,0),0)</f>
        <v>0.5</v>
      </c>
      <c r="D29" s="400" t="s">
        <v>4649</v>
      </c>
    </row>
    <row r="30" spans="1:7" ht="25.5" customHeight="1" x14ac:dyDescent="0.2">
      <c r="A30" s="147" t="s">
        <v>4650</v>
      </c>
      <c r="B30" s="1121" t="s">
        <v>4651</v>
      </c>
      <c r="C30" s="1122">
        <f>IFERROR(IF(ISNUMBER(MATCH(CALC_BhaveshMap!$D$9,{"Sun","Moon","Mars","Mercury","Jupiter","Venus","Saturn"},0)),INDEX(CALC_RetrogradeFix!$G$4:$G$10,MATCH(CALC_BhaveshMap!$D$9,{"Sun","Moon","Mars","Mercury","Jupiter","Venus","Saturn"},0)),0),0)</f>
        <v>0</v>
      </c>
      <c r="D30" s="1123" t="s">
        <v>4652</v>
      </c>
    </row>
    <row r="31" spans="1:7" ht="18" customHeight="1" x14ac:dyDescent="0.2">
      <c r="A31" s="1555" t="s">
        <v>4653</v>
      </c>
      <c r="B31" s="1555"/>
      <c r="C31" s="1555"/>
      <c r="D31" s="1555"/>
      <c r="E31" s="1124" t="s">
        <v>4654</v>
      </c>
      <c r="F31" s="1125">
        <f>IFERROR(IF(CALC_Ashtakavarga!F$15&gt;28,0.5,IF(CALC_Ashtakavarga!F$15&lt;22,-0.5,0)),0)</f>
        <v>0.5</v>
      </c>
      <c r="G31" s="1126" t="s">
        <v>4655</v>
      </c>
    </row>
    <row r="32" spans="1:7" ht="18" customHeight="1" x14ac:dyDescent="0.2">
      <c r="A32" s="189" t="s">
        <v>3367</v>
      </c>
      <c r="B32" s="1127" t="s">
        <v>4656</v>
      </c>
      <c r="C32" s="1128">
        <f>IFERROR(SUM(C5:C7),0)</f>
        <v>1.25</v>
      </c>
      <c r="D32" s="1129"/>
    </row>
    <row r="33" spans="1:4" ht="18" customHeight="1" x14ac:dyDescent="0.2">
      <c r="A33" s="189" t="s">
        <v>3372</v>
      </c>
      <c r="B33" s="1127" t="s">
        <v>4657</v>
      </c>
      <c r="C33" s="1128">
        <f>IFERROR(SUM(C9:C13,C28:C30,F31,0),0)</f>
        <v>3</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1.25</v>
      </c>
      <c r="D37" s="1129"/>
    </row>
    <row r="38" spans="1:4" ht="21.75" customHeight="1" x14ac:dyDescent="0.2">
      <c r="A38" s="89" t="s">
        <v>4661</v>
      </c>
      <c r="B38" s="1129"/>
      <c r="C38" s="1131">
        <f>IFERROR(MAX(-10,MIN(10,C37)),0)</f>
        <v>1.25</v>
      </c>
      <c r="D38" s="1132"/>
    </row>
    <row r="39" spans="1:4" ht="18" customHeight="1" x14ac:dyDescent="0.2">
      <c r="A39" s="517" t="s">
        <v>4662</v>
      </c>
      <c r="B39" s="1129"/>
      <c r="C39" s="1133">
        <f>IFERROR(CALC_LagneshStrength!$I$4,0)</f>
        <v>0</v>
      </c>
      <c r="D39" s="1129"/>
    </row>
    <row r="40" spans="1:4" ht="25.5" customHeight="1" x14ac:dyDescent="0.2">
      <c r="A40" s="1145" t="s">
        <v>4663</v>
      </c>
      <c r="B40" s="1129"/>
      <c r="C40" s="1146">
        <f>IFERROR(MAX(-10,MIN(10,C38+C39)),0)</f>
        <v>1.25</v>
      </c>
      <c r="D40" s="1147" t="str">
        <f>IFERROR(IF(C40&gt;=7,"Excellent — Intellect domain very strong",IF(C40&gt;=4,"Good — Intellect domain strong",IF(C40&gt;=1,"Moderate",IF(C40&gt;=-2,"Mixed — Intellect has challenges",IF(C40&gt;=-5,"Weak","Very weak — Intellect heavily afflicted"))))),"—")</f>
        <v>Moderate</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4669</v>
      </c>
      <c r="B1" s="1518"/>
      <c r="C1" s="1518"/>
      <c r="D1" s="1518"/>
      <c r="L1" s="29" t="str">
        <f>HYPERLINK("#'00_INDEX'!A1","&lt;- Index")</f>
        <v>&lt;- Index</v>
      </c>
    </row>
    <row r="2" spans="1:12" ht="19.5" customHeight="1" x14ac:dyDescent="0.2">
      <c r="A2" s="1595" t="str">
        <f>IFERROR("Lagna: "&amp;INPUT_Chart!$C$5&amp;"  ·  H6 sign: "&amp;CALC_BhaveshMap!$C$10&amp;"  ·  Bhavesh: "&amp;CALC_BhaveshMap!$D$10&amp;" in H"&amp;CALC_BhaveshMap!$H$10&amp;" ("&amp;CALC_BhaveshMap!$L$10&amp;")","Enter Lagna in INPUT_Chart")</f>
        <v>Lagna: Taurus  ·  H6 sign: Libra  ·  Bhavesh: Venus in H3 (Neutral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9" t="s">
        <v>4605</v>
      </c>
      <c r="B5" s="357" t="s">
        <v>4529</v>
      </c>
      <c r="C5" s="1117">
        <f>IFERROR((IFERROR(IF(INDEX(REF_Zodiac!$D$17:$O$17,MATCH(CALC_BhaveshMap!$C$10,REF_Zodiac!$D$3:$O$3,0))="Gentle",1,0),0))*0.5,0)</f>
        <v>0.5</v>
      </c>
      <c r="D5" s="400" t="s">
        <v>4606</v>
      </c>
    </row>
    <row r="6" spans="1:12" ht="27.75" customHeight="1" x14ac:dyDescent="0.2">
      <c r="A6" s="119"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19" t="s">
        <v>4609</v>
      </c>
      <c r="B7" s="357" t="s">
        <v>4534</v>
      </c>
      <c r="C7" s="1117">
        <f>IFERROR((IFERROR(IF(OR(AND(OR(CALC_PlanetPositions!$M$7="Benefic",CALC_PlanetPositions!$M$7="Yogakaraka"),INDEX(REF_Aspects!$D$5:$O$13,1,MOD(6-(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6)),AND(OR(CALC_PlanetPositions!$M$8="Benefic",CALC_PlanetPositions!$M$8="Yogakaraka"),INDEX(REF_Aspects!$D$5:$O$13,2,MOD(6-(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6)),AND(OR(CALC_PlanetPositions!$M$9="Benefic",CALC_PlanetPositions!$M$9="Yogakaraka"),INDEX(REF_Aspects!$D$5:$O$13,3,MOD(6-(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6)),AND(OR(CALC_PlanetPositions!$M$10="Benefic",CALC_PlanetPositions!$M$10="Yogakaraka"),INDEX(REF_Aspects!$D$5:$O$13,4,MOD(6-(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6)),AND(OR(CALC_PlanetPositions!$M$11="Benefic",CALC_PlanetPositions!$M$11="Yogakaraka"),INDEX(REF_Aspects!$D$5:$O$13,5,MOD(6-(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6)),AND(OR(CALC_PlanetPositions!$M$12="Benefic",CALC_PlanetPositions!$M$12="Yogakaraka"),INDEX(REF_Aspects!$D$5:$O$13,6,MOD(6-(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6)),AND(OR(CALC_PlanetPositions!$M$13="Benefic",CALC_PlanetPositions!$M$13="Yogakaraka"),INDEX(REF_Aspects!$D$5:$O$13,7,MOD(6-(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6)),AND(FALSE(),INDEX(REF_Aspects!$D$5:$O$13,8,MOD(6-(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6)),AND(FALSE(),INDEX(REF_Aspects!$D$5:$O$13,9,MOD(6-(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6))),1,0),0))*IF(REF_Config!$B$6="KP",0.5,IF(REF_Config!$B$6="Jaimini",0.75,0.75)),0)</f>
        <v>0</v>
      </c>
      <c r="D7" s="400" t="s">
        <v>4610</v>
      </c>
    </row>
    <row r="8" spans="1:12" ht="15.75" customHeight="1" x14ac:dyDescent="0.2">
      <c r="A8" s="1597" t="s">
        <v>3372</v>
      </c>
      <c r="B8" s="1597"/>
      <c r="C8" s="1597"/>
      <c r="D8" s="1597"/>
    </row>
    <row r="9" spans="1:12" ht="27.75" customHeight="1" x14ac:dyDescent="0.2">
      <c r="A9" s="119" t="s">
        <v>4611</v>
      </c>
      <c r="B9" s="203" t="s">
        <v>4537</v>
      </c>
      <c r="C9" s="1118">
        <f>IFERROR(IF(AND(OR(CALC_BhaveshMap!$I$10="Yes",CALC_BhaveshMap!$J$10="Yes"),NOT(CALC_BhaveshMap!$K$10="Yes")),1,0)*IF(REF_Config!$B$6="KP",1.5,IF(REF_Config!$B$6="Jaimini",1.5,2)),0)</f>
        <v>0</v>
      </c>
      <c r="D9" s="403" t="s">
        <v>4612</v>
      </c>
    </row>
    <row r="10" spans="1:12" ht="27.75" customHeight="1" x14ac:dyDescent="0.2">
      <c r="A10" s="119" t="s">
        <v>4613</v>
      </c>
      <c r="B10" s="357" t="s">
        <v>3093</v>
      </c>
      <c r="C10" s="1117">
        <f>IFERROR((IFERROR(IF(OR(AND(CALC_BhaveshMap!$G$5=CALC_BhaveshMap!$G$10,CALC_BhaveshMap!$D$5&lt;&gt;CALC_BhaveshMap!$D$10),AND(CALC_BhaveshMap!$G$8=CALC_BhaveshMap!$G$10,CALC_BhaveshMap!$D$8&lt;&gt;CALC_BhaveshMap!$D$10),AND(CALC_BhaveshMap!$G$9=CALC_BhaveshMap!$G$10,CALC_BhaveshMap!$D$9&lt;&gt;CALC_BhaveshMap!$D$10),AND(CALC_BhaveshMap!$G$11=CALC_BhaveshMap!$G$10,CALC_BhaveshMap!$D$11&lt;&gt;CALC_BhaveshMap!$D$10),AND(CALC_BhaveshMap!$G$13=CALC_BhaveshMap!$G$10,CALC_BhaveshMap!$D$13&lt;&gt;CALC_BhaveshMap!$D$10),AND(CALC_BhaveshMap!$G$14=CALC_BhaveshMap!$G$10,CALC_BhaveshMap!$D$14&lt;&gt;CALC_BhaveshMap!$D$10)),1,0),0))*0.5,0)</f>
        <v>0.5</v>
      </c>
      <c r="D10" s="400" t="s">
        <v>4614</v>
      </c>
    </row>
    <row r="11" spans="1:12" ht="27.75" customHeight="1" x14ac:dyDescent="0.2">
      <c r="A11" s="119" t="s">
        <v>4615</v>
      </c>
      <c r="B11" s="203" t="s">
        <v>4540</v>
      </c>
      <c r="C11" s="1118">
        <f>IFERROR((IFERROR(IF(OR(AND(OR(CALC_PlanetPositions!$M$7="Benefic",CALC_PlanetPositions!$M$7="Yogakaraka"),CALC_PlanetPositions!$B$7=CALC_BhaveshMap!$G$10,CALC_BhaveshMap!$D$10&lt;&gt;"Sun"),AND(OR(CALC_PlanetPositions!$M$8="Benefic",CALC_PlanetPositions!$M$8="Yogakaraka"),CALC_PlanetPositions!$B$8=CALC_BhaveshMap!$G$10,CALC_BhaveshMap!$D$10&lt;&gt;"Moon"),AND(OR(CALC_PlanetPositions!$M$9="Benefic",CALC_PlanetPositions!$M$9="Yogakaraka"),CALC_PlanetPositions!$B$9=CALC_BhaveshMap!$G$10,CALC_BhaveshMap!$D$10&lt;&gt;"Mars"),AND(OR(CALC_PlanetPositions!$M$10="Benefic",CALC_PlanetPositions!$M$10="Yogakaraka"),CALC_PlanetPositions!$B$10=CALC_BhaveshMap!$G$10,CALC_BhaveshMap!$D$10&lt;&gt;"Mercury"),AND(OR(CALC_PlanetPositions!$M$11="Benefic",CALC_PlanetPositions!$M$11="Yogakaraka"),CALC_PlanetPositions!$B$11=CALC_BhaveshMap!$G$10,CALC_BhaveshMap!$D$10&lt;&gt;"Jupiter"),AND(OR(CALC_PlanetPositions!$M$12="Benefic",CALC_PlanetPositions!$M$12="Yogakaraka"),CALC_PlanetPositions!$B$12=CALC_BhaveshMap!$G$10,CALC_BhaveshMap!$D$10&lt;&gt;"Venus"),AND(OR(CALC_PlanetPositions!$M$13="Benefic",CALC_PlanetPositions!$M$13="Yogakaraka"),CALC_PlanetPositions!$B$13=CALC_BhaveshMap!$G$10,CALC_BhaveshMap!$D$10&lt;&gt;"Saturn")),1,0),0))*IF(OR(AND(CALC_PlanetPositions!$M$7="Yogakaraka",CALC_PlanetPositions!$B$7=CALC_BhaveshMap!$G$10,CALC_BhaveshMap!$D$10&lt;&gt;"Sun"),AND(CALC_PlanetPositions!$M$8="Yogakaraka",CALC_PlanetPositions!$B$8=CALC_BhaveshMap!$G$10,CALC_BhaveshMap!$D$10&lt;&gt;"Moon"),AND(CALC_PlanetPositions!$M$9="Yogakaraka",CALC_PlanetPositions!$B$9=CALC_BhaveshMap!$G$10,CALC_BhaveshMap!$D$10&lt;&gt;"Mars"),AND(CALC_PlanetPositions!$M$10="Yogakaraka",CALC_PlanetPositions!$B$10=CALC_BhaveshMap!$G$10,CALC_BhaveshMap!$D$10&lt;&gt;"Mercury"),AND(CALC_PlanetPositions!$M$11="Yogakaraka",CALC_PlanetPositions!$B$11=CALC_BhaveshMap!$G$10,CALC_BhaveshMap!$D$10&lt;&gt;"Jupiter"),AND(CALC_PlanetPositions!$M$12="Yogakaraka",CALC_PlanetPositions!$B$12=CALC_BhaveshMap!$G$10,CALC_BhaveshMap!$D$10&lt;&gt;"Venus"),AND(CALC_PlanetPositions!$M$13="Yogakaraka",CALC_PlanetPositions!$B$13=CALC_BhaveshMap!$G$10,CALC_BhaveshMap!$D$10&lt;&gt;"Saturn")),1.5,1),0)</f>
        <v>1.5</v>
      </c>
      <c r="D11" s="403" t="s">
        <v>4616</v>
      </c>
    </row>
    <row r="12" spans="1:12" ht="27.75" customHeight="1" x14ac:dyDescent="0.2">
      <c r="A12" s="119" t="s">
        <v>4617</v>
      </c>
      <c r="B12" s="357" t="s">
        <v>4542</v>
      </c>
      <c r="C12" s="1117">
        <f>IFERROR((IFERROR(IF(OR(AND(OR(CALC_PlanetPositions!$M$7="Benefic",CALC_PlanetPositions!$M$7="Yogakaraka"),INDEX(REF_Aspects!$D$5:$O$13,1,MOD(CALC_BhaveshMap!$H$10-(MOD(MATCH(CALC_PlanetPositions!$B$7,{"Aries","Taurus","Gemini","Cancer","Leo","Virgo","Libra","Scorpio","Sagittarius","Capricorn","Aquarius","Pisces"},0)-MATCH(INPUT_Chart!$C$5,{"Aries","Taurus","Gemini","Cancer","Leo","Virgo","Libra","Scorpio","Sagittarius","Capricorn","Aquarius","Pisces"},0),12)+1),12)+1)="FULL",NOT(CALC_PlanetPositions!$B$7=CALC_BhaveshMap!$G$10)),AND(OR(CALC_PlanetPositions!$M$8="Benefic",CALC_PlanetPositions!$M$8="Yogakaraka"),INDEX(REF_Aspects!$D$5:$O$13,2,MOD(CALC_BhaveshMap!$H$10-(MOD(MATCH(CALC_PlanetPositions!$B$8,{"Aries","Taurus","Gemini","Cancer","Leo","Virgo","Libra","Scorpio","Sagittarius","Capricorn","Aquarius","Pisces"},0)-MATCH(INPUT_Chart!$C$5,{"Aries","Taurus","Gemini","Cancer","Leo","Virgo","Libra","Scorpio","Sagittarius","Capricorn","Aquarius","Pisces"},0),12)+1),12)+1)="FULL",NOT(CALC_PlanetPositions!$B$8=CALC_BhaveshMap!$G$10)),AND(OR(CALC_PlanetPositions!$M$9="Benefic",CALC_PlanetPositions!$M$9="Yogakaraka"),INDEX(REF_Aspects!$D$5:$O$13,3,MOD(CALC_BhaveshMap!$H$10-(MOD(MATCH(CALC_PlanetPositions!$B$9,{"Aries","Taurus","Gemini","Cancer","Leo","Virgo","Libra","Scorpio","Sagittarius","Capricorn","Aquarius","Pisces"},0)-MATCH(INPUT_Chart!$C$5,{"Aries","Taurus","Gemini","Cancer","Leo","Virgo","Libra","Scorpio","Sagittarius","Capricorn","Aquarius","Pisces"},0),12)+1),12)+1)="FULL",NOT(CALC_PlanetPositions!$B$9=CALC_BhaveshMap!$G$10)),AND(OR(CALC_PlanetPositions!$M$10="Benefic",CALC_PlanetPositions!$M$10="Yogakaraka"),INDEX(REF_Aspects!$D$5:$O$13,4,MOD(CALC_BhaveshMap!$H$10-(MOD(MATCH(CALC_PlanetPositions!$B$10,{"Aries","Taurus","Gemini","Cancer","Leo","Virgo","Libra","Scorpio","Sagittarius","Capricorn","Aquarius","Pisces"},0)-MATCH(INPUT_Chart!$C$5,{"Aries","Taurus","Gemini","Cancer","Leo","Virgo","Libra","Scorpio","Sagittarius","Capricorn","Aquarius","Pisces"},0),12)+1),12)+1)="FULL",NOT(CALC_PlanetPositions!$B$10=CALC_BhaveshMap!$G$10)),AND(OR(CALC_PlanetPositions!$M$11="Benefic",CALC_PlanetPositions!$M$11="Yogakaraka"),INDEX(REF_Aspects!$D$5:$O$13,5,MOD(CALC_BhaveshMap!$H$10-(MOD(MATCH(CALC_PlanetPositions!$B$11,{"Aries","Taurus","Gemini","Cancer","Leo","Virgo","Libra","Scorpio","Sagittarius","Capricorn","Aquarius","Pisces"},0)-MATCH(INPUT_Chart!$C$5,{"Aries","Taurus","Gemini","Cancer","Leo","Virgo","Libra","Scorpio","Sagittarius","Capricorn","Aquarius","Pisces"},0),12)+1),12)+1)="FULL",NOT(CALC_PlanetPositions!$B$11=CALC_BhaveshMap!$G$10)),AND(OR(CALC_PlanetPositions!$M$12="Benefic",CALC_PlanetPositions!$M$12="Yogakaraka"),INDEX(REF_Aspects!$D$5:$O$13,6,MOD(CALC_BhaveshMap!$H$10-(MOD(MATCH(CALC_PlanetPositions!$B$12,{"Aries","Taurus","Gemini","Cancer","Leo","Virgo","Libra","Scorpio","Sagittarius","Capricorn","Aquarius","Pisces"},0)-MATCH(INPUT_Chart!$C$5,{"Aries","Taurus","Gemini","Cancer","Leo","Virgo","Libra","Scorpio","Sagittarius","Capricorn","Aquarius","Pisces"},0),12)+1),12)+1)="FULL",NOT(CALC_PlanetPositions!$B$12=CALC_BhaveshMap!$G$10)),AND(OR(CALC_PlanetPositions!$M$13="Benefic",CALC_PlanetPositions!$M$13="Yogakaraka"),INDEX(REF_Aspects!$D$5:$O$13,7,MOD(CALC_BhaveshMap!$H$10-(MOD(MATCH(CALC_PlanetPositions!$B$13,{"Aries","Taurus","Gemini","Cancer","Leo","Virgo","Libra","Scorpio","Sagittarius","Capricorn","Aquarius","Pisces"},0)-MATCH(INPUT_Chart!$C$5,{"Aries","Taurus","Gemini","Cancer","Leo","Virgo","Libra","Scorpio","Sagittarius","Capricorn","Aquarius","Pisces"},0),12)+1),12)+1)="FULL",NOT(CALC_PlanetPositions!$B$13=CALC_BhaveshMap!$G$10)),AND(FALSE(),INDEX(REF_Aspects!$D$5:$O$13,8,MOD(CALC_BhaveshMap!$H$10-(MOD(MATCH(CALC_PlanetPositions!$B$14,{"Aries","Taurus","Gemini","Cancer","Leo","Virgo","Libra","Scorpio","Sagittarius","Capricorn","Aquarius","Pisces"},0)-MATCH(INPUT_Chart!$C$5,{"Aries","Taurus","Gemini","Cancer","Leo","Virgo","Libra","Scorpio","Sagittarius","Capricorn","Aquarius","Pisces"},0),12)+1),12)+1)="FULL",NOT(CALC_PlanetPositions!$B$14=CALC_BhaveshMap!$G$10)),AND(FALSE(),INDEX(REF_Aspects!$D$5:$O$13,9,MOD(CALC_BhaveshMap!$H$10-(MOD(MATCH(CALC_PlanetPositions!$B$15,{"Aries","Taurus","Gemini","Cancer","Leo","Virgo","Libra","Scorpio","Sagittarius","Capricorn","Aquarius","Pisces"},0)-MATCH(INPUT_Chart!$C$5,{"Aries","Taurus","Gemini","Cancer","Leo","Virgo","Libra","Scorpio","Sagittarius","Capricorn","Aquarius","Pisces"},0),12)+1),12)+1)="FULL",NOT(CALC_PlanetPositions!$B$15=CALC_BhaveshMap!$G$10))),1,0),0))*0.5,0)</f>
        <v>0</v>
      </c>
      <c r="D12" s="400" t="s">
        <v>4618</v>
      </c>
    </row>
    <row r="13" spans="1:12" ht="27.75" customHeight="1" x14ac:dyDescent="0.2">
      <c r="A13" s="119"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$10-2,12)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$10-2,12)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$10-2,12)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$10-2,12)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$10-2,12)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$10-2,12)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$10-2,12)+1)),AND(FALSE(),MOD(MATCH(CALC_PlanetPositions!$B$14,{"Aries","Taurus","Gemini","Cancer","Leo","Virgo","Libra","Scorpio","Sagittarius","Capricorn","Aquarius","Pisces"},0)-MATCH(INPUT_Chart!$C$5,{"Aries","Taurus","Gemini","Cancer","Leo","Virgo","Libra","Scorpio","Sagittarius","Capricorn","Aquarius","Pisces"},0),12)+1=(MOD(CALC_BhaveshMap!$H$10-2,12)+1)),AND(FALSE(),MOD(MATCH(CALC_PlanetPositions!$B$15,{"Aries","Taurus","Gemini","Cancer","Leo","Virgo","Libra","Scorpio","Sagittarius","Capricorn","Aquarius","Pisces"},0)-MATCH(INPUT_Chart!$C$5,{"Aries","Taurus","Gemini","Cancer","Leo","Virgo","Libra","Scorpio","Sagittarius","Capricorn","Aquarius","Pisces"},0),12)+1=(MOD(CALC_BhaveshMap!$H$10-2,12)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$10,12)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$10,12)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$10,12)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$10,12)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$10,12)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$10,12)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$10,12)+1)),AND(FALSE(),MOD(MATCH(CALC_PlanetPositions!$B$14,{"Aries","Taurus","Gemini","Cancer","Leo","Virgo","Libra","Scorpio","Sagittarius","Capricorn","Aquarius","Pisces"},0)-MATCH(INPUT_Chart!$C$5,{"Aries","Taurus","Gemini","Cancer","Leo","Virgo","Libra","Scorpio","Sagittarius","Capricorn","Aquarius","Pisces"},0),12)+1=(MOD(CALC_BhaveshMap!$H$10,12)+1)),AND(FALSE(),MOD(MATCH(CALC_PlanetPositions!$B$15,{"Aries","Taurus","Gemini","Cancer","Leo","Virgo","Libra","Scorpio","Sagittarius","Capricorn","Aquarius","Pisces"},0)-MATCH(INPUT_Chart!$C$5,{"Aries","Taurus","Gemini","Cancer","Leo","Virgo","Libra","Scorpio","Sagittarius","Capricorn","Aquarius","Pisces"},0),12)+1=(MOD(CALC_BhaveshMap!$H$10,12)+1)))),1,0),0))*IF(REF_Config!$B$6="KP",0.75,IF(REF_Config!$B$6="Jaimini",0.5,0.75)),0)</f>
        <v>0</v>
      </c>
      <c r="D13" s="403" t="s">
        <v>4620</v>
      </c>
    </row>
    <row r="14" spans="1:12" ht="15.75" customHeight="1" x14ac:dyDescent="0.2">
      <c r="A14" s="1598" t="s">
        <v>4621</v>
      </c>
      <c r="B14" s="1598"/>
      <c r="C14" s="1598"/>
      <c r="D14" s="1598"/>
    </row>
    <row r="15" spans="1:12" ht="27.75" customHeight="1" x14ac:dyDescent="0.2">
      <c r="A15" s="119"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6),AND(CALC_PlanetPositions!$M$8="Malefic",(MOD(MATCH(CALC_PlanetPositions!$B$8,{"Aries","Taurus","Gemini","Cancer","Leo","Virgo","Libra","Scorpio","Sagittarius","Capricorn","Aquarius","Pisces"},0)-MATCH(INPUT_Chart!$C$5,{"Aries","Taurus","Gemini","Cancer","Leo","Virgo","Libra","Scorpio","Sagittarius","Capricorn","Aquarius","Pisces"},0),12)+1)=6),AND(CALC_PlanetPositions!$M$9="Malefic",(MOD(MATCH(CALC_PlanetPositions!$B$9,{"Aries","Taurus","Gemini","Cancer","Leo","Virgo","Libra","Scorpio","Sagittarius","Capricorn","Aquarius","Pisces"},0)-MATCH(INPUT_Chart!$C$5,{"Aries","Taurus","Gemini","Cancer","Leo","Virgo","Libra","Scorpio","Sagittarius","Capricorn","Aquarius","Pisces"},0),12)+1)=6),AND(CALC_PlanetPositions!$M$10="Malefic",(MOD(MATCH(CALC_PlanetPositions!$B$10,{"Aries","Taurus","Gemini","Cancer","Leo","Virgo","Libra","Scorpio","Sagittarius","Capricorn","Aquarius","Pisces"},0)-MATCH(INPUT_Chart!$C$5,{"Aries","Taurus","Gemini","Cancer","Leo","Virgo","Libra","Scorpio","Sagittarius","Capricorn","Aquarius","Pisces"},0),12)+1)=6),AND(CALC_PlanetPositions!$M$11="Malefic",(MOD(MATCH(CALC_PlanetPositions!$B$11,{"Aries","Taurus","Gemini","Cancer","Leo","Virgo","Libra","Scorpio","Sagittarius","Capricorn","Aquarius","Pisces"},0)-MATCH(INPUT_Chart!$C$5,{"Aries","Taurus","Gemini","Cancer","Leo","Virgo","Libra","Scorpio","Sagittarius","Capricorn","Aquarius","Pisces"},0),12)+1)=6),AND(CALC_PlanetPositions!$M$12="Malefic",(MOD(MATCH(CALC_PlanetPositions!$B$12,{"Aries","Taurus","Gemini","Cancer","Leo","Virgo","Libra","Scorpio","Sagittarius","Capricorn","Aquarius","Pisces"},0)-MATCH(INPUT_Chart!$C$5,{"Aries","Taurus","Gemini","Cancer","Leo","Virgo","Libra","Scorpio","Sagittarius","Capricorn","Aquarius","Pisces"},0),12)+1)=6),AND(CALC_PlanetPositions!$M$13="Malefic",(MOD(MATCH(CALC_PlanetPositions!$B$13,{"Aries","Taurus","Gemini","Cancer","Leo","Virgo","Libra","Scorpio","Sagittarius","Capricorn","Aquarius","Pisces"},0)-MATCH(INPUT_Chart!$C$5,{"Aries","Taurus","Gemini","Cancer","Leo","Virgo","Libra","Scorpio","Sagittarius","Capricorn","Aquarius","Pisces"},0),12)+1)=6),AND(TRUE(),(MOD(MATCH(CALC_PlanetPositions!$B$14,{"Aries","Taurus","Gemini","Cancer","Leo","Virgo","Libra","Scorpio","Sagittarius","Capricorn","Aquarius","Pisces"},0)-MATCH(INPUT_Chart!$C$5,{"Aries","Taurus","Gemini","Cancer","Leo","Virgo","Libra","Scorpio","Sagittarius","Capricorn","Aquarius","Pisces"},0),12)+1)=6),AND(TRUE(),(MOD(MATCH(CALC_PlanetPositions!$B$15,{"Aries","Taurus","Gemini","Cancer","Leo","Virgo","Libra","Scorpio","Sagittarius","Capricorn","Aquarius","Pisces"},0)-MATCH(INPUT_Chart!$C$5,{"Aries","Taurus","Gemini","Cancer","Leo","Virgo","Libra","Scorpio","Sagittarius","Capricorn","Aquarius","Pisces"},0),12)+1)=6)),1,0),0))*-1,0)</f>
        <v>-1</v>
      </c>
      <c r="D15" s="400" t="s">
        <v>4623</v>
      </c>
    </row>
    <row r="16" spans="1:12" ht="27.75" customHeight="1" x14ac:dyDescent="0.2">
      <c r="A16" s="119" t="s">
        <v>4624</v>
      </c>
      <c r="B16" s="203" t="s">
        <v>4548</v>
      </c>
      <c r="C16" s="1118">
        <f>IFERROR((IFERROR(IF(OR(AND(CALC_PlanetPositions!$M$7="Malefic",INDEX(REF_Aspects!$D$5:$O$13,1,MOD(6-(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6)),AND(CALC_PlanetPositions!$M$8="Malefic",INDEX(REF_Aspects!$D$5:$O$13,2,MOD(6-(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6)),AND(CALC_PlanetPositions!$M$9="Malefic",INDEX(REF_Aspects!$D$5:$O$13,3,MOD(6-(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6)),AND(CALC_PlanetPositions!$M$10="Malefic",INDEX(REF_Aspects!$D$5:$O$13,4,MOD(6-(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6)),AND(CALC_PlanetPositions!$M$11="Malefic",INDEX(REF_Aspects!$D$5:$O$13,5,MOD(6-(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6)),AND(CALC_PlanetPositions!$M$12="Malefic",INDEX(REF_Aspects!$D$5:$O$13,6,MOD(6-(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6)),AND(CALC_PlanetPositions!$M$13="Malefic",INDEX(REF_Aspects!$D$5:$O$13,7,MOD(6-(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6)),AND(TRUE(),INDEX(REF_Aspects!$D$5:$O$13,8,MOD(6-(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6)),AND(TRUE(),INDEX(REF_Aspects!$D$5:$O$13,9,MOD(6-(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6))),1,0),0))*-1,0)</f>
        <v>0</v>
      </c>
      <c r="D16" s="403" t="s">
        <v>4625</v>
      </c>
    </row>
    <row r="17" spans="1:7" ht="27.75" customHeight="1" x14ac:dyDescent="0.2">
      <c r="A17" s="119" t="s">
        <v>4626</v>
      </c>
      <c r="B17" s="357" t="s">
        <v>3062</v>
      </c>
      <c r="C17" s="1117">
        <v>0</v>
      </c>
      <c r="D17" s="400" t="s">
        <v>4627</v>
      </c>
    </row>
    <row r="18" spans="1:7" ht="27.75" customHeight="1" x14ac:dyDescent="0.2">
      <c r="A18" s="119"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(6-2,12)+1)),AND(CALC_PlanetPositions!$M$8="Malefic",MOD(MATCH(CALC_PlanetPositions!$B$8,{"Aries","Taurus","Gemini","Cancer","Leo","Virgo","Libra","Scorpio","Sagittarius","Capricorn","Aquarius","Pisces"},0)-MATCH(INPUT_Chart!$C$5,{"Aries","Taurus","Gemini","Cancer","Leo","Virgo","Libra","Scorpio","Sagittarius","Capricorn","Aquarius","Pisces"},0),12)+1=(MOD(6-2,12)+1)),AND(CALC_PlanetPositions!$M$9="Malefic",MOD(MATCH(CALC_PlanetPositions!$B$9,{"Aries","Taurus","Gemini","Cancer","Leo","Virgo","Libra","Scorpio","Sagittarius","Capricorn","Aquarius","Pisces"},0)-MATCH(INPUT_Chart!$C$5,{"Aries","Taurus","Gemini","Cancer","Leo","Virgo","Libra","Scorpio","Sagittarius","Capricorn","Aquarius","Pisces"},0),12)+1=(MOD(6-2,12)+1)),AND(CALC_PlanetPositions!$M$10="Malefic",MOD(MATCH(CALC_PlanetPositions!$B$10,{"Aries","Taurus","Gemini","Cancer","Leo","Virgo","Libra","Scorpio","Sagittarius","Capricorn","Aquarius","Pisces"},0)-MATCH(INPUT_Chart!$C$5,{"Aries","Taurus","Gemini","Cancer","Leo","Virgo","Libra","Scorpio","Sagittarius","Capricorn","Aquarius","Pisces"},0),12)+1=(MOD(6-2,12)+1)),AND(CALC_PlanetPositions!$M$11="Malefic",MOD(MATCH(CALC_PlanetPositions!$B$11,{"Aries","Taurus","Gemini","Cancer","Leo","Virgo","Libra","Scorpio","Sagittarius","Capricorn","Aquarius","Pisces"},0)-MATCH(INPUT_Chart!$C$5,{"Aries","Taurus","Gemini","Cancer","Leo","Virgo","Libra","Scorpio","Sagittarius","Capricorn","Aquarius","Pisces"},0),12)+1=(MOD(6-2,12)+1)),AND(CALC_PlanetPositions!$M$12="Malefic",MOD(MATCH(CALC_PlanetPositions!$B$12,{"Aries","Taurus","Gemini","Cancer","Leo","Virgo","Libra","Scorpio","Sagittarius","Capricorn","Aquarius","Pisces"},0)-MATCH(INPUT_Chart!$C$5,{"Aries","Taurus","Gemini","Cancer","Leo","Virgo","Libra","Scorpio","Sagittarius","Capricorn","Aquarius","Pisces"},0),12)+1=(MOD(6-2,12)+1)),AND(CALC_PlanetPositions!$M$13="Malefic",MOD(MATCH(CALC_PlanetPositions!$B$13,{"Aries","Taurus","Gemini","Cancer","Leo","Virgo","Libra","Scorpio","Sagittarius","Capricorn","Aquarius","Pisces"},0)-MATCH(INPUT_Chart!$C$5,{"Aries","Taurus","Gemini","Cancer","Leo","Virgo","Libra","Scorpio","Sagittarius","Capricorn","Aquarius","Pisces"},0),12)+1=(MOD(6-2,12)+1)),AND(TRUE(),MOD(MATCH(CALC_PlanetPositions!$B$14,{"Aries","Taurus","Gemini","Cancer","Leo","Virgo","Libra","Scorpio","Sagittarius","Capricorn","Aquarius","Pisces"},0)-MATCH(INPUT_Chart!$C$5,{"Aries","Taurus","Gemini","Cancer","Leo","Virgo","Libra","Scorpio","Sagittarius","Capricorn","Aquarius","Pisces"},0),12)+1=(MOD(6-2,12)+1)),AND(TRUE(),MOD(MATCH(CALC_PlanetPositions!$B$15,{"Aries","Taurus","Gemini","Cancer","Leo","Virgo","Libra","Scorpio","Sagittarius","Capricorn","Aquarius","Pisces"},0)-MATCH(INPUT_Chart!$C$5,{"Aries","Taurus","Gemini","Cancer","Leo","Virgo","Libra","Scorpio","Sagittarius","Capricorn","Aquarius","Pisces"},0),12)+1=(MOD(6-2,12)+1))),OR(AND(CALC_PlanetPositions!$M$7="Malefic",MOD(MATCH(CALC_PlanetPositions!$B$7,{"Aries","Taurus","Gemini","Cancer","Leo","Virgo","Libra","Scorpio","Sagittarius","Capricorn","Aquarius","Pisces"},0)-MATCH(INPUT_Chart!$C$5,{"Aries","Taurus","Gemini","Cancer","Leo","Virgo","Libra","Scorpio","Sagittarius","Capricorn","Aquarius","Pisces"},0),12)+1=(MOD(6,12)+1)),AND(CALC_PlanetPositions!$M$8="Malefic",MOD(MATCH(CALC_PlanetPositions!$B$8,{"Aries","Taurus","Gemini","Cancer","Leo","Virgo","Libra","Scorpio","Sagittarius","Capricorn","Aquarius","Pisces"},0)-MATCH(INPUT_Chart!$C$5,{"Aries","Taurus","Gemini","Cancer","Leo","Virgo","Libra","Scorpio","Sagittarius","Capricorn","Aquarius","Pisces"},0),12)+1=(MOD(6,12)+1)),AND(CALC_PlanetPositions!$M$9="Malefic",MOD(MATCH(CALC_PlanetPositions!$B$9,{"Aries","Taurus","Gemini","Cancer","Leo","Virgo","Libra","Scorpio","Sagittarius","Capricorn","Aquarius","Pisces"},0)-MATCH(INPUT_Chart!$C$5,{"Aries","Taurus","Gemini","Cancer","Leo","Virgo","Libra","Scorpio","Sagittarius","Capricorn","Aquarius","Pisces"},0),12)+1=(MOD(6,12)+1)),AND(CALC_PlanetPositions!$M$10="Malefic",MOD(MATCH(CALC_PlanetPositions!$B$10,{"Aries","Taurus","Gemini","Cancer","Leo","Virgo","Libra","Scorpio","Sagittarius","Capricorn","Aquarius","Pisces"},0)-MATCH(INPUT_Chart!$C$5,{"Aries","Taurus","Gemini","Cancer","Leo","Virgo","Libra","Scorpio","Sagittarius","Capricorn","Aquarius","Pisces"},0),12)+1=(MOD(6,12)+1)),AND(CALC_PlanetPositions!$M$11="Malefic",MOD(MATCH(CALC_PlanetPositions!$B$11,{"Aries","Taurus","Gemini","Cancer","Leo","Virgo","Libra","Scorpio","Sagittarius","Capricorn","Aquarius","Pisces"},0)-MATCH(INPUT_Chart!$C$5,{"Aries","Taurus","Gemini","Cancer","Leo","Virgo","Libra","Scorpio","Sagittarius","Capricorn","Aquarius","Pisces"},0),12)+1=(MOD(6,12)+1)),AND(CALC_PlanetPositions!$M$12="Malefic",MOD(MATCH(CALC_PlanetPositions!$B$12,{"Aries","Taurus","Gemini","Cancer","Leo","Virgo","Libra","Scorpio","Sagittarius","Capricorn","Aquarius","Pisces"},0)-MATCH(INPUT_Chart!$C$5,{"Aries","Taurus","Gemini","Cancer","Leo","Virgo","Libra","Scorpio","Sagittarius","Capricorn","Aquarius","Pisces"},0),12)+1=(MOD(6,12)+1)),AND(CALC_PlanetPositions!$M$13="Malefic",MOD(MATCH(CALC_PlanetPositions!$B$13,{"Aries","Taurus","Gemini","Cancer","Leo","Virgo","Libra","Scorpio","Sagittarius","Capricorn","Aquarius","Pisces"},0)-MATCH(INPUT_Chart!$C$5,{"Aries","Taurus","Gemini","Cancer","Leo","Virgo","Libra","Scorpio","Sagittarius","Capricorn","Aquarius","Pisces"},0),12)+1=(MOD(6,12)+1)),AND(TRUE(),MOD(MATCH(CALC_PlanetPositions!$B$14,{"Aries","Taurus","Gemini","Cancer","Leo","Virgo","Libra","Scorpio","Sagittarius","Capricorn","Aquarius","Pisces"},0)-MATCH(INPUT_Chart!$C$5,{"Aries","Taurus","Gemini","Cancer","Leo","Virgo","Libra","Scorpio","Sagittarius","Capricorn","Aquarius","Pisces"},0),12)+1=(MOD(6,12)+1)),AND(TRUE(),MOD(MATCH(CALC_PlanetPositions!$B$15,{"Aries","Taurus","Gemini","Cancer","Leo","Virgo","Libra","Scorpio","Sagittarius","Capricorn","Aquarius","Pisces"},0)-MATCH(INPUT_Chart!$C$5,{"Aries","Taurus","Gemini","Cancer","Leo","Virgo","Libra","Scorpio","Sagittarius","Capricorn","Aquarius","Pisces"},0),12)+1=(MOD(6,12)+1)))),1,0),0))*IF(REF_Config!$B$6="KP",-0.75,IF(REF_Config!$B$6="Jaimini",-0.5,-0.75)),0)</f>
        <v>0</v>
      </c>
      <c r="D18" s="403" t="s">
        <v>4629</v>
      </c>
    </row>
    <row r="19" spans="1:7" ht="15.75" customHeight="1" x14ac:dyDescent="0.2">
      <c r="A19" s="1594" t="s">
        <v>3624</v>
      </c>
      <c r="B19" s="1594"/>
      <c r="C19" s="1594"/>
      <c r="D19" s="1594"/>
    </row>
    <row r="20" spans="1:7" ht="27.75" customHeight="1" x14ac:dyDescent="0.2">
      <c r="A20" s="119" t="s">
        <v>4630</v>
      </c>
      <c r="B20" s="357" t="s">
        <v>4555</v>
      </c>
      <c r="C20" s="1117">
        <v>0</v>
      </c>
      <c r="D20" s="400" t="s">
        <v>4631</v>
      </c>
    </row>
    <row r="21" spans="1:7" ht="27.75" customHeight="1" x14ac:dyDescent="0.2">
      <c r="A21" s="119" t="s">
        <v>4632</v>
      </c>
      <c r="B21" s="203" t="s">
        <v>4633</v>
      </c>
      <c r="C21" s="1118">
        <f>IFERROR((IFERROR(IF(OR(AND(CALC_PlanetPositions!$M$7="Malefic",INDEX(REF_Aspects!$D$5:$O$13,1,MOD(CALC_BhaveshMap!$H$10-(MOD(MATCH(CALC_PlanetPositions!$B$7,{"Aries","Taurus","Gemini","Cancer","Leo","Virgo","Libra","Scorpio","Sagittarius","Capricorn","Aquarius","Pisces"},0)-MATCH(INPUT_Chart!$C$5,{"Aries","Taurus","Gemini","Cancer","Leo","Virgo","Libra","Scorpio","Sagittarius","Capricorn","Aquarius","Pisces"},0),12)+1),12)+1)="FULL",NOT(CALC_PlanetPositions!$B$7=CALC_BhaveshMap!$G$10)),AND(CALC_PlanetPositions!$M$8="Malefic",INDEX(REF_Aspects!$D$5:$O$13,2,MOD(CALC_BhaveshMap!$H$10-(MOD(MATCH(CALC_PlanetPositions!$B$8,{"Aries","Taurus","Gemini","Cancer","Leo","Virgo","Libra","Scorpio","Sagittarius","Capricorn","Aquarius","Pisces"},0)-MATCH(INPUT_Chart!$C$5,{"Aries","Taurus","Gemini","Cancer","Leo","Virgo","Libra","Scorpio","Sagittarius","Capricorn","Aquarius","Pisces"},0),12)+1),12)+1)="FULL",NOT(CALC_PlanetPositions!$B$8=CALC_BhaveshMap!$G$10)),AND(CALC_PlanetPositions!$M$9="Malefic",INDEX(REF_Aspects!$D$5:$O$13,3,MOD(CALC_BhaveshMap!$H$10-(MOD(MATCH(CALC_PlanetPositions!$B$9,{"Aries","Taurus","Gemini","Cancer","Leo","Virgo","Libra","Scorpio","Sagittarius","Capricorn","Aquarius","Pisces"},0)-MATCH(INPUT_Chart!$C$5,{"Aries","Taurus","Gemini","Cancer","Leo","Virgo","Libra","Scorpio","Sagittarius","Capricorn","Aquarius","Pisces"},0),12)+1),12)+1)="FULL",NOT(CALC_PlanetPositions!$B$9=CALC_BhaveshMap!$G$10)),AND(CALC_PlanetPositions!$M$10="Malefic",INDEX(REF_Aspects!$D$5:$O$13,4,MOD(CALC_BhaveshMap!$H$10-(MOD(MATCH(CALC_PlanetPositions!$B$10,{"Aries","Taurus","Gemini","Cancer","Leo","Virgo","Libra","Scorpio","Sagittarius","Capricorn","Aquarius","Pisces"},0)-MATCH(INPUT_Chart!$C$5,{"Aries","Taurus","Gemini","Cancer","Leo","Virgo","Libra","Scorpio","Sagittarius","Capricorn","Aquarius","Pisces"},0),12)+1),12)+1)="FULL",NOT(CALC_PlanetPositions!$B$10=CALC_BhaveshMap!$G$10)),AND(CALC_PlanetPositions!$M$11="Malefic",INDEX(REF_Aspects!$D$5:$O$13,5,MOD(CALC_BhaveshMap!$H$10-(MOD(MATCH(CALC_PlanetPositions!$B$11,{"Aries","Taurus","Gemini","Cancer","Leo","Virgo","Libra","Scorpio","Sagittarius","Capricorn","Aquarius","Pisces"},0)-MATCH(INPUT_Chart!$C$5,{"Aries","Taurus","Gemini","Cancer","Leo","Virgo","Libra","Scorpio","Sagittarius","Capricorn","Aquarius","Pisces"},0),12)+1),12)+1)="FULL",NOT(CALC_PlanetPositions!$B$11=CALC_BhaveshMap!$G$10)),AND(CALC_PlanetPositions!$M$12="Malefic",INDEX(REF_Aspects!$D$5:$O$13,6,MOD(CALC_BhaveshMap!$H$10-(MOD(MATCH(CALC_PlanetPositions!$B$12,{"Aries","Taurus","Gemini","Cancer","Leo","Virgo","Libra","Scorpio","Sagittarius","Capricorn","Aquarius","Pisces"},0)-MATCH(INPUT_Chart!$C$5,{"Aries","Taurus","Gemini","Cancer","Leo","Virgo","Libra","Scorpio","Sagittarius","Capricorn","Aquarius","Pisces"},0),12)+1),12)+1)="FULL",NOT(CALC_PlanetPositions!$B$12=CALC_BhaveshMap!$G$10)),AND(CALC_PlanetPositions!$M$13="Malefic",INDEX(REF_Aspects!$D$5:$O$13,7,MOD(CALC_BhaveshMap!$H$10-(MOD(MATCH(CALC_PlanetPositions!$B$13,{"Aries","Taurus","Gemini","Cancer","Leo","Virgo","Libra","Scorpio","Sagittarius","Capricorn","Aquarius","Pisces"},0)-MATCH(INPUT_Chart!$C$5,{"Aries","Taurus","Gemini","Cancer","Leo","Virgo","Libra","Scorpio","Sagittarius","Capricorn","Aquarius","Pisces"},0),12)+1),12)+1)="FULL",NOT(CALC_PlanetPositions!$B$13=CALC_BhaveshMap!$G$10)),AND(TRUE(),INDEX(REF_Aspects!$D$5:$O$13,8,MOD(CALC_BhaveshMap!$H$10-(MOD(MATCH(CALC_PlanetPositions!$B$14,{"Aries","Taurus","Gemini","Cancer","Leo","Virgo","Libra","Scorpio","Sagittarius","Capricorn","Aquarius","Pisces"},0)-MATCH(INPUT_Chart!$C$5,{"Aries","Taurus","Gemini","Cancer","Leo","Virgo","Libra","Scorpio","Sagittarius","Capricorn","Aquarius","Pisces"},0),12)+1),12)+1)="FULL",NOT(CALC_PlanetPositions!$B$14=CALC_BhaveshMap!$G$10)),AND(TRUE(),INDEX(REF_Aspects!$D$5:$O$13,9,MOD(CALC_BhaveshMap!$H$10-(MOD(MATCH(CALC_PlanetPositions!$B$15,{"Aries","Taurus","Gemini","Cancer","Leo","Virgo","Libra","Scorpio","Sagittarius","Capricorn","Aquarius","Pisces"},0)-MATCH(INPUT_Chart!$C$5,{"Aries","Taurus","Gemini","Cancer","Leo","Virgo","Libra","Scorpio","Sagittarius","Capricorn","Aquarius","Pisces"},0),12)+1),12)+1)="FULL",NOT(CALC_PlanetPositions!$B$15=CALC_BhaveshMap!$G$10))),1,0),0))*-0.5,0)</f>
        <v>-0.5</v>
      </c>
      <c r="D21" s="403" t="s">
        <v>4634</v>
      </c>
    </row>
    <row r="22" spans="1:7" ht="27.75" customHeight="1" x14ac:dyDescent="0.2">
      <c r="A22" s="119" t="s">
        <v>4635</v>
      </c>
      <c r="B22" s="357" t="s">
        <v>3042</v>
      </c>
      <c r="C22" s="1117">
        <f>IFERROR((IFERROR(IF(CALC_BhaveshMap!$K$10="Yes",1,0),0))*IF(REF_Config!$B$6="KP",-1.75,IF(REF_Config!$B$6="Jaimini",-2,-2)),0)</f>
        <v>0</v>
      </c>
      <c r="D22" s="400" t="s">
        <v>4636</v>
      </c>
    </row>
    <row r="23" spans="1:7" ht="27.75" customHeight="1" x14ac:dyDescent="0.2">
      <c r="A23" s="119" t="s">
        <v>4637</v>
      </c>
      <c r="B23" s="203" t="s">
        <v>3059</v>
      </c>
      <c r="C23" s="1118">
        <f>IFERROR((IFERROR(IF(OR(AND(CALC_BhaveshMap!$G$10=CALC_BhaveshMap!$G$10,CALC_BhaveshMap!$D$10&lt;&gt;CALC_BhaveshMap!$D$10),AND(CALC_BhaveshMap!$G$12=CALC_BhaveshMap!$G$10,CALC_BhaveshMap!$D$12&lt;&gt;CALC_BhaveshMap!$D$10),AND(CALC_BhaveshMap!$G$16=CALC_BhaveshMap!$G$10,CALC_BhaveshMap!$D$16&lt;&gt;CALC_BhaveshMap!$D$10)),1,0),0))*-1,0)</f>
        <v>0</v>
      </c>
      <c r="D23" s="403" t="s">
        <v>4638</v>
      </c>
    </row>
    <row r="24" spans="1:7" ht="15.75" customHeight="1" x14ac:dyDescent="0.2">
      <c r="A24" s="1484" t="s">
        <v>4639</v>
      </c>
      <c r="B24" s="1484"/>
      <c r="C24" s="1484"/>
      <c r="D24" s="1484"/>
    </row>
    <row r="25" spans="1:7" ht="27.75" customHeight="1" x14ac:dyDescent="0.2">
      <c r="A25" s="119" t="s">
        <v>4640</v>
      </c>
      <c r="B25" s="357" t="s">
        <v>3084</v>
      </c>
      <c r="C25" s="1117">
        <f>IFERROR(IF(CALC_KarakMap!$M$10&gt;0,CALC_KarakMap!$M$10,0),0)</f>
        <v>0</v>
      </c>
      <c r="D25" s="400" t="s">
        <v>4641</v>
      </c>
    </row>
    <row r="26" spans="1:7" ht="27.75" customHeight="1" x14ac:dyDescent="0.2">
      <c r="A26" s="119" t="s">
        <v>4642</v>
      </c>
      <c r="B26" s="203" t="s">
        <v>4564</v>
      </c>
      <c r="C26" s="1118">
        <f>IFERROR(IF(CALC_KarakMap!$M$10&lt;0,CALC_KarakMap!$M$10,0),0)</f>
        <v>0</v>
      </c>
      <c r="D26" s="403" t="s">
        <v>4643</v>
      </c>
    </row>
    <row r="27" spans="1:7" ht="27.75" customHeight="1" x14ac:dyDescent="0.2">
      <c r="A27" s="1119" t="s">
        <v>4644</v>
      </c>
      <c r="B27" s="296" t="s">
        <v>3624</v>
      </c>
      <c r="C27" s="1117">
        <f>IFERROR(IF(OR(CALC_BhaveshMap!$D$10="Sun",CALC_BhaveshMap!$D$10="Rahu",CALC_BhaveshMap!$D$10="Ketu"),0,IF(CALC_BhaveshMap!$D$10="Moon",IF(CALC_CombustionCheck!$G$4="Cazimi ✓",0.5,IF(CALC_CombustionCheck!$F$4="COMBUST ⚠",-1,0)),IF(CALC_BhaveshMap!$D$10="Mars",IF(CALC_CombustionCheck!$G$5="Cazimi ✓",0.5,IF(AND(CALC_CombustionCheck!$F$5="COMBUST ⚠",CALC_RetrogradeFix!$F$6="Rx ✓"),-0.5,IF(CALC_CombustionCheck!$F$5="COMBUST ⚠",-1,0))),IF(CALC_BhaveshMap!$D$10="Mercury",IF(CALC_CombustionCheck!$G$6="Cazimi ✓",0.5,IF(AND(CALC_CombustionCheck!$F$6="COMBUST ⚠",CALC_RetrogradeFix!$F$7="Rx ✓"),-0.5,IF(CALC_CombustionCheck!$F$6="COMBUST ⚠",-1,0))),IF(CALC_BhaveshMap!$D$10="Jupiter",IF(CALC_CombustionCheck!$G$7="Cazimi ✓",0.5,IF(AND(CALC_CombustionCheck!$F$7="COMBUST ⚠",CALC_RetrogradeFix!$F$8="Rx ✓"),-0.5,IF(CALC_CombustionCheck!$F$7="COMBUST ⚠",-1,0))),IF(CALC_BhaveshMap!$D$10="Venus",IF(CALC_CombustionCheck!$G$8="Cazimi ✓",0.5,IF(AND(CALC_CombustionCheck!$F$8="COMBUST ⚠",CALC_RetrogradeFix!$F$9="Rx ✓"),-0.5,IF(CALC_CombustionCheck!$F$8="COMBUST ⚠",-1,0))),IF(CALC_BhaveshMap!$D$10="Saturn",IF(CALC_CombustionCheck!$G$9="Cazimi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BhaveshMap!$D$10="Rahu",CALC_BhaveshMap!$D$10="Ketu"),0,IF(ISNUMBER(MATCH(CALC_BhaveshMap!$D$10,{"Sun","Moon","Mars","Mercury","Jupiter","Venus","Saturn"},0)),IF(INDEX(CALC_DigBala!$F$4:$F$10,MATCH(CALC_BhaveshMap!$D$10,{"Sun","Moon","Mars","Mercury","Jupiter","Venus","Saturn"},0))="Yes",0.5,0),0)),0)</f>
        <v>0</v>
      </c>
      <c r="D28" s="400" t="s">
        <v>4647</v>
      </c>
    </row>
    <row r="29" spans="1:7" ht="27.75" customHeight="1" x14ac:dyDescent="0.2">
      <c r="A29" s="1120" t="s">
        <v>4648</v>
      </c>
      <c r="B29" s="296" t="s">
        <v>3372</v>
      </c>
      <c r="C29" s="1117">
        <f>IFERROR(IF(COUNTIFS(REF_PushkaraNavamsha!$A$4:$A$27,CALC_BhaveshMap!$G$10,REF_PushkaraNavamsha!$B$4:$B$27,INDEX(CALC_PlanetPositions!$G$7:$G$15,MATCH(CALC_BhaveshMap!$D$10,CALC_PlanetPositions!$A$7:$A$15,0)))&gt;0,0.5,0),0)</f>
        <v>0</v>
      </c>
      <c r="D29" s="400" t="s">
        <v>4649</v>
      </c>
    </row>
    <row r="30" spans="1:7" ht="25.5" customHeight="1" x14ac:dyDescent="0.2">
      <c r="A30" s="147" t="s">
        <v>4650</v>
      </c>
      <c r="B30" s="1121" t="s">
        <v>4651</v>
      </c>
      <c r="C30" s="1122">
        <f>IFERROR(IF(ISNUMBER(MATCH(CALC_BhaveshMap!$D$10,{"Sun","Moon","Mars","Mercury","Jupiter","Venus","Saturn"},0)),INDEX(CALC_RetrogradeFix!$G$4:$G$10,MATCH(CALC_BhaveshMap!$D$10,{"Sun","Moon","Mars","Mercury","Jupiter","Venus","Saturn"},0)),0),0)</f>
        <v>0</v>
      </c>
      <c r="D30" s="1123" t="s">
        <v>4652</v>
      </c>
    </row>
    <row r="31" spans="1:7" ht="18" customHeight="1" x14ac:dyDescent="0.2">
      <c r="A31" s="1555" t="s">
        <v>4653</v>
      </c>
      <c r="B31" s="1555"/>
      <c r="C31" s="1555"/>
      <c r="D31" s="1555"/>
      <c r="E31" s="1124" t="s">
        <v>4654</v>
      </c>
      <c r="F31" s="1125">
        <f>IFERROR(IF(CALC_Ashtakavarga!G$15&gt;28,0.5,IF(CALC_Ashtakavarga!G$15&lt;22,-0.5,0)),0)</f>
        <v>0</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IFERROR(SUM(C9:C13,C28:C30,F31,0),0)</f>
        <v>2</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0</v>
      </c>
      <c r="D37" s="1129"/>
    </row>
    <row r="38" spans="1:4" ht="21.75" customHeight="1" x14ac:dyDescent="0.2">
      <c r="A38" s="89" t="s">
        <v>4661</v>
      </c>
      <c r="B38" s="1129"/>
      <c r="C38" s="1131">
        <f>IFERROR(MAX(-10,MIN(10,C37)),0)</f>
        <v>0</v>
      </c>
      <c r="D38" s="1132"/>
    </row>
    <row r="39" spans="1:4" ht="18" customHeight="1" x14ac:dyDescent="0.2">
      <c r="A39" s="517" t="s">
        <v>4662</v>
      </c>
      <c r="B39" s="1129"/>
      <c r="C39" s="1133">
        <f>IFERROR(CALC_LagneshStrength!$I$4,0)</f>
        <v>0</v>
      </c>
      <c r="D39" s="1129"/>
    </row>
    <row r="40" spans="1:4" ht="25.5" customHeight="1" x14ac:dyDescent="0.2">
      <c r="A40" s="1148" t="s">
        <v>4663</v>
      </c>
      <c r="B40" s="1129"/>
      <c r="C40" s="1149">
        <f>IFERROR(MAX(-10,MIN(10,C38+C39)),0)</f>
        <v>0</v>
      </c>
      <c r="D40" s="1150" t="str">
        <f>IFERROR(IF(C40&gt;=7,"Excellent — Conflicts domain very strong",IF(C40&gt;=4,"Good — Conflicts domain strong",IF(C40&gt;=1,"Moderate",IF(C40&gt;=-2,"Mixed — Conflicts has challenges",IF(C40&gt;=-5,"Weak","Very weak — Conflicts heavily afflicted"))))),"—")</f>
        <v>Mixed — Conflicts has challenges</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4670</v>
      </c>
      <c r="B1" s="1518"/>
      <c r="C1" s="1518"/>
      <c r="D1" s="1518"/>
      <c r="L1" s="29" t="str">
        <f>HYPERLINK("#'00_INDEX'!A1","&lt;- Index")</f>
        <v>&lt;- Index</v>
      </c>
    </row>
    <row r="2" spans="1:12" ht="19.5" customHeight="1" x14ac:dyDescent="0.2">
      <c r="A2" s="1595" t="str">
        <f>IFERROR("Lagna: "&amp;INPUT_Chart!$C$5&amp;"  ·  H7 sign: "&amp;CALC_BhaveshMap!$C$11&amp;"  ·  Bhavesh: "&amp;CALC_BhaveshMap!$D$11&amp;" in H"&amp;CALC_BhaveshMap!$H$11&amp;" ("&amp;CALC_BhaveshMap!$L$11&amp;")","Enter Lagna in INPUT_Chart")</f>
        <v>Lagna: Taurus  ·  H7 sign: Scorpio  ·  Bhavesh: Mars in H2 (Enemy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51" t="s">
        <v>4605</v>
      </c>
      <c r="B5" s="357" t="s">
        <v>4529</v>
      </c>
      <c r="C5" s="1117">
        <f>IFERROR((IFERROR(IF(INDEX(REF_Zodiac!$D$17:$O$17,MATCH(CALC_BhaveshMap!$C$11,REF_Zodiac!$D$3:$O$3,0))="Gentle",1,0),0))*0.5,0)</f>
        <v>0</v>
      </c>
      <c r="D5" s="400" t="s">
        <v>4606</v>
      </c>
    </row>
    <row r="6" spans="1:12" ht="27.75" customHeight="1" x14ac:dyDescent="0.2">
      <c r="A6" s="115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151" t="s">
        <v>4609</v>
      </c>
      <c r="B7" s="357" t="s">
        <v>4534</v>
      </c>
      <c r="C7" s="1117">
        <f>IFERROR((IFERROR(IF(OR(AND(OR(CALC_PlanetPositions!$M$7="Benefic",CALC_PlanetPositions!$M$7="Yogakaraka"),INDEX(REF_Aspects!$D$5:$O$13,1,MOD(7-(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7)),AND(OR(CALC_PlanetPositions!$M$8="Benefic",CALC_PlanetPositions!$M$8="Yogakaraka"),INDEX(REF_Aspects!$D$5:$O$13,2,MOD(7-(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7)),AND(OR(CALC_PlanetPositions!$M$9="Benefic",CALC_PlanetPositions!$M$9="Yogakaraka"),INDEX(REF_Aspects!$D$5:$O$13,3,MOD(7-(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7)),AND(OR(CALC_PlanetPositions!$M$10="Benefic",CALC_PlanetPositions!$M$10="Yogakaraka"),INDEX(REF_Aspects!$D$5:$O$13,4,MOD(7-(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7)),AND(OR(CALC_PlanetPositions!$M$11="Benefic",CALC_PlanetPositions!$M$11="Yogakaraka"),INDEX(REF_Aspects!$D$5:$O$13,5,MOD(7-(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7)),AND(OR(CALC_PlanetPositions!$M$12="Benefic",CALC_PlanetPositions!$M$12="Yogakaraka"),INDEX(REF_Aspects!$D$5:$O$13,6,MOD(7-(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7)),AND(OR(CALC_PlanetPositions!$M$13="Benefic",CALC_PlanetPositions!$M$13="Yogakaraka"),INDEX(REF_Aspects!$D$5:$O$13,7,MOD(7-(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7)),AND(FALSE(),INDEX(REF_Aspects!$D$5:$O$13,8,MOD(7-(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7)),AND(FALSE(),INDEX(REF_Aspects!$D$5:$O$13,9,MOD(7-(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7))),1,0),0))*IF(REF_Config!$B$6="KP",0.5,IF(REF_Config!$B$6="Jaimini",0.75,0.75)),0)</f>
        <v>0</v>
      </c>
      <c r="D7" s="400" t="s">
        <v>4610</v>
      </c>
    </row>
    <row r="8" spans="1:12" ht="15.75" customHeight="1" x14ac:dyDescent="0.2">
      <c r="A8" s="1597" t="s">
        <v>3372</v>
      </c>
      <c r="B8" s="1597"/>
      <c r="C8" s="1597"/>
      <c r="D8" s="1597"/>
    </row>
    <row r="9" spans="1:12" ht="27.75" customHeight="1" x14ac:dyDescent="0.2">
      <c r="A9" s="1151" t="s">
        <v>4611</v>
      </c>
      <c r="B9" s="203" t="s">
        <v>4537</v>
      </c>
      <c r="C9" s="1118">
        <f>IFERROR(IF(AND(OR(CALC_BhaveshMap!$I$11="Yes",CALC_BhaveshMap!$J$11="Yes"),NOT(CALC_BhaveshMap!$K$11="Yes")),1,0)*IF(REF_Config!$B$6="KP",1.5,IF(REF_Config!$B$6="Jaimini",1.5,2)),0)</f>
        <v>0</v>
      </c>
      <c r="D9" s="403" t="s">
        <v>4612</v>
      </c>
    </row>
    <row r="10" spans="1:12" ht="27.75" customHeight="1" x14ac:dyDescent="0.2">
      <c r="A10" s="1151" t="s">
        <v>4613</v>
      </c>
      <c r="B10" s="357" t="s">
        <v>3093</v>
      </c>
      <c r="C10" s="1117">
        <f>IFERROR((IFERROR(IF(OR(AND(CALC_BhaveshMap!$G$5=CALC_BhaveshMap!$G$11,CALC_BhaveshMap!$D$5&lt;&gt;CALC_BhaveshMap!$D$11),AND(CALC_BhaveshMap!$G$8=CALC_BhaveshMap!$G$11,CALC_BhaveshMap!$D$8&lt;&gt;CALC_BhaveshMap!$D$11),AND(CALC_BhaveshMap!$G$9=CALC_BhaveshMap!$G$11,CALC_BhaveshMap!$D$9&lt;&gt;CALC_BhaveshMap!$D$11),AND(CALC_BhaveshMap!$G$11=CALC_BhaveshMap!$G$11,CALC_BhaveshMap!$D$11&lt;&gt;CALC_BhaveshMap!$D$11),AND(CALC_BhaveshMap!$G$13=CALC_BhaveshMap!$G$11,CALC_BhaveshMap!$D$13&lt;&gt;CALC_BhaveshMap!$D$11),AND(CALC_BhaveshMap!$G$14=CALC_BhaveshMap!$G$11,CALC_BhaveshMap!$D$14&lt;&gt;CALC_BhaveshMap!$D$11)),1,0),0))*0.5,0)</f>
        <v>0</v>
      </c>
      <c r="D10" s="400" t="s">
        <v>4614</v>
      </c>
    </row>
    <row r="11" spans="1:12" ht="27.75" customHeight="1" x14ac:dyDescent="0.2">
      <c r="A11" s="1151" t="s">
        <v>4615</v>
      </c>
      <c r="B11" s="203" t="s">
        <v>4540</v>
      </c>
      <c r="C11" s="1118">
        <f>IFERROR((IFERROR(IF(OR(AND(OR(CALC_PlanetPositions!$M$7="Benefic",CALC_PlanetPositions!$M$7="Yogakaraka"),CALC_PlanetPositions!$B$7=CALC_BhaveshMap!$G$11,CALC_BhaveshMap!$D$11&lt;&gt;"Sun"),AND(OR(CALC_PlanetPositions!$M$8="Benefic",CALC_PlanetPositions!$M$8="Yogakaraka"),CALC_PlanetPositions!$B$8=CALC_BhaveshMap!$G$11,CALC_BhaveshMap!$D$11&lt;&gt;"Moon"),AND(OR(CALC_PlanetPositions!$M$9="Benefic",CALC_PlanetPositions!$M$9="Yogakaraka"),CALC_PlanetPositions!$B$9=CALC_BhaveshMap!$G$11,CALC_BhaveshMap!$D$11&lt;&gt;"Mars"),AND(OR(CALC_PlanetPositions!$M$10="Benefic",CALC_PlanetPositions!$M$10="Yogakaraka"),CALC_PlanetPositions!$B$10=CALC_BhaveshMap!$G$11,CALC_BhaveshMap!$D$11&lt;&gt;"Mercury"),AND(OR(CALC_PlanetPositions!$M$11="Benefic",CALC_PlanetPositions!$M$11="Yogakaraka"),CALC_PlanetPositions!$B$11=CALC_BhaveshMap!$G$11,CALC_BhaveshMap!$D$11&lt;&gt;"Jupiter"),AND(OR(CALC_PlanetPositions!$M$12="Benefic",CALC_PlanetPositions!$M$12="Yogakaraka"),CALC_PlanetPositions!$B$12=CALC_BhaveshMap!$G$11,CALC_BhaveshMap!$D$11&lt;&gt;"Venus"),AND(OR(CALC_PlanetPositions!$M$13="Benefic",CALC_PlanetPositions!$M$13="Yogakaraka"),CALC_PlanetPositions!$B$13=CALC_BhaveshMap!$G$11,CALC_BhaveshMap!$D$11&lt;&gt;"Saturn")),1,0),0))*IF(OR(AND(CALC_PlanetPositions!$M$7="Yogakaraka",CALC_PlanetPositions!$B$7=CALC_BhaveshMap!$G$11,CALC_BhaveshMap!$D$11&lt;&gt;"Sun"),AND(CALC_PlanetPositions!$M$8="Yogakaraka",CALC_PlanetPositions!$B$8=CALC_BhaveshMap!$G$11,CALC_BhaveshMap!$D$11&lt;&gt;"Moon"),AND(CALC_PlanetPositions!$M$9="Yogakaraka",CALC_PlanetPositions!$B$9=CALC_BhaveshMap!$G$11,CALC_BhaveshMap!$D$11&lt;&gt;"Mars"),AND(CALC_PlanetPositions!$M$10="Yogakaraka",CALC_PlanetPositions!$B$10=CALC_BhaveshMap!$G$11,CALC_BhaveshMap!$D$11&lt;&gt;"Mercury"),AND(CALC_PlanetPositions!$M$11="Yogakaraka",CALC_PlanetPositions!$B$11=CALC_BhaveshMap!$G$11,CALC_BhaveshMap!$D$11&lt;&gt;"Jupiter"),AND(CALC_PlanetPositions!$M$12="Yogakaraka",CALC_PlanetPositions!$B$12=CALC_BhaveshMap!$G$11,CALC_BhaveshMap!$D$11&lt;&gt;"Venus"),AND(CALC_PlanetPositions!$M$13="Yogakaraka",CALC_PlanetPositions!$B$13=CALC_BhaveshMap!$G$11,CALC_BhaveshMap!$D$11&lt;&gt;"Saturn")),1.5,1),0)</f>
        <v>0</v>
      </c>
      <c r="D11" s="403" t="s">
        <v>4616</v>
      </c>
    </row>
    <row r="12" spans="1:12" ht="27.75" customHeight="1" x14ac:dyDescent="0.2">
      <c r="A12" s="1151" t="s">
        <v>4617</v>
      </c>
      <c r="B12" s="357" t="s">
        <v>4542</v>
      </c>
      <c r="C12" s="1117">
        <f>IFERROR((IFERROR(IF(OR(AND(OR(CALC_PlanetPositions!$M$7="Benefic",CALC_PlanetPositions!$M$7="Yogakaraka"),INDEX(REF_Aspects!$D$5:$O$13,1,MOD(CALC_BhaveshMap!$H$11-(MOD(MATCH(CALC_PlanetPositions!$B$7,{"Aries","Taurus","Gemini","Cancer","Leo","Virgo","Libra","Scorpio","Sagittarius","Capricorn","Aquarius","Pisces"},0)-MATCH(INPUT_Chart!$C$5,{"Aries","Taurus","Gemini","Cancer","Leo","Virgo","Libra","Scorpio","Sagittarius","Capricorn","Aquarius","Pisces"},0),12)+1),12)+1)="FULL",NOT(CALC_PlanetPositions!$B$7=CALC_BhaveshMap!$G$11)),AND(OR(CALC_PlanetPositions!$M$8="Benefic",CALC_PlanetPositions!$M$8="Yogakaraka"),INDEX(REF_Aspects!$D$5:$O$13,2,MOD(CALC_BhaveshMap!$H$11-(MOD(MATCH(CALC_PlanetPositions!$B$8,{"Aries","Taurus","Gemini","Cancer","Leo","Virgo","Libra","Scorpio","Sagittarius","Capricorn","Aquarius","Pisces"},0)-MATCH(INPUT_Chart!$C$5,{"Aries","Taurus","Gemini","Cancer","Leo","Virgo","Libra","Scorpio","Sagittarius","Capricorn","Aquarius","Pisces"},0),12)+1),12)+1)="FULL",NOT(CALC_PlanetPositions!$B$8=CALC_BhaveshMap!$G$11)),AND(OR(CALC_PlanetPositions!$M$9="Benefic",CALC_PlanetPositions!$M$9="Yogakaraka"),INDEX(REF_Aspects!$D$5:$O$13,3,MOD(CALC_BhaveshMap!$H$11-(MOD(MATCH(CALC_PlanetPositions!$B$9,{"Aries","Taurus","Gemini","Cancer","Leo","Virgo","Libra","Scorpio","Sagittarius","Capricorn","Aquarius","Pisces"},0)-MATCH(INPUT_Chart!$C$5,{"Aries","Taurus","Gemini","Cancer","Leo","Virgo","Libra","Scorpio","Sagittarius","Capricorn","Aquarius","Pisces"},0),12)+1),12)+1)="FULL",NOT(CALC_PlanetPositions!$B$9=CALC_BhaveshMap!$G$11)),AND(OR(CALC_PlanetPositions!$M$10="Benefic",CALC_PlanetPositions!$M$10="Yogakaraka"),INDEX(REF_Aspects!$D$5:$O$13,4,MOD(CALC_BhaveshMap!$H$11-(MOD(MATCH(CALC_PlanetPositions!$B$10,{"Aries","Taurus","Gemini","Cancer","Leo","Virgo","Libra","Scorpio","Sagittarius","Capricorn","Aquarius","Pisces"},0)-MATCH(INPUT_Chart!$C$5,{"Aries","Taurus","Gemini","Cancer","Leo","Virgo","Libra","Scorpio","Sagittarius","Capricorn","Aquarius","Pisces"},0),12)+1),12)+1)="FULL",NOT(CALC_PlanetPositions!$B$10=CALC_BhaveshMap!$G$11)),AND(OR(CALC_PlanetPositions!$M$11="Benefic",CALC_PlanetPositions!$M$11="Yogakaraka"),INDEX(REF_Aspects!$D$5:$O$13,5,MOD(CALC_BhaveshMap!$H$11-(MOD(MATCH(CALC_PlanetPositions!$B$11,{"Aries","Taurus","Gemini","Cancer","Leo","Virgo","Libra","Scorpio","Sagittarius","Capricorn","Aquarius","Pisces"},0)-MATCH(INPUT_Chart!$C$5,{"Aries","Taurus","Gemini","Cancer","Leo","Virgo","Libra","Scorpio","Sagittarius","Capricorn","Aquarius","Pisces"},0),12)+1),12)+1)="FULL",NOT(CALC_PlanetPositions!$B$11=CALC_BhaveshMap!$G$11)),AND(OR(CALC_PlanetPositions!$M$12="Benefic",CALC_PlanetPositions!$M$12="Yogakaraka"),INDEX(REF_Aspects!$D$5:$O$13,6,MOD(CALC_BhaveshMap!$H$11-(MOD(MATCH(CALC_PlanetPositions!$B$12,{"Aries","Taurus","Gemini","Cancer","Leo","Virgo","Libra","Scorpio","Sagittarius","Capricorn","Aquarius","Pisces"},0)-MATCH(INPUT_Chart!$C$5,{"Aries","Taurus","Gemini","Cancer","Leo","Virgo","Libra","Scorpio","Sagittarius","Capricorn","Aquarius","Pisces"},0),12)+1),12)+1)="FULL",NOT(CALC_PlanetPositions!$B$12=CALC_BhaveshMap!$G$11)),AND(OR(CALC_PlanetPositions!$M$13="Benefic",CALC_PlanetPositions!$M$13="Yogakaraka"),INDEX(REF_Aspects!$D$5:$O$13,7,MOD(CALC_BhaveshMap!$H$11-(MOD(MATCH(CALC_PlanetPositions!$B$13,{"Aries","Taurus","Gemini","Cancer","Leo","Virgo","Libra","Scorpio","Sagittarius","Capricorn","Aquarius","Pisces"},0)-MATCH(INPUT_Chart!$C$5,{"Aries","Taurus","Gemini","Cancer","Leo","Virgo","Libra","Scorpio","Sagittarius","Capricorn","Aquarius","Pisces"},0),12)+1),12)+1)="FULL",NOT(CALC_PlanetPositions!$B$13=CALC_BhaveshMap!$G$11)),AND(FALSE(),INDEX(REF_Aspects!$D$5:$O$13,8,MOD(CALC_BhaveshMap!$H$11-(MOD(MATCH(CALC_PlanetPositions!$B$14,{"Aries","Taurus","Gemini","Cancer","Leo","Virgo","Libra","Scorpio","Sagittarius","Capricorn","Aquarius","Pisces"},0)-MATCH(INPUT_Chart!$C$5,{"Aries","Taurus","Gemini","Cancer","Leo","Virgo","Libra","Scorpio","Sagittarius","Capricorn","Aquarius","Pisces"},0),12)+1),12)+1)="FULL",NOT(CALC_PlanetPositions!$B$14=CALC_BhaveshMap!$G$11)),AND(FALSE(),INDEX(REF_Aspects!$D$5:$O$13,9,MOD(CALC_BhaveshMap!$H$11-(MOD(MATCH(CALC_PlanetPositions!$B$15,{"Aries","Taurus","Gemini","Cancer","Leo","Virgo","Libra","Scorpio","Sagittarius","Capricorn","Aquarius","Pisces"},0)-MATCH(INPUT_Chart!$C$5,{"Aries","Taurus","Gemini","Cancer","Leo","Virgo","Libra","Scorpio","Sagittarius","Capricorn","Aquarius","Pisces"},0),12)+1),12)+1)="FULL",NOT(CALC_PlanetPositions!$B$15=CALC_BhaveshMap!$G$11))),1,0),0))*0.5,0)</f>
        <v>0</v>
      </c>
      <c r="D12" s="400" t="s">
        <v>4618</v>
      </c>
    </row>
    <row r="13" spans="1:12" ht="27.75" customHeight="1" x14ac:dyDescent="0.2">
      <c r="A13" s="1151"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$11-2,12)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$11-2,12)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$11-2,12)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$11-2,12)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$11-2,12)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$11-2,12)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$11-2,12)+1)),AND(FALSE(),MOD(MATCH(CALC_PlanetPositions!$B$14,{"Aries","Taurus","Gemini","Cancer","Leo","Virgo","Libra","Scorpio","Sagittarius","Capricorn","Aquarius","Pisces"},0)-MATCH(INPUT_Chart!$C$5,{"Aries","Taurus","Gemini","Cancer","Leo","Virgo","Libra","Scorpio","Sagittarius","Capricorn","Aquarius","Pisces"},0),12)+1=(MOD(CALC_BhaveshMap!$H$11-2,12)+1)),AND(FALSE(),MOD(MATCH(CALC_PlanetPositions!$B$15,{"Aries","Taurus","Gemini","Cancer","Leo","Virgo","Libra","Scorpio","Sagittarius","Capricorn","Aquarius","Pisces"},0)-MATCH(INPUT_Chart!$C$5,{"Aries","Taurus","Gemini","Cancer","Leo","Virgo","Libra","Scorpio","Sagittarius","Capricorn","Aquarius","Pisces"},0),12)+1=(MOD(CALC_BhaveshMap!$H$11-2,12)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$11,12)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$11,12)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$11,12)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$11,12)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$11,12)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$11,12)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$11,12)+1)),AND(FALSE(),MOD(MATCH(CALC_PlanetPositions!$B$14,{"Aries","Taurus","Gemini","Cancer","Leo","Virgo","Libra","Scorpio","Sagittarius","Capricorn","Aquarius","Pisces"},0)-MATCH(INPUT_Chart!$C$5,{"Aries","Taurus","Gemini","Cancer","Leo","Virgo","Libra","Scorpio","Sagittarius","Capricorn","Aquarius","Pisces"},0),12)+1=(MOD(CALC_BhaveshMap!$H$11,12)+1)),AND(FALSE(),MOD(MATCH(CALC_PlanetPositions!$B$15,{"Aries","Taurus","Gemini","Cancer","Leo","Virgo","Libra","Scorpio","Sagittarius","Capricorn","Aquarius","Pisces"},0)-MATCH(INPUT_Chart!$C$5,{"Aries","Taurus","Gemini","Cancer","Leo","Virgo","Libra","Scorpio","Sagittarius","Capricorn","Aquarius","Pisces"},0),12)+1=(MOD(CALC_BhaveshMap!$H$11,12)+1)))),1,0),0))*IF(REF_Config!$B$6="KP",0.75,IF(REF_Config!$B$6="Jaimini",0.5,0.75)),0)</f>
        <v>0</v>
      </c>
      <c r="D13" s="403" t="s">
        <v>4620</v>
      </c>
    </row>
    <row r="14" spans="1:12" ht="15.75" customHeight="1" x14ac:dyDescent="0.2">
      <c r="A14" s="1598" t="s">
        <v>4621</v>
      </c>
      <c r="B14" s="1598"/>
      <c r="C14" s="1598"/>
      <c r="D14" s="1598"/>
    </row>
    <row r="15" spans="1:12" ht="27.75" customHeight="1" x14ac:dyDescent="0.2">
      <c r="A15" s="115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7),AND(CALC_PlanetPositions!$M$8="Malefic",(MOD(MATCH(CALC_PlanetPositions!$B$8,{"Aries","Taurus","Gemini","Cancer","Leo","Virgo","Libra","Scorpio","Sagittarius","Capricorn","Aquarius","Pisces"},0)-MATCH(INPUT_Chart!$C$5,{"Aries","Taurus","Gemini","Cancer","Leo","Virgo","Libra","Scorpio","Sagittarius","Capricorn","Aquarius","Pisces"},0),12)+1)=7),AND(CALC_PlanetPositions!$M$9="Malefic",(MOD(MATCH(CALC_PlanetPositions!$B$9,{"Aries","Taurus","Gemini","Cancer","Leo","Virgo","Libra","Scorpio","Sagittarius","Capricorn","Aquarius","Pisces"},0)-MATCH(INPUT_Chart!$C$5,{"Aries","Taurus","Gemini","Cancer","Leo","Virgo","Libra","Scorpio","Sagittarius","Capricorn","Aquarius","Pisces"},0),12)+1)=7),AND(CALC_PlanetPositions!$M$10="Malefic",(MOD(MATCH(CALC_PlanetPositions!$B$10,{"Aries","Taurus","Gemini","Cancer","Leo","Virgo","Libra","Scorpio","Sagittarius","Capricorn","Aquarius","Pisces"},0)-MATCH(INPUT_Chart!$C$5,{"Aries","Taurus","Gemini","Cancer","Leo","Virgo","Libra","Scorpio","Sagittarius","Capricorn","Aquarius","Pisces"},0),12)+1)=7),AND(CALC_PlanetPositions!$M$11="Malefic",(MOD(MATCH(CALC_PlanetPositions!$B$11,{"Aries","Taurus","Gemini","Cancer","Leo","Virgo","Libra","Scorpio","Sagittarius","Capricorn","Aquarius","Pisces"},0)-MATCH(INPUT_Chart!$C$5,{"Aries","Taurus","Gemini","Cancer","Leo","Virgo","Libra","Scorpio","Sagittarius","Capricorn","Aquarius","Pisces"},0),12)+1)=7),AND(CALC_PlanetPositions!$M$12="Malefic",(MOD(MATCH(CALC_PlanetPositions!$B$12,{"Aries","Taurus","Gemini","Cancer","Leo","Virgo","Libra","Scorpio","Sagittarius","Capricorn","Aquarius","Pisces"},0)-MATCH(INPUT_Chart!$C$5,{"Aries","Taurus","Gemini","Cancer","Leo","Virgo","Libra","Scorpio","Sagittarius","Capricorn","Aquarius","Pisces"},0),12)+1)=7),AND(CALC_PlanetPositions!$M$13="Malefic",(MOD(MATCH(CALC_PlanetPositions!$B$13,{"Aries","Taurus","Gemini","Cancer","Leo","Virgo","Libra","Scorpio","Sagittarius","Capricorn","Aquarius","Pisces"},0)-MATCH(INPUT_Chart!$C$5,{"Aries","Taurus","Gemini","Cancer","Leo","Virgo","Libra","Scorpio","Sagittarius","Capricorn","Aquarius","Pisces"},0),12)+1)=7),AND(TRUE(),(MOD(MATCH(CALC_PlanetPositions!$B$14,{"Aries","Taurus","Gemini","Cancer","Leo","Virgo","Libra","Scorpio","Sagittarius","Capricorn","Aquarius","Pisces"},0)-MATCH(INPUT_Chart!$C$5,{"Aries","Taurus","Gemini","Cancer","Leo","Virgo","Libra","Scorpio","Sagittarius","Capricorn","Aquarius","Pisces"},0),12)+1)=7),AND(TRUE(),(MOD(MATCH(CALC_PlanetPositions!$B$15,{"Aries","Taurus","Gemini","Cancer","Leo","Virgo","Libra","Scorpio","Sagittarius","Capricorn","Aquarius","Pisces"},0)-MATCH(INPUT_Chart!$C$5,{"Aries","Taurus","Gemini","Cancer","Leo","Virgo","Libra","Scorpio","Sagittarius","Capricorn","Aquarius","Pisces"},0),12)+1)=7)),1,0),0))*-1,0)</f>
        <v>-1</v>
      </c>
      <c r="D15" s="400" t="s">
        <v>4623</v>
      </c>
    </row>
    <row r="16" spans="1:12" ht="27.75" customHeight="1" x14ac:dyDescent="0.2">
      <c r="A16" s="1151" t="s">
        <v>4624</v>
      </c>
      <c r="B16" s="203" t="s">
        <v>4548</v>
      </c>
      <c r="C16" s="1118">
        <f>IFERROR((IFERROR(IF(OR(AND(CALC_PlanetPositions!$M$7="Malefic",INDEX(REF_Aspects!$D$5:$O$13,1,MOD(7-(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7)),AND(CALC_PlanetPositions!$M$8="Malefic",INDEX(REF_Aspects!$D$5:$O$13,2,MOD(7-(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7)),AND(CALC_PlanetPositions!$M$9="Malefic",INDEX(REF_Aspects!$D$5:$O$13,3,MOD(7-(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7)),AND(CALC_PlanetPositions!$M$10="Malefic",INDEX(REF_Aspects!$D$5:$O$13,4,MOD(7-(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7)),AND(CALC_PlanetPositions!$M$11="Malefic",INDEX(REF_Aspects!$D$5:$O$13,5,MOD(7-(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7)),AND(CALC_PlanetPositions!$M$12="Malefic",INDEX(REF_Aspects!$D$5:$O$13,6,MOD(7-(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7)),AND(CALC_PlanetPositions!$M$13="Malefic",INDEX(REF_Aspects!$D$5:$O$13,7,MOD(7-(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7)),AND(TRUE(),INDEX(REF_Aspects!$D$5:$O$13,8,MOD(7-(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7)),AND(TRUE(),INDEX(REF_Aspects!$D$5:$O$13,9,MOD(7-(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7))),1,0),0))*-1,0)</f>
        <v>-1</v>
      </c>
      <c r="D16" s="403" t="s">
        <v>4625</v>
      </c>
    </row>
    <row r="17" spans="1:7" ht="27.75" customHeight="1" x14ac:dyDescent="0.2">
      <c r="A17" s="1151" t="s">
        <v>4626</v>
      </c>
      <c r="B17" s="357" t="s">
        <v>3062</v>
      </c>
      <c r="C17" s="1117">
        <v>0</v>
      </c>
      <c r="D17" s="400" t="s">
        <v>4627</v>
      </c>
    </row>
    <row r="18" spans="1:7" ht="27.75" customHeight="1" x14ac:dyDescent="0.2">
      <c r="A18" s="115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(7-2,12)+1)),AND(CALC_PlanetPositions!$M$8="Malefic",MOD(MATCH(CALC_PlanetPositions!$B$8,{"Aries","Taurus","Gemini","Cancer","Leo","Virgo","Libra","Scorpio","Sagittarius","Capricorn","Aquarius","Pisces"},0)-MATCH(INPUT_Chart!$C$5,{"Aries","Taurus","Gemini","Cancer","Leo","Virgo","Libra","Scorpio","Sagittarius","Capricorn","Aquarius","Pisces"},0),12)+1=(MOD(7-2,12)+1)),AND(CALC_PlanetPositions!$M$9="Malefic",MOD(MATCH(CALC_PlanetPositions!$B$9,{"Aries","Taurus","Gemini","Cancer","Leo","Virgo","Libra","Scorpio","Sagittarius","Capricorn","Aquarius","Pisces"},0)-MATCH(INPUT_Chart!$C$5,{"Aries","Taurus","Gemini","Cancer","Leo","Virgo","Libra","Scorpio","Sagittarius","Capricorn","Aquarius","Pisces"},0),12)+1=(MOD(7-2,12)+1)),AND(CALC_PlanetPositions!$M$10="Malefic",MOD(MATCH(CALC_PlanetPositions!$B$10,{"Aries","Taurus","Gemini","Cancer","Leo","Virgo","Libra","Scorpio","Sagittarius","Capricorn","Aquarius","Pisces"},0)-MATCH(INPUT_Chart!$C$5,{"Aries","Taurus","Gemini","Cancer","Leo","Virgo","Libra","Scorpio","Sagittarius","Capricorn","Aquarius","Pisces"},0),12)+1=(MOD(7-2,12)+1)),AND(CALC_PlanetPositions!$M$11="Malefic",MOD(MATCH(CALC_PlanetPositions!$B$11,{"Aries","Taurus","Gemini","Cancer","Leo","Virgo","Libra","Scorpio","Sagittarius","Capricorn","Aquarius","Pisces"},0)-MATCH(INPUT_Chart!$C$5,{"Aries","Taurus","Gemini","Cancer","Leo","Virgo","Libra","Scorpio","Sagittarius","Capricorn","Aquarius","Pisces"},0),12)+1=(MOD(7-2,12)+1)),AND(CALC_PlanetPositions!$M$12="Malefic",MOD(MATCH(CALC_PlanetPositions!$B$12,{"Aries","Taurus","Gemini","Cancer","Leo","Virgo","Libra","Scorpio","Sagittarius","Capricorn","Aquarius","Pisces"},0)-MATCH(INPUT_Chart!$C$5,{"Aries","Taurus","Gemini","Cancer","Leo","Virgo","Libra","Scorpio","Sagittarius","Capricorn","Aquarius","Pisces"},0),12)+1=(MOD(7-2,12)+1)),AND(CALC_PlanetPositions!$M$13="Malefic",MOD(MATCH(CALC_PlanetPositions!$B$13,{"Aries","Taurus","Gemini","Cancer","Leo","Virgo","Libra","Scorpio","Sagittarius","Capricorn","Aquarius","Pisces"},0)-MATCH(INPUT_Chart!$C$5,{"Aries","Taurus","Gemini","Cancer","Leo","Virgo","Libra","Scorpio","Sagittarius","Capricorn","Aquarius","Pisces"},0),12)+1=(MOD(7-2,12)+1)),AND(TRUE(),MOD(MATCH(CALC_PlanetPositions!$B$14,{"Aries","Taurus","Gemini","Cancer","Leo","Virgo","Libra","Scorpio","Sagittarius","Capricorn","Aquarius","Pisces"},0)-MATCH(INPUT_Chart!$C$5,{"Aries","Taurus","Gemini","Cancer","Leo","Virgo","Libra","Scorpio","Sagittarius","Capricorn","Aquarius","Pisces"},0),12)+1=(MOD(7-2,12)+1)),AND(TRUE(),MOD(MATCH(CALC_PlanetPositions!$B$15,{"Aries","Taurus","Gemini","Cancer","Leo","Virgo","Libra","Scorpio","Sagittarius","Capricorn","Aquarius","Pisces"},0)-MATCH(INPUT_Chart!$C$5,{"Aries","Taurus","Gemini","Cancer","Leo","Virgo","Libra","Scorpio","Sagittarius","Capricorn","Aquarius","Pisces"},0),12)+1=(MOD(7-2,12)+1))),OR(AND(CALC_PlanetPositions!$M$7="Malefic",MOD(MATCH(CALC_PlanetPositions!$B$7,{"Aries","Taurus","Gemini","Cancer","Leo","Virgo","Libra","Scorpio","Sagittarius","Capricorn","Aquarius","Pisces"},0)-MATCH(INPUT_Chart!$C$5,{"Aries","Taurus","Gemini","Cancer","Leo","Virgo","Libra","Scorpio","Sagittarius","Capricorn","Aquarius","Pisces"},0),12)+1=(MOD(7,12)+1)),AND(CALC_PlanetPositions!$M$8="Malefic",MOD(MATCH(CALC_PlanetPositions!$B$8,{"Aries","Taurus","Gemini","Cancer","Leo","Virgo","Libra","Scorpio","Sagittarius","Capricorn","Aquarius","Pisces"},0)-MATCH(INPUT_Chart!$C$5,{"Aries","Taurus","Gemini","Cancer","Leo","Virgo","Libra","Scorpio","Sagittarius","Capricorn","Aquarius","Pisces"},0),12)+1=(MOD(7,12)+1)),AND(CALC_PlanetPositions!$M$9="Malefic",MOD(MATCH(CALC_PlanetPositions!$B$9,{"Aries","Taurus","Gemini","Cancer","Leo","Virgo","Libra","Scorpio","Sagittarius","Capricorn","Aquarius","Pisces"},0)-MATCH(INPUT_Chart!$C$5,{"Aries","Taurus","Gemini","Cancer","Leo","Virgo","Libra","Scorpio","Sagittarius","Capricorn","Aquarius","Pisces"},0),12)+1=(MOD(7,12)+1)),AND(CALC_PlanetPositions!$M$10="Malefic",MOD(MATCH(CALC_PlanetPositions!$B$10,{"Aries","Taurus","Gemini","Cancer","Leo","Virgo","Libra","Scorpio","Sagittarius","Capricorn","Aquarius","Pisces"},0)-MATCH(INPUT_Chart!$C$5,{"Aries","Taurus","Gemini","Cancer","Leo","Virgo","Libra","Scorpio","Sagittarius","Capricorn","Aquarius","Pisces"},0),12)+1=(MOD(7,12)+1)),AND(CALC_PlanetPositions!$M$11="Malefic",MOD(MATCH(CALC_PlanetPositions!$B$11,{"Aries","Taurus","Gemini","Cancer","Leo","Virgo","Libra","Scorpio","Sagittarius","Capricorn","Aquarius","Pisces"},0)-MATCH(INPUT_Chart!$C$5,{"Aries","Taurus","Gemini","Cancer","Leo","Virgo","Libra","Scorpio","Sagittarius","Capricorn","Aquarius","Pisces"},0),12)+1=(MOD(7,12)+1)),AND(CALC_PlanetPositions!$M$12="Malefic",MOD(MATCH(CALC_PlanetPositions!$B$12,{"Aries","Taurus","Gemini","Cancer","Leo","Virgo","Libra","Scorpio","Sagittarius","Capricorn","Aquarius","Pisces"},0)-MATCH(INPUT_Chart!$C$5,{"Aries","Taurus","Gemini","Cancer","Leo","Virgo","Libra","Scorpio","Sagittarius","Capricorn","Aquarius","Pisces"},0),12)+1=(MOD(7,12)+1)),AND(CALC_PlanetPositions!$M$13="Malefic",MOD(MATCH(CALC_PlanetPositions!$B$13,{"Aries","Taurus","Gemini","Cancer","Leo","Virgo","Libra","Scorpio","Sagittarius","Capricorn","Aquarius","Pisces"},0)-MATCH(INPUT_Chart!$C$5,{"Aries","Taurus","Gemini","Cancer","Leo","Virgo","Libra","Scorpio","Sagittarius","Capricorn","Aquarius","Pisces"},0),12)+1=(MOD(7,12)+1)),AND(TRUE(),MOD(MATCH(CALC_PlanetPositions!$B$14,{"Aries","Taurus","Gemini","Cancer","Leo","Virgo","Libra","Scorpio","Sagittarius","Capricorn","Aquarius","Pisces"},0)-MATCH(INPUT_Chart!$C$5,{"Aries","Taurus","Gemini","Cancer","Leo","Virgo","Libra","Scorpio","Sagittarius","Capricorn","Aquarius","Pisces"},0),12)+1=(MOD(7,12)+1)),AND(TRUE(),MOD(MATCH(CALC_PlanetPositions!$B$15,{"Aries","Taurus","Gemini","Cancer","Leo","Virgo","Libra","Scorpio","Sagittarius","Capricorn","Aquarius","Pisces"},0)-MATCH(INPUT_Chart!$C$5,{"Aries","Taurus","Gemini","Cancer","Leo","Virgo","Libra","Scorpio","Sagittarius","Capricorn","Aquarius","Pisces"},0),12)+1=(MOD(7,12)+1)))),1,0),0))*IF(REF_Config!$B$6="KP",-0.75,IF(REF_Config!$B$6="Jaimini",-0.5,-0.75)),0)</f>
        <v>0</v>
      </c>
      <c r="D18" s="403" t="s">
        <v>4629</v>
      </c>
    </row>
    <row r="19" spans="1:7" ht="15.75" customHeight="1" x14ac:dyDescent="0.2">
      <c r="A19" s="1594" t="s">
        <v>3624</v>
      </c>
      <c r="B19" s="1594"/>
      <c r="C19" s="1594"/>
      <c r="D19" s="1594"/>
    </row>
    <row r="20" spans="1:7" ht="27.75" customHeight="1" x14ac:dyDescent="0.2">
      <c r="A20" s="1151" t="s">
        <v>4630</v>
      </c>
      <c r="B20" s="357" t="s">
        <v>4555</v>
      </c>
      <c r="C20" s="1117">
        <v>0</v>
      </c>
      <c r="D20" s="400" t="s">
        <v>4631</v>
      </c>
    </row>
    <row r="21" spans="1:7" ht="27.75" customHeight="1" x14ac:dyDescent="0.2">
      <c r="A21" s="1151" t="s">
        <v>4632</v>
      </c>
      <c r="B21" s="203" t="s">
        <v>4633</v>
      </c>
      <c r="C21" s="1118">
        <f>IFERROR((IFERROR(IF(OR(AND(CALC_PlanetPositions!$M$7="Malefic",INDEX(REF_Aspects!$D$5:$O$13,1,MOD(CALC_BhaveshMap!$H$11-(MOD(MATCH(CALC_PlanetPositions!$B$7,{"Aries","Taurus","Gemini","Cancer","Leo","Virgo","Libra","Scorpio","Sagittarius","Capricorn","Aquarius","Pisces"},0)-MATCH(INPUT_Chart!$C$5,{"Aries","Taurus","Gemini","Cancer","Leo","Virgo","Libra","Scorpio","Sagittarius","Capricorn","Aquarius","Pisces"},0),12)+1),12)+1)="FULL",NOT(CALC_PlanetPositions!$B$7=CALC_BhaveshMap!$G$11)),AND(CALC_PlanetPositions!$M$8="Malefic",INDEX(REF_Aspects!$D$5:$O$13,2,MOD(CALC_BhaveshMap!$H$11-(MOD(MATCH(CALC_PlanetPositions!$B$8,{"Aries","Taurus","Gemini","Cancer","Leo","Virgo","Libra","Scorpio","Sagittarius","Capricorn","Aquarius","Pisces"},0)-MATCH(INPUT_Chart!$C$5,{"Aries","Taurus","Gemini","Cancer","Leo","Virgo","Libra","Scorpio","Sagittarius","Capricorn","Aquarius","Pisces"},0),12)+1),12)+1)="FULL",NOT(CALC_PlanetPositions!$B$8=CALC_BhaveshMap!$G$11)),AND(CALC_PlanetPositions!$M$9="Malefic",INDEX(REF_Aspects!$D$5:$O$13,3,MOD(CALC_BhaveshMap!$H$11-(MOD(MATCH(CALC_PlanetPositions!$B$9,{"Aries","Taurus","Gemini","Cancer","Leo","Virgo","Libra","Scorpio","Sagittarius","Capricorn","Aquarius","Pisces"},0)-MATCH(INPUT_Chart!$C$5,{"Aries","Taurus","Gemini","Cancer","Leo","Virgo","Libra","Scorpio","Sagittarius","Capricorn","Aquarius","Pisces"},0),12)+1),12)+1)="FULL",NOT(CALC_PlanetPositions!$B$9=CALC_BhaveshMap!$G$11)),AND(CALC_PlanetPositions!$M$10="Malefic",INDEX(REF_Aspects!$D$5:$O$13,4,MOD(CALC_BhaveshMap!$H$11-(MOD(MATCH(CALC_PlanetPositions!$B$10,{"Aries","Taurus","Gemini","Cancer","Leo","Virgo","Libra","Scorpio","Sagittarius","Capricorn","Aquarius","Pisces"},0)-MATCH(INPUT_Chart!$C$5,{"Aries","Taurus","Gemini","Cancer","Leo","Virgo","Libra","Scorpio","Sagittarius","Capricorn","Aquarius","Pisces"},0),12)+1),12)+1)="FULL",NOT(CALC_PlanetPositions!$B$10=CALC_BhaveshMap!$G$11)),AND(CALC_PlanetPositions!$M$11="Malefic",INDEX(REF_Aspects!$D$5:$O$13,5,MOD(CALC_BhaveshMap!$H$11-(MOD(MATCH(CALC_PlanetPositions!$B$11,{"Aries","Taurus","Gemini","Cancer","Leo","Virgo","Libra","Scorpio","Sagittarius","Capricorn","Aquarius","Pisces"},0)-MATCH(INPUT_Chart!$C$5,{"Aries","Taurus","Gemini","Cancer","Leo","Virgo","Libra","Scorpio","Sagittarius","Capricorn","Aquarius","Pisces"},0),12)+1),12)+1)="FULL",NOT(CALC_PlanetPositions!$B$11=CALC_BhaveshMap!$G$11)),AND(CALC_PlanetPositions!$M$12="Malefic",INDEX(REF_Aspects!$D$5:$O$13,6,MOD(CALC_BhaveshMap!$H$11-(MOD(MATCH(CALC_PlanetPositions!$B$12,{"Aries","Taurus","Gemini","Cancer","Leo","Virgo","Libra","Scorpio","Sagittarius","Capricorn","Aquarius","Pisces"},0)-MATCH(INPUT_Chart!$C$5,{"Aries","Taurus","Gemini","Cancer","Leo","Virgo","Libra","Scorpio","Sagittarius","Capricorn","Aquarius","Pisces"},0),12)+1),12)+1)="FULL",NOT(CALC_PlanetPositions!$B$12=CALC_BhaveshMap!$G$11)),AND(CALC_PlanetPositions!$M$13="Malefic",INDEX(REF_Aspects!$D$5:$O$13,7,MOD(CALC_BhaveshMap!$H$11-(MOD(MATCH(CALC_PlanetPositions!$B$13,{"Aries","Taurus","Gemini","Cancer","Leo","Virgo","Libra","Scorpio","Sagittarius","Capricorn","Aquarius","Pisces"},0)-MATCH(INPUT_Chart!$C$5,{"Aries","Taurus","Gemini","Cancer","Leo","Virgo","Libra","Scorpio","Sagittarius","Capricorn","Aquarius","Pisces"},0),12)+1),12)+1)="FULL",NOT(CALC_PlanetPositions!$B$13=CALC_BhaveshMap!$G$11)),AND(TRUE(),INDEX(REF_Aspects!$D$5:$O$13,8,MOD(CALC_BhaveshMap!$H$11-(MOD(MATCH(CALC_PlanetPositions!$B$14,{"Aries","Taurus","Gemini","Cancer","Leo","Virgo","Libra","Scorpio","Sagittarius","Capricorn","Aquarius","Pisces"},0)-MATCH(INPUT_Chart!$C$5,{"Aries","Taurus","Gemini","Cancer","Leo","Virgo","Libra","Scorpio","Sagittarius","Capricorn","Aquarius","Pisces"},0),12)+1),12)+1)="FULL",NOT(CALC_PlanetPositions!$B$14=CALC_BhaveshMap!$G$11)),AND(TRUE(),INDEX(REF_Aspects!$D$5:$O$13,9,MOD(CALC_BhaveshMap!$H$11-(MOD(MATCH(CALC_PlanetPositions!$B$15,{"Aries","Taurus","Gemini","Cancer","Leo","Virgo","Libra","Scorpio","Sagittarius","Capricorn","Aquarius","Pisces"},0)-MATCH(INPUT_Chart!$C$5,{"Aries","Taurus","Gemini","Cancer","Leo","Virgo","Libra","Scorpio","Sagittarius","Capricorn","Aquarius","Pisces"},0),12)+1),12)+1)="FULL",NOT(CALC_PlanetPositions!$B$15=CALC_BhaveshMap!$G$11))),1,0),0))*-0.5,0)</f>
        <v>-0.5</v>
      </c>
      <c r="D21" s="403" t="s">
        <v>4634</v>
      </c>
    </row>
    <row r="22" spans="1:7" ht="27.75" customHeight="1" x14ac:dyDescent="0.2">
      <c r="A22" s="1151" t="s">
        <v>4635</v>
      </c>
      <c r="B22" s="357" t="s">
        <v>3042</v>
      </c>
      <c r="C22" s="1117">
        <f>IFERROR((IFERROR(IF(CALC_BhaveshMap!$K$11="Yes",1,0),0))*IF(REF_Config!$B$6="KP",-1.75,IF(REF_Config!$B$6="Jaimini",-2,-2)),0)</f>
        <v>0</v>
      </c>
      <c r="D22" s="400" t="s">
        <v>4636</v>
      </c>
    </row>
    <row r="23" spans="1:7" ht="27.75" customHeight="1" x14ac:dyDescent="0.2">
      <c r="A23" s="1151" t="s">
        <v>4637</v>
      </c>
      <c r="B23" s="203" t="s">
        <v>3059</v>
      </c>
      <c r="C23" s="1118">
        <f>IFERROR((IFERROR(IF(OR(AND(CALC_BhaveshMap!$G$10=CALC_BhaveshMap!$G$11,CALC_BhaveshMap!$D$10&lt;&gt;CALC_BhaveshMap!$D$11),AND(CALC_BhaveshMap!$G$12=CALC_BhaveshMap!$G$11,CALC_BhaveshMap!$D$12&lt;&gt;CALC_BhaveshMap!$D$11),AND(CALC_BhaveshMap!$G$16=CALC_BhaveshMap!$G$11,CALC_BhaveshMap!$D$16&lt;&gt;CALC_BhaveshMap!$D$11)),1,0),0))*-1,0)</f>
        <v>0</v>
      </c>
      <c r="D23" s="403" t="s">
        <v>4638</v>
      </c>
    </row>
    <row r="24" spans="1:7" ht="15.75" customHeight="1" x14ac:dyDescent="0.2">
      <c r="A24" s="1484" t="s">
        <v>4639</v>
      </c>
      <c r="B24" s="1484"/>
      <c r="C24" s="1484"/>
      <c r="D24" s="1484"/>
    </row>
    <row r="25" spans="1:7" ht="27.75" customHeight="1" x14ac:dyDescent="0.2">
      <c r="A25" s="1151" t="s">
        <v>4640</v>
      </c>
      <c r="B25" s="357" t="s">
        <v>3084</v>
      </c>
      <c r="C25" s="1117">
        <f>IFERROR(IF(CALC_KarakMap!$M$11&gt;0,CALC_KarakMap!$M$11,0),0)</f>
        <v>0</v>
      </c>
      <c r="D25" s="400" t="s">
        <v>4641</v>
      </c>
    </row>
    <row r="26" spans="1:7" ht="27.75" customHeight="1" x14ac:dyDescent="0.2">
      <c r="A26" s="1151" t="s">
        <v>4642</v>
      </c>
      <c r="B26" s="203" t="s">
        <v>4564</v>
      </c>
      <c r="C26" s="1118">
        <f>IFERROR(IF(CALC_KarakMap!$M$11&lt;0,CALC_KarakMap!$M$11,0),0)</f>
        <v>0</v>
      </c>
      <c r="D26" s="403" t="s">
        <v>4643</v>
      </c>
    </row>
    <row r="27" spans="1:7" ht="27.75" customHeight="1" x14ac:dyDescent="0.2">
      <c r="A27" s="1119" t="s">
        <v>4644</v>
      </c>
      <c r="B27" s="296" t="s">
        <v>3624</v>
      </c>
      <c r="C27" s="1117">
        <f>IFERROR(IF(OR(CALC_BhaveshMap!$D$11="Sun",CALC_BhaveshMap!$D$11="Rahu",CALC_BhaveshMap!$D$11="Ketu"),0,IF(CALC_BhaveshMap!$D$11="Moon",IF(CALC_CombustionCheck!$G$4="Cazimi ✓",0.5,IF(CALC_CombustionCheck!$F$4="COMBUST ⚠",-1,0)),IF(CALC_BhaveshMap!$D$11="Mars",IF(CALC_CombustionCheck!$G$5="Cazimi ✓",0.5,IF(AND(CALC_CombustionCheck!$F$5="COMBUST ⚠",CALC_RetrogradeFix!$F$6="Rx ✓"),-0.5,IF(CALC_CombustionCheck!$F$5="COMBUST ⚠",-1,0))),IF(CALC_BhaveshMap!$D$11="Mercury",IF(CALC_CombustionCheck!$G$6="Cazimi ✓",0.5,IF(AND(CALC_CombustionCheck!$F$6="COMBUST ⚠",CALC_RetrogradeFix!$F$7="Rx ✓"),-0.5,IF(CALC_CombustionCheck!$F$6="COMBUST ⚠",-1,0))),IF(CALC_BhaveshMap!$D$11="Jupiter",IF(CALC_CombustionCheck!$G$7="Cazimi ✓",0.5,IF(AND(CALC_CombustionCheck!$F$7="COMBUST ⚠",CALC_RetrogradeFix!$F$8="Rx ✓"),-0.5,IF(CALC_CombustionCheck!$F$7="COMBUST ⚠",-1,0))),IF(CALC_BhaveshMap!$D$11="Venus",IF(CALC_CombustionCheck!$G$8="Cazimi ✓",0.5,IF(AND(CALC_CombustionCheck!$F$8="COMBUST ⚠",CALC_RetrogradeFix!$F$9="Rx ✓"),-0.5,IF(CALC_CombustionCheck!$F$8="COMBUST ⚠",-1,0))),IF(CALC_BhaveshMap!$D$11="Saturn",IF(CALC_CombustionCheck!$G$9="Cazimi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BhaveshMap!$D$11="Rahu",CALC_BhaveshMap!$D$11="Ketu"),0,IF(ISNUMBER(MATCH(CALC_BhaveshMap!$D$11,{"Sun","Moon","Mars","Mercury","Jupiter","Venus","Saturn"},0)),IF(INDEX(CALC_DigBala!$F$4:$F$10,MATCH(CALC_BhaveshMap!$D$11,{"Sun","Moon","Mars","Mercury","Jupiter","Venus","Saturn"},0))="Yes",0.5,0),0)),0)</f>
        <v>0</v>
      </c>
      <c r="D28" s="400" t="s">
        <v>4647</v>
      </c>
    </row>
    <row r="29" spans="1:7" ht="27.75" customHeight="1" x14ac:dyDescent="0.2">
      <c r="A29" s="1120" t="s">
        <v>4648</v>
      </c>
      <c r="B29" s="296" t="s">
        <v>3372</v>
      </c>
      <c r="C29" s="1117">
        <f>IFERROR(IF(COUNTIFS(REF_PushkaraNavamsha!$A$4:$A$27,CALC_BhaveshMap!$G$11,REF_PushkaraNavamsha!$B$4:$B$27,INDEX(CALC_PlanetPositions!$G$7:$G$15,MATCH(CALC_BhaveshMap!$D$11,CALC_PlanetPositions!$A$7:$A$15,0)))&gt;0,0.5,0),0)</f>
        <v>0</v>
      </c>
      <c r="D29" s="400" t="s">
        <v>4649</v>
      </c>
    </row>
    <row r="30" spans="1:7" ht="25.5" customHeight="1" x14ac:dyDescent="0.2">
      <c r="A30" s="147" t="s">
        <v>4650</v>
      </c>
      <c r="B30" s="1121" t="s">
        <v>4651</v>
      </c>
      <c r="C30" s="1122">
        <f>IFERROR(IF(ISNUMBER(MATCH(CALC_BhaveshMap!$D$11,{"Sun","Moon","Mars","Mercury","Jupiter","Venus","Saturn"},0)),INDEX(CALC_RetrogradeFix!$G$4:$G$10,MATCH(CALC_BhaveshMap!$D$11,{"Sun","Moon","Mars","Mercury","Jupiter","Venus","Saturn"},0)),0),0)</f>
        <v>0</v>
      </c>
      <c r="D30" s="1123" t="s">
        <v>4652</v>
      </c>
    </row>
    <row r="31" spans="1:7" ht="18" customHeight="1" x14ac:dyDescent="0.2">
      <c r="A31" s="1555" t="s">
        <v>4653</v>
      </c>
      <c r="B31" s="1555"/>
      <c r="C31" s="1555"/>
      <c r="D31" s="1555"/>
      <c r="E31" s="1124" t="s">
        <v>4654</v>
      </c>
      <c r="F31" s="1125">
        <f>IFERROR(IF(CALC_Ashtakavarga!H$15&gt;28,0.5,IF(CALC_Ashtakavarga!H$15&lt;22,-0.5,0)),0)</f>
        <v>0</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IFERROR(SUM(C9:C13,C28:C30,F31,0),0)</f>
        <v>0</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IFERROR(SUM(C20:C23,C27),0)</f>
        <v>-0.5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-2.5</v>
      </c>
      <c r="D37" s="1129"/>
    </row>
    <row r="38" spans="1:4" ht="21.75" customHeight="1" x14ac:dyDescent="0.2">
      <c r="A38" s="89" t="s">
        <v>4661</v>
      </c>
      <c r="B38" s="1129"/>
      <c r="C38" s="1131">
        <f>IFERROR(MAX(-10,MIN(10,C37)),0)</f>
        <v>-2.5</v>
      </c>
      <c r="D38" s="1132"/>
    </row>
    <row r="39" spans="1:4" ht="18" customHeight="1" x14ac:dyDescent="0.2">
      <c r="A39" s="517" t="s">
        <v>4662</v>
      </c>
      <c r="B39" s="1129"/>
      <c r="C39" s="1133">
        <f>IFERROR(CALC_LagneshStrength!$I$4,0)</f>
        <v>0</v>
      </c>
      <c r="D39" s="1129"/>
    </row>
    <row r="40" spans="1:4" ht="25.5" customHeight="1" x14ac:dyDescent="0.2">
      <c r="A40" s="1152" t="s">
        <v>4663</v>
      </c>
      <c r="B40" s="1129"/>
      <c r="C40" s="1153">
        <f>IFERROR(MAX(-10,MIN(10,C38+C39)),0)</f>
        <v>-2.5</v>
      </c>
      <c r="D40" s="1154" t="str">
        <f>IFERROR(IF(C40&gt;=7,"Excellent — Partnerships domain very strong",IF(C40&gt;=4,"Good — Partnerships domain strong",IF(C40&gt;=1,"Moderate",IF(C40&gt;=-2,"Mixed — Partnerships has challenges",IF(C40&gt;=-5,"Weak","Very weak — Partnerships heavily afflicted"))))),"—")</f>
        <v>Weak</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4671</v>
      </c>
      <c r="B1" s="1518"/>
      <c r="C1" s="1518"/>
      <c r="D1" s="1518"/>
      <c r="L1" s="29" t="str">
        <f>HYPERLINK("#'00_INDEX'!A1","&lt;- Index")</f>
        <v>&lt;- Index</v>
      </c>
    </row>
    <row r="2" spans="1:12" ht="19.5" customHeight="1" x14ac:dyDescent="0.2">
      <c r="A2" s="1595" t="str">
        <f>IFERROR("Lagna: "&amp;INPUT_Chart!$C$5&amp;"  ·  H8 sign: "&amp;CALC_BhaveshMap!$C$12&amp;"  ·  Bhavesh: "&amp;CALC_BhaveshMap!$D$12&amp;" in H"&amp;CALC_BhaveshMap!$H$12&amp;" ("&amp;CALC_BhaveshMap!$L$12&amp;")","Enter Lagna in INPUT_Chart")</f>
        <v>Lagna: Taurus  ·  H8 sign: Sagittarius  ·  Bhavesh: Jupiter in H6 (Enemy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19" t="s">
        <v>4605</v>
      </c>
      <c r="B5" s="357" t="s">
        <v>4529</v>
      </c>
      <c r="C5" s="1117">
        <f>IFERROR((IFERROR(IF(INDEX(REF_Zodiac!$D$17:$O$17,MATCH(CALC_BhaveshMap!$C$12,REF_Zodiac!$D$3:$O$3,0))="Gentle",1,0),0))*0.5,0)</f>
        <v>0.5</v>
      </c>
      <c r="D5" s="400" t="s">
        <v>4606</v>
      </c>
    </row>
    <row r="6" spans="1:12" ht="27.75" customHeight="1" x14ac:dyDescent="0.2">
      <c r="A6" s="1119"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119" t="s">
        <v>4609</v>
      </c>
      <c r="B7" s="357" t="s">
        <v>4534</v>
      </c>
      <c r="C7" s="1117">
        <f>IFERROR((IFERROR(IF(OR(AND(OR(CALC_PlanetPositions!$M$7="Benefic",CALC_PlanetPositions!$M$7="Yogakaraka"),INDEX(REF_Aspects!$D$5:$O$13,1,MOD(8-(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8)),AND(OR(CALC_PlanetPositions!$M$8="Benefic",CALC_PlanetPositions!$M$8="Yogakaraka"),INDEX(REF_Aspects!$D$5:$O$13,2,MOD(8-(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8)),AND(OR(CALC_PlanetPositions!$M$9="Benefic",CALC_PlanetPositions!$M$9="Yogakaraka"),INDEX(REF_Aspects!$D$5:$O$13,3,MOD(8-(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8)),AND(OR(CALC_PlanetPositions!$M$10="Benefic",CALC_PlanetPositions!$M$10="Yogakaraka"),INDEX(REF_Aspects!$D$5:$O$13,4,MOD(8-(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8)),AND(OR(CALC_PlanetPositions!$M$11="Benefic",CALC_PlanetPositions!$M$11="Yogakaraka"),INDEX(REF_Aspects!$D$5:$O$13,5,MOD(8-(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8)),AND(OR(CALC_PlanetPositions!$M$12="Benefic",CALC_PlanetPositions!$M$12="Yogakaraka"),INDEX(REF_Aspects!$D$5:$O$13,6,MOD(8-(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8)),AND(OR(CALC_PlanetPositions!$M$13="Benefic",CALC_PlanetPositions!$M$13="Yogakaraka"),INDEX(REF_Aspects!$D$5:$O$13,7,MOD(8-(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8)),AND(FALSE(),INDEX(REF_Aspects!$D$5:$O$13,8,MOD(8-(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8)),AND(FALSE(),INDEX(REF_Aspects!$D$5:$O$13,9,MOD(8-(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8))),1,0),0))*IF(REF_Config!$B$6="KP",0.5,IF(REF_Config!$B$6="Jaimini",0.75,0.75)),0)</f>
        <v>0</v>
      </c>
      <c r="D7" s="400" t="s">
        <v>4610</v>
      </c>
    </row>
    <row r="8" spans="1:12" ht="15.75" customHeight="1" x14ac:dyDescent="0.2">
      <c r="A8" s="1597" t="s">
        <v>3372</v>
      </c>
      <c r="B8" s="1597"/>
      <c r="C8" s="1597"/>
      <c r="D8" s="1597"/>
    </row>
    <row r="9" spans="1:12" ht="27.75" customHeight="1" x14ac:dyDescent="0.2">
      <c r="A9" s="1119" t="s">
        <v>4611</v>
      </c>
      <c r="B9" s="203" t="s">
        <v>4537</v>
      </c>
      <c r="C9" s="1118">
        <f>IFERROR(IF(AND(OR(CALC_BhaveshMap!$I$12="Yes",CALC_BhaveshMap!$J$12="Yes"),NOT(CALC_BhaveshMap!$K$12="Yes")),1,0)*IF(REF_Config!$B$6="KP",1.5,IF(REF_Config!$B$6="Jaimini",1.5,2)),0)</f>
        <v>0</v>
      </c>
      <c r="D9" s="403" t="s">
        <v>4612</v>
      </c>
    </row>
    <row r="10" spans="1:12" ht="27.75" customHeight="1" x14ac:dyDescent="0.2">
      <c r="A10" s="1119" t="s">
        <v>4613</v>
      </c>
      <c r="B10" s="357" t="s">
        <v>3093</v>
      </c>
      <c r="C10" s="1117">
        <f>IFERROR((IFERROR(IF(OR(AND(CALC_BhaveshMap!$G$5=CALC_BhaveshMap!$G$12,CALC_BhaveshMap!$D$5&lt;&gt;CALC_BhaveshMap!$D$12),AND(CALC_BhaveshMap!$G$8=CALC_BhaveshMap!$G$12,CALC_BhaveshMap!$D$8&lt;&gt;CALC_BhaveshMap!$D$12),AND(CALC_BhaveshMap!$G$9=CALC_BhaveshMap!$G$12,CALC_BhaveshMap!$D$9&lt;&gt;CALC_BhaveshMap!$D$12),AND(CALC_BhaveshMap!$G$11=CALC_BhaveshMap!$G$12,CALC_BhaveshMap!$D$11&lt;&gt;CALC_BhaveshMap!$D$12),AND(CALC_BhaveshMap!$G$13=CALC_BhaveshMap!$G$12,CALC_BhaveshMap!$D$13&lt;&gt;CALC_BhaveshMap!$D$12),AND(CALC_BhaveshMap!$G$14=CALC_BhaveshMap!$G$12,CALC_BhaveshMap!$D$14&lt;&gt;CALC_BhaveshMap!$D$12)),1,0),0))*0.5,0)</f>
        <v>0</v>
      </c>
      <c r="D10" s="400" t="s">
        <v>4614</v>
      </c>
    </row>
    <row r="11" spans="1:12" ht="27.75" customHeight="1" x14ac:dyDescent="0.2">
      <c r="A11" s="1119" t="s">
        <v>4615</v>
      </c>
      <c r="B11" s="203" t="s">
        <v>4540</v>
      </c>
      <c r="C11" s="1118">
        <f>IFERROR((IFERROR(IF(OR(AND(OR(CALC_PlanetPositions!$M$7="Benefic",CALC_PlanetPositions!$M$7="Yogakaraka"),CALC_PlanetPositions!$B$7=CALC_BhaveshMap!$G$12,CALC_BhaveshMap!$D$12&lt;&gt;"Sun"),AND(OR(CALC_PlanetPositions!$M$8="Benefic",CALC_PlanetPositions!$M$8="Yogakaraka"),CALC_PlanetPositions!$B$8=CALC_BhaveshMap!$G$12,CALC_BhaveshMap!$D$12&lt;&gt;"Moon"),AND(OR(CALC_PlanetPositions!$M$9="Benefic",CALC_PlanetPositions!$M$9="Yogakaraka"),CALC_PlanetPositions!$B$9=CALC_BhaveshMap!$G$12,CALC_BhaveshMap!$D$12&lt;&gt;"Mars"),AND(OR(CALC_PlanetPositions!$M$10="Benefic",CALC_PlanetPositions!$M$10="Yogakaraka"),CALC_PlanetPositions!$B$10=CALC_BhaveshMap!$G$12,CALC_BhaveshMap!$D$12&lt;&gt;"Mercury"),AND(OR(CALC_PlanetPositions!$M$11="Benefic",CALC_PlanetPositions!$M$11="Yogakaraka"),CALC_PlanetPositions!$B$11=CALC_BhaveshMap!$G$12,CALC_BhaveshMap!$D$12&lt;&gt;"Jupiter"),AND(OR(CALC_PlanetPositions!$M$12="Benefic",CALC_PlanetPositions!$M$12="Yogakaraka"),CALC_PlanetPositions!$B$12=CALC_BhaveshMap!$G$12,CALC_BhaveshMap!$D$12&lt;&gt;"Venus"),AND(OR(CALC_PlanetPositions!$M$13="Benefic",CALC_PlanetPositions!$M$13="Yogakaraka"),CALC_PlanetPositions!$B$13=CALC_BhaveshMap!$G$12,CALC_BhaveshMap!$D$12&lt;&gt;"Saturn")),1,0),0))*IF(OR(AND(CALC_PlanetPositions!$M$7="Yogakaraka",CALC_PlanetPositions!$B$7=CALC_BhaveshMap!$G$12,CALC_BhaveshMap!$D$12&lt;&gt;"Sun"),AND(CALC_PlanetPositions!$M$8="Yogakaraka",CALC_PlanetPositions!$B$8=CALC_BhaveshMap!$G$12,CALC_BhaveshMap!$D$12&lt;&gt;"Moon"),AND(CALC_PlanetPositions!$M$9="Yogakaraka",CALC_PlanetPositions!$B$9=CALC_BhaveshMap!$G$12,CALC_BhaveshMap!$D$12&lt;&gt;"Mars"),AND(CALC_PlanetPositions!$M$10="Yogakaraka",CALC_PlanetPositions!$B$10=CALC_BhaveshMap!$G$12,CALC_BhaveshMap!$D$12&lt;&gt;"Mercury"),AND(CALC_PlanetPositions!$M$11="Yogakaraka",CALC_PlanetPositions!$B$11=CALC_BhaveshMap!$G$12,CALC_BhaveshMap!$D$12&lt;&gt;"Jupiter"),AND(CALC_PlanetPositions!$M$12="Yogakaraka",CALC_PlanetPositions!$B$12=CALC_BhaveshMap!$G$12,CALC_BhaveshMap!$D$12&lt;&gt;"Venus"),AND(CALC_PlanetPositions!$M$13="Yogakaraka",CALC_PlanetPositions!$B$13=CALC_BhaveshMap!$G$12,CALC_BhaveshMap!$D$12&lt;&gt;"Saturn")),1.5,1),0)</f>
        <v>0</v>
      </c>
      <c r="D11" s="403" t="s">
        <v>4616</v>
      </c>
    </row>
    <row r="12" spans="1:12" ht="27.75" customHeight="1" x14ac:dyDescent="0.2">
      <c r="A12" s="1119" t="s">
        <v>4617</v>
      </c>
      <c r="B12" s="357" t="s">
        <v>4542</v>
      </c>
      <c r="C12" s="1117">
        <f>IFERROR((IFERROR(IF(OR(AND(OR(CALC_PlanetPositions!$M$7="Benefic",CALC_PlanetPositions!$M$7="Yogakaraka"),INDEX(REF_Aspects!$D$5:$O$13,1,MOD(CALC_BhaveshMap!$H$12-(MOD(MATCH(CALC_PlanetPositions!$B$7,{"Aries","Taurus","Gemini","Cancer","Leo","Virgo","Libra","Scorpio","Sagittarius","Capricorn","Aquarius","Pisces"},0)-MATCH(INPUT_Chart!$C$5,{"Aries","Taurus","Gemini","Cancer","Leo","Virgo","Libra","Scorpio","Sagittarius","Capricorn","Aquarius","Pisces"},0),12)+1),12)+1)="FULL",NOT(CALC_PlanetPositions!$B$7=CALC_BhaveshMap!$G$12)),AND(OR(CALC_PlanetPositions!$M$8="Benefic",CALC_PlanetPositions!$M$8="Yogakaraka"),INDEX(REF_Aspects!$D$5:$O$13,2,MOD(CALC_BhaveshMap!$H$12-(MOD(MATCH(CALC_PlanetPositions!$B$8,{"Aries","Taurus","Gemini","Cancer","Leo","Virgo","Libra","Scorpio","Sagittarius","Capricorn","Aquarius","Pisces"},0)-MATCH(INPUT_Chart!$C$5,{"Aries","Taurus","Gemini","Cancer","Leo","Virgo","Libra","Scorpio","Sagittarius","Capricorn","Aquarius","Pisces"},0),12)+1),12)+1)="FULL",NOT(CALC_PlanetPositions!$B$8=CALC_BhaveshMap!$G$12)),AND(OR(CALC_PlanetPositions!$M$9="Benefic",CALC_PlanetPositions!$M$9="Yogakaraka"),INDEX(REF_Aspects!$D$5:$O$13,3,MOD(CALC_BhaveshMap!$H$12-(MOD(MATCH(CALC_PlanetPositions!$B$9,{"Aries","Taurus","Gemini","Cancer","Leo","Virgo","Libra","Scorpio","Sagittarius","Capricorn","Aquarius","Pisces"},0)-MATCH(INPUT_Chart!$C$5,{"Aries","Taurus","Gemini","Cancer","Leo","Virgo","Libra","Scorpio","Sagittarius","Capricorn","Aquarius","Pisces"},0),12)+1),12)+1)="FULL",NOT(CALC_PlanetPositions!$B$9=CALC_BhaveshMap!$G$12)),AND(OR(CALC_PlanetPositions!$M$10="Benefic",CALC_PlanetPositions!$M$10="Yogakaraka"),INDEX(REF_Aspects!$D$5:$O$13,4,MOD(CALC_BhaveshMap!$H$12-(MOD(MATCH(CALC_PlanetPositions!$B$10,{"Aries","Taurus","Gemini","Cancer","Leo","Virgo","Libra","Scorpio","Sagittarius","Capricorn","Aquarius","Pisces"},0)-MATCH(INPUT_Chart!$C$5,{"Aries","Taurus","Gemini","Cancer","Leo","Virgo","Libra","Scorpio","Sagittarius","Capricorn","Aquarius","Pisces"},0),12)+1),12)+1)="FULL",NOT(CALC_PlanetPositions!$B$10=CALC_BhaveshMap!$G$12)),AND(OR(CALC_PlanetPositions!$M$11="Benefic",CALC_PlanetPositions!$M$11="Yogakaraka"),INDEX(REF_Aspects!$D$5:$O$13,5,MOD(CALC_BhaveshMap!$H$12-(MOD(MATCH(CALC_PlanetPositions!$B$11,{"Aries","Taurus","Gemini","Cancer","Leo","Virgo","Libra","Scorpio","Sagittarius","Capricorn","Aquarius","Pisces"},0)-MATCH(INPUT_Chart!$C$5,{"Aries","Taurus","Gemini","Cancer","Leo","Virgo","Libra","Scorpio","Sagittarius","Capricorn","Aquarius","Pisces"},0),12)+1),12)+1)="FULL",NOT(CALC_PlanetPositions!$B$11=CALC_BhaveshMap!$G$12)),AND(OR(CALC_PlanetPositions!$M$12="Benefic",CALC_PlanetPositions!$M$12="Yogakaraka"),INDEX(REF_Aspects!$D$5:$O$13,6,MOD(CALC_BhaveshMap!$H$12-(MOD(MATCH(CALC_PlanetPositions!$B$12,{"Aries","Taurus","Gemini","Cancer","Leo","Virgo","Libra","Scorpio","Sagittarius","Capricorn","Aquarius","Pisces"},0)-MATCH(INPUT_Chart!$C$5,{"Aries","Taurus","Gemini","Cancer","Leo","Virgo","Libra","Scorpio","Sagittarius","Capricorn","Aquarius","Pisces"},0),12)+1),12)+1)="FULL",NOT(CALC_PlanetPositions!$B$12=CALC_BhaveshMap!$G$12)),AND(OR(CALC_PlanetPositions!$M$13="Benefic",CALC_PlanetPositions!$M$13="Yogakaraka"),INDEX(REF_Aspects!$D$5:$O$13,7,MOD(CALC_BhaveshMap!$H$12-(MOD(MATCH(CALC_PlanetPositions!$B$13,{"Aries","Taurus","Gemini","Cancer","Leo","Virgo","Libra","Scorpio","Sagittarius","Capricorn","Aquarius","Pisces"},0)-MATCH(INPUT_Chart!$C$5,{"Aries","Taurus","Gemini","Cancer","Leo","Virgo","Libra","Scorpio","Sagittarius","Capricorn","Aquarius","Pisces"},0),12)+1),12)+1)="FULL",NOT(CALC_PlanetPositions!$B$13=CALC_BhaveshMap!$G$12)),AND(FALSE(),INDEX(REF_Aspects!$D$5:$O$13,8,MOD(CALC_BhaveshMap!$H$12-(MOD(MATCH(CALC_PlanetPositions!$B$14,{"Aries","Taurus","Gemini","Cancer","Leo","Virgo","Libra","Scorpio","Sagittarius","Capricorn","Aquarius","Pisces"},0)-MATCH(INPUT_Chart!$C$5,{"Aries","Taurus","Gemini","Cancer","Leo","Virgo","Libra","Scorpio","Sagittarius","Capricorn","Aquarius","Pisces"},0),12)+1),12)+1)="FULL",NOT(CALC_PlanetPositions!$B$14=CALC_BhaveshMap!$G$12)),AND(FALSE(),INDEX(REF_Aspects!$D$5:$O$13,9,MOD(CALC_BhaveshMap!$H$12-(MOD(MATCH(CALC_PlanetPositions!$B$15,{"Aries","Taurus","Gemini","Cancer","Leo","Virgo","Libra","Scorpio","Sagittarius","Capricorn","Aquarius","Pisces"},0)-MATCH(INPUT_Chart!$C$5,{"Aries","Taurus","Gemini","Cancer","Leo","Virgo","Libra","Scorpio","Sagittarius","Capricorn","Aquarius","Pisces"},0),12)+1),12)+1)="FULL",NOT(CALC_PlanetPositions!$B$15=CALC_BhaveshMap!$G$12))),1,0),0))*0.5,0)</f>
        <v>0</v>
      </c>
      <c r="D12" s="400" t="s">
        <v>4618</v>
      </c>
    </row>
    <row r="13" spans="1:12" ht="27.75" customHeight="1" x14ac:dyDescent="0.2">
      <c r="A13" s="1119"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$12-2,12)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$12-2,12)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$12-2,12)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$12-2,12)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$12-2,12)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$12-2,12)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$12-2,12)+1)),AND(FALSE(),MOD(MATCH(CALC_PlanetPositions!$B$14,{"Aries","Taurus","Gemini","Cancer","Leo","Virgo","Libra","Scorpio","Sagittarius","Capricorn","Aquarius","Pisces"},0)-MATCH(INPUT_Chart!$C$5,{"Aries","Taurus","Gemini","Cancer","Leo","Virgo","Libra","Scorpio","Sagittarius","Capricorn","Aquarius","Pisces"},0),12)+1=(MOD(CALC_BhaveshMap!$H$12-2,12)+1)),AND(FALSE(),MOD(MATCH(CALC_PlanetPositions!$B$15,{"Aries","Taurus","Gemini","Cancer","Leo","Virgo","Libra","Scorpio","Sagittarius","Capricorn","Aquarius","Pisces"},0)-MATCH(INPUT_Chart!$C$5,{"Aries","Taurus","Gemini","Cancer","Leo","Virgo","Libra","Scorpio","Sagittarius","Capricorn","Aquarius","Pisces"},0),12)+1=(MOD(CALC_BhaveshMap!$H$12-2,12)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$12,12)+1)),AND(FALSE(),MOD(MATCH(CALC_PlanetPositions!$B$14,{"Aries","Taurus","Gemini","Cancer","Leo","Virgo","Libra","Scorpio","Sagittarius","Capricorn","Aquarius","Pisces"},0)-MATCH(INPUT_Chart!$C$5,{"Aries","Taurus","Gemini","Cancer","Leo","Virgo","Libra","Scorpio","Sagittarius","Capricorn","Aquarius","Pisces"},0),12)+1=(MOD(CALC_BhaveshMap!$H$12,12)+1)),AND(FALSE(),MOD(MATCH(CALC_PlanetPositions!$B$15,{"Aries","Taurus","Gemini","Cancer","Leo","Virgo","Libra","Scorpio","Sagittarius","Capricorn","Aquarius","Pisces"},0)-MATCH(INPUT_Chart!$C$5,{"Aries","Taurus","Gemini","Cancer","Leo","Virgo","Libra","Scorpio","Sagittarius","Capricorn","Aquarius","Pisces"},0),12)+1=(MOD(CALC_BhaveshMap!$H$12,12)+1)))),1,0),0))*IF(REF_Config!$B$6="KP",0.75,IF(REF_Config!$B$6="Jaimini",0.5,0.75)),0)</f>
        <v>0</v>
      </c>
      <c r="D13" s="403" t="s">
        <v>4620</v>
      </c>
    </row>
    <row r="14" spans="1:12" ht="15.75" customHeight="1" x14ac:dyDescent="0.2">
      <c r="A14" s="1598" t="s">
        <v>4621</v>
      </c>
      <c r="B14" s="1598"/>
      <c r="C14" s="1598"/>
      <c r="D14" s="1598"/>
    </row>
    <row r="15" spans="1:12" ht="27.75" customHeight="1" x14ac:dyDescent="0.2">
      <c r="A15" s="1119"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8),AND(CALC_PlanetPositions!$M$8="Malefic",(MOD(MATCH(CALC_PlanetPositions!$B$8,{"Aries","Taurus","Gemini","Cancer","Leo","Virgo","Libra","Scorpio","Sagittarius","Capricorn","Aquarius","Pisces"},0)-MATCH(INPUT_Chart!$C$5,{"Aries","Taurus","Gemini","Cancer","Leo","Virgo","Libra","Scorpio","Sagittarius","Capricorn","Aquarius","Pisces"},0),12)+1)=8),AND(CALC_PlanetPositions!$M$9="Malefic",(MOD(MATCH(CALC_PlanetPositions!$B$9,{"Aries","Taurus","Gemini","Cancer","Leo","Virgo","Libra","Scorpio","Sagittarius","Capricorn","Aquarius","Pisces"},0)-MATCH(INPUT_Chart!$C$5,{"Aries","Taurus","Gemini","Cancer","Leo","Virgo","Libra","Scorpio","Sagittarius","Capricorn","Aquarius","Pisces"},0),12)+1)=8),AND(CALC_PlanetPositions!$M$10="Malefic",(MOD(MATCH(CALC_PlanetPositions!$B$10,{"Aries","Taurus","Gemini","Cancer","Leo","Virgo","Libra","Scorpio","Sagittarius","Capricorn","Aquarius","Pisces"},0)-MATCH(INPUT_Chart!$C$5,{"Aries","Taurus","Gemini","Cancer","Leo","Virgo","Libra","Scorpio","Sagittarius","Capricorn","Aquarius","Pisces"},0),12)+1)=8),AND(CALC_PlanetPositions!$M$11="Malefic",(MOD(MATCH(CALC_PlanetPositions!$B$11,{"Aries","Taurus","Gemini","Cancer","Leo","Virgo","Libra","Scorpio","Sagittarius","Capricorn","Aquarius","Pisces"},0)-MATCH(INPUT_Chart!$C$5,{"Aries","Taurus","Gemini","Cancer","Leo","Virgo","Libra","Scorpio","Sagittarius","Capricorn","Aquarius","Pisces"},0),12)+1)=8),AND(CALC_PlanetPositions!$M$12="Malefic",(MOD(MATCH(CALC_PlanetPositions!$B$12,{"Aries","Taurus","Gemini","Cancer","Leo","Virgo","Libra","Scorpio","Sagittarius","Capricorn","Aquarius","Pisces"},0)-MATCH(INPUT_Chart!$C$5,{"Aries","Taurus","Gemini","Cancer","Leo","Virgo","Libra","Scorpio","Sagittarius","Capricorn","Aquarius","Pisces"},0),12)+1)=8),AND(CALC_PlanetPositions!$M$13="Malefic",(MOD(MATCH(CALC_PlanetPositions!$B$13,{"Aries","Taurus","Gemini","Cancer","Leo","Virgo","Libra","Scorpio","Sagittarius","Capricorn","Aquarius","Pisces"},0)-MATCH(INPUT_Chart!$C$5,{"Aries","Taurus","Gemini","Cancer","Leo","Virgo","Libra","Scorpio","Sagittarius","Capricorn","Aquarius","Pisces"},0),12)+1)=8),AND(TRUE(),(MOD(MATCH(CALC_PlanetPositions!$B$14,{"Aries","Taurus","Gemini","Cancer","Leo","Virgo","Libra","Scorpio","Sagittarius","Capricorn","Aquarius","Pisces"},0)-MATCH(INPUT_Chart!$C$5,{"Aries","Taurus","Gemini","Cancer","Leo","Virgo","Libra","Scorpio","Sagittarius","Capricorn","Aquarius","Pisces"},0),12)+1)=8),AND(TRUE(),(MOD(MATCH(CALC_PlanetPositions!$B$15,{"Aries","Taurus","Gemini","Cancer","Leo","Virgo","Libra","Scorpio","Sagittarius","Capricorn","Aquarius","Pisces"},0)-MATCH(INPUT_Chart!$C$5,{"Aries","Taurus","Gemini","Cancer","Leo","Virgo","Libra","Scorpio","Sagittarius","Capricorn","Aquarius","Pisces"},0),12)+1)=8)),1,0),0))*-1,0)</f>
        <v>0</v>
      </c>
      <c r="D15" s="400" t="s">
        <v>4623</v>
      </c>
    </row>
    <row r="16" spans="1:12" ht="27.75" customHeight="1" x14ac:dyDescent="0.2">
      <c r="A16" s="1119" t="s">
        <v>4624</v>
      </c>
      <c r="B16" s="203" t="s">
        <v>4548</v>
      </c>
      <c r="C16" s="1118">
        <f>IFERROR((IFERROR(IF(OR(AND(CALC_PlanetPositions!$M$7="Malefic",INDEX(REF_Aspects!$D$5:$O$13,1,MOD(8-(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8)),AND(CALC_PlanetPositions!$M$8="Malefic",INDEX(REF_Aspects!$D$5:$O$13,2,MOD(8-(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8)),AND(CALC_PlanetPositions!$M$9="Malefic",INDEX(REF_Aspects!$D$5:$O$13,3,MOD(8-(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8)),AND(CALC_PlanetPositions!$M$10="Malefic",INDEX(REF_Aspects!$D$5:$O$13,4,MOD(8-(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8)),AND(CALC_PlanetPositions!$M$11="Malefic",INDEX(REF_Aspects!$D$5:$O$13,5,MOD(8-(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8)),AND(CALC_PlanetPositions!$M$12="Malefic",INDEX(REF_Aspects!$D$5:$O$13,6,MOD(8-(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8)),AND(CALC_PlanetPositions!$M$13="Malefic",INDEX(REF_Aspects!$D$5:$O$13,7,MOD(8-(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8)),AND(TRUE(),INDEX(REF_Aspects!$D$5:$O$13,8,MOD(8-(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8)),AND(TRUE(),INDEX(REF_Aspects!$D$5:$O$13,9,MOD(8-(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8))),1,0),0))*-1,0)</f>
        <v>-1</v>
      </c>
      <c r="D16" s="403" t="s">
        <v>4625</v>
      </c>
    </row>
    <row r="17" spans="1:7" ht="27.75" customHeight="1" x14ac:dyDescent="0.2">
      <c r="A17" s="1119" t="s">
        <v>4626</v>
      </c>
      <c r="B17" s="357" t="s">
        <v>3062</v>
      </c>
      <c r="C17" s="1117">
        <v>0</v>
      </c>
      <c r="D17" s="400" t="s">
        <v>4627</v>
      </c>
    </row>
    <row r="18" spans="1:7" ht="27.75" customHeight="1" x14ac:dyDescent="0.2">
      <c r="A18" s="1119"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(8-2,12)+1)),AND(CALC_PlanetPositions!$M$8="Malefic",MOD(MATCH(CALC_PlanetPositions!$B$8,{"Aries","Taurus","Gemini","Cancer","Leo","Virgo","Libra","Scorpio","Sagittarius","Capricorn","Aquarius","Pisces"},0)-MATCH(INPUT_Chart!$C$5,{"Aries","Taurus","Gemini","Cancer","Leo","Virgo","Libra","Scorpio","Sagittarius","Capricorn","Aquarius","Pisces"},0),12)+1=(MOD(8-2,12)+1)),AND(CALC_PlanetPositions!$M$9="Malefic",MOD(MATCH(CALC_PlanetPositions!$B$9,{"Aries","Taurus","Gemini","Cancer","Leo","Virgo","Libra","Scorpio","Sagittarius","Capricorn","Aquarius","Pisces"},0)-MATCH(INPUT_Chart!$C$5,{"Aries","Taurus","Gemini","Cancer","Leo","Virgo","Libra","Scorpio","Sagittarius","Capricorn","Aquarius","Pisces"},0),12)+1=(MOD(8-2,12)+1)),AND(CALC_PlanetPositions!$M$10="Malefic",MOD(MATCH(CALC_PlanetPositions!$B$10,{"Aries","Taurus","Gemini","Cancer","Leo","Virgo","Libra","Scorpio","Sagittarius","Capricorn","Aquarius","Pisces"},0)-MATCH(INPUT_Chart!$C$5,{"Aries","Taurus","Gemini","Cancer","Leo","Virgo","Libra","Scorpio","Sagittarius","Capricorn","Aquarius","Pisces"},0),12)+1=(MOD(8-2,12)+1)),AND(CALC_PlanetPositions!$M$11="Malefic",MOD(MATCH(CALC_PlanetPositions!$B$11,{"Aries","Taurus","Gemini","Cancer","Leo","Virgo","Libra","Scorpio","Sagittarius","Capricorn","Aquarius","Pisces"},0)-MATCH(INPUT_Chart!$C$5,{"Aries","Taurus","Gemini","Cancer","Leo","Virgo","Libra","Scorpio","Sagittarius","Capricorn","Aquarius","Pisces"},0),12)+1=(MOD(8-2,12)+1)),AND(CALC_PlanetPositions!$M$12="Malefic",MOD(MATCH(CALC_PlanetPositions!$B$12,{"Aries","Taurus","Gemini","Cancer","Leo","Virgo","Libra","Scorpio","Sagittarius","Capricorn","Aquarius","Pisces"},0)-MATCH(INPUT_Chart!$C$5,{"Aries","Taurus","Gemini","Cancer","Leo","Virgo","Libra","Scorpio","Sagittarius","Capricorn","Aquarius","Pisces"},0),12)+1=(MOD(8-2,12)+1)),AND(CALC_PlanetPositions!$M$13="Malefic",MOD(MATCH(CALC_PlanetPositions!$B$13,{"Aries","Taurus","Gemini","Cancer","Leo","Virgo","Libra","Scorpio","Sagittarius","Capricorn","Aquarius","Pisces"},0)-MATCH(INPUT_Chart!$C$5,{"Aries","Taurus","Gemini","Cancer","Leo","Virgo","Libra","Scorpio","Sagittarius","Capricorn","Aquarius","Pisces"},0),12)+1=(MOD(8-2,12)+1)),AND(TRUE(),MOD(MATCH(CALC_PlanetPositions!$B$14,{"Aries","Taurus","Gemini","Cancer","Leo","Virgo","Libra","Scorpio","Sagittarius","Capricorn","Aquarius","Pisces"},0)-MATCH(INPUT_Chart!$C$5,{"Aries","Taurus","Gemini","Cancer","Leo","Virgo","Libra","Scorpio","Sagittarius","Capricorn","Aquarius","Pisces"},0),12)+1=(MOD(8-2,12)+1)),AND(TRUE(),MOD(MATCH(CALC_PlanetPositions!$B$15,{"Aries","Taurus","Gemini","Cancer","Leo","Virgo","Libra","Scorpio","Sagittarius","Capricorn","Aquarius","Pisces"},0)-MATCH(INPUT_Chart!$C$5,{"Aries","Taurus","Gemini","Cancer","Leo","Virgo","Libra","Scorpio","Sagittarius","Capricorn","Aquarius","Pisces"},0),12)+1=(MOD(8-2,12)+1))),OR(AND(CALC_PlanetPositions!$M$7="Malefic",MOD(MATCH(CALC_PlanetPositions!$B$7,{"Aries","Taurus","Gemini","Cancer","Leo","Virgo","Libra","Scorpio","Sagittarius","Capricorn","Aquarius","Pisces"},0)-MATCH(INPUT_Chart!$C$5,{"Aries","Taurus","Gemini","Cancer","Leo","Virgo","Libra","Scorpio","Sagittarius","Capricorn","Aquarius","Pisces"},0),12)+1=(MOD(8,12)+1)),AND(CALC_PlanetPositions!$M$8="Malefic",MOD(MATCH(CALC_PlanetPositions!$B$8,{"Aries","Taurus","Gemini","Cancer","Leo","Virgo","Libra","Scorpio","Sagittarius","Capricorn","Aquarius","Pisces"},0)-MATCH(INPUT_Chart!$C$5,{"Aries","Taurus","Gemini","Cancer","Leo","Virgo","Libra","Scorpio","Sagittarius","Capricorn","Aquarius","Pisces"},0),12)+1=(MOD(8,12)+1)),AND(CALC_PlanetPositions!$M$9="Malefic",MOD(MATCH(CALC_PlanetPositions!$B$9,{"Aries","Taurus","Gemini","Cancer","Leo","Virgo","Libra","Scorpio","Sagittarius","Capricorn","Aquarius","Pisces"},0)-MATCH(INPUT_Chart!$C$5,{"Aries","Taurus","Gemini","Cancer","Leo","Virgo","Libra","Scorpio","Sagittarius","Capricorn","Aquarius","Pisces"},0),12)+1=(MOD(8,12)+1)),AND(CALC_PlanetPositions!$M$10="Malefic",MOD(MATCH(CALC_PlanetPositions!$B$10,{"Aries","Taurus","Gemini","Cancer","Leo","Virgo","Libra","Scorpio","Sagittarius","Capricorn","Aquarius","Pisces"},0)-MATCH(INPUT_Chart!$C$5,{"Aries","Taurus","Gemini","Cancer","Leo","Virgo","Libra","Scorpio","Sagittarius","Capricorn","Aquarius","Pisces"},0),12)+1=(MOD(8,12)+1)),AND(CALC_PlanetPositions!$M$11="Malefic",MOD(MATCH(CALC_PlanetPositions!$B$11,{"Aries","Taurus","Gemini","Cancer","Leo","Virgo","Libra","Scorpio","Sagittarius","Capricorn","Aquarius","Pisces"},0)-MATCH(INPUT_Chart!$C$5,{"Aries","Taurus","Gemini","Cancer","Leo","Virgo","Libra","Scorpio","Sagittarius","Capricorn","Aquarius","Pisces"},0),12)+1=(MOD(8,12)+1)),AND(CALC_PlanetPositions!$M$12="Malefic",MOD(MATCH(CALC_PlanetPositions!$B$12,{"Aries","Taurus","Gemini","Cancer","Leo","Virgo","Libra","Scorpio","Sagittarius","Capricorn","Aquarius","Pisces"},0)-MATCH(INPUT_Chart!$C$5,{"Aries","Taurus","Gemini","Cancer","Leo","Virgo","Libra","Scorpio","Sagittarius","Capricorn","Aquarius","Pisces"},0),12)+1=(MOD(8,12)+1)),AND(CALC_PlanetPositions!$M$13="Malefic",MOD(MATCH(CALC_PlanetPositions!$B$13,{"Aries","Taurus","Gemini","Cancer","Leo","Virgo","Libra","Scorpio","Sagittarius","Capricorn","Aquarius","Pisces"},0)-MATCH(INPUT_Chart!$C$5,{"Aries","Taurus","Gemini","Cancer","Leo","Virgo","Libra","Scorpio","Sagittarius","Capricorn","Aquarius","Pisces"},0),12)+1=(MOD(8,12)+1)),AND(TRUE(),MOD(MATCH(CALC_PlanetPositions!$B$14,{"Aries","Taurus","Gemini","Cancer","Leo","Virgo","Libra","Scorpio","Sagittarius","Capricorn","Aquarius","Pisces"},0)-MATCH(INPUT_Chart!$C$5,{"Aries","Taurus","Gemini","Cancer","Leo","Virgo","Libra","Scorpio","Sagittarius","Capricorn","Aquarius","Pisces"},0),12)+1=(MOD(8,12)+1)),AND(TRUE(),MOD(MATCH(CALC_PlanetPositions!$B$15,{"Aries","Taurus","Gemini","Cancer","Leo","Virgo","Libra","Scorpio","Sagittarius","Capricorn","Aquarius","Pisces"},0)-MATCH(INPUT_Chart!$C$5,{"Aries","Taurus","Gemini","Cancer","Leo","Virgo","Libra","Scorpio","Sagittarius","Capricorn","Aquarius","Pisces"},0),12)+1=(MOD(8,12)+1)))),1,0),0))*IF(REF_Config!$B$6="KP",-0.75,IF(REF_Config!$B$6="Jaimini",-0.5,-0.75)),0)</f>
        <v>0</v>
      </c>
      <c r="D18" s="403" t="s">
        <v>4629</v>
      </c>
    </row>
    <row r="19" spans="1:7" ht="15.75" customHeight="1" x14ac:dyDescent="0.2">
      <c r="A19" s="1594" t="s">
        <v>3624</v>
      </c>
      <c r="B19" s="1594"/>
      <c r="C19" s="1594"/>
      <c r="D19" s="1594"/>
    </row>
    <row r="20" spans="1:7" ht="27.75" customHeight="1" x14ac:dyDescent="0.2">
      <c r="A20" s="1119" t="s">
        <v>4630</v>
      </c>
      <c r="B20" s="357" t="s">
        <v>4555</v>
      </c>
      <c r="C20" s="1117">
        <v>0</v>
      </c>
      <c r="D20" s="400" t="s">
        <v>4631</v>
      </c>
    </row>
    <row r="21" spans="1:7" ht="27.75" customHeight="1" x14ac:dyDescent="0.2">
      <c r="A21" s="1119" t="s">
        <v>4632</v>
      </c>
      <c r="B21" s="203" t="s">
        <v>4633</v>
      </c>
      <c r="C21" s="1118">
        <f>IFERROR((IFERROR(IF(OR(AND(CALC_PlanetPositions!$M$7="Malefic",INDEX(REF_Aspects!$D$5:$O$13,1,MOD(CALC_BhaveshMap!$H$12-(MOD(MATCH(CALC_PlanetPositions!$B$7,{"Aries","Taurus","Gemini","Cancer","Leo","Virgo","Libra","Scorpio","Sagittarius","Capricorn","Aquarius","Pisces"},0)-MATCH(INPUT_Chart!$C$5,{"Aries","Taurus","Gemini","Cancer","Leo","Virgo","Libra","Scorpio","Sagittarius","Capricorn","Aquarius","Pisces"},0),12)+1),12)+1)="FULL",NOT(CALC_PlanetPositions!$B$7=CALC_BhaveshMap!$G$12)),AND(CALC_PlanetPositions!$M$8="Malefic",INDEX(REF_Aspects!$D$5:$O$13,2,MOD(CALC_BhaveshMap!$H$12-(MOD(MATCH(CALC_PlanetPositions!$B$8,{"Aries","Taurus","Gemini","Cancer","Leo","Virgo","Libra","Scorpio","Sagittarius","Capricorn","Aquarius","Pisces"},0)-MATCH(INPUT_Chart!$C$5,{"Aries","Taurus","Gemini","Cancer","Leo","Virgo","Libra","Scorpio","Sagittarius","Capricorn","Aquarius","Pisces"},0),12)+1),12)+1)="FULL",NOT(CALC_PlanetPositions!$B$8=CALC_BhaveshMap!$G$12)),AND(CALC_PlanetPositions!$M$9="Malefic",INDEX(REF_Aspects!$D$5:$O$13,3,MOD(CALC_BhaveshMap!$H$12-(MOD(MATCH(CALC_PlanetPositions!$B$9,{"Aries","Taurus","Gemini","Cancer","Leo","Virgo","Libra","Scorpio","Sagittarius","Capricorn","Aquarius","Pisces"},0)-MATCH(INPUT_Chart!$C$5,{"Aries","Taurus","Gemini","Cancer","Leo","Virgo","Libra","Scorpio","Sagittarius","Capricorn","Aquarius","Pisces"},0),12)+1),12)+1)="FULL",NOT(CALC_PlanetPositions!$B$9=CALC_BhaveshMap!$G$12)),AND(CALC_PlanetPositions!$M$10="Malefic",INDEX(REF_Aspects!$D$5:$O$13,4,MOD(CALC_BhaveshMap!$H$12-(MOD(MATCH(CALC_PlanetPositions!$B$10,{"Aries","Taurus","Gemini","Cancer","Leo","Virgo","Libra","Scorpio","Sagittarius","Capricorn","Aquarius","Pisces"},0)-MATCH(INPUT_Chart!$C$5,{"Aries","Taurus","Gemini","Cancer","Leo","Virgo","Libra","Scorpio","Sagittarius","Capricorn","Aquarius","Pisces"},0),12)+1),12)+1)="FULL",NOT(CALC_PlanetPositions!$B$10=CALC_BhaveshMap!$G$12)),AND(CALC_PlanetPositions!$M$11="Malefic",INDEX(REF_Aspects!$D$5:$O$13,5,MOD(CALC_BhaveshMap!$H$12-(MOD(MATCH(CALC_PlanetPositions!$B$11,{"Aries","Taurus","Gemini","Cancer","Leo","Virgo","Libra","Scorpio","Sagittarius","Capricorn","Aquarius","Pisces"},0)-MATCH(INPUT_Chart!$C$5,{"Aries","Taurus","Gemini","Cancer","Leo","Virgo","Libra","Scorpio","Sagittarius","Capricorn","Aquarius","Pisces"},0),12)+1),12)+1)="FULL",NOT(CALC_PlanetPositions!$B$11=CALC_BhaveshMap!$G$12)),AND(CALC_PlanetPositions!$M$12="Malefic",INDEX(REF_Aspects!$D$5:$O$13,6,MOD(CALC_BhaveshMap!$H$12-(MOD(MATCH(CALC_PlanetPositions!$B$12,{"Aries","Taurus","Gemini","Cancer","Leo","Virgo","Libra","Scorpio","Sagittarius","Capricorn","Aquarius","Pisces"},0)-MATCH(INPUT_Chart!$C$5,{"Aries","Taurus","Gemini","Cancer","Leo","Virgo","Libra","Scorpio","Sagittarius","Capricorn","Aquarius","Pisces"},0),12)+1),12)+1)="FULL",NOT(CALC_PlanetPositions!$B$12=CALC_BhaveshMap!$G$12)),AND(CALC_PlanetPositions!$M$13="Malefic",INDEX(REF_Aspects!$D$5:$O$13,7,MOD(CALC_BhaveshMap!$H$12-(MOD(MATCH(CALC_PlanetPositions!$B$13,{"Aries","Taurus","Gemini","Cancer","Leo","Virgo","Libra","Scorpio","Sagittarius","Capricorn","Aquarius","Pisces"},0)-MATCH(INPUT_Chart!$C$5,{"Aries","Taurus","Gemini","Cancer","Leo","Virgo","Libra","Scorpio","Sagittarius","Capricorn","Aquarius","Pisces"},0),12)+1),12)+1)="FULL",NOT(CALC_PlanetPositions!$B$13=CALC_BhaveshMap!$G$12)),AND(TRUE(),INDEX(REF_Aspects!$D$5:$O$13,8,MOD(CALC_BhaveshMap!$H$12-(MOD(MATCH(CALC_PlanetPositions!$B$14,{"Aries","Taurus","Gemini","Cancer","Leo","Virgo","Libra","Scorpio","Sagittarius","Capricorn","Aquarius","Pisces"},0)-MATCH(INPUT_Chart!$C$5,{"Aries","Taurus","Gemini","Cancer","Leo","Virgo","Libra","Scorpio","Sagittarius","Capricorn","Aquarius","Pisces"},0),12)+1),12)+1)="FULL",NOT(CALC_PlanetPositions!$B$14=CALC_BhaveshMap!$G$12)),AND(TRUE(),INDEX(REF_Aspects!$D$5:$O$13,9,MOD(CALC_BhaveshMap!$H$12-(MOD(MATCH(CALC_PlanetPositions!$B$15,{"Aries","Taurus","Gemini","Cancer","Leo","Virgo","Libra","Scorpio","Sagittarius","Capricorn","Aquarius","Pisces"},0)-MATCH(INPUT_Chart!$C$5,{"Aries","Taurus","Gemini","Cancer","Leo","Virgo","Libra","Scorpio","Sagittarius","Capricorn","Aquarius","Pisces"},0),12)+1),12)+1)="FULL",NOT(CALC_PlanetPositions!$B$15=CALC_BhaveshMap!$G$12))),1,0),0))*-0.5,0)</f>
        <v>0</v>
      </c>
      <c r="D21" s="403" t="s">
        <v>4634</v>
      </c>
    </row>
    <row r="22" spans="1:7" ht="27.75" customHeight="1" x14ac:dyDescent="0.2">
      <c r="A22" s="1119" t="s">
        <v>4635</v>
      </c>
      <c r="B22" s="357" t="s">
        <v>3042</v>
      </c>
      <c r="C22" s="1117">
        <f>IFERROR((IFERROR(IF(CALC_BhaveshMap!$K$12="Yes",1,0),0))*IF(REF_Config!$B$6="KP",-1.75,IF(REF_Config!$B$6="Jaimini",-2,-2)),0)</f>
        <v>-2</v>
      </c>
      <c r="D22" s="400" t="s">
        <v>4636</v>
      </c>
    </row>
    <row r="23" spans="1:7" ht="27.75" customHeight="1" x14ac:dyDescent="0.2">
      <c r="A23" s="1119" t="s">
        <v>4637</v>
      </c>
      <c r="B23" s="203" t="s">
        <v>3059</v>
      </c>
      <c r="C23" s="1118">
        <f>IFERROR((IFERROR(IF(OR(AND(CALC_BhaveshMap!$G$10=CALC_BhaveshMap!$G$12,CALC_BhaveshMap!$D$10&lt;&gt;CALC_BhaveshMap!$D$12),AND(CALC_BhaveshMap!$G$12=CALC_BhaveshMap!$G$12,CALC_BhaveshMap!$D$12&lt;&gt;CALC_BhaveshMap!$D$12),AND(CALC_BhaveshMap!$G$16=CALC_BhaveshMap!$G$12,CALC_BhaveshMap!$D$16&lt;&gt;CALC_BhaveshMap!$D$12)),1,0),0))*-1,0)</f>
        <v>0</v>
      </c>
      <c r="D23" s="403" t="s">
        <v>4638</v>
      </c>
    </row>
    <row r="24" spans="1:7" ht="15.75" customHeight="1" x14ac:dyDescent="0.2">
      <c r="A24" s="1484" t="s">
        <v>4639</v>
      </c>
      <c r="B24" s="1484"/>
      <c r="C24" s="1484"/>
      <c r="D24" s="1484"/>
    </row>
    <row r="25" spans="1:7" ht="27.75" customHeight="1" x14ac:dyDescent="0.2">
      <c r="A25" s="1119" t="s">
        <v>4640</v>
      </c>
      <c r="B25" s="357" t="s">
        <v>3084</v>
      </c>
      <c r="C25" s="1117">
        <f>IFERROR(IF(CALC_KarakMap!$M$12&gt;0,CALC_KarakMap!$M$12,0),0)</f>
        <v>0</v>
      </c>
      <c r="D25" s="400" t="s">
        <v>4641</v>
      </c>
    </row>
    <row r="26" spans="1:7" ht="27.75" customHeight="1" x14ac:dyDescent="0.2">
      <c r="A26" s="1119" t="s">
        <v>4642</v>
      </c>
      <c r="B26" s="203" t="s">
        <v>4564</v>
      </c>
      <c r="C26" s="1118">
        <f>IFERROR(IF(CALC_KarakMap!$M$12&lt;0,CALC_KarakMap!$M$12,0),0)</f>
        <v>0</v>
      </c>
      <c r="D26" s="403" t="s">
        <v>4643</v>
      </c>
    </row>
    <row r="27" spans="1:7" ht="27.75" customHeight="1" x14ac:dyDescent="0.2">
      <c r="A27" s="1119" t="s">
        <v>4644</v>
      </c>
      <c r="B27" s="296" t="s">
        <v>3624</v>
      </c>
      <c r="C27" s="1117">
        <f>IFERROR(IF(OR(CALC_BhaveshMap!$D$12="Sun",CALC_BhaveshMap!$D$12="Rahu",CALC_BhaveshMap!$D$12="Ketu"),0,IF(CALC_BhaveshMap!$D$12="Moon",IF(CALC_CombustionCheck!$G$4="Cazimi ✓",0.5,IF(CALC_CombustionCheck!$F$4="COMBUST ⚠",-1,0)),IF(CALC_BhaveshMap!$D$12="Mars",IF(CALC_CombustionCheck!$G$5="Cazimi ✓",0.5,IF(AND(CALC_CombustionCheck!$F$5="COMBUST ⚠",CALC_RetrogradeFix!$F$6="Rx ✓"),-0.5,IF(CALC_CombustionCheck!$F$5="COMBUST ⚠",-1,0))),IF(CALC_BhaveshMap!$D$12="Mercury",IF(CALC_CombustionCheck!$G$6="Cazimi ✓",0.5,IF(AND(CALC_CombustionCheck!$F$6="COMBUST ⚠",CALC_RetrogradeFix!$F$7="Rx ✓"),-0.5,IF(CALC_CombustionCheck!$F$6="COMBUST ⚠",-1,0))),IF(CALC_BhaveshMap!$D$12="Jupiter",IF(CALC_CombustionCheck!$G$7="Cazimi ✓",0.5,IF(AND(CALC_CombustionCheck!$F$7="COMBUST ⚠",CALC_RetrogradeFix!$F$8="Rx ✓"),-0.5,IF(CALC_CombustionCheck!$F$7="COMBUST ⚠",-1,0))),IF(CALC_BhaveshMap!$D$12="Venus",IF(CALC_CombustionCheck!$G$8="Cazimi ✓",0.5,IF(AND(CALC_CombustionCheck!$F$8="COMBUST ⚠",CALC_RetrogradeFix!$F$9="Rx ✓"),-0.5,IF(CALC_CombustionCheck!$F$8="COMBUST ⚠",-1,0))),IF(CALC_BhaveshMap!$D$12="Saturn",IF(CALC_CombustionCheck!$G$9="Cazimi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BhaveshMap!$D$12="Rahu",CALC_BhaveshMap!$D$12="Ketu"),0,IF(ISNUMBER(MATCH(CALC_BhaveshMap!$D$12,{"Sun","Moon","Mars","Mercury","Jupiter","Venus","Saturn"},0)),IF(INDEX(CALC_DigBala!$F$4:$F$10,MATCH(CALC_BhaveshMap!$D$12,{"Sun","Moon","Mars","Mercury","Jupiter","Venus","Saturn"},0))="Yes",0.5,0),0)),0)</f>
        <v>0</v>
      </c>
      <c r="D28" s="400" t="s">
        <v>4647</v>
      </c>
    </row>
    <row r="29" spans="1:7" ht="27.75" customHeight="1" x14ac:dyDescent="0.2">
      <c r="A29" s="1120" t="s">
        <v>4648</v>
      </c>
      <c r="B29" s="296" t="s">
        <v>3372</v>
      </c>
      <c r="C29" s="1117">
        <f>IFERROR(IF(COUNTIFS(REF_PushkaraNavamsha!$A$4:$A$27,CALC_BhaveshMap!$G$12,REF_PushkaraNavamsha!$B$4:$B$27,INDEX(CALC_PlanetPositions!$G$7:$G$15,MATCH(CALC_BhaveshMap!$D$12,CALC_PlanetPositions!$A$7:$A$15,0)))&gt;0,0.5,0),0)</f>
        <v>0.5</v>
      </c>
      <c r="D29" s="400" t="s">
        <v>4649</v>
      </c>
    </row>
    <row r="30" spans="1:7" ht="25.5" customHeight="1" x14ac:dyDescent="0.2">
      <c r="A30" s="147" t="s">
        <v>4650</v>
      </c>
      <c r="B30" s="1121" t="s">
        <v>4651</v>
      </c>
      <c r="C30" s="1122">
        <f>IFERROR(IF(ISNUMBER(MATCH(CALC_BhaveshMap!$D$12,{"Sun","Moon","Mars","Mercury","Jupiter","Venus","Saturn"},0)),INDEX(CALC_RetrogradeFix!$G$4:$G$10,MATCH(CALC_BhaveshMap!$D$12,{"Sun","Moon","Mars","Mercury","Jupiter","Venus","Saturn"},0)),0),0)</f>
        <v>0</v>
      </c>
      <c r="D30" s="1123" t="s">
        <v>4652</v>
      </c>
    </row>
    <row r="31" spans="1:7" ht="18" customHeight="1" x14ac:dyDescent="0.2">
      <c r="A31" s="1555" t="s">
        <v>4653</v>
      </c>
      <c r="B31" s="1555"/>
      <c r="C31" s="1555"/>
      <c r="D31" s="1555"/>
      <c r="E31" s="1124" t="s">
        <v>4654</v>
      </c>
      <c r="F31" s="1125">
        <f>IFERROR(IF(CALC_Ashtakavarga!I$15&gt;28,0.5,IF(CALC_Ashtakavarga!I$15&lt;22,-0.5,0)),0)</f>
        <v>0</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IFERROR(SUM(C9:C13,C28:C30,F31,0),0)</f>
        <v>0.5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-2</v>
      </c>
      <c r="D37" s="1129"/>
    </row>
    <row r="38" spans="1:4" ht="21.75" customHeight="1" x14ac:dyDescent="0.2">
      <c r="A38" s="89" t="s">
        <v>4661</v>
      </c>
      <c r="B38" s="1129"/>
      <c r="C38" s="1131">
        <f>IFERROR(MAX(-10,MIN(10,C37)),0)</f>
        <v>-2</v>
      </c>
      <c r="D38" s="1132"/>
    </row>
    <row r="39" spans="1:4" ht="18" customHeight="1" x14ac:dyDescent="0.2">
      <c r="A39" s="517" t="s">
        <v>4662</v>
      </c>
      <c r="B39" s="1129"/>
      <c r="C39" s="1133">
        <f>IFERROR(CALC_LagneshStrength!$I$4,0)</f>
        <v>0</v>
      </c>
      <c r="D39" s="1129"/>
    </row>
    <row r="40" spans="1:4" ht="25.5" customHeight="1" x14ac:dyDescent="0.2">
      <c r="A40" s="1145" t="s">
        <v>4663</v>
      </c>
      <c r="B40" s="1129"/>
      <c r="C40" s="1146">
        <f>IFERROR(MAX(-10,MIN(10,C38+C39)),0)</f>
        <v>-2</v>
      </c>
      <c r="D40" s="1147" t="str">
        <f>IFERROR(IF(C40&gt;=7,"Excellent — Longevity domain very strong",IF(C40&gt;=4,"Good — Longevity domain strong",IF(C40&gt;=1,"Moderate",IF(C40&gt;=-2,"Mixed — Longevity has challenges",IF(C40&gt;=-5,"Weak","Very weak — Longevity heavily afflicted"))))),"—")</f>
        <v>Mixed — Longevity has challenges</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4672</v>
      </c>
      <c r="B1" s="1518"/>
      <c r="C1" s="1518"/>
      <c r="D1" s="1518"/>
      <c r="L1" s="29" t="str">
        <f>HYPERLINK("#'00_INDEX'!A1","&lt;- Index")</f>
        <v>&lt;- Index</v>
      </c>
    </row>
    <row r="2" spans="1:12" ht="19.5" customHeight="1" x14ac:dyDescent="0.2">
      <c r="A2" s="1595" t="str">
        <f>IFERROR("Lagna: "&amp;INPUT_Chart!$C$5&amp;"  ·  H9 sign: "&amp;CALC_BhaveshMap!$C$13&amp;"  ·  Bhavesh: "&amp;CALC_BhaveshMap!$D$13&amp;" in H"&amp;CALC_BhaveshMap!$H$13&amp;" ("&amp;CALC_BhaveshMap!$L$13&amp;")","Enter Lagna in INPUT_Chart")</f>
        <v>Lagna: Taurus  ·  H9 sign: Capricorn  ·  Bhavesh: Saturn in H3 (Enemy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7" t="s">
        <v>4605</v>
      </c>
      <c r="B5" s="357" t="s">
        <v>4529</v>
      </c>
      <c r="C5" s="1117">
        <f>IFERROR((IFERROR(IF(INDEX(REF_Zodiac!$D$17:$O$17,MATCH(CALC_BhaveshMap!$C$13,REF_Zodiac!$D$3:$O$3,0))="Gentle",1,0),0))*0.5,0)</f>
        <v>0</v>
      </c>
      <c r="D5" s="400" t="s">
        <v>4606</v>
      </c>
    </row>
    <row r="6" spans="1:12" ht="27.75" customHeight="1" x14ac:dyDescent="0.2">
      <c r="A6" s="127"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7" t="s">
        <v>4609</v>
      </c>
      <c r="B7" s="357" t="s">
        <v>4534</v>
      </c>
      <c r="C7" s="1117">
        <f>IFERROR((IFERROR(IF(OR(AND(OR(CALC_PlanetPositions!$M$7="Benefic",CALC_PlanetPositions!$M$7="Yogakaraka"),INDEX(REF_Aspects!$D$5:$O$13,1,MOD(9-(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9)),AND(OR(CALC_PlanetPositions!$M$8="Benefic",CALC_PlanetPositions!$M$8="Yogakaraka"),INDEX(REF_Aspects!$D$5:$O$13,2,MOD(9-(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9)),AND(OR(CALC_PlanetPositions!$M$9="Benefic",CALC_PlanetPositions!$M$9="Yogakaraka"),INDEX(REF_Aspects!$D$5:$O$13,3,MOD(9-(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9)),AND(OR(CALC_PlanetPositions!$M$10="Benefic",CALC_PlanetPositions!$M$10="Yogakaraka"),INDEX(REF_Aspects!$D$5:$O$13,4,MOD(9-(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9)),AND(OR(CALC_PlanetPositions!$M$11="Benefic",CALC_PlanetPositions!$M$11="Yogakaraka"),INDEX(REF_Aspects!$D$5:$O$13,5,MOD(9-(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9)),AND(OR(CALC_PlanetPositions!$M$12="Benefic",CALC_PlanetPositions!$M$12="Yogakaraka"),INDEX(REF_Aspects!$D$5:$O$13,6,MOD(9-(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9)),AND(OR(CALC_PlanetPositions!$M$13="Benefic",CALC_PlanetPositions!$M$13="Yogakaraka"),INDEX(REF_Aspects!$D$5:$O$13,7,MOD(9-(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9)),AND(FALSE(),INDEX(REF_Aspects!$D$5:$O$13,8,MOD(9-(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9)),AND(FALSE(),INDEX(REF_Aspects!$D$5:$O$13,9,MOD(9-(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9))),1,0),0))*IF(REF_Config!$B$6="KP",0.5,IF(REF_Config!$B$6="Jaimini",0.75,0.75)),0)</f>
        <v>0.75</v>
      </c>
      <c r="D7" s="400" t="s">
        <v>4610</v>
      </c>
    </row>
    <row r="8" spans="1:12" ht="15.75" customHeight="1" x14ac:dyDescent="0.2">
      <c r="A8" s="1597" t="s">
        <v>3372</v>
      </c>
      <c r="B8" s="1597"/>
      <c r="C8" s="1597"/>
      <c r="D8" s="1597"/>
    </row>
    <row r="9" spans="1:12" ht="27.75" customHeight="1" x14ac:dyDescent="0.2">
      <c r="A9" s="127" t="s">
        <v>4611</v>
      </c>
      <c r="B9" s="203" t="s">
        <v>4537</v>
      </c>
      <c r="C9" s="1118">
        <f>IFERROR(IF(AND(OR(CALC_BhaveshMap!$I$13="Yes",CALC_BhaveshMap!$J$13="Yes"),NOT(CALC_BhaveshMap!$K$13="Yes")),1,0)*IF(REF_Config!$B$6="KP",1.5,IF(REF_Config!$B$6="Jaimini",1.5,2)),0)</f>
        <v>0</v>
      </c>
      <c r="D9" s="403" t="s">
        <v>4612</v>
      </c>
    </row>
    <row r="10" spans="1:12" ht="27.75" customHeight="1" x14ac:dyDescent="0.2">
      <c r="A10" s="127" t="s">
        <v>4613</v>
      </c>
      <c r="B10" s="357" t="s">
        <v>3093</v>
      </c>
      <c r="C10" s="1117">
        <f>IFERROR((IFERROR(IF(OR(AND(CALC_BhaveshMap!$G$5=CALC_BhaveshMap!$G$13,CALC_BhaveshMap!$D$5&lt;&gt;CALC_BhaveshMap!$D$13),AND(CALC_BhaveshMap!$G$8=CALC_BhaveshMap!$G$13,CALC_BhaveshMap!$D$8&lt;&gt;CALC_BhaveshMap!$D$13),AND(CALC_BhaveshMap!$G$9=CALC_BhaveshMap!$G$13,CALC_BhaveshMap!$D$9&lt;&gt;CALC_BhaveshMap!$D$13),AND(CALC_BhaveshMap!$G$11=CALC_BhaveshMap!$G$13,CALC_BhaveshMap!$D$11&lt;&gt;CALC_BhaveshMap!$D$13),AND(CALC_BhaveshMap!$G$13=CALC_BhaveshMap!$G$13,CALC_BhaveshMap!$D$13&lt;&gt;CALC_BhaveshMap!$D$13),AND(CALC_BhaveshMap!$G$14=CALC_BhaveshMap!$G$13,CALC_BhaveshMap!$D$14&lt;&gt;CALC_BhaveshMap!$D$13)),1,0),0))*0.5,0)</f>
        <v>0.5</v>
      </c>
      <c r="D10" s="400" t="s">
        <v>4614</v>
      </c>
    </row>
    <row r="11" spans="1:12" ht="27.75" customHeight="1" x14ac:dyDescent="0.2">
      <c r="A11" s="127" t="s">
        <v>4615</v>
      </c>
      <c r="B11" s="203" t="s">
        <v>4540</v>
      </c>
      <c r="C11" s="1118">
        <f>IFERROR((IFERROR(IF(OR(AND(OR(CALC_PlanetPositions!$M$7="Benefic",CALC_PlanetPositions!$M$7="Yogakaraka"),CALC_PlanetPositions!$B$7=CALC_BhaveshMap!$G$13,CALC_BhaveshMap!$D$13&lt;&gt;"Sun"),AND(OR(CALC_PlanetPositions!$M$8="Benefic",CALC_PlanetPositions!$M$8="Yogakaraka"),CALC_PlanetPositions!$B$8=CALC_BhaveshMap!$G$13,CALC_BhaveshMap!$D$13&lt;&gt;"Moon"),AND(OR(CALC_PlanetPositions!$M$9="Benefic",CALC_PlanetPositions!$M$9="Yogakaraka"),CALC_PlanetPositions!$B$9=CALC_BhaveshMap!$G$13,CALC_BhaveshMap!$D$13&lt;&gt;"Mars"),AND(OR(CALC_PlanetPositions!$M$10="Benefic",CALC_PlanetPositions!$M$10="Yogakaraka"),CALC_PlanetPositions!$B$10=CALC_BhaveshMap!$G$13,CALC_BhaveshMap!$D$13&lt;&gt;"Mercury"),AND(OR(CALC_PlanetPositions!$M$11="Benefic",CALC_PlanetPositions!$M$11="Yogakaraka"),CALC_PlanetPositions!$B$11=CALC_BhaveshMap!$G$13,CALC_BhaveshMap!$D$13&lt;&gt;"Jupiter"),AND(OR(CALC_PlanetPositions!$M$12="Benefic",CALC_PlanetPositions!$M$12="Yogakaraka"),CALC_PlanetPositions!$B$12=CALC_BhaveshMap!$G$13,CALC_BhaveshMap!$D$13&lt;&gt;"Venus"),AND(OR(CALC_PlanetPositions!$M$13="Benefic",CALC_PlanetPositions!$M$13="Yogakaraka"),CALC_PlanetPositions!$B$13=CALC_BhaveshMap!$G$13,CALC_BhaveshMap!$D$13&lt;&gt;"Saturn")),1,0),0))*IF(OR(AND(CALC_PlanetPositions!$M$7="Yogakaraka",CALC_PlanetPositions!$B$7=CALC_BhaveshMap!$G$13,CALC_BhaveshMap!$D$13&lt;&gt;"Sun"),AND(CALC_PlanetPositions!$M$8="Yogakaraka",CALC_PlanetPositions!$B$8=CALC_BhaveshMap!$G$13,CALC_BhaveshMap!$D$13&lt;&gt;"Moon"),AND(CALC_PlanetPositions!$M$9="Yogakaraka",CALC_PlanetPositions!$B$9=CALC_BhaveshMap!$G$13,CALC_BhaveshMap!$D$13&lt;&gt;"Mars"),AND(CALC_PlanetPositions!$M$10="Yogakaraka",CALC_PlanetPositions!$B$10=CALC_BhaveshMap!$G$13,CALC_BhaveshMap!$D$13&lt;&gt;"Mercury"),AND(CALC_PlanetPositions!$M$11="Yogakaraka",CALC_PlanetPositions!$B$11=CALC_BhaveshMap!$G$13,CALC_BhaveshMap!$D$13&lt;&gt;"Jupiter"),AND(CALC_PlanetPositions!$M$12="Yogakaraka",CALC_PlanetPositions!$B$12=CALC_BhaveshMap!$G$13,CALC_BhaveshMap!$D$13&lt;&gt;"Venus"),AND(CALC_PlanetPositions!$M$13="Yogakaraka",CALC_PlanetPositions!$B$13=CALC_BhaveshMap!$G$13,CALC_BhaveshMap!$D$13&lt;&gt;"Saturn")),1.5,1),0)</f>
        <v>1.5</v>
      </c>
      <c r="D11" s="403" t="s">
        <v>4616</v>
      </c>
    </row>
    <row r="12" spans="1:12" ht="27.75" customHeight="1" x14ac:dyDescent="0.2">
      <c r="A12" s="127" t="s">
        <v>4617</v>
      </c>
      <c r="B12" s="357" t="s">
        <v>4542</v>
      </c>
      <c r="C12" s="1117">
        <f>IFERROR((IFERROR(IF(OR(AND(OR(CALC_PlanetPositions!$M$7="Benefic",CALC_PlanetPositions!$M$7="Yogakaraka"),INDEX(REF_Aspects!$D$5:$O$13,1,MOD(CALC_BhaveshMap!$H$13-(MOD(MATCH(CALC_PlanetPositions!$B$7,{"Aries","Taurus","Gemini","Cancer","Leo","Virgo","Libra","Scorpio","Sagittarius","Capricorn","Aquarius","Pisces"},0)-MATCH(INPUT_Chart!$C$5,{"Aries","Taurus","Gemini","Cancer","Leo","Virgo","Libra","Scorpio","Sagittarius","Capricorn","Aquarius","Pisces"},0),12)+1),12)+1)="FULL",NOT(CALC_PlanetPositions!$B$7=CALC_BhaveshMap!$G$13)),AND(OR(CALC_PlanetPositions!$M$8="Benefic",CALC_PlanetPositions!$M$8="Yogakaraka"),INDEX(REF_Aspects!$D$5:$O$13,2,MOD(CALC_BhaveshMap!$H$13-(MOD(MATCH(CALC_PlanetPositions!$B$8,{"Aries","Taurus","Gemini","Cancer","Leo","Virgo","Libra","Scorpio","Sagittarius","Capricorn","Aquarius","Pisces"},0)-MATCH(INPUT_Chart!$C$5,{"Aries","Taurus","Gemini","Cancer","Leo","Virgo","Libra","Scorpio","Sagittarius","Capricorn","Aquarius","Pisces"},0),12)+1),12)+1)="FULL",NOT(CALC_PlanetPositions!$B$8=CALC_BhaveshMap!$G$13)),AND(OR(CALC_PlanetPositions!$M$9="Benefic",CALC_PlanetPositions!$M$9="Yogakaraka"),INDEX(REF_Aspects!$D$5:$O$13,3,MOD(CALC_BhaveshMap!$H$13-(MOD(MATCH(CALC_PlanetPositions!$B$9,{"Aries","Taurus","Gemini","Cancer","Leo","Virgo","Libra","Scorpio","Sagittarius","Capricorn","Aquarius","Pisces"},0)-MATCH(INPUT_Chart!$C$5,{"Aries","Taurus","Gemini","Cancer","Leo","Virgo","Libra","Scorpio","Sagittarius","Capricorn","Aquarius","Pisces"},0),12)+1),12)+1)="FULL",NOT(CALC_PlanetPositions!$B$9=CALC_BhaveshMap!$G$13)),AND(OR(CALC_PlanetPositions!$M$10="Benefic",CALC_PlanetPositions!$M$10="Yogakaraka"),INDEX(REF_Aspects!$D$5:$O$13,4,MOD(CALC_BhaveshMap!$H$13-(MOD(MATCH(CALC_PlanetPositions!$B$10,{"Aries","Taurus","Gemini","Cancer","Leo","Virgo","Libra","Scorpio","Sagittarius","Capricorn","Aquarius","Pisces"},0)-MATCH(INPUT_Chart!$C$5,{"Aries","Taurus","Gemini","Cancer","Leo","Virgo","Libra","Scorpio","Sagittarius","Capricorn","Aquarius","Pisces"},0),12)+1),12)+1)="FULL",NOT(CALC_PlanetPositions!$B$10=CALC_BhaveshMap!$G$13)),AND(OR(CALC_PlanetPositions!$M$11="Benefic",CALC_PlanetPositions!$M$11="Yogakaraka"),INDEX(REF_Aspects!$D$5:$O$13,5,MOD(CALC_BhaveshMap!$H$13-(MOD(MATCH(CALC_PlanetPositions!$B$11,{"Aries","Taurus","Gemini","Cancer","Leo","Virgo","Libra","Scorpio","Sagittarius","Capricorn","Aquarius","Pisces"},0)-MATCH(INPUT_Chart!$C$5,{"Aries","Taurus","Gemini","Cancer","Leo","Virgo","Libra","Scorpio","Sagittarius","Capricorn","Aquarius","Pisces"},0),12)+1),12)+1)="FULL",NOT(CALC_PlanetPositions!$B$11=CALC_BhaveshMap!$G$13)),AND(OR(CALC_PlanetPositions!$M$12="Benefic",CALC_PlanetPositions!$M$12="Yogakaraka"),INDEX(REF_Aspects!$D$5:$O$13,6,MOD(CALC_BhaveshMap!$H$13-(MOD(MATCH(CALC_PlanetPositions!$B$12,{"Aries","Taurus","Gemini","Cancer","Leo","Virgo","Libra","Scorpio","Sagittarius","Capricorn","Aquarius","Pisces"},0)-MATCH(INPUT_Chart!$C$5,{"Aries","Taurus","Gemini","Cancer","Leo","Virgo","Libra","Scorpio","Sagittarius","Capricorn","Aquarius","Pisces"},0),12)+1),12)+1)="FULL",NOT(CALC_PlanetPositions!$B$12=CALC_BhaveshMap!$G$13)),AND(OR(CALC_PlanetPositions!$M$13="Benefic",CALC_PlanetPositions!$M$13="Yogakaraka"),INDEX(REF_Aspects!$D$5:$O$13,7,MOD(CALC_BhaveshMap!$H$13-(MOD(MATCH(CALC_PlanetPositions!$B$13,{"Aries","Taurus","Gemini","Cancer","Leo","Virgo","Libra","Scorpio","Sagittarius","Capricorn","Aquarius","Pisces"},0)-MATCH(INPUT_Chart!$C$5,{"Aries","Taurus","Gemini","Cancer","Leo","Virgo","Libra","Scorpio","Sagittarius","Capricorn","Aquarius","Pisces"},0),12)+1),12)+1)="FULL",NOT(CALC_PlanetPositions!$B$13=CALC_BhaveshMap!$G$13)),AND(FALSE(),INDEX(REF_Aspects!$D$5:$O$13,8,MOD(CALC_BhaveshMap!$H$13-(MOD(MATCH(CALC_PlanetPositions!$B$14,{"Aries","Taurus","Gemini","Cancer","Leo","Virgo","Libra","Scorpio","Sagittarius","Capricorn","Aquarius","Pisces"},0)-MATCH(INPUT_Chart!$C$5,{"Aries","Taurus","Gemini","Cancer","Leo","Virgo","Libra","Scorpio","Sagittarius","Capricorn","Aquarius","Pisces"},0),12)+1),12)+1)="FULL",NOT(CALC_PlanetPositions!$B$14=CALC_BhaveshMap!$G$13)),AND(FALSE(),INDEX(REF_Aspects!$D$5:$O$13,9,MOD(CALC_BhaveshMap!$H$13-(MOD(MATCH(CALC_PlanetPositions!$B$15,{"Aries","Taurus","Gemini","Cancer","Leo","Virgo","Libra","Scorpio","Sagittarius","Capricorn","Aquarius","Pisces"},0)-MATCH(INPUT_Chart!$C$5,{"Aries","Taurus","Gemini","Cancer","Leo","Virgo","Libra","Scorpio","Sagittarius","Capricorn","Aquarius","Pisces"},0),12)+1),12)+1)="FULL",NOT(CALC_PlanetPositions!$B$15=CALC_BhaveshMap!$G$13))),1,0),0))*0.5,0)</f>
        <v>0</v>
      </c>
      <c r="D12" s="400" t="s">
        <v>4618</v>
      </c>
    </row>
    <row r="13" spans="1:12" ht="27.75" customHeight="1" x14ac:dyDescent="0.2">
      <c r="A13" s="127"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$13-2,12)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$13-2,12)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$13-2,12)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$13-2,12)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$13-2,12)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$13-2,12)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$13-2,12)+1)),AND(FALSE(),MOD(MATCH(CALC_PlanetPositions!$B$14,{"Aries","Taurus","Gemini","Cancer","Leo","Virgo","Libra","Scorpio","Sagittarius","Capricorn","Aquarius","Pisces"},0)-MATCH(INPUT_Chart!$C$5,{"Aries","Taurus","Gemini","Cancer","Leo","Virgo","Libra","Scorpio","Sagittarius","Capricorn","Aquarius","Pisces"},0),12)+1=(MOD(CALC_BhaveshMap!$H$13-2,12)+1)),AND(FALSE(),MOD(MATCH(CALC_PlanetPositions!$B$15,{"Aries","Taurus","Gemini","Cancer","Leo","Virgo","Libra","Scorpio","Sagittarius","Capricorn","Aquarius","Pisces"},0)-MATCH(INPUT_Chart!$C$5,{"Aries","Taurus","Gemini","Cancer","Leo","Virgo","Libra","Scorpio","Sagittarius","Capricorn","Aquarius","Pisces"},0),12)+1=(MOD(CALC_BhaveshMap!$H$13-2,12)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$13,12)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$13,12)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$13,12)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$13,12)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$13,12)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$13,12)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$13,12)+1)),AND(FALSE(),MOD(MATCH(CALC_PlanetPositions!$B$14,{"Aries","Taurus","Gemini","Cancer","Leo","Virgo","Libra","Scorpio","Sagittarius","Capricorn","Aquarius","Pisces"},0)-MATCH(INPUT_Chart!$C$5,{"Aries","Taurus","Gemini","Cancer","Leo","Virgo","Libra","Scorpio","Sagittarius","Capricorn","Aquarius","Pisces"},0),12)+1=(MOD(CALC_BhaveshMap!$H$13,12)+1)),AND(FALSE(),MOD(MATCH(CALC_PlanetPositions!$B$15,{"Aries","Taurus","Gemini","Cancer","Leo","Virgo","Libra","Scorpio","Sagittarius","Capricorn","Aquarius","Pisces"},0)-MATCH(INPUT_Chart!$C$5,{"Aries","Taurus","Gemini","Cancer","Leo","Virgo","Libra","Scorpio","Sagittarius","Capricorn","Aquarius","Pisces"},0),12)+1=(MOD(CALC_BhaveshMap!$H$13,12)+1)))),1,0),0))*IF(REF_Config!$B$6="KP",0.75,IF(REF_Config!$B$6="Jaimini",0.5,0.75)),0)</f>
        <v>0</v>
      </c>
      <c r="D13" s="403" t="s">
        <v>4620</v>
      </c>
    </row>
    <row r="14" spans="1:12" ht="15.75" customHeight="1" x14ac:dyDescent="0.2">
      <c r="A14" s="1598" t="s">
        <v>4621</v>
      </c>
      <c r="B14" s="1598"/>
      <c r="C14" s="1598"/>
      <c r="D14" s="1598"/>
    </row>
    <row r="15" spans="1:12" ht="27.75" customHeight="1" x14ac:dyDescent="0.2">
      <c r="A15" s="127"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9),AND(CALC_PlanetPositions!$M$8="Malefic",(MOD(MATCH(CALC_PlanetPositions!$B$8,{"Aries","Taurus","Gemini","Cancer","Leo","Virgo","Libra","Scorpio","Sagittarius","Capricorn","Aquarius","Pisces"},0)-MATCH(INPUT_Chart!$C$5,{"Aries","Taurus","Gemini","Cancer","Leo","Virgo","Libra","Scorpio","Sagittarius","Capricorn","Aquarius","Pisces"},0),12)+1)=9),AND(CALC_PlanetPositions!$M$9="Malefic",(MOD(MATCH(CALC_PlanetPositions!$B$9,{"Aries","Taurus","Gemini","Cancer","Leo","Virgo","Libra","Scorpio","Sagittarius","Capricorn","Aquarius","Pisces"},0)-MATCH(INPUT_Chart!$C$5,{"Aries","Taurus","Gemini","Cancer","Leo","Virgo","Libra","Scorpio","Sagittarius","Capricorn","Aquarius","Pisces"},0),12)+1)=9),AND(CALC_PlanetPositions!$M$10="Malefic",(MOD(MATCH(CALC_PlanetPositions!$B$10,{"Aries","Taurus","Gemini","Cancer","Leo","Virgo","Libra","Scorpio","Sagittarius","Capricorn","Aquarius","Pisces"},0)-MATCH(INPUT_Chart!$C$5,{"Aries","Taurus","Gemini","Cancer","Leo","Virgo","Libra","Scorpio","Sagittarius","Capricorn","Aquarius","Pisces"},0),12)+1)=9),AND(CALC_PlanetPositions!$M$11="Malefic",(MOD(MATCH(CALC_PlanetPositions!$B$11,{"Aries","Taurus","Gemini","Cancer","Leo","Virgo","Libra","Scorpio","Sagittarius","Capricorn","Aquarius","Pisces"},0)-MATCH(INPUT_Chart!$C$5,{"Aries","Taurus","Gemini","Cancer","Leo","Virgo","Libra","Scorpio","Sagittarius","Capricorn","Aquarius","Pisces"},0),12)+1)=9),AND(CALC_PlanetPositions!$M$12="Malefic",(MOD(MATCH(CALC_PlanetPositions!$B$12,{"Aries","Taurus","Gemini","Cancer","Leo","Virgo","Libra","Scorpio","Sagittarius","Capricorn","Aquarius","Pisces"},0)-MATCH(INPUT_Chart!$C$5,{"Aries","Taurus","Gemini","Cancer","Leo","Virgo","Libra","Scorpio","Sagittarius","Capricorn","Aquarius","Pisces"},0),12)+1)=9),AND(CALC_PlanetPositions!$M$13="Malefic",(MOD(MATCH(CALC_PlanetPositions!$B$13,{"Aries","Taurus","Gemini","Cancer","Leo","Virgo","Libra","Scorpio","Sagittarius","Capricorn","Aquarius","Pisces"},0)-MATCH(INPUT_Chart!$C$5,{"Aries","Taurus","Gemini","Cancer","Leo","Virgo","Libra","Scorpio","Sagittarius","Capricorn","Aquarius","Pisces"},0),12)+1)=9),AND(TRUE(),(MOD(MATCH(CALC_PlanetPositions!$B$14,{"Aries","Taurus","Gemini","Cancer","Leo","Virgo","Libra","Scorpio","Sagittarius","Capricorn","Aquarius","Pisces"},0)-MATCH(INPUT_Chart!$C$5,{"Aries","Taurus","Gemini","Cancer","Leo","Virgo","Libra","Scorpio","Sagittarius","Capricorn","Aquarius","Pisces"},0),12)+1)=9),AND(TRUE(),(MOD(MATCH(CALC_PlanetPositions!$B$15,{"Aries","Taurus","Gemini","Cancer","Leo","Virgo","Libra","Scorpio","Sagittarius","Capricorn","Aquarius","Pisces"},0)-MATCH(INPUT_Chart!$C$5,{"Aries","Taurus","Gemini","Cancer","Leo","Virgo","Libra","Scorpio","Sagittarius","Capricorn","Aquarius","Pisces"},0),12)+1)=9)),1,0),0))*-1,0)</f>
        <v>0</v>
      </c>
      <c r="D15" s="400" t="s">
        <v>4623</v>
      </c>
    </row>
    <row r="16" spans="1:12" ht="27.75" customHeight="1" x14ac:dyDescent="0.2">
      <c r="A16" s="127" t="s">
        <v>4624</v>
      </c>
      <c r="B16" s="203" t="s">
        <v>4548</v>
      </c>
      <c r="C16" s="1118">
        <f>IFERROR((IFERROR(IF(OR(AND(CALC_PlanetPositions!$M$7="Malefic",INDEX(REF_Aspects!$D$5:$O$13,1,MOD(9-(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9)),AND(CALC_PlanetPositions!$M$8="Malefic",INDEX(REF_Aspects!$D$5:$O$13,2,MOD(9-(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9)),AND(CALC_PlanetPositions!$M$9="Malefic",INDEX(REF_Aspects!$D$5:$O$13,3,MOD(9-(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9)),AND(CALC_PlanetPositions!$M$10="Malefic",INDEX(REF_Aspects!$D$5:$O$13,4,MOD(9-(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9)),AND(CALC_PlanetPositions!$M$11="Malefic",INDEX(REF_Aspects!$D$5:$O$13,5,MOD(9-(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9)),AND(CALC_PlanetPositions!$M$12="Malefic",INDEX(REF_Aspects!$D$5:$O$13,6,MOD(9-(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9)),AND(CALC_PlanetPositions!$M$13="Malefic",INDEX(REF_Aspects!$D$5:$O$13,7,MOD(9-(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9)),AND(TRUE(),INDEX(REF_Aspects!$D$5:$O$13,8,MOD(9-(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9)),AND(TRUE(),INDEX(REF_Aspects!$D$5:$O$13,9,MOD(9-(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9))),1,0),0))*-1,0)</f>
        <v>-1</v>
      </c>
      <c r="D16" s="403" t="s">
        <v>4625</v>
      </c>
    </row>
    <row r="17" spans="1:7" ht="27.75" customHeight="1" x14ac:dyDescent="0.2">
      <c r="A17" s="127" t="s">
        <v>4626</v>
      </c>
      <c r="B17" s="357" t="s">
        <v>3062</v>
      </c>
      <c r="C17" s="1117">
        <v>0</v>
      </c>
      <c r="D17" s="400" t="s">
        <v>4627</v>
      </c>
    </row>
    <row r="18" spans="1:7" ht="27.75" customHeight="1" x14ac:dyDescent="0.2">
      <c r="A18" s="127"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(9-2,12)+1)),AND(CALC_PlanetPositions!$M$8="Malefic",MOD(MATCH(CALC_PlanetPositions!$B$8,{"Aries","Taurus","Gemini","Cancer","Leo","Virgo","Libra","Scorpio","Sagittarius","Capricorn","Aquarius","Pisces"},0)-MATCH(INPUT_Chart!$C$5,{"Aries","Taurus","Gemini","Cancer","Leo","Virgo","Libra","Scorpio","Sagittarius","Capricorn","Aquarius","Pisces"},0),12)+1=(MOD(9-2,12)+1)),AND(CALC_PlanetPositions!$M$9="Malefic",MOD(MATCH(CALC_PlanetPositions!$B$9,{"Aries","Taurus","Gemini","Cancer","Leo","Virgo","Libra","Scorpio","Sagittarius","Capricorn","Aquarius","Pisces"},0)-MATCH(INPUT_Chart!$C$5,{"Aries","Taurus","Gemini","Cancer","Leo","Virgo","Libra","Scorpio","Sagittarius","Capricorn","Aquarius","Pisces"},0),12)+1=(MOD(9-2,12)+1)),AND(CALC_PlanetPositions!$M$10="Malefic",MOD(MATCH(CALC_PlanetPositions!$B$10,{"Aries","Taurus","Gemini","Cancer","Leo","Virgo","Libra","Scorpio","Sagittarius","Capricorn","Aquarius","Pisces"},0)-MATCH(INPUT_Chart!$C$5,{"Aries","Taurus","Gemini","Cancer","Leo","Virgo","Libra","Scorpio","Sagittarius","Capricorn","Aquarius","Pisces"},0),12)+1=(MOD(9-2,12)+1)),AND(CALC_PlanetPositions!$M$11="Malefic",MOD(MATCH(CALC_PlanetPositions!$B$11,{"Aries","Taurus","Gemini","Cancer","Leo","Virgo","Libra","Scorpio","Sagittarius","Capricorn","Aquarius","Pisces"},0)-MATCH(INPUT_Chart!$C$5,{"Aries","Taurus","Gemini","Cancer","Leo","Virgo","Libra","Scorpio","Sagittarius","Capricorn","Aquarius","Pisces"},0),12)+1=(MOD(9-2,12)+1)),AND(CALC_PlanetPositions!$M$12="Malefic",MOD(MATCH(CALC_PlanetPositions!$B$12,{"Aries","Taurus","Gemini","Cancer","Leo","Virgo","Libra","Scorpio","Sagittarius","Capricorn","Aquarius","Pisces"},0)-MATCH(INPUT_Chart!$C$5,{"Aries","Taurus","Gemini","Cancer","Leo","Virgo","Libra","Scorpio","Sagittarius","Capricorn","Aquarius","Pisces"},0),12)+1=(MOD(9-2,12)+1)),AND(CALC_PlanetPositions!$M$13="Malefic",MOD(MATCH(CALC_PlanetPositions!$B$13,{"Aries","Taurus","Gemini","Cancer","Leo","Virgo","Libra","Scorpio","Sagittarius","Capricorn","Aquarius","Pisces"},0)-MATCH(INPUT_Chart!$C$5,{"Aries","Taurus","Gemini","Cancer","Leo","Virgo","Libra","Scorpio","Sagittarius","Capricorn","Aquarius","Pisces"},0),12)+1=(MOD(9-2,12)+1)),AND(TRUE(),MOD(MATCH(CALC_PlanetPositions!$B$14,{"Aries","Taurus","Gemini","Cancer","Leo","Virgo","Libra","Scorpio","Sagittarius","Capricorn","Aquarius","Pisces"},0)-MATCH(INPUT_Chart!$C$5,{"Aries","Taurus","Gemini","Cancer","Leo","Virgo","Libra","Scorpio","Sagittarius","Capricorn","Aquarius","Pisces"},0),12)+1=(MOD(9-2,12)+1)),AND(TRUE(),MOD(MATCH(CALC_PlanetPositions!$B$15,{"Aries","Taurus","Gemini","Cancer","Leo","Virgo","Libra","Scorpio","Sagittarius","Capricorn","Aquarius","Pisces"},0)-MATCH(INPUT_Chart!$C$5,{"Aries","Taurus","Gemini","Cancer","Leo","Virgo","Libra","Scorpio","Sagittarius","Capricorn","Aquarius","Pisces"},0),12)+1=(MOD(9-2,12)+1))),OR(AND(CALC_PlanetPositions!$M$7="Malefic",MOD(MATCH(CALC_PlanetPositions!$B$7,{"Aries","Taurus","Gemini","Cancer","Leo","Virgo","Libra","Scorpio","Sagittarius","Capricorn","Aquarius","Pisces"},0)-MATCH(INPUT_Chart!$C$5,{"Aries","Taurus","Gemini","Cancer","Leo","Virgo","Libra","Scorpio","Sagittarius","Capricorn","Aquarius","Pisces"},0),12)+1=(MOD(9,12)+1)),AND(CALC_PlanetPositions!$M$8="Malefic",MOD(MATCH(CALC_PlanetPositions!$B$8,{"Aries","Taurus","Gemini","Cancer","Leo","Virgo","Libra","Scorpio","Sagittarius","Capricorn","Aquarius","Pisces"},0)-MATCH(INPUT_Chart!$C$5,{"Aries","Taurus","Gemini","Cancer","Leo","Virgo","Libra","Scorpio","Sagittarius","Capricorn","Aquarius","Pisces"},0),12)+1=(MOD(9,12)+1)),AND(CALC_PlanetPositions!$M$9="Malefic",MOD(MATCH(CALC_PlanetPositions!$B$9,{"Aries","Taurus","Gemini","Cancer","Leo","Virgo","Libra","Scorpio","Sagittarius","Capricorn","Aquarius","Pisces"},0)-MATCH(INPUT_Chart!$C$5,{"Aries","Taurus","Gemini","Cancer","Leo","Virgo","Libra","Scorpio","Sagittarius","Capricorn","Aquarius","Pisces"},0),12)+1=(MOD(9,12)+1)),AND(CALC_PlanetPositions!$M$10="Malefic",MOD(MATCH(CALC_PlanetPositions!$B$10,{"Aries","Taurus","Gemini","Cancer","Leo","Virgo","Libra","Scorpio","Sagittarius","Capricorn","Aquarius","Pisces"},0)-MATCH(INPUT_Chart!$C$5,{"Aries","Taurus","Gemini","Cancer","Leo","Virgo","Libra","Scorpio","Sagittarius","Capricorn","Aquarius","Pisces"},0),12)+1=(MOD(9,12)+1)),AND(CALC_PlanetPositions!$M$11="Malefic",MOD(MATCH(CALC_PlanetPositions!$B$11,{"Aries","Taurus","Gemini","Cancer","Leo","Virgo","Libra","Scorpio","Sagittarius","Capricorn","Aquarius","Pisces"},0)-MATCH(INPUT_Chart!$C$5,{"Aries","Taurus","Gemini","Cancer","Leo","Virgo","Libra","Scorpio","Sagittarius","Capricorn","Aquarius","Pisces"},0),12)+1=(MOD(9,12)+1)),AND(CALC_PlanetPositions!$M$12="Malefic",MOD(MATCH(CALC_PlanetPositions!$B$12,{"Aries","Taurus","Gemini","Cancer","Leo","Virgo","Libra","Scorpio","Sagittarius","Capricorn","Aquarius","Pisces"},0)-MATCH(INPUT_Chart!$C$5,{"Aries","Taurus","Gemini","Cancer","Leo","Virgo","Libra","Scorpio","Sagittarius","Capricorn","Aquarius","Pisces"},0),12)+1=(MOD(9,12)+1)),AND(CALC_PlanetPositions!$M$13="Malefic",MOD(MATCH(CALC_PlanetPositions!$B$13,{"Aries","Taurus","Gemini","Cancer","Leo","Virgo","Libra","Scorpio","Sagittarius","Capricorn","Aquarius","Pisces"},0)-MATCH(INPUT_Chart!$C$5,{"Aries","Taurus","Gemini","Cancer","Leo","Virgo","Libra","Scorpio","Sagittarius","Capricorn","Aquarius","Pisces"},0),12)+1=(MOD(9,12)+1)),AND(TRUE(),MOD(MATCH(CALC_PlanetPositions!$B$14,{"Aries","Taurus","Gemini","Cancer","Leo","Virgo","Libra","Scorpio","Sagittarius","Capricorn","Aquarius","Pisces"},0)-MATCH(INPUT_Chart!$C$5,{"Aries","Taurus","Gemini","Cancer","Leo","Virgo","Libra","Scorpio","Sagittarius","Capricorn","Aquarius","Pisces"},0),12)+1=(MOD(9,12)+1)),AND(TRUE(),MOD(MATCH(CALC_PlanetPositions!$B$15,{"Aries","Taurus","Gemini","Cancer","Leo","Virgo","Libra","Scorpio","Sagittarius","Capricorn","Aquarius","Pisces"},0)-MATCH(INPUT_Chart!$C$5,{"Aries","Taurus","Gemini","Cancer","Leo","Virgo","Libra","Scorpio","Sagittarius","Capricorn","Aquarius","Pisces"},0),12)+1=(MOD(9,12)+1)))),1,0),0))*IF(REF_Config!$B$6="KP",-0.75,IF(REF_Config!$B$6="Jaimini",-0.5,-0.75)),0)</f>
        <v>0</v>
      </c>
      <c r="D18" s="403" t="s">
        <v>4629</v>
      </c>
    </row>
    <row r="19" spans="1:7" ht="15.75" customHeight="1" x14ac:dyDescent="0.2">
      <c r="A19" s="1594" t="s">
        <v>3624</v>
      </c>
      <c r="B19" s="1594"/>
      <c r="C19" s="1594"/>
      <c r="D19" s="1594"/>
    </row>
    <row r="20" spans="1:7" ht="27.75" customHeight="1" x14ac:dyDescent="0.2">
      <c r="A20" s="127" t="s">
        <v>4630</v>
      </c>
      <c r="B20" s="357" t="s">
        <v>4555</v>
      </c>
      <c r="C20" s="1117">
        <v>0</v>
      </c>
      <c r="D20" s="400" t="s">
        <v>4631</v>
      </c>
    </row>
    <row r="21" spans="1:7" ht="27.75" customHeight="1" x14ac:dyDescent="0.2">
      <c r="A21" s="127" t="s">
        <v>4632</v>
      </c>
      <c r="B21" s="203" t="s">
        <v>4633</v>
      </c>
      <c r="C21" s="1118">
        <f>IFERROR((IFERROR(IF(OR(AND(CALC_PlanetPositions!$M$7="Malefic",INDEX(REF_Aspects!$D$5:$O$13,1,MOD(CALC_BhaveshMap!$H$13-(MOD(MATCH(CALC_PlanetPositions!$B$7,{"Aries","Taurus","Gemini","Cancer","Leo","Virgo","Libra","Scorpio","Sagittarius","Capricorn","Aquarius","Pisces"},0)-MATCH(INPUT_Chart!$C$5,{"Aries","Taurus","Gemini","Cancer","Leo","Virgo","Libra","Scorpio","Sagittarius","Capricorn","Aquarius","Pisces"},0),12)+1),12)+1)="FULL",NOT(CALC_PlanetPositions!$B$7=CALC_BhaveshMap!$G$13)),AND(CALC_PlanetPositions!$M$8="Malefic",INDEX(REF_Aspects!$D$5:$O$13,2,MOD(CALC_BhaveshMap!$H$13-(MOD(MATCH(CALC_PlanetPositions!$B$8,{"Aries","Taurus","Gemini","Cancer","Leo","Virgo","Libra","Scorpio","Sagittarius","Capricorn","Aquarius","Pisces"},0)-MATCH(INPUT_Chart!$C$5,{"Aries","Taurus","Gemini","Cancer","Leo","Virgo","Libra","Scorpio","Sagittarius","Capricorn","Aquarius","Pisces"},0),12)+1),12)+1)="FULL",NOT(CALC_PlanetPositions!$B$8=CALC_BhaveshMap!$G$13)),AND(CALC_PlanetPositions!$M$9="Malefic",INDEX(REF_Aspects!$D$5:$O$13,3,MOD(CALC_BhaveshMap!$H$13-(MOD(MATCH(CALC_PlanetPositions!$B$9,{"Aries","Taurus","Gemini","Cancer","Leo","Virgo","Libra","Scorpio","Sagittarius","Capricorn","Aquarius","Pisces"},0)-MATCH(INPUT_Chart!$C$5,{"Aries","Taurus","Gemini","Cancer","Leo","Virgo","Libra","Scorpio","Sagittarius","Capricorn","Aquarius","Pisces"},0),12)+1),12)+1)="FULL",NOT(CALC_PlanetPositions!$B$9=CALC_BhaveshMap!$G$13)),AND(CALC_PlanetPositions!$M$10="Malefic",INDEX(REF_Aspects!$D$5:$O$13,4,MOD(CALC_BhaveshMap!$H$13-(MOD(MATCH(CALC_PlanetPositions!$B$10,{"Aries","Taurus","Gemini","Cancer","Leo","Virgo","Libra","Scorpio","Sagittarius","Capricorn","Aquarius","Pisces"},0)-MATCH(INPUT_Chart!$C$5,{"Aries","Taurus","Gemini","Cancer","Leo","Virgo","Libra","Scorpio","Sagittarius","Capricorn","Aquarius","Pisces"},0),12)+1),12)+1)="FULL",NOT(CALC_PlanetPositions!$B$10=CALC_BhaveshMap!$G$13)),AND(CALC_PlanetPositions!$M$11="Malefic",INDEX(REF_Aspects!$D$5:$O$13,5,MOD(CALC_BhaveshMap!$H$13-(MOD(MATCH(CALC_PlanetPositions!$B$11,{"Aries","Taurus","Gemini","Cancer","Leo","Virgo","Libra","Scorpio","Sagittarius","Capricorn","Aquarius","Pisces"},0)-MATCH(INPUT_Chart!$C$5,{"Aries","Taurus","Gemini","Cancer","Leo","Virgo","Libra","Scorpio","Sagittarius","Capricorn","Aquarius","Pisces"},0),12)+1),12)+1)="FULL",NOT(CALC_PlanetPositions!$B$11=CALC_BhaveshMap!$G$13)),AND(CALC_PlanetPositions!$M$12="Malefic",INDEX(REF_Aspects!$D$5:$O$13,6,MOD(CALC_BhaveshMap!$H$13-(MOD(MATCH(CALC_PlanetPositions!$B$12,{"Aries","Taurus","Gemini","Cancer","Leo","Virgo","Libra","Scorpio","Sagittarius","Capricorn","Aquarius","Pisces"},0)-MATCH(INPUT_Chart!$C$5,{"Aries","Taurus","Gemini","Cancer","Leo","Virgo","Libra","Scorpio","Sagittarius","Capricorn","Aquarius","Pisces"},0),12)+1),12)+1)="FULL",NOT(CALC_PlanetPositions!$B$12=CALC_BhaveshMap!$G$13)),AND(CALC_PlanetPositions!$M$13="Malefic",INDEX(REF_Aspects!$D$5:$O$13,7,MOD(CALC_BhaveshMap!$H$13-(MOD(MATCH(CALC_PlanetPositions!$B$13,{"Aries","Taurus","Gemini","Cancer","Leo","Virgo","Libra","Scorpio","Sagittarius","Capricorn","Aquarius","Pisces"},0)-MATCH(INPUT_Chart!$C$5,{"Aries","Taurus","Gemini","Cancer","Leo","Virgo","Libra","Scorpio","Sagittarius","Capricorn","Aquarius","Pisces"},0),12)+1),12)+1)="FULL",NOT(CALC_PlanetPositions!$B$13=CALC_BhaveshMap!$G$13)),AND(TRUE(),INDEX(REF_Aspects!$D$5:$O$13,8,MOD(CALC_BhaveshMap!$H$13-(MOD(MATCH(CALC_PlanetPositions!$B$14,{"Aries","Taurus","Gemini","Cancer","Leo","Virgo","Libra","Scorpio","Sagittarius","Capricorn","Aquarius","Pisces"},0)-MATCH(INPUT_Chart!$C$5,{"Aries","Taurus","Gemini","Cancer","Leo","Virgo","Libra","Scorpio","Sagittarius","Capricorn","Aquarius","Pisces"},0),12)+1),12)+1)="FULL",NOT(CALC_PlanetPositions!$B$14=CALC_BhaveshMap!$G$13)),AND(TRUE(),INDEX(REF_Aspects!$D$5:$O$13,9,MOD(CALC_BhaveshMap!$H$13-(MOD(MATCH(CALC_PlanetPositions!$B$15,{"Aries","Taurus","Gemini","Cancer","Leo","Virgo","Libra","Scorpio","Sagittarius","Capricorn","Aquarius","Pisces"},0)-MATCH(INPUT_Chart!$C$5,{"Aries","Taurus","Gemini","Cancer","Leo","Virgo","Libra","Scorpio","Sagittarius","Capricorn","Aquarius","Pisces"},0),12)+1),12)+1)="FULL",NOT(CALC_PlanetPositions!$B$15=CALC_BhaveshMap!$G$13))),1,0),0))*-0.5,0)</f>
        <v>-0.5</v>
      </c>
      <c r="D21" s="403" t="s">
        <v>4634</v>
      </c>
    </row>
    <row r="22" spans="1:7" ht="27.75" customHeight="1" x14ac:dyDescent="0.2">
      <c r="A22" s="127" t="s">
        <v>4635</v>
      </c>
      <c r="B22" s="357" t="s">
        <v>3042</v>
      </c>
      <c r="C22" s="1117">
        <f>IFERROR((IFERROR(IF(CALC_BhaveshMap!$K$13="Yes",1,0),0))*IF(REF_Config!$B$6="KP",-1.75,IF(REF_Config!$B$6="Jaimini",-2,-2)),0)</f>
        <v>0</v>
      </c>
      <c r="D22" s="400" t="s">
        <v>4636</v>
      </c>
    </row>
    <row r="23" spans="1:7" ht="27.75" customHeight="1" x14ac:dyDescent="0.2">
      <c r="A23" s="127" t="s">
        <v>4637</v>
      </c>
      <c r="B23" s="203" t="s">
        <v>3059</v>
      </c>
      <c r="C23" s="1118">
        <f>IFERROR((IFERROR(IF(OR(AND(CALC_BhaveshMap!$G$10=CALC_BhaveshMap!$G$13,CALC_BhaveshMap!$D$10&lt;&gt;CALC_BhaveshMap!$D$13),AND(CALC_BhaveshMap!$G$12=CALC_BhaveshMap!$G$13,CALC_BhaveshMap!$D$12&lt;&gt;CALC_BhaveshMap!$D$13),AND(CALC_BhaveshMap!$G$16=CALC_BhaveshMap!$G$13,CALC_BhaveshMap!$D$16&lt;&gt;CALC_BhaveshMap!$D$13)),1,0),0))*-1,0)</f>
        <v>-1</v>
      </c>
      <c r="D23" s="403" t="s">
        <v>4638</v>
      </c>
    </row>
    <row r="24" spans="1:7" ht="15.75" customHeight="1" x14ac:dyDescent="0.2">
      <c r="A24" s="1484" t="s">
        <v>4639</v>
      </c>
      <c r="B24" s="1484"/>
      <c r="C24" s="1484"/>
      <c r="D24" s="1484"/>
    </row>
    <row r="25" spans="1:7" ht="27.75" customHeight="1" x14ac:dyDescent="0.2">
      <c r="A25" s="127" t="s">
        <v>4640</v>
      </c>
      <c r="B25" s="357" t="s">
        <v>3084</v>
      </c>
      <c r="C25" s="1117">
        <f>IFERROR(IF(CALC_KarakMap!$M$13&gt;0,CALC_KarakMap!$M$13,0),0)</f>
        <v>0</v>
      </c>
      <c r="D25" s="400" t="s">
        <v>4641</v>
      </c>
    </row>
    <row r="26" spans="1:7" ht="27.75" customHeight="1" x14ac:dyDescent="0.2">
      <c r="A26" s="127" t="s">
        <v>4642</v>
      </c>
      <c r="B26" s="203" t="s">
        <v>4564</v>
      </c>
      <c r="C26" s="1118">
        <f>IFERROR(IF(CALC_KarakMap!$M$13&lt;0,CALC_KarakMap!$M$13,0),0)</f>
        <v>-0.5</v>
      </c>
      <c r="D26" s="403" t="s">
        <v>4643</v>
      </c>
    </row>
    <row r="27" spans="1:7" ht="27.75" customHeight="1" x14ac:dyDescent="0.2">
      <c r="A27" s="1119" t="s">
        <v>4644</v>
      </c>
      <c r="B27" s="296" t="s">
        <v>3624</v>
      </c>
      <c r="C27" s="1117">
        <f>IFERROR(IF(OR(CALC_BhaveshMap!$D$13="Sun",CALC_BhaveshMap!$D$13="Rahu",CALC_BhaveshMap!$D$13="Ketu"),0,IF(CALC_BhaveshMap!$D$13="Moon",IF(CALC_CombustionCheck!$G$4="Cazimi ✓",0.5,IF(CALC_CombustionCheck!$F$4="COMBUST ⚠",-1,0)),IF(CALC_BhaveshMap!$D$13="Mars",IF(CALC_CombustionCheck!$G$5="Cazimi ✓",0.5,IF(AND(CALC_CombustionCheck!$F$5="COMBUST ⚠",CALC_RetrogradeFix!$F$6="Rx ✓"),-0.5,IF(CALC_CombustionCheck!$F$5="COMBUST ⚠",-1,0))),IF(CALC_BhaveshMap!$D$13="Mercury",IF(CALC_CombustionCheck!$G$6="Cazimi ✓",0.5,IF(AND(CALC_CombustionCheck!$F$6="COMBUST ⚠",CALC_RetrogradeFix!$F$7="Rx ✓"),-0.5,IF(CALC_CombustionCheck!$F$6="COMBUST ⚠",-1,0))),IF(CALC_BhaveshMap!$D$13="Jupiter",IF(CALC_CombustionCheck!$G$7="Cazimi ✓",0.5,IF(AND(CALC_CombustionCheck!$F$7="COMBUST ⚠",CALC_RetrogradeFix!$F$8="Rx ✓"),-0.5,IF(CALC_CombustionCheck!$F$7="COMBUST ⚠",-1,0))),IF(CALC_BhaveshMap!$D$13="Venus",IF(CALC_CombustionCheck!$G$8="Cazimi ✓",0.5,IF(AND(CALC_CombustionCheck!$F$8="COMBUST ⚠",CALC_RetrogradeFix!$F$9="Rx ✓"),-0.5,IF(CALC_CombustionCheck!$F$8="COMBUST ⚠",-1,0))),IF(CALC_BhaveshMap!$D$13="Saturn",IF(CALC_CombustionCheck!$G$9="Cazimi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BhaveshMap!$D$13="Rahu",CALC_BhaveshMap!$D$13="Ketu"),0,IF(ISNUMBER(MATCH(CALC_BhaveshMap!$D$13,{"Sun","Moon","Mars","Mercury","Jupiter","Venus","Saturn"},0)),IF(INDEX(CALC_DigBala!$F$4:$F$10,MATCH(CALC_BhaveshMap!$D$13,{"Sun","Moon","Mars","Mercury","Jupiter","Venus","Saturn"},0))="Yes",0.5,0),0)),0)</f>
        <v>0</v>
      </c>
      <c r="D28" s="400" t="s">
        <v>4647</v>
      </c>
    </row>
    <row r="29" spans="1:7" ht="27.75" customHeight="1" x14ac:dyDescent="0.2">
      <c r="A29" s="1120" t="s">
        <v>4648</v>
      </c>
      <c r="B29" s="296" t="s">
        <v>3372</v>
      </c>
      <c r="C29" s="1117">
        <f>IFERROR(IF(COUNTIFS(REF_PushkaraNavamsha!$A$4:$A$27,CALC_BhaveshMap!$G$13,REF_PushkaraNavamsha!$B$4:$B$27,INDEX(CALC_PlanetPositions!$G$7:$G$15,MATCH(CALC_BhaveshMap!$D$13,CALC_PlanetPositions!$A$7:$A$15,0)))&gt;0,0.5,0),0)</f>
        <v>0</v>
      </c>
      <c r="D29" s="400" t="s">
        <v>4649</v>
      </c>
    </row>
    <row r="30" spans="1:7" ht="25.5" customHeight="1" x14ac:dyDescent="0.2">
      <c r="A30" s="147" t="s">
        <v>4650</v>
      </c>
      <c r="B30" s="1121" t="s">
        <v>4651</v>
      </c>
      <c r="C30" s="1122">
        <f>IFERROR(IF(ISNUMBER(MATCH(CALC_BhaveshMap!$D$13,{"Sun","Moon","Mars","Mercury","Jupiter","Venus","Saturn"},0)),INDEX(CALC_RetrogradeFix!$G$4:$G$10,MATCH(CALC_BhaveshMap!$D$13,{"Sun","Moon","Mars","Mercury","Jupiter","Venus","Saturn"},0)),0),0)</f>
        <v>0</v>
      </c>
      <c r="D30" s="1123" t="s">
        <v>4652</v>
      </c>
    </row>
    <row r="31" spans="1:7" ht="18" customHeight="1" x14ac:dyDescent="0.2">
      <c r="A31" s="1555" t="s">
        <v>4653</v>
      </c>
      <c r="B31" s="1555"/>
      <c r="C31" s="1555"/>
      <c r="D31" s="1555"/>
      <c r="E31" s="1124" t="s">
        <v>4654</v>
      </c>
      <c r="F31" s="1125">
        <f>IFERROR(IF(CALC_Ashtakavarga!J$15&gt;28,0.5,IF(CALC_Ashtakavarga!J$15&lt;22,-0.5,0)),0)</f>
        <v>-0.5</v>
      </c>
      <c r="G31" s="1126" t="s">
        <v>4655</v>
      </c>
    </row>
    <row r="32" spans="1:7" ht="18" customHeight="1" x14ac:dyDescent="0.2">
      <c r="A32" s="189" t="s">
        <v>3367</v>
      </c>
      <c r="B32" s="1127" t="s">
        <v>4656</v>
      </c>
      <c r="C32" s="1128">
        <f>IFERROR(SUM(C5:C7),0)</f>
        <v>0.75</v>
      </c>
      <c r="D32" s="1129"/>
    </row>
    <row r="33" spans="1:4" ht="18" customHeight="1" x14ac:dyDescent="0.2">
      <c r="A33" s="189" t="s">
        <v>3372</v>
      </c>
      <c r="B33" s="1127" t="s">
        <v>4657</v>
      </c>
      <c r="C33" s="1128">
        <f>IFERROR(SUM(C9:C13,C28:C30,F31,0),0)</f>
        <v>1.5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-1.75</v>
      </c>
      <c r="D37" s="1129"/>
    </row>
    <row r="38" spans="1:4" ht="21.75" customHeight="1" x14ac:dyDescent="0.2">
      <c r="A38" s="89" t="s">
        <v>4661</v>
      </c>
      <c r="B38" s="1129"/>
      <c r="C38" s="1131">
        <f>IFERROR(MAX(-10,MIN(10,C37)),0)</f>
        <v>-1.75</v>
      </c>
      <c r="D38" s="1132"/>
    </row>
    <row r="39" spans="1:4" ht="18" customHeight="1" x14ac:dyDescent="0.2">
      <c r="A39" s="517" t="s">
        <v>4662</v>
      </c>
      <c r="B39" s="1129"/>
      <c r="C39" s="1133">
        <f>IFERROR(CALC_LagneshStrength!$I$4,0)</f>
        <v>0</v>
      </c>
      <c r="D39" s="1129"/>
    </row>
    <row r="40" spans="1:4" ht="25.5" customHeight="1" x14ac:dyDescent="0.2">
      <c r="A40" s="1" t="s">
        <v>4663</v>
      </c>
      <c r="B40" s="1129"/>
      <c r="C40" s="1140">
        <f>IFERROR(MAX(-10,MIN(10,C38+C39)),0)</f>
        <v>-1.75</v>
      </c>
      <c r="D40" s="1141" t="str">
        <f>IFERROR(IF(C40&gt;=7,"Excellent — Fortune domain very strong",IF(C40&gt;=4,"Good — Fortune domain strong",IF(C40&gt;=1,"Moderate",IF(C40&gt;=-2,"Mixed — Fortune has challenges",IF(C40&gt;=-5,"Weak","Very weak — Fortune heavily afflicted"))))),"—")</f>
        <v>Mixed — Fortune has challenges</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4673</v>
      </c>
      <c r="B1" s="1518"/>
      <c r="C1" s="1518"/>
      <c r="D1" s="1518"/>
      <c r="L1" s="29" t="str">
        <f>HYPERLINK("#'00_INDEX'!A1","&lt;- Index")</f>
        <v>&lt;- Index</v>
      </c>
    </row>
    <row r="2" spans="1:12" ht="19.5" customHeight="1" x14ac:dyDescent="0.2">
      <c r="A2" s="1595" t="str">
        <f>IFERROR("Lagna: "&amp;INPUT_Chart!$C$5&amp;"  ·  H10 sign: "&amp;CALC_BhaveshMap!$C$14&amp;"  ·  Bhavesh: "&amp;CALC_BhaveshMap!$D$14&amp;" in H"&amp;CALC_BhaveshMap!$H$14&amp;" ("&amp;CALC_BhaveshMap!$L$14&amp;")","Enter Lagna in INPUT_Chart")</f>
        <v>Lagna: Taurus  ·  H10 sign: Aquarius  ·  Bhavesh: Saturn in H3 (Enemy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4" t="s">
        <v>4605</v>
      </c>
      <c r="B5" s="357" t="s">
        <v>4529</v>
      </c>
      <c r="C5" s="1117">
        <f>IFERROR((IFERROR(IF(INDEX(REF_Zodiac!$D$17:$O$17,MATCH(CALC_BhaveshMap!$C$14,REF_Zodiac!$D$3:$O$3,0))="Gentle",1,0),0))*0.5,0)</f>
        <v>0</v>
      </c>
      <c r="D5" s="400" t="s">
        <v>4606</v>
      </c>
    </row>
    <row r="6" spans="1:12" ht="27.75" customHeight="1" x14ac:dyDescent="0.2">
      <c r="A6" s="124"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4" t="s">
        <v>4609</v>
      </c>
      <c r="B7" s="357" t="s">
        <v>4534</v>
      </c>
      <c r="C7" s="1117">
        <f>IFERROR((IFERROR(IF(OR(AND(OR(CALC_PlanetPositions!$M$7="Benefic",CALC_PlanetPositions!$M$7="Yogakaraka"),INDEX(REF_Aspects!$D$5:$O$13,1,MOD(10-(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10)),AND(OR(CALC_PlanetPositions!$M$8="Benefic",CALC_PlanetPositions!$M$8="Yogakaraka"),INDEX(REF_Aspects!$D$5:$O$13,2,MOD(10-(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10)),AND(OR(CALC_PlanetPositions!$M$9="Benefic",CALC_PlanetPositions!$M$9="Yogakaraka"),INDEX(REF_Aspects!$D$5:$O$13,3,MOD(10-(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10)),AND(OR(CALC_PlanetPositions!$M$10="Benefic",CALC_PlanetPositions!$M$10="Yogakaraka"),INDEX(REF_Aspects!$D$5:$O$13,4,MOD(10-(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10)),AND(OR(CALC_PlanetPositions!$M$11="Benefic",CALC_PlanetPositions!$M$11="Yogakaraka"),INDEX(REF_Aspects!$D$5:$O$13,5,MOD(10-(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10)),AND(OR(CALC_PlanetPositions!$M$12="Benefic",CALC_PlanetPositions!$M$12="Yogakaraka"),INDEX(REF_Aspects!$D$5:$O$13,6,MOD(10-(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10)),AND(OR(CALC_PlanetPositions!$M$13="Benefic",CALC_PlanetPositions!$M$13="Yogakaraka"),INDEX(REF_Aspects!$D$5:$O$13,7,MOD(10-(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10)),AND(FALSE(),INDEX(REF_Aspects!$D$5:$O$13,8,MOD(10-(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10)),AND(FALSE(),INDEX(REF_Aspects!$D$5:$O$13,9,MOD(10-(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10))),1,0),0))*IF(REF_Config!$B$6="KP",0.5,IF(REF_Config!$B$6="Jaimini",0.75,0.75)),0)</f>
        <v>0</v>
      </c>
      <c r="D7" s="400" t="s">
        <v>4610</v>
      </c>
    </row>
    <row r="8" spans="1:12" ht="15.75" customHeight="1" x14ac:dyDescent="0.2">
      <c r="A8" s="1597" t="s">
        <v>3372</v>
      </c>
      <c r="B8" s="1597"/>
      <c r="C8" s="1597"/>
      <c r="D8" s="1597"/>
    </row>
    <row r="9" spans="1:12" ht="27.75" customHeight="1" x14ac:dyDescent="0.2">
      <c r="A9" s="124" t="s">
        <v>4611</v>
      </c>
      <c r="B9" s="203" t="s">
        <v>4537</v>
      </c>
      <c r="C9" s="1118">
        <f>IFERROR(IF(AND(OR(CALC_BhaveshMap!$I$14="Yes",CALC_BhaveshMap!$J$14="Yes"),NOT(CALC_BhaveshMap!$K$14="Yes")),1,0)*IF(REF_Config!$B$6="KP",1.5,IF(REF_Config!$B$6="Jaimini",1.5,2)),0)</f>
        <v>0</v>
      </c>
      <c r="D9" s="403" t="s">
        <v>4612</v>
      </c>
    </row>
    <row r="10" spans="1:12" ht="27.75" customHeight="1" x14ac:dyDescent="0.2">
      <c r="A10" s="124" t="s">
        <v>4613</v>
      </c>
      <c r="B10" s="357" t="s">
        <v>3093</v>
      </c>
      <c r="C10" s="1117">
        <f>IFERROR((IFERROR(IF(OR(AND(CALC_BhaveshMap!$G$5=CALC_BhaveshMap!$G$14,CALC_BhaveshMap!$D$5&lt;&gt;CALC_BhaveshMap!$D$14),AND(CALC_BhaveshMap!$G$8=CALC_BhaveshMap!$G$14,CALC_BhaveshMap!$D$8&lt;&gt;CALC_BhaveshMap!$D$14),AND(CALC_BhaveshMap!$G$9=CALC_BhaveshMap!$G$14,CALC_BhaveshMap!$D$9&lt;&gt;CALC_BhaveshMap!$D$14),AND(CALC_BhaveshMap!$G$11=CALC_BhaveshMap!$G$14,CALC_BhaveshMap!$D$11&lt;&gt;CALC_BhaveshMap!$D$14),AND(CALC_BhaveshMap!$G$13=CALC_BhaveshMap!$G$14,CALC_BhaveshMap!$D$13&lt;&gt;CALC_BhaveshMap!$D$14),AND(CALC_BhaveshMap!$G$14=CALC_BhaveshMap!$G$14,CALC_BhaveshMap!$D$14&lt;&gt;CALC_BhaveshMap!$D$14)),1,0),0))*0.5,0)</f>
        <v>0.5</v>
      </c>
      <c r="D10" s="400" t="s">
        <v>4614</v>
      </c>
    </row>
    <row r="11" spans="1:12" ht="27.75" customHeight="1" x14ac:dyDescent="0.2">
      <c r="A11" s="124" t="s">
        <v>4615</v>
      </c>
      <c r="B11" s="203" t="s">
        <v>4540</v>
      </c>
      <c r="C11" s="1118">
        <f>IFERROR((IFERROR(IF(OR(AND(OR(CALC_PlanetPositions!$M$7="Benefic",CALC_PlanetPositions!$M$7="Yogakaraka"),CALC_PlanetPositions!$B$7=CALC_BhaveshMap!$G$14,CALC_BhaveshMap!$D$14&lt;&gt;"Sun"),AND(OR(CALC_PlanetPositions!$M$8="Benefic",CALC_PlanetPositions!$M$8="Yogakaraka"),CALC_PlanetPositions!$B$8=CALC_BhaveshMap!$G$14,CALC_BhaveshMap!$D$14&lt;&gt;"Moon"),AND(OR(CALC_PlanetPositions!$M$9="Benefic",CALC_PlanetPositions!$M$9="Yogakaraka"),CALC_PlanetPositions!$B$9=CALC_BhaveshMap!$G$14,CALC_BhaveshMap!$D$14&lt;&gt;"Mars"),AND(OR(CALC_PlanetPositions!$M$10="Benefic",CALC_PlanetPositions!$M$10="Yogakaraka"),CALC_PlanetPositions!$B$10=CALC_BhaveshMap!$G$14,CALC_BhaveshMap!$D$14&lt;&gt;"Mercury"),AND(OR(CALC_PlanetPositions!$M$11="Benefic",CALC_PlanetPositions!$M$11="Yogakaraka"),CALC_PlanetPositions!$B$11=CALC_BhaveshMap!$G$14,CALC_BhaveshMap!$D$14&lt;&gt;"Jupiter"),AND(OR(CALC_PlanetPositions!$M$12="Benefic",CALC_PlanetPositions!$M$12="Yogakaraka"),CALC_PlanetPositions!$B$12=CALC_BhaveshMap!$G$14,CALC_BhaveshMap!$D$14&lt;&gt;"Venus"),AND(OR(CALC_PlanetPositions!$M$13="Benefic",CALC_PlanetPositions!$M$13="Yogakaraka"),CALC_PlanetPositions!$B$13=CALC_BhaveshMap!$G$14,CALC_BhaveshMap!$D$14&lt;&gt;"Saturn")),1,0),0))*IF(OR(AND(CALC_PlanetPositions!$M$7="Yogakaraka",CALC_PlanetPositions!$B$7=CALC_BhaveshMap!$G$14,CALC_BhaveshMap!$D$14&lt;&gt;"Sun"),AND(CALC_PlanetPositions!$M$8="Yogakaraka",CALC_PlanetPositions!$B$8=CALC_BhaveshMap!$G$14,CALC_BhaveshMap!$D$14&lt;&gt;"Moon"),AND(CALC_PlanetPositions!$M$9="Yogakaraka",CALC_PlanetPositions!$B$9=CALC_BhaveshMap!$G$14,CALC_BhaveshMap!$D$14&lt;&gt;"Mars"),AND(CALC_PlanetPositions!$M$10="Yogakaraka",CALC_PlanetPositions!$B$10=CALC_BhaveshMap!$G$14,CALC_BhaveshMap!$D$14&lt;&gt;"Mercury"),AND(CALC_PlanetPositions!$M$11="Yogakaraka",CALC_PlanetPositions!$B$11=CALC_BhaveshMap!$G$14,CALC_BhaveshMap!$D$14&lt;&gt;"Jupiter"),AND(CALC_PlanetPositions!$M$12="Yogakaraka",CALC_PlanetPositions!$B$12=CALC_BhaveshMap!$G$14,CALC_BhaveshMap!$D$14&lt;&gt;"Venus"),AND(CALC_PlanetPositions!$M$13="Yogakaraka",CALC_PlanetPositions!$B$13=CALC_BhaveshMap!$G$14,CALC_BhaveshMap!$D$14&lt;&gt;"Saturn")),1.5,1),0)</f>
        <v>1.5</v>
      </c>
      <c r="D11" s="403" t="s">
        <v>4616</v>
      </c>
    </row>
    <row r="12" spans="1:12" ht="27.75" customHeight="1" x14ac:dyDescent="0.2">
      <c r="A12" s="124" t="s">
        <v>4617</v>
      </c>
      <c r="B12" s="357" t="s">
        <v>4542</v>
      </c>
      <c r="C12" s="1117">
        <f>IFERROR((IFERROR(IF(OR(AND(OR(CALC_PlanetPositions!$M$7="Benefic",CALC_PlanetPositions!$M$7="Yogakaraka"),INDEX(REF_Aspects!$D$5:$O$13,1,MOD(CALC_BhaveshMap!$H$14-(MOD(MATCH(CALC_PlanetPositions!$B$7,{"Aries","Taurus","Gemini","Cancer","Leo","Virgo","Libra","Scorpio","Sagittarius","Capricorn","Aquarius","Pisces"},0)-MATCH(INPUT_Chart!$C$5,{"Aries","Taurus","Gemini","Cancer","Leo","Virgo","Libra","Scorpio","Sagittarius","Capricorn","Aquarius","Pisces"},0),12)+1),12)+1)="FULL",NOT(CALC_PlanetPositions!$B$7=CALC_BhaveshMap!$G$14)),AND(OR(CALC_PlanetPositions!$M$8="Benefic",CALC_PlanetPositions!$M$8="Yogakaraka"),INDEX(REF_Aspects!$D$5:$O$13,2,MOD(CALC_BhaveshMap!$H$14-(MOD(MATCH(CALC_PlanetPositions!$B$8,{"Aries","Taurus","Gemini","Cancer","Leo","Virgo","Libra","Scorpio","Sagittarius","Capricorn","Aquarius","Pisces"},0)-MATCH(INPUT_Chart!$C$5,{"Aries","Taurus","Gemini","Cancer","Leo","Virgo","Libra","Scorpio","Sagittarius","Capricorn","Aquarius","Pisces"},0),12)+1),12)+1)="FULL",NOT(CALC_PlanetPositions!$B$8=CALC_BhaveshMap!$G$14)),AND(OR(CALC_PlanetPositions!$M$9="Benefic",CALC_PlanetPositions!$M$9="Yogakaraka"),INDEX(REF_Aspects!$D$5:$O$13,3,MOD(CALC_BhaveshMap!$H$14-(MOD(MATCH(CALC_PlanetPositions!$B$9,{"Aries","Taurus","Gemini","Cancer","Leo","Virgo","Libra","Scorpio","Sagittarius","Capricorn","Aquarius","Pisces"},0)-MATCH(INPUT_Chart!$C$5,{"Aries","Taurus","Gemini","Cancer","Leo","Virgo","Libra","Scorpio","Sagittarius","Capricorn","Aquarius","Pisces"},0),12)+1),12)+1)="FULL",NOT(CALC_PlanetPositions!$B$9=CALC_BhaveshMap!$G$14)),AND(OR(CALC_PlanetPositions!$M$10="Benefic",CALC_PlanetPositions!$M$10="Yogakaraka"),INDEX(REF_Aspects!$D$5:$O$13,4,MOD(CALC_BhaveshMap!$H$14-(MOD(MATCH(CALC_PlanetPositions!$B$10,{"Aries","Taurus","Gemini","Cancer","Leo","Virgo","Libra","Scorpio","Sagittarius","Capricorn","Aquarius","Pisces"},0)-MATCH(INPUT_Chart!$C$5,{"Aries","Taurus","Gemini","Cancer","Leo","Virgo","Libra","Scorpio","Sagittarius","Capricorn","Aquarius","Pisces"},0),12)+1),12)+1)="FULL",NOT(CALC_PlanetPositions!$B$10=CALC_BhaveshMap!$G$14)),AND(OR(CALC_PlanetPositions!$M$11="Benefic",CALC_PlanetPositions!$M$11="Yogakaraka"),INDEX(REF_Aspects!$D$5:$O$13,5,MOD(CALC_BhaveshMap!$H$14-(MOD(MATCH(CALC_PlanetPositions!$B$11,{"Aries","Taurus","Gemini","Cancer","Leo","Virgo","Libra","Scorpio","Sagittarius","Capricorn","Aquarius","Pisces"},0)-MATCH(INPUT_Chart!$C$5,{"Aries","Taurus","Gemini","Cancer","Leo","Virgo","Libra","Scorpio","Sagittarius","Capricorn","Aquarius","Pisces"},0),12)+1),12)+1)="FULL",NOT(CALC_PlanetPositions!$B$11=CALC_BhaveshMap!$G$14)),AND(OR(CALC_PlanetPositions!$M$12="Benefic",CALC_PlanetPositions!$M$12="Yogakaraka"),INDEX(REF_Aspects!$D$5:$O$13,6,MOD(CALC_BhaveshMap!$H$14-(MOD(MATCH(CALC_PlanetPositions!$B$12,{"Aries","Taurus","Gemini","Cancer","Leo","Virgo","Libra","Scorpio","Sagittarius","Capricorn","Aquarius","Pisces"},0)-MATCH(INPUT_Chart!$C$5,{"Aries","Taurus","Gemini","Cancer","Leo","Virgo","Libra","Scorpio","Sagittarius","Capricorn","Aquarius","Pisces"},0),12)+1),12)+1)="FULL",NOT(CALC_PlanetPositions!$B$12=CALC_BhaveshMap!$G$14)),AND(OR(CALC_PlanetPositions!$M$13="Benefic",CALC_PlanetPositions!$M$13="Yogakaraka"),INDEX(REF_Aspects!$D$5:$O$13,7,MOD(CALC_BhaveshMap!$H$14-(MOD(MATCH(CALC_PlanetPositions!$B$13,{"Aries","Taurus","Gemini","Cancer","Leo","Virgo","Libra","Scorpio","Sagittarius","Capricorn","Aquarius","Pisces"},0)-MATCH(INPUT_Chart!$C$5,{"Aries","Taurus","Gemini","Cancer","Leo","Virgo","Libra","Scorpio","Sagittarius","Capricorn","Aquarius","Pisces"},0),12)+1),12)+1)="FULL",NOT(CALC_PlanetPositions!$B$13=CALC_BhaveshMap!$G$14)),AND(FALSE(),INDEX(REF_Aspects!$D$5:$O$13,8,MOD(CALC_BhaveshMap!$H$14-(MOD(MATCH(CALC_PlanetPositions!$B$14,{"Aries","Taurus","Gemini","Cancer","Leo","Virgo","Libra","Scorpio","Sagittarius","Capricorn","Aquarius","Pisces"},0)-MATCH(INPUT_Chart!$C$5,{"Aries","Taurus","Gemini","Cancer","Leo","Virgo","Libra","Scorpio","Sagittarius","Capricorn","Aquarius","Pisces"},0),12)+1),12)+1)="FULL",NOT(CALC_PlanetPositions!$B$14=CALC_BhaveshMap!$G$14)),AND(FALSE(),INDEX(REF_Aspects!$D$5:$O$13,9,MOD(CALC_BhaveshMap!$H$14-(MOD(MATCH(CALC_PlanetPositions!$B$15,{"Aries","Taurus","Gemini","Cancer","Leo","Virgo","Libra","Scorpio","Sagittarius","Capricorn","Aquarius","Pisces"},0)-MATCH(INPUT_Chart!$C$5,{"Aries","Taurus","Gemini","Cancer","Leo","Virgo","Libra","Scorpio","Sagittarius","Capricorn","Aquarius","Pisces"},0),12)+1),12)+1)="FULL",NOT(CALC_PlanetPositions!$B$15=CALC_BhaveshMap!$G$14))),1,0),0))*0.5,0)</f>
        <v>0</v>
      </c>
      <c r="D12" s="400" t="s">
        <v>4618</v>
      </c>
    </row>
    <row r="13" spans="1:12" ht="27.75" customHeight="1" x14ac:dyDescent="0.2">
      <c r="A13" s="124"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$14-2,12)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$14-2,12)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$14-2,12)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$14-2,12)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$14-2,12)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$14-2,12)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$14-2,12)+1)),AND(FALSE(),MOD(MATCH(CALC_PlanetPositions!$B$14,{"Aries","Taurus","Gemini","Cancer","Leo","Virgo","Libra","Scorpio","Sagittarius","Capricorn","Aquarius","Pisces"},0)-MATCH(INPUT_Chart!$C$5,{"Aries","Taurus","Gemini","Cancer","Leo","Virgo","Libra","Scorpio","Sagittarius","Capricorn","Aquarius","Pisces"},0),12)+1=(MOD(CALC_BhaveshMap!$H$14-2,12)+1)),AND(FALSE(),MOD(MATCH(CALC_PlanetPositions!$B$15,{"Aries","Taurus","Gemini","Cancer","Leo","Virgo","Libra","Scorpio","Sagittarius","Capricorn","Aquarius","Pisces"},0)-MATCH(INPUT_Chart!$C$5,{"Aries","Taurus","Gemini","Cancer","Leo","Virgo","Libra","Scorpio","Sagittarius","Capricorn","Aquarius","Pisces"},0),12)+1=(MOD(CALC_BhaveshMap!$H$14-2,12)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$14,12)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$14,12)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$14,12)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$14,12)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$14,12)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$14,12)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$14,12)+1)),AND(FALSE(),MOD(MATCH(CALC_PlanetPositions!$B$14,{"Aries","Taurus","Gemini","Cancer","Leo","Virgo","Libra","Scorpio","Sagittarius","Capricorn","Aquarius","Pisces"},0)-MATCH(INPUT_Chart!$C$5,{"Aries","Taurus","Gemini","Cancer","Leo","Virgo","Libra","Scorpio","Sagittarius","Capricorn","Aquarius","Pisces"},0),12)+1=(MOD(CALC_BhaveshMap!$H$14,12)+1)),AND(FALSE(),MOD(MATCH(CALC_PlanetPositions!$B$15,{"Aries","Taurus","Gemini","Cancer","Leo","Virgo","Libra","Scorpio","Sagittarius","Capricorn","Aquarius","Pisces"},0)-MATCH(INPUT_Chart!$C$5,{"Aries","Taurus","Gemini","Cancer","Leo","Virgo","Libra","Scorpio","Sagittarius","Capricorn","Aquarius","Pisces"},0),12)+1=(MOD(CALC_BhaveshMap!$H$14,12)+1)))),1,0),0))*IF(REF_Config!$B$6="KP",0.75,IF(REF_Config!$B$6="Jaimini",0.5,0.75)),0)</f>
        <v>0</v>
      </c>
      <c r="D13" s="403" t="s">
        <v>4620</v>
      </c>
    </row>
    <row r="14" spans="1:12" ht="15.75" customHeight="1" x14ac:dyDescent="0.2">
      <c r="A14" s="1598" t="s">
        <v>4621</v>
      </c>
      <c r="B14" s="1598"/>
      <c r="C14" s="1598"/>
      <c r="D14" s="1598"/>
    </row>
    <row r="15" spans="1:12" ht="27.75" customHeight="1" x14ac:dyDescent="0.2">
      <c r="A15" s="124"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10),AND(CALC_PlanetPositions!$M$8="Malefic",(MOD(MATCH(CALC_PlanetPositions!$B$8,{"Aries","Taurus","Gemini","Cancer","Leo","Virgo","Libra","Scorpio","Sagittarius","Capricorn","Aquarius","Pisces"},0)-MATCH(INPUT_Chart!$C$5,{"Aries","Taurus","Gemini","Cancer","Leo","Virgo","Libra","Scorpio","Sagittarius","Capricorn","Aquarius","Pisces"},0),12)+1)=10),AND(CALC_PlanetPositions!$M$9="Malefic",(MOD(MATCH(CALC_PlanetPositions!$B$9,{"Aries","Taurus","Gemini","Cancer","Leo","Virgo","Libra","Scorpio","Sagittarius","Capricorn","Aquarius","Pisces"},0)-MATCH(INPUT_Chart!$C$5,{"Aries","Taurus","Gemini","Cancer","Leo","Virgo","Libra","Scorpio","Sagittarius","Capricorn","Aquarius","Pisces"},0),12)+1)=10),AND(CALC_PlanetPositions!$M$10="Malefic",(MOD(MATCH(CALC_PlanetPositions!$B$10,{"Aries","Taurus","Gemini","Cancer","Leo","Virgo","Libra","Scorpio","Sagittarius","Capricorn","Aquarius","Pisces"},0)-MATCH(INPUT_Chart!$C$5,{"Aries","Taurus","Gemini","Cancer","Leo","Virgo","Libra","Scorpio","Sagittarius","Capricorn","Aquarius","Pisces"},0),12)+1)=10),AND(CALC_PlanetPositions!$M$11="Malefic",(MOD(MATCH(CALC_PlanetPositions!$B$11,{"Aries","Taurus","Gemini","Cancer","Leo","Virgo","Libra","Scorpio","Sagittarius","Capricorn","Aquarius","Pisces"},0)-MATCH(INPUT_Chart!$C$5,{"Aries","Taurus","Gemini","Cancer","Leo","Virgo","Libra","Scorpio","Sagittarius","Capricorn","Aquarius","Pisces"},0),12)+1)=10),AND(CALC_PlanetPositions!$M$12="Malefic",(MOD(MATCH(CALC_PlanetPositions!$B$12,{"Aries","Taurus","Gemini","Cancer","Leo","Virgo","Libra","Scorpio","Sagittarius","Capricorn","Aquarius","Pisces"},0)-MATCH(INPUT_Chart!$C$5,{"Aries","Taurus","Gemini","Cancer","Leo","Virgo","Libra","Scorpio","Sagittarius","Capricorn","Aquarius","Pisces"},0),12)+1)=10),AND(CALC_PlanetPositions!$M$13="Malefic",(MOD(MATCH(CALC_PlanetPositions!$B$13,{"Aries","Taurus","Gemini","Cancer","Leo","Virgo","Libra","Scorpio","Sagittarius","Capricorn","Aquarius","Pisces"},0)-MATCH(INPUT_Chart!$C$5,{"Aries","Taurus","Gemini","Cancer","Leo","Virgo","Libra","Scorpio","Sagittarius","Capricorn","Aquarius","Pisces"},0),12)+1)=10),AND(TRUE(),(MOD(MATCH(CALC_PlanetPositions!$B$14,{"Aries","Taurus","Gemini","Cancer","Leo","Virgo","Libra","Scorpio","Sagittarius","Capricorn","Aquarius","Pisces"},0)-MATCH(INPUT_Chart!$C$5,{"Aries","Taurus","Gemini","Cancer","Leo","Virgo","Libra","Scorpio","Sagittarius","Capricorn","Aquarius","Pisces"},0),12)+1)=10),AND(TRUE(),(MOD(MATCH(CALC_PlanetPositions!$B$15,{"Aries","Taurus","Gemini","Cancer","Leo","Virgo","Libra","Scorpio","Sagittarius","Capricorn","Aquarius","Pisces"},0)-MATCH(INPUT_Chart!$C$5,{"Aries","Taurus","Gemini","Cancer","Leo","Virgo","Libra","Scorpio","Sagittarius","Capricorn","Aquarius","Pisces"},0),12)+1)=10)),1,0),0))*-1,0)</f>
        <v>0</v>
      </c>
      <c r="D15" s="400" t="s">
        <v>4623</v>
      </c>
    </row>
    <row r="16" spans="1:12" ht="27.75" customHeight="1" x14ac:dyDescent="0.2">
      <c r="A16" s="124" t="s">
        <v>4624</v>
      </c>
      <c r="B16" s="203" t="s">
        <v>4548</v>
      </c>
      <c r="C16" s="1118">
        <f>IFERROR((IFERROR(IF(OR(AND(CALC_PlanetPositions!$M$7="Malefic",INDEX(REF_Aspects!$D$5:$O$13,1,MOD(10-(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10)),AND(CALC_PlanetPositions!$M$8="Malefic",INDEX(REF_Aspects!$D$5:$O$13,2,MOD(10-(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10)),AND(CALC_PlanetPositions!$M$9="Malefic",INDEX(REF_Aspects!$D$5:$O$13,3,MOD(10-(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10)),AND(CALC_PlanetPositions!$M$10="Malefic",INDEX(REF_Aspects!$D$5:$O$13,4,MOD(10-(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10)),AND(CALC_PlanetPositions!$M$11="Malefic",INDEX(REF_Aspects!$D$5:$O$13,5,MOD(10-(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10)),AND(CALC_PlanetPositions!$M$12="Malefic",INDEX(REF_Aspects!$D$5:$O$13,6,MOD(10-(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10)),AND(CALC_PlanetPositions!$M$13="Malefic",INDEX(REF_Aspects!$D$5:$O$13,7,MOD(10-(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10)),AND(TRUE(),INDEX(REF_Aspects!$D$5:$O$13,8,MOD(10-(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10)),AND(TRUE(),INDEX(REF_Aspects!$D$5:$O$13,9,MOD(10-(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10))),1,0),0))*-1,0)</f>
        <v>-1</v>
      </c>
      <c r="D16" s="403" t="s">
        <v>4625</v>
      </c>
    </row>
    <row r="17" spans="1:7" ht="27.75" customHeight="1" x14ac:dyDescent="0.2">
      <c r="A17" s="124" t="s">
        <v>4626</v>
      </c>
      <c r="B17" s="357" t="s">
        <v>3062</v>
      </c>
      <c r="C17" s="1117">
        <v>0</v>
      </c>
      <c r="D17" s="400" t="s">
        <v>4627</v>
      </c>
    </row>
    <row r="18" spans="1:7" ht="27.75" customHeight="1" x14ac:dyDescent="0.2">
      <c r="A18" s="124"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(10-2,12)+1)),AND(CALC_PlanetPositions!$M$8="Malefic",MOD(MATCH(CALC_PlanetPositions!$B$8,{"Aries","Taurus","Gemini","Cancer","Leo","Virgo","Libra","Scorpio","Sagittarius","Capricorn","Aquarius","Pisces"},0)-MATCH(INPUT_Chart!$C$5,{"Aries","Taurus","Gemini","Cancer","Leo","Virgo","Libra","Scorpio","Sagittarius","Capricorn","Aquarius","Pisces"},0),12)+1=(MOD(10-2,12)+1)),AND(CALC_PlanetPositions!$M$9="Malefic",MOD(MATCH(CALC_PlanetPositions!$B$9,{"Aries","Taurus","Gemini","Cancer","Leo","Virgo","Libra","Scorpio","Sagittarius","Capricorn","Aquarius","Pisces"},0)-MATCH(INPUT_Chart!$C$5,{"Aries","Taurus","Gemini","Cancer","Leo","Virgo","Libra","Scorpio","Sagittarius","Capricorn","Aquarius","Pisces"},0),12)+1=(MOD(10-2,12)+1)),AND(CALC_PlanetPositions!$M$10="Malefic",MOD(MATCH(CALC_PlanetPositions!$B$10,{"Aries","Taurus","Gemini","Cancer","Leo","Virgo","Libra","Scorpio","Sagittarius","Capricorn","Aquarius","Pisces"},0)-MATCH(INPUT_Chart!$C$5,{"Aries","Taurus","Gemini","Cancer","Leo","Virgo","Libra","Scorpio","Sagittarius","Capricorn","Aquarius","Pisces"},0),12)+1=(MOD(10-2,12)+1)),AND(CALC_PlanetPositions!$M$11="Malefic",MOD(MATCH(CALC_PlanetPositions!$B$11,{"Aries","Taurus","Gemini","Cancer","Leo","Virgo","Libra","Scorpio","Sagittarius","Capricorn","Aquarius","Pisces"},0)-MATCH(INPUT_Chart!$C$5,{"Aries","Taurus","Gemini","Cancer","Leo","Virgo","Libra","Scorpio","Sagittarius","Capricorn","Aquarius","Pisces"},0),12)+1=(MOD(10-2,12)+1)),AND(CALC_PlanetPositions!$M$12="Malefic",MOD(MATCH(CALC_PlanetPositions!$B$12,{"Aries","Taurus","Gemini","Cancer","Leo","Virgo","Libra","Scorpio","Sagittarius","Capricorn","Aquarius","Pisces"},0)-MATCH(INPUT_Chart!$C$5,{"Aries","Taurus","Gemini","Cancer","Leo","Virgo","Libra","Scorpio","Sagittarius","Capricorn","Aquarius","Pisces"},0),12)+1=(MOD(10-2,12)+1)),AND(CALC_PlanetPositions!$M$13="Malefic",MOD(MATCH(CALC_PlanetPositions!$B$13,{"Aries","Taurus","Gemini","Cancer","Leo","Virgo","Libra","Scorpio","Sagittarius","Capricorn","Aquarius","Pisces"},0)-MATCH(INPUT_Chart!$C$5,{"Aries","Taurus","Gemini","Cancer","Leo","Virgo","Libra","Scorpio","Sagittarius","Capricorn","Aquarius","Pisces"},0),12)+1=(MOD(10-2,12)+1)),AND(TRUE(),MOD(MATCH(CALC_PlanetPositions!$B$14,{"Aries","Taurus","Gemini","Cancer","Leo","Virgo","Libra","Scorpio","Sagittarius","Capricorn","Aquarius","Pisces"},0)-MATCH(INPUT_Chart!$C$5,{"Aries","Taurus","Gemini","Cancer","Leo","Virgo","Libra","Scorpio","Sagittarius","Capricorn","Aquarius","Pisces"},0),12)+1=(MOD(10-2,12)+1)),AND(TRUE(),MOD(MATCH(CALC_PlanetPositions!$B$15,{"Aries","Taurus","Gemini","Cancer","Leo","Virgo","Libra","Scorpio","Sagittarius","Capricorn","Aquarius","Pisces"},0)-MATCH(INPUT_Chart!$C$5,{"Aries","Taurus","Gemini","Cancer","Leo","Virgo","Libra","Scorpio","Sagittarius","Capricorn","Aquarius","Pisces"},0),12)+1=(MOD(10-2,12)+1))),OR(AND(CALC_PlanetPositions!$M$7="Malefic",MOD(MATCH(CALC_PlanetPositions!$B$7,{"Aries","Taurus","Gemini","Cancer","Leo","Virgo","Libra","Scorpio","Sagittarius","Capricorn","Aquarius","Pisces"},0)-MATCH(INPUT_Chart!$C$5,{"Aries","Taurus","Gemini","Cancer","Leo","Virgo","Libra","Scorpio","Sagittarius","Capricorn","Aquarius","Pisces"},0),12)+1=(MOD(10,12)+1)),AND(CALC_PlanetPositions!$M$8="Malefic",MOD(MATCH(CALC_PlanetPositions!$B$8,{"Aries","Taurus","Gemini","Cancer","Leo","Virgo","Libra","Scorpio","Sagittarius","Capricorn","Aquarius","Pisces"},0)-MATCH(INPUT_Chart!$C$5,{"Aries","Taurus","Gemini","Cancer","Leo","Virgo","Libra","Scorpio","Sagittarius","Capricorn","Aquarius","Pisces"},0),12)+1=(MOD(10,12)+1)),AND(CALC_PlanetPositions!$M$9="Malefic",MOD(MATCH(CALC_PlanetPositions!$B$9,{"Aries","Taurus","Gemini","Cancer","Leo","Virgo","Libra","Scorpio","Sagittarius","Capricorn","Aquarius","Pisces"},0)-MATCH(INPUT_Chart!$C$5,{"Aries","Taurus","Gemini","Cancer","Leo","Virgo","Libra","Scorpio","Sagittarius","Capricorn","Aquarius","Pisces"},0),12)+1=(MOD(10,12)+1)),AND(CALC_PlanetPositions!$M$10="Malefic",MOD(MATCH(CALC_PlanetPositions!$B$10,{"Aries","Taurus","Gemini","Cancer","Leo","Virgo","Libra","Scorpio","Sagittarius","Capricorn","Aquarius","Pisces"},0)-MATCH(INPUT_Chart!$C$5,{"Aries","Taurus","Gemini","Cancer","Leo","Virgo","Libra","Scorpio","Sagittarius","Capricorn","Aquarius","Pisces"},0),12)+1=(MOD(10,12)+1)),AND(CALC_PlanetPositions!$M$11="Malefic",MOD(MATCH(CALC_PlanetPositions!$B$11,{"Aries","Taurus","Gemini","Cancer","Leo","Virgo","Libra","Scorpio","Sagittarius","Capricorn","Aquarius","Pisces"},0)-MATCH(INPUT_Chart!$C$5,{"Aries","Taurus","Gemini","Cancer","Leo","Virgo","Libra","Scorpio","Sagittarius","Capricorn","Aquarius","Pisces"},0),12)+1=(MOD(10,12)+1)),AND(CALC_PlanetPositions!$M$12="Malefic",MOD(MATCH(CALC_PlanetPositions!$B$12,{"Aries","Taurus","Gemini","Cancer","Leo","Virgo","Libra","Scorpio","Sagittarius","Capricorn","Aquarius","Pisces"},0)-MATCH(INPUT_Chart!$C$5,{"Aries","Taurus","Gemini","Cancer","Leo","Virgo","Libra","Scorpio","Sagittarius","Capricorn","Aquarius","Pisces"},0),12)+1=(MOD(10,12)+1)),AND(CALC_PlanetPositions!$M$13="Malefic",MOD(MATCH(CALC_PlanetPositions!$B$13,{"Aries","Taurus","Gemini","Cancer","Leo","Virgo","Libra","Scorpio","Sagittarius","Capricorn","Aquarius","Pisces"},0)-MATCH(INPUT_Chart!$C$5,{"Aries","Taurus","Gemini","Cancer","Leo","Virgo","Libra","Scorpio","Sagittarius","Capricorn","Aquarius","Pisces"},0),12)+1=(MOD(10,12)+1)),AND(TRUE(),MOD(MATCH(CALC_PlanetPositions!$B$14,{"Aries","Taurus","Gemini","Cancer","Leo","Virgo","Libra","Scorpio","Sagittarius","Capricorn","Aquarius","Pisces"},0)-MATCH(INPUT_Chart!$C$5,{"Aries","Taurus","Gemini","Cancer","Leo","Virgo","Libra","Scorpio","Sagittarius","Capricorn","Aquarius","Pisces"},0),12)+1=(MOD(10,12)+1)),AND(TRUE(),MOD(MATCH(CALC_PlanetPositions!$B$15,{"Aries","Taurus","Gemini","Cancer","Leo","Virgo","Libra","Scorpio","Sagittarius","Capricorn","Aquarius","Pisces"},0)-MATCH(INPUT_Chart!$C$5,{"Aries","Taurus","Gemini","Cancer","Leo","Virgo","Libra","Scorpio","Sagittarius","Capricorn","Aquarius","Pisces"},0),12)+1=(MOD(10,12)+1)))),1,0),0))*IF(REF_Config!$B$6="KP",-0.75,IF(REF_Config!$B$6="Jaimini",-0.5,-0.75)),0)</f>
        <v>0</v>
      </c>
      <c r="D18" s="403" t="s">
        <v>4629</v>
      </c>
    </row>
    <row r="19" spans="1:7" ht="15.75" customHeight="1" x14ac:dyDescent="0.2">
      <c r="A19" s="1594" t="s">
        <v>3624</v>
      </c>
      <c r="B19" s="1594"/>
      <c r="C19" s="1594"/>
      <c r="D19" s="1594"/>
    </row>
    <row r="20" spans="1:7" ht="27.75" customHeight="1" x14ac:dyDescent="0.2">
      <c r="A20" s="124" t="s">
        <v>4630</v>
      </c>
      <c r="B20" s="357" t="s">
        <v>4555</v>
      </c>
      <c r="C20" s="1117">
        <v>0</v>
      </c>
      <c r="D20" s="400" t="s">
        <v>4631</v>
      </c>
    </row>
    <row r="21" spans="1:7" ht="27.75" customHeight="1" x14ac:dyDescent="0.2">
      <c r="A21" s="124" t="s">
        <v>4632</v>
      </c>
      <c r="B21" s="203" t="s">
        <v>4633</v>
      </c>
      <c r="C21" s="1118">
        <f>IFERROR((IFERROR(IF(OR(AND(CALC_PlanetPositions!$M$7="Malefic",INDEX(REF_Aspects!$D$5:$O$13,1,MOD(CALC_BhaveshMap!$H$14-(MOD(MATCH(CALC_PlanetPositions!$B$7,{"Aries","Taurus","Gemini","Cancer","Leo","Virgo","Libra","Scorpio","Sagittarius","Capricorn","Aquarius","Pisces"},0)-MATCH(INPUT_Chart!$C$5,{"Aries","Taurus","Gemini","Cancer","Leo","Virgo","Libra","Scorpio","Sagittarius","Capricorn","Aquarius","Pisces"},0),12)+1),12)+1)="FULL",NOT(CALC_PlanetPositions!$B$7=CALC_BhaveshMap!$G$14)),AND(CALC_PlanetPositions!$M$8="Malefic",INDEX(REF_Aspects!$D$5:$O$13,2,MOD(CALC_BhaveshMap!$H$14-(MOD(MATCH(CALC_PlanetPositions!$B$8,{"Aries","Taurus","Gemini","Cancer","Leo","Virgo","Libra","Scorpio","Sagittarius","Capricorn","Aquarius","Pisces"},0)-MATCH(INPUT_Chart!$C$5,{"Aries","Taurus","Gemini","Cancer","Leo","Virgo","Libra","Scorpio","Sagittarius","Capricorn","Aquarius","Pisces"},0),12)+1),12)+1)="FULL",NOT(CALC_PlanetPositions!$B$8=CALC_BhaveshMap!$G$14)),AND(CALC_PlanetPositions!$M$9="Malefic",INDEX(REF_Aspects!$D$5:$O$13,3,MOD(CALC_BhaveshMap!$H$14-(MOD(MATCH(CALC_PlanetPositions!$B$9,{"Aries","Taurus","Gemini","Cancer","Leo","Virgo","Libra","Scorpio","Sagittarius","Capricorn","Aquarius","Pisces"},0)-MATCH(INPUT_Chart!$C$5,{"Aries","Taurus","Gemini","Cancer","Leo","Virgo","Libra","Scorpio","Sagittarius","Capricorn","Aquarius","Pisces"},0),12)+1),12)+1)="FULL",NOT(CALC_PlanetPositions!$B$9=CALC_BhaveshMap!$G$14)),AND(CALC_PlanetPositions!$M$10="Malefic",INDEX(REF_Aspects!$D$5:$O$13,4,MOD(CALC_BhaveshMap!$H$14-(MOD(MATCH(CALC_PlanetPositions!$B$10,{"Aries","Taurus","Gemini","Cancer","Leo","Virgo","Libra","Scorpio","Sagittarius","Capricorn","Aquarius","Pisces"},0)-MATCH(INPUT_Chart!$C$5,{"Aries","Taurus","Gemini","Cancer","Leo","Virgo","Libra","Scorpio","Sagittarius","Capricorn","Aquarius","Pisces"},0),12)+1),12)+1)="FULL",NOT(CALC_PlanetPositions!$B$10=CALC_BhaveshMap!$G$14)),AND(CALC_PlanetPositions!$M$11="Malefic",INDEX(REF_Aspects!$D$5:$O$13,5,MOD(CALC_BhaveshMap!$H$14-(MOD(MATCH(CALC_PlanetPositions!$B$11,{"Aries","Taurus","Gemini","Cancer","Leo","Virgo","Libra","Scorpio","Sagittarius","Capricorn","Aquarius","Pisces"},0)-MATCH(INPUT_Chart!$C$5,{"Aries","Taurus","Gemini","Cancer","Leo","Virgo","Libra","Scorpio","Sagittarius","Capricorn","Aquarius","Pisces"},0),12)+1),12)+1)="FULL",NOT(CALC_PlanetPositions!$B$11=CALC_BhaveshMap!$G$14)),AND(CALC_PlanetPositions!$M$12="Malefic",INDEX(REF_Aspects!$D$5:$O$13,6,MOD(CALC_BhaveshMap!$H$14-(MOD(MATCH(CALC_PlanetPositions!$B$12,{"Aries","Taurus","Gemini","Cancer","Leo","Virgo","Libra","Scorpio","Sagittarius","Capricorn","Aquarius","Pisces"},0)-MATCH(INPUT_Chart!$C$5,{"Aries","Taurus","Gemini","Cancer","Leo","Virgo","Libra","Scorpio","Sagittarius","Capricorn","Aquarius","Pisces"},0),12)+1),12)+1)="FULL",NOT(CALC_PlanetPositions!$B$12=CALC_BhaveshMap!$G$14)),AND(CALC_PlanetPositions!$M$13="Malefic",INDEX(REF_Aspects!$D$5:$O$13,7,MOD(CALC_BhaveshMap!$H$14-(MOD(MATCH(CALC_PlanetPositions!$B$13,{"Aries","Taurus","Gemini","Cancer","Leo","Virgo","Libra","Scorpio","Sagittarius","Capricorn","Aquarius","Pisces"},0)-MATCH(INPUT_Chart!$C$5,{"Aries","Taurus","Gemini","Cancer","Leo","Virgo","Libra","Scorpio","Sagittarius","Capricorn","Aquarius","Pisces"},0),12)+1),12)+1)="FULL",NOT(CALC_PlanetPositions!$B$13=CALC_BhaveshMap!$G$14)),AND(TRUE(),INDEX(REF_Aspects!$D$5:$O$13,8,MOD(CALC_BhaveshMap!$H$14-(MOD(MATCH(CALC_PlanetPositions!$B$14,{"Aries","Taurus","Gemini","Cancer","Leo","Virgo","Libra","Scorpio","Sagittarius","Capricorn","Aquarius","Pisces"},0)-MATCH(INPUT_Chart!$C$5,{"Aries","Taurus","Gemini","Cancer","Leo","Virgo","Libra","Scorpio","Sagittarius","Capricorn","Aquarius","Pisces"},0),12)+1),12)+1)="FULL",NOT(CALC_PlanetPositions!$B$14=CALC_BhaveshMap!$G$14)),AND(TRUE(),INDEX(REF_Aspects!$D$5:$O$13,9,MOD(CALC_BhaveshMap!$H$14-(MOD(MATCH(CALC_PlanetPositions!$B$15,{"Aries","Taurus","Gemini","Cancer","Leo","Virgo","Libra","Scorpio","Sagittarius","Capricorn","Aquarius","Pisces"},0)-MATCH(INPUT_Chart!$C$5,{"Aries","Taurus","Gemini","Cancer","Leo","Virgo","Libra","Scorpio","Sagittarius","Capricorn","Aquarius","Pisces"},0),12)+1),12)+1)="FULL",NOT(CALC_PlanetPositions!$B$15=CALC_BhaveshMap!$G$14))),1,0),0))*-0.5,0)</f>
        <v>-0.5</v>
      </c>
      <c r="D21" s="403" t="s">
        <v>4634</v>
      </c>
    </row>
    <row r="22" spans="1:7" ht="27.75" customHeight="1" x14ac:dyDescent="0.2">
      <c r="A22" s="124" t="s">
        <v>4635</v>
      </c>
      <c r="B22" s="357" t="s">
        <v>3042</v>
      </c>
      <c r="C22" s="1117">
        <f>IFERROR((IFERROR(IF(CALC_BhaveshMap!$K$14="Yes",1,0),0))*IF(REF_Config!$B$6="KP",-1.75,IF(REF_Config!$B$6="Jaimini",-2,-2)),0)</f>
        <v>0</v>
      </c>
      <c r="D22" s="400" t="s">
        <v>4636</v>
      </c>
    </row>
    <row r="23" spans="1:7" ht="27.75" customHeight="1" x14ac:dyDescent="0.2">
      <c r="A23" s="124" t="s">
        <v>4637</v>
      </c>
      <c r="B23" s="203" t="s">
        <v>3059</v>
      </c>
      <c r="C23" s="1118">
        <f>IFERROR((IFERROR(IF(OR(AND(CALC_BhaveshMap!$G$10=CALC_BhaveshMap!$G$14,CALC_BhaveshMap!$D$10&lt;&gt;CALC_BhaveshMap!$D$14),AND(CALC_BhaveshMap!$G$12=CALC_BhaveshMap!$G$14,CALC_BhaveshMap!$D$12&lt;&gt;CALC_BhaveshMap!$D$14),AND(CALC_BhaveshMap!$G$16=CALC_BhaveshMap!$G$14,CALC_BhaveshMap!$D$16&lt;&gt;CALC_BhaveshMap!$D$14)),1,0),0))*-1,0)</f>
        <v>-1</v>
      </c>
      <c r="D23" s="403" t="s">
        <v>4638</v>
      </c>
    </row>
    <row r="24" spans="1:7" ht="15.75" customHeight="1" x14ac:dyDescent="0.2">
      <c r="A24" s="1484" t="s">
        <v>4639</v>
      </c>
      <c r="B24" s="1484"/>
      <c r="C24" s="1484"/>
      <c r="D24" s="1484"/>
    </row>
    <row r="25" spans="1:7" ht="27.75" customHeight="1" x14ac:dyDescent="0.2">
      <c r="A25" s="124" t="s">
        <v>4640</v>
      </c>
      <c r="B25" s="357" t="s">
        <v>3084</v>
      </c>
      <c r="C25" s="1117">
        <f>IFERROR(IF(CALC_KarakMap!$M$14&gt;0,CALC_KarakMap!$M$14,0),0)</f>
        <v>0</v>
      </c>
      <c r="D25" s="400" t="s">
        <v>4641</v>
      </c>
    </row>
    <row r="26" spans="1:7" ht="27.75" customHeight="1" x14ac:dyDescent="0.2">
      <c r="A26" s="124" t="s">
        <v>4642</v>
      </c>
      <c r="B26" s="203" t="s">
        <v>4564</v>
      </c>
      <c r="C26" s="1118">
        <f>IFERROR(IF(CALC_KarakMap!$M$14&lt;0,CALC_KarakMap!$M$14,0),0)</f>
        <v>0</v>
      </c>
      <c r="D26" s="403" t="s">
        <v>4643</v>
      </c>
    </row>
    <row r="27" spans="1:7" ht="27.75" customHeight="1" x14ac:dyDescent="0.2">
      <c r="A27" s="1119" t="s">
        <v>4644</v>
      </c>
      <c r="B27" s="296" t="s">
        <v>3624</v>
      </c>
      <c r="C27" s="1117">
        <f>IFERROR(IF(OR(CALC_BhaveshMap!$D$14="Sun",CALC_BhaveshMap!$D$14="Rahu",CALC_BhaveshMap!$D$14="Ketu"),0,IF(CALC_BhaveshMap!$D$14="Moon",IF(CALC_CombustionCheck!$G$4="Cazimi ✓",0.5,IF(CALC_CombustionCheck!$F$4="COMBUST ⚠",-1,0)),IF(CALC_BhaveshMap!$D$14="Mars",IF(CALC_CombustionCheck!$G$5="Cazimi ✓",0.5,IF(AND(CALC_CombustionCheck!$F$5="COMBUST ⚠",CALC_RetrogradeFix!$F$6="Rx ✓"),-0.5,IF(CALC_CombustionCheck!$F$5="COMBUST ⚠",-1,0))),IF(CALC_BhaveshMap!$D$14="Mercury",IF(CALC_CombustionCheck!$G$6="Cazimi ✓",0.5,IF(AND(CALC_CombustionCheck!$F$6="COMBUST ⚠",CALC_RetrogradeFix!$F$7="Rx ✓"),-0.5,IF(CALC_CombustionCheck!$F$6="COMBUST ⚠",-1,0))),IF(CALC_BhaveshMap!$D$14="Jupiter",IF(CALC_CombustionCheck!$G$7="Cazimi ✓",0.5,IF(AND(CALC_CombustionCheck!$F$7="COMBUST ⚠",CALC_RetrogradeFix!$F$8="Rx ✓"),-0.5,IF(CALC_CombustionCheck!$F$7="COMBUST ⚠",-1,0))),IF(CALC_BhaveshMap!$D$14="Venus",IF(CALC_CombustionCheck!$G$8="Cazimi ✓",0.5,IF(AND(CALC_CombustionCheck!$F$8="COMBUST ⚠",CALC_RetrogradeFix!$F$9="Rx ✓"),-0.5,IF(CALC_CombustionCheck!$F$8="COMBUST ⚠",-1,0))),IF(CALC_BhaveshMap!$D$14="Saturn",IF(CALC_CombustionCheck!$G$9="Cazimi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BhaveshMap!$D$14="Rahu",CALC_BhaveshMap!$D$14="Ketu"),0,IF(ISNUMBER(MATCH(CALC_BhaveshMap!$D$14,{"Sun","Moon","Mars","Mercury","Jupiter","Venus","Saturn"},0)),IF(INDEX(CALC_DigBala!$F$4:$F$10,MATCH(CALC_BhaveshMap!$D$14,{"Sun","Moon","Mars","Mercury","Jupiter","Venus","Saturn"},0))="Yes",0.5,0),0)),0)</f>
        <v>0</v>
      </c>
      <c r="D28" s="400" t="s">
        <v>4647</v>
      </c>
    </row>
    <row r="29" spans="1:7" ht="27.75" customHeight="1" x14ac:dyDescent="0.2">
      <c r="A29" s="1120" t="s">
        <v>4648</v>
      </c>
      <c r="B29" s="296" t="s">
        <v>3372</v>
      </c>
      <c r="C29" s="1117">
        <f>IFERROR(IF(COUNTIFS(REF_PushkaraNavamsha!$A$4:$A$27,CALC_BhaveshMap!$G$14,REF_PushkaraNavamsha!$B$4:$B$27,INDEX(CALC_PlanetPositions!$G$7:$G$15,MATCH(CALC_BhaveshMap!$D$14,CALC_PlanetPositions!$A$7:$A$15,0)))&gt;0,0.5,0),0)</f>
        <v>0</v>
      </c>
      <c r="D29" s="400" t="s">
        <v>4649</v>
      </c>
    </row>
    <row r="30" spans="1:7" ht="25.5" customHeight="1" x14ac:dyDescent="0.2">
      <c r="A30" s="147" t="s">
        <v>4650</v>
      </c>
      <c r="B30" s="1121" t="s">
        <v>4651</v>
      </c>
      <c r="C30" s="1122">
        <f>IFERROR(IF(ISNUMBER(MATCH(CALC_BhaveshMap!$D$14,{"Sun","Moon","Mars","Mercury","Jupiter","Venus","Saturn"},0)),INDEX(CALC_RetrogradeFix!$G$4:$G$10,MATCH(CALC_BhaveshMap!$D$14,{"Sun","Moon","Mars","Mercury","Jupiter","Venus","Saturn"},0)),0),0)</f>
        <v>0</v>
      </c>
      <c r="D30" s="1123" t="s">
        <v>4652</v>
      </c>
    </row>
    <row r="31" spans="1:7" ht="18" customHeight="1" x14ac:dyDescent="0.2">
      <c r="A31" s="1555" t="s">
        <v>4653</v>
      </c>
      <c r="B31" s="1555"/>
      <c r="C31" s="1555"/>
      <c r="D31" s="1555"/>
      <c r="E31" s="1124" t="s">
        <v>4654</v>
      </c>
      <c r="F31" s="1125">
        <f>IFERROR(IF(CALC_Ashtakavarga!K$15&gt;28,0.5,IF(CALC_Ashtakavarga!K$15&lt;22,-0.5,0)),0)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IFERROR(SUM(C9:C13,C28:C30,F31,0),0)</f>
        <v>2.5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-1</v>
      </c>
      <c r="D37" s="1129"/>
    </row>
    <row r="38" spans="1:4" ht="21.75" customHeight="1" x14ac:dyDescent="0.2">
      <c r="A38" s="89" t="s">
        <v>4661</v>
      </c>
      <c r="B38" s="1129"/>
      <c r="C38" s="1131">
        <f>IFERROR(MAX(-10,MIN(10,C37)),0)</f>
        <v>-1</v>
      </c>
      <c r="D38" s="1132"/>
    </row>
    <row r="39" spans="1:4" ht="18" customHeight="1" x14ac:dyDescent="0.2">
      <c r="A39" s="517" t="s">
        <v>4662</v>
      </c>
      <c r="B39" s="1129"/>
      <c r="C39" s="1133">
        <f>IFERROR(CALC_LagneshStrength!$I$4,0)</f>
        <v>0</v>
      </c>
      <c r="D39" s="1129"/>
    </row>
    <row r="40" spans="1:4" ht="25.5" customHeight="1" x14ac:dyDescent="0.2">
      <c r="A40" s="1137" t="s">
        <v>4663</v>
      </c>
      <c r="B40" s="1129"/>
      <c r="C40" s="1138">
        <f>IFERROR(MAX(-10,MIN(10,C38+C39)),0)</f>
        <v>-1</v>
      </c>
      <c r="D40" s="1139" t="str">
        <f>IFERROR(IF(C40&gt;=7,"Excellent — Career domain very strong",IF(C40&gt;=4,"Good — Career domain strong",IF(C40&gt;=1,"Moderate",IF(C40&gt;=-2,"Mixed — Career has challenges",IF(C40&gt;=-5,"Weak","Very weak — Career heavily afflicted"))))),"—")</f>
        <v>Mixed — Career has challenges</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4674</v>
      </c>
      <c r="B1" s="1518"/>
      <c r="C1" s="1518"/>
      <c r="D1" s="1518"/>
      <c r="L1" s="29" t="str">
        <f>HYPERLINK("#'00_INDEX'!A1","&lt;- Index")</f>
        <v>&lt;- Index</v>
      </c>
    </row>
    <row r="2" spans="1:12" ht="19.5" customHeight="1" x14ac:dyDescent="0.2">
      <c r="A2" s="1595" t="str">
        <f>IFERROR("Lagna: "&amp;INPUT_Chart!$C$5&amp;"  ·  H11 sign: "&amp;CALC_BhaveshMap!$C$15&amp;"  ·  Bhavesh: "&amp;CALC_BhaveshMap!$D$15&amp;" in H"&amp;CALC_BhaveshMap!$H$15&amp;" ("&amp;CALC_BhaveshMap!$L$15&amp;")","Enter Lagna in INPUT_Chart")</f>
        <v>Lagna: Taurus  ·  H11 sign: Pisces  ·  Bhavesh: Jupiter in H6 (Enemy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55" t="s">
        <v>4605</v>
      </c>
      <c r="B5" s="357" t="s">
        <v>4529</v>
      </c>
      <c r="C5" s="1117">
        <f>IFERROR((IFERROR(IF(INDEX(REF_Zodiac!$D$17:$O$17,MATCH(CALC_BhaveshMap!$C$15,REF_Zodiac!$D$3:$O$3,0))="Gentle",1,0),0))*0.5,0)</f>
        <v>0.5</v>
      </c>
      <c r="D5" s="400" t="s">
        <v>4606</v>
      </c>
    </row>
    <row r="6" spans="1:12" ht="27.75" customHeight="1" x14ac:dyDescent="0.2">
      <c r="A6" s="1155"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155" t="s">
        <v>4609</v>
      </c>
      <c r="B7" s="357" t="s">
        <v>4534</v>
      </c>
      <c r="C7" s="1117">
        <f>IFERROR((IFERROR(IF(OR(AND(OR(CALC_PlanetPositions!$M$7="Benefic",CALC_PlanetPositions!$M$7="Yogakaraka"),INDEX(REF_Aspects!$D$5:$O$13,1,MOD(11-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11)),AND(OR(CALC_PlanetPositions!$M$8="Benefic",CALC_PlanetPositions!$M$8="Yogakaraka"),INDEX(REF_Aspects!$D$5:$O$13,2,MOD(11-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11)),AND(OR(CALC_PlanetPositions!$M$9="Benefic",CALC_PlanetPositions!$M$9="Yogakaraka"),INDEX(REF_Aspects!$D$5:$O$13,3,MOD(11-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11)),AND(OR(CALC_PlanetPositions!$M$10="Benefic",CALC_PlanetPositions!$M$10="Yogakaraka"),INDEX(REF_Aspects!$D$5:$O$13,4,MOD(11-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11)),AND(OR(CALC_PlanetPositions!$M$11="Benefic",CALC_PlanetPositions!$M$11="Yogakaraka"),INDEX(REF_Aspects!$D$5:$O$13,5,MOD(11-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11)),AND(OR(CALC_PlanetPositions!$M$12="Benefic",CALC_PlanetPositions!$M$12="Yogakaraka"),INDEX(REF_Aspects!$D$5:$O$13,6,MOD(11-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11)),AND(OR(CALC_PlanetPositions!$M$13="Benefic",CALC_PlanetPositions!$M$13="Yogakaraka"),INDEX(REF_Aspects!$D$5:$O$13,7,MOD(11-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11)),AND(FALSE(),INDEX(REF_Aspects!$D$5:$O$13,8,MOD(11-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11)),AND(FALSE(),INDEX(REF_Aspects!$D$5:$O$13,9,MOD(11-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1,0),0))*IF(REF_Config!$B$6="KP",0.5,IF(REF_Config!$B$6="Jaimini",0.75,0.75)),0)</f>
        <v>0</v>
      </c>
      <c r="D7" s="400" t="s">
        <v>4610</v>
      </c>
    </row>
    <row r="8" spans="1:12" ht="15.75" customHeight="1" x14ac:dyDescent="0.2">
      <c r="A8" s="1597" t="s">
        <v>3372</v>
      </c>
      <c r="B8" s="1597"/>
      <c r="C8" s="1597"/>
      <c r="D8" s="1597"/>
    </row>
    <row r="9" spans="1:12" ht="27.75" customHeight="1" x14ac:dyDescent="0.2">
      <c r="A9" s="1155" t="s">
        <v>4611</v>
      </c>
      <c r="B9" s="203" t="s">
        <v>4537</v>
      </c>
      <c r="C9" s="1118">
        <f>IFERROR(IF(AND(OR(CALC_BhaveshMap!$I$15="Yes",CALC_BhaveshMap!$J$15="Yes"),NOT(CALC_BhaveshMap!$K$15="Yes")),1,0)*IF(REF_Config!$B$6="KP",1.5,IF(REF_Config!$B$6="Jaimini",1.5,2)),0)</f>
        <v>0</v>
      </c>
      <c r="D9" s="403" t="s">
        <v>4612</v>
      </c>
    </row>
    <row r="10" spans="1:12" ht="27.75" customHeight="1" x14ac:dyDescent="0.2">
      <c r="A10" s="1155" t="s">
        <v>4613</v>
      </c>
      <c r="B10" s="357" t="s">
        <v>3093</v>
      </c>
      <c r="C10" s="1117">
        <f>IFERROR((IFERROR(IF(OR(AND(CALC_BhaveshMap!$G$5=CALC_BhaveshMap!$G$15,CALC_BhaveshMap!$D$5&lt;&gt;CALC_BhaveshMap!$D$15),AND(CALC_BhaveshMap!$G$8=CALC_BhaveshMap!$G$15,CALC_BhaveshMap!$D$8&lt;&gt;CALC_BhaveshMap!$D$15),AND(CALC_BhaveshMap!$G$9=CALC_BhaveshMap!$G$15,CALC_BhaveshMap!$D$9&lt;&gt;CALC_BhaveshMap!$D$15),AND(CALC_BhaveshMap!$G$11=CALC_BhaveshMap!$G$15,CALC_BhaveshMap!$D$11&lt;&gt;CALC_BhaveshMap!$D$15),AND(CALC_BhaveshMap!$G$13=CALC_BhaveshMap!$G$15,CALC_BhaveshMap!$D$13&lt;&gt;CALC_BhaveshMap!$D$15),AND(CALC_BhaveshMap!$G$14=CALC_BhaveshMap!$G$15,CALC_BhaveshMap!$D$14&lt;&gt;CALC_BhaveshMap!$D$15)),1,0),0))*0.5,0)</f>
        <v>0</v>
      </c>
      <c r="D10" s="400" t="s">
        <v>4614</v>
      </c>
    </row>
    <row r="11" spans="1:12" ht="27.75" customHeight="1" x14ac:dyDescent="0.2">
      <c r="A11" s="1155" t="s">
        <v>4615</v>
      </c>
      <c r="B11" s="203" t="s">
        <v>4540</v>
      </c>
      <c r="C11" s="1118">
        <f>IFERROR((IFERROR(IF(OR(AND(OR(CALC_PlanetPositions!$M$7="Benefic",CALC_PlanetPositions!$M$7="Yogakaraka"),CALC_PlanetPositions!$B$7=CALC_BhaveshMap!$G$15,CALC_BhaveshMap!$D$15&lt;&gt;"Sun"),AND(OR(CALC_PlanetPositions!$M$8="Benefic",CALC_PlanetPositions!$M$8="Yogakaraka"),CALC_PlanetPositions!$B$8=CALC_BhaveshMap!$G$15,CALC_BhaveshMap!$D$15&lt;&gt;"Moon"),AND(OR(CALC_PlanetPositions!$M$9="Benefic",CALC_PlanetPositions!$M$9="Yogakaraka"),CALC_PlanetPositions!$B$9=CALC_BhaveshMap!$G$15,CALC_BhaveshMap!$D$15&lt;&gt;"Mars"),AND(OR(CALC_PlanetPositions!$M$10="Benefic",CALC_PlanetPositions!$M$10="Yogakaraka"),CALC_PlanetPositions!$B$10=CALC_BhaveshMap!$G$15,CALC_BhaveshMap!$D$15&lt;&gt;"Mercury"),AND(OR(CALC_PlanetPositions!$M$11="Benefic",CALC_PlanetPositions!$M$11="Yogakaraka"),CALC_PlanetPositions!$B$11=CALC_BhaveshMap!$G$15,CALC_BhaveshMap!$D$15&lt;&gt;"Jupiter"),AND(OR(CALC_PlanetPositions!$M$12="Benefic",CALC_PlanetPositions!$M$12="Yogakaraka"),CALC_PlanetPositions!$B$12=CALC_BhaveshMap!$G$15,CALC_BhaveshMap!$D$15&lt;&gt;"Venus"),AND(OR(CALC_PlanetPositions!$M$13="Benefic",CALC_PlanetPositions!$M$13="Yogakaraka"),CALC_PlanetPositions!$B$13=CALC_BhaveshMap!$G$15,CALC_BhaveshMap!$D$15&lt;&gt;"Saturn")),1,0),0))*IF(OR(AND(CALC_PlanetPositions!$M$7="Yogakaraka",CALC_PlanetPositions!$B$7=CALC_BhaveshMap!$G$15,CALC_BhaveshMap!$D$15&lt;&gt;"Sun"),AND(CALC_PlanetPositions!$M$8="Yogakaraka",CALC_PlanetPositions!$B$8=CALC_BhaveshMap!$G$15,CALC_BhaveshMap!$D$15&lt;&gt;"Moon"),AND(CALC_PlanetPositions!$M$9="Yogakaraka",CALC_PlanetPositions!$B$9=CALC_BhaveshMap!$G$15,CALC_BhaveshMap!$D$15&lt;&gt;"Mars"),AND(CALC_PlanetPositions!$M$10="Yogakaraka",CALC_PlanetPositions!$B$10=CALC_BhaveshMap!$G$15,CALC_BhaveshMap!$D$15&lt;&gt;"Mercury"),AND(CALC_PlanetPositions!$M$11="Yogakaraka",CALC_PlanetPositions!$B$11=CALC_BhaveshMap!$G$15,CALC_BhaveshMap!$D$15&lt;&gt;"Jupiter"),AND(CALC_PlanetPositions!$M$12="Yogakaraka",CALC_PlanetPositions!$B$12=CALC_BhaveshMap!$G$15,CALC_BhaveshMap!$D$15&lt;&gt;"Venus"),AND(CALC_PlanetPositions!$M$13="Yogakaraka",CALC_PlanetPositions!$B$13=CALC_BhaveshMap!$G$15,CALC_BhaveshMap!$D$15&lt;&gt;"Saturn")),1.5,1),0)</f>
        <v>0</v>
      </c>
      <c r="D11" s="403" t="s">
        <v>4616</v>
      </c>
    </row>
    <row r="12" spans="1:12" ht="27.75" customHeight="1" x14ac:dyDescent="0.2">
      <c r="A12" s="1155" t="s">
        <v>4617</v>
      </c>
      <c r="B12" s="357" t="s">
        <v>4542</v>
      </c>
      <c r="C12" s="1117">
        <f>IFERROR((IFERROR(IF(OR(AND(OR(CALC_PlanetPositions!$M$7="Benefic",CALC_PlanetPositions!$M$7="Yogakaraka"),INDEX(REF_Aspects!$D$5:$O$13,1,MOD(CALC_BhaveshMap!$H$15-(MOD(MATCH(CALC_PlanetPositions!$B$7,{"Aries","Taurus","Gemini","Cancer","Leo","Virgo","Libra","Scorpio","Sagittarius","Capricorn","Aquarius","Pisces"},0)-MATCH(INPUT_Chart!$C$5,{"Aries","Taurus","Gemini","Cancer","Leo","Virgo","Libra","Scorpio","Sagittarius","Capricorn","Aquarius","Pisces"},0),12)+1),12)+1)="FULL",NOT(CALC_PlanetPositions!$B$7=CALC_BhaveshMap!$G$15)),AND(OR(CALC_PlanetPositions!$M$8="Benefic",CALC_PlanetPositions!$M$8="Yogakaraka"),INDEX(REF_Aspects!$D$5:$O$13,2,MOD(CALC_BhaveshMap!$H$15-(MOD(MATCH(CALC_PlanetPositions!$B$8,{"Aries","Taurus","Gemini","Cancer","Leo","Virgo","Libra","Scorpio","Sagittarius","Capricorn","Aquarius","Pisces"},0)-MATCH(INPUT_Chart!$C$5,{"Aries","Taurus","Gemini","Cancer","Leo","Virgo","Libra","Scorpio","Sagittarius","Capricorn","Aquarius","Pisces"},0),12)+1),12)+1)="FULL",NOT(CALC_PlanetPositions!$B$8=CALC_BhaveshMap!$G$15)),AND(OR(CALC_PlanetPositions!$M$9="Benefic",CALC_PlanetPositions!$M$9="Yogakaraka"),INDEX(REF_Aspects!$D$5:$O$13,3,MOD(CALC_BhaveshMap!$H$15-(MOD(MATCH(CALC_PlanetPositions!$B$9,{"Aries","Taurus","Gemini","Cancer","Leo","Virgo","Libra","Scorpio","Sagittarius","Capricorn","Aquarius","Pisces"},0)-MATCH(INPUT_Chart!$C$5,{"Aries","Taurus","Gemini","Cancer","Leo","Virgo","Libra","Scorpio","Sagittarius","Capricorn","Aquarius","Pisces"},0),12)+1),12)+1)="FULL",NOT(CALC_PlanetPositions!$B$9=CALC_BhaveshMap!$G$15)),AND(OR(CALC_PlanetPositions!$M$10="Benefic",CALC_PlanetPositions!$M$10="Yogakaraka"),INDEX(REF_Aspects!$D$5:$O$13,4,MOD(CALC_BhaveshMap!$H$15-(MOD(MATCH(CALC_PlanetPositions!$B$10,{"Aries","Taurus","Gemini","Cancer","Leo","Virgo","Libra","Scorpio","Sagittarius","Capricorn","Aquarius","Pisces"},0)-MATCH(INPUT_Chart!$C$5,{"Aries","Taurus","Gemini","Cancer","Leo","Virgo","Libra","Scorpio","Sagittarius","Capricorn","Aquarius","Pisces"},0),12)+1),12)+1)="FULL",NOT(CALC_PlanetPositions!$B$10=CALC_BhaveshMap!$G$15)),AND(OR(CALC_PlanetPositions!$M$11="Benefic",CALC_PlanetPositions!$M$11="Yogakaraka"),INDEX(REF_Aspects!$D$5:$O$13,5,MOD(CALC_BhaveshMap!$H$15-(MOD(MATCH(CALC_PlanetPositions!$B$11,{"Aries","Taurus","Gemini","Cancer","Leo","Virgo","Libra","Scorpio","Sagittarius","Capricorn","Aquarius","Pisces"},0)-MATCH(INPUT_Chart!$C$5,{"Aries","Taurus","Gemini","Cancer","Leo","Virgo","Libra","Scorpio","Sagittarius","Capricorn","Aquarius","Pisces"},0),12)+1),12)+1)="FULL",NOT(CALC_PlanetPositions!$B$11=CALC_BhaveshMap!$G$15)),AND(OR(CALC_PlanetPositions!$M$12="Benefic",CALC_PlanetPositions!$M$12="Yogakaraka"),INDEX(REF_Aspects!$D$5:$O$13,6,MOD(CALC_BhaveshMap!$H$15-(MOD(MATCH(CALC_PlanetPositions!$B$12,{"Aries","Taurus","Gemini","Cancer","Leo","Virgo","Libra","Scorpio","Sagittarius","Capricorn","Aquarius","Pisces"},0)-MATCH(INPUT_Chart!$C$5,{"Aries","Taurus","Gemini","Cancer","Leo","Virgo","Libra","Scorpio","Sagittarius","Capricorn","Aquarius","Pisces"},0),12)+1),12)+1)="FULL",NOT(CALC_PlanetPositions!$B$12=CALC_BhaveshMap!$G$15)),AND(OR(CALC_PlanetPositions!$M$13="Benefic",CALC_PlanetPositions!$M$13="Yogakaraka"),INDEX(REF_Aspects!$D$5:$O$13,7,MOD(CALC_BhaveshMap!$H$15-(MOD(MATCH(CALC_PlanetPositions!$B$13,{"Aries","Taurus","Gemini","Cancer","Leo","Virgo","Libra","Scorpio","Sagittarius","Capricorn","Aquarius","Pisces"},0)-MATCH(INPUT_Chart!$C$5,{"Aries","Taurus","Gemini","Cancer","Leo","Virgo","Libra","Scorpio","Sagittarius","Capricorn","Aquarius","Pisces"},0),12)+1),12)+1)="FULL",NOT(CALC_PlanetPositions!$B$13=CALC_BhaveshMap!$G$15)),AND(FALSE(),INDEX(REF_Aspects!$D$5:$O$13,8,MOD(CALC_BhaveshMap!$H$15-(MOD(MATCH(CALC_PlanetPositions!$B$14,{"Aries","Taurus","Gemini","Cancer","Leo","Virgo","Libra","Scorpio","Sagittarius","Capricorn","Aquarius","Pisces"},0)-MATCH(INPUT_Chart!$C$5,{"Aries","Taurus","Gemini","Cancer","Leo","Virgo","Libra","Scorpio","Sagittarius","Capricorn","Aquarius","Pisces"},0),12)+1),12)+1)="FULL",NOT(CALC_PlanetPositions!$B$14=CALC_BhaveshMap!$G$15)),AND(FALSE(),INDEX(REF_Aspects!$D$5:$O$13,9,MOD(CALC_BhaveshMap!$H$15-(MOD(MATCH(CALC_PlanetPositions!$B$15,{"Aries","Taurus","Gemini","Cancer","Leo","Virgo","Libra","Scorpio","Sagittarius","Capricorn","Aquarius","Pisces"},0)-MATCH(INPUT_Chart!$C$5,{"Aries","Taurus","Gemini","Cancer","Leo","Virgo","Libra","Scorpio","Sagittarius","Capricorn","Aquarius","Pisces"},0),12)+1),12)+1)="FULL",NOT(CALC_PlanetPositions!$B$15=CALC_BhaveshMap!$G$15))),1,0),0))*0.5,0)</f>
        <v>0</v>
      </c>
      <c r="D12" s="400" t="s">
        <v>4618</v>
      </c>
    </row>
    <row r="13" spans="1:12" ht="27.75" customHeight="1" x14ac:dyDescent="0.2">
      <c r="A13" s="1155"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$15-2,12)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$15-2,12)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$15-2,12)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$15-2,12)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$15-2,12)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$15-2,12)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$15-2,12)+1)),AND(FALSE(),MOD(MATCH(CALC_PlanetPositions!$B$14,{"Aries","Taurus","Gemini","Cancer","Leo","Virgo","Libra","Scorpio","Sagittarius","Capricorn","Aquarius","Pisces"},0)-MATCH(INPUT_Chart!$C$5,{"Aries","Taurus","Gemini","Cancer","Leo","Virgo","Libra","Scorpio","Sagittarius","Capricorn","Aquarius","Pisces"},0),12)+1=(MOD(CALC_BhaveshMap!$H$15-2,12)+1)),AND(FALSE(),MOD(MATCH(CALC_PlanetPositions!$B$15,{"Aries","Taurus","Gemini","Cancer","Leo","Virgo","Libra","Scorpio","Sagittarius","Capricorn","Aquarius","Pisces"},0)-MATCH(INPUT_Chart!$C$5,{"Aries","Taurus","Gemini","Cancer","Leo","Virgo","Libra","Scorpio","Sagittarius","Capricorn","Aquarius","Pisces"},0),12)+1=(MOD(CALC_BhaveshMap!$H$15-2,12)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$15,12)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$15,12)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$15,12)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$15,12)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$15,12)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$15,12)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$15,12)+1)),AND(FALSE(),MOD(MATCH(CALC_PlanetPositions!$B$14,{"Aries","Taurus","Gemini","Cancer","Leo","Virgo","Libra","Scorpio","Sagittarius","Capricorn","Aquarius","Pisces"},0)-MATCH(INPUT_Chart!$C$5,{"Aries","Taurus","Gemini","Cancer","Leo","Virgo","Libra","Scorpio","Sagittarius","Capricorn","Aquarius","Pisces"},0),12)+1=(MOD(CALC_BhaveshMap!$H$15,12)+1)),AND(FALSE(),MOD(MATCH(CALC_PlanetPositions!$B$15,{"Aries","Taurus","Gemini","Cancer","Leo","Virgo","Libra","Scorpio","Sagittarius","Capricorn","Aquarius","Pisces"},0)-MATCH(INPUT_Chart!$C$5,{"Aries","Taurus","Gemini","Cancer","Leo","Virgo","Libra","Scorpio","Sagittarius","Capricorn","Aquarius","Pisces"},0),12)+1=(MOD(CALC_BhaveshMap!$H$15,12)+1)))),1,0),0))*IF(REF_Config!$B$6="KP",0.75,IF(REF_Config!$B$6="Jaimini",0.5,0.75)),0)</f>
        <v>0</v>
      </c>
      <c r="D13" s="403" t="s">
        <v>4620</v>
      </c>
    </row>
    <row r="14" spans="1:12" ht="15.75" customHeight="1" x14ac:dyDescent="0.2">
      <c r="A14" s="1598" t="s">
        <v>4621</v>
      </c>
      <c r="B14" s="1598"/>
      <c r="C14" s="1598"/>
      <c r="D14" s="1598"/>
    </row>
    <row r="15" spans="1:12" ht="27.75" customHeight="1" x14ac:dyDescent="0.2">
      <c r="A15" s="1155"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11),AND(CALC_PlanetPositions!$M$8="Malefic",(MOD(MATCH(CALC_PlanetPositions!$B$8,{"Aries","Taurus","Gemini","Cancer","Leo","Virgo","Libra","Scorpio","Sagittarius","Capricorn","Aquarius","Pisces"},0)-MATCH(INPUT_Chart!$C$5,{"Aries","Taurus","Gemini","Cancer","Leo","Virgo","Libra","Scorpio","Sagittarius","Capricorn","Aquarius","Pisces"},0),12)+1)=11),AND(CALC_PlanetPositions!$M$9="Malefic",(MOD(MATCH(CALC_PlanetPositions!$B$9,{"Aries","Taurus","Gemini","Cancer","Leo","Virgo","Libra","Scorpio","Sagittarius","Capricorn","Aquarius","Pisces"},0)-MATCH(INPUT_Chart!$C$5,{"Aries","Taurus","Gemini","Cancer","Leo","Virgo","Libra","Scorpio","Sagittarius","Capricorn","Aquarius","Pisces"},0),12)+1)=11),AND(CALC_PlanetPositions!$M$10="Malefic",(MOD(MATCH(CALC_PlanetPositions!$B$10,{"Aries","Taurus","Gemini","Cancer","Leo","Virgo","Libra","Scorpio","Sagittarius","Capricorn","Aquarius","Pisces"},0)-MATCH(INPUT_Chart!$C$5,{"Aries","Taurus","Gemini","Cancer","Leo","Virgo","Libra","Scorpio","Sagittarius","Capricorn","Aquarius","Pisces"},0),12)+1)=11),AND(CALC_PlanetPositions!$M$11="Malefic",(MOD(MATCH(CALC_PlanetPositions!$B$11,{"Aries","Taurus","Gemini","Cancer","Leo","Virgo","Libra","Scorpio","Sagittarius","Capricorn","Aquarius","Pisces"},0)-MATCH(INPUT_Chart!$C$5,{"Aries","Taurus","Gemini","Cancer","Leo","Virgo","Libra","Scorpio","Sagittarius","Capricorn","Aquarius","Pisces"},0),12)+1)=11),AND(CALC_PlanetPositions!$M$12="Malefic",(MOD(MATCH(CALC_PlanetPositions!$B$12,{"Aries","Taurus","Gemini","Cancer","Leo","Virgo","Libra","Scorpio","Sagittarius","Capricorn","Aquarius","Pisces"},0)-MATCH(INPUT_Chart!$C$5,{"Aries","Taurus","Gemini","Cancer","Leo","Virgo","Libra","Scorpio","Sagittarius","Capricorn","Aquarius","Pisces"},0),12)+1)=11),AND(CALC_PlanetPositions!$M$13="Malefic",(MOD(MATCH(CALC_PlanetPositions!$B$13,{"Aries","Taurus","Gemini","Cancer","Leo","Virgo","Libra","Scorpio","Sagittarius","Capricorn","Aquarius","Pisces"},0)-MATCH(INPUT_Chart!$C$5,{"Aries","Taurus","Gemini","Cancer","Leo","Virgo","Libra","Scorpio","Sagittarius","Capricorn","Aquarius","Pisces"},0),12)+1)=11),AND(TRUE(),(MOD(MATCH(CALC_PlanetPositions!$B$14,{"Aries","Taurus","Gemini","Cancer","Leo","Virgo","Libra","Scorpio","Sagittarius","Capricorn","Aquarius","Pisces"},0)-MATCH(INPUT_Chart!$C$5,{"Aries","Taurus","Gemini","Cancer","Leo","Virgo","Libra","Scorpio","Sagittarius","Capricorn","Aquarius","Pisces"},0),12)+1)=11),AND(TRUE(),(MOD(MATCH(CALC_PlanetPositions!$B$15,{"Aries","Taurus","Gemini","Cancer","Leo","Virgo","Libra","Scorpio","Sagittarius","Capricorn","Aquarius","Pisces"},0)-MATCH(INPUT_Chart!$C$5,{"Aries","Taurus","Gemini","Cancer","Leo","Virgo","Libra","Scorpio","Sagittarius","Capricorn","Aquarius","Pisces"},0),12)+1)=11)),1,0),0))*-1,0)</f>
        <v>0</v>
      </c>
      <c r="D15" s="400" t="s">
        <v>4623</v>
      </c>
    </row>
    <row r="16" spans="1:12" ht="27.75" customHeight="1" x14ac:dyDescent="0.2">
      <c r="A16" s="1155" t="s">
        <v>4624</v>
      </c>
      <c r="B16" s="203" t="s">
        <v>4548</v>
      </c>
      <c r="C16" s="1118">
        <f>IFERROR((IFERROR(IF(OR(AND(CALC_PlanetPositions!$M$7="Malefic",INDEX(REF_Aspects!$D$5:$O$13,1,MOD(11-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11)),AND(CALC_PlanetPositions!$M$8="Malefic",INDEX(REF_Aspects!$D$5:$O$13,2,MOD(11-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11)),AND(CALC_PlanetPositions!$M$9="Malefic",INDEX(REF_Aspects!$D$5:$O$13,3,MOD(11-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11)),AND(CALC_PlanetPositions!$M$10="Malefic",INDEX(REF_Aspects!$D$5:$O$13,4,MOD(11-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11)),AND(CALC_PlanetPositions!$M$11="Malefic",INDEX(REF_Aspects!$D$5:$O$13,5,MOD(11-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11)),AND(CALC_PlanetPositions!$M$12="Malefic",INDEX(REF_Aspects!$D$5:$O$13,6,MOD(11-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11)),AND(CALC_PlanetPositions!$M$13="Malefic",INDEX(REF_Aspects!$D$5:$O$13,7,MOD(11-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11)),AND(TRUE(),INDEX(REF_Aspects!$D$5:$O$13,8,MOD(11-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11)),AND(TRUE(),INDEX(REF_Aspects!$D$5:$O$13,9,MOD(11-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1,0),0))*-1,0)</f>
        <v>-1</v>
      </c>
      <c r="D16" s="403" t="s">
        <v>4625</v>
      </c>
    </row>
    <row r="17" spans="1:7" ht="27.75" customHeight="1" x14ac:dyDescent="0.2">
      <c r="A17" s="1155" t="s">
        <v>4626</v>
      </c>
      <c r="B17" s="357" t="s">
        <v>3062</v>
      </c>
      <c r="C17" s="1117">
        <v>0</v>
      </c>
      <c r="D17" s="400" t="s">
        <v>4627</v>
      </c>
    </row>
    <row r="18" spans="1:7" ht="27.75" customHeight="1" x14ac:dyDescent="0.2">
      <c r="A18" s="1155"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(11-2,12)+1)),AND(CALC_PlanetPositions!$M$8="Malefic",MOD(MATCH(CALC_PlanetPositions!$B$8,{"Aries","Taurus","Gemini","Cancer","Leo","Virgo","Libra","Scorpio","Sagittarius","Capricorn","Aquarius","Pisces"},0)-MATCH(INPUT_Chart!$C$5,{"Aries","Taurus","Gemini","Cancer","Leo","Virgo","Libra","Scorpio","Sagittarius","Capricorn","Aquarius","Pisces"},0),12)+1=(MOD(11-2,12)+1)),AND(CALC_PlanetPositions!$M$9="Malefic",MOD(MATCH(CALC_PlanetPositions!$B$9,{"Aries","Taurus","Gemini","Cancer","Leo","Virgo","Libra","Scorpio","Sagittarius","Capricorn","Aquarius","Pisces"},0)-MATCH(INPUT_Chart!$C$5,{"Aries","Taurus","Gemini","Cancer","Leo","Virgo","Libra","Scorpio","Sagittarius","Capricorn","Aquarius","Pisces"},0),12)+1=(MOD(11-2,12)+1)),AND(CALC_PlanetPositions!$M$10="Malefic",MOD(MATCH(CALC_PlanetPositions!$B$10,{"Aries","Taurus","Gemini","Cancer","Leo","Virgo","Libra","Scorpio","Sagittarius","Capricorn","Aquarius","Pisces"},0)-MATCH(INPUT_Chart!$C$5,{"Aries","Taurus","Gemini","Cancer","Leo","Virgo","Libra","Scorpio","Sagittarius","Capricorn","Aquarius","Pisces"},0),12)+1=(MOD(11-2,12)+1)),AND(CALC_PlanetPositions!$M$11="Malefic",MOD(MATCH(CALC_PlanetPositions!$B$11,{"Aries","Taurus","Gemini","Cancer","Leo","Virgo","Libra","Scorpio","Sagittarius","Capricorn","Aquarius","Pisces"},0)-MATCH(INPUT_Chart!$C$5,{"Aries","Taurus","Gemini","Cancer","Leo","Virgo","Libra","Scorpio","Sagittarius","Capricorn","Aquarius","Pisces"},0),12)+1=(MOD(11-2,12)+1)),AND(CALC_PlanetPositions!$M$12="Malefic",MOD(MATCH(CALC_PlanetPositions!$B$12,{"Aries","Taurus","Gemini","Cancer","Leo","Virgo","Libra","Scorpio","Sagittarius","Capricorn","Aquarius","Pisces"},0)-MATCH(INPUT_Chart!$C$5,{"Aries","Taurus","Gemini","Cancer","Leo","Virgo","Libra","Scorpio","Sagittarius","Capricorn","Aquarius","Pisces"},0),12)+1=(MOD(11-2,12)+1)),AND(CALC_PlanetPositions!$M$13="Malefic",MOD(MATCH(CALC_PlanetPositions!$B$13,{"Aries","Taurus","Gemini","Cancer","Leo","Virgo","Libra","Scorpio","Sagittarius","Capricorn","Aquarius","Pisces"},0)-MATCH(INPUT_Chart!$C$5,{"Aries","Taurus","Gemini","Cancer","Leo","Virgo","Libra","Scorpio","Sagittarius","Capricorn","Aquarius","Pisces"},0),12)+1=(MOD(11-2,12)+1)),AND(TRUE(),MOD(MATCH(CALC_PlanetPositions!$B$14,{"Aries","Taurus","Gemini","Cancer","Leo","Virgo","Libra","Scorpio","Sagittarius","Capricorn","Aquarius","Pisces"},0)-MATCH(INPUT_Chart!$C$5,{"Aries","Taurus","Gemini","Cancer","Leo","Virgo","Libra","Scorpio","Sagittarius","Capricorn","Aquarius","Pisces"},0),12)+1=(MOD(11-2,12)+1)),AND(TRUE(),MOD(MATCH(CALC_PlanetPositions!$B$15,{"Aries","Taurus","Gemini","Cancer","Leo","Virgo","Libra","Scorpio","Sagittarius","Capricorn","Aquarius","Pisces"},0)-MATCH(INPUT_Chart!$C$5,{"Aries","Taurus","Gemini","Cancer","Leo","Virgo","Libra","Scorpio","Sagittarius","Capricorn","Aquarius","Pisces"},0),12)+1=(MOD(11-2,12)+1))),OR(AND(CALC_PlanetPositions!$M$7="Malefic",MOD(MATCH(CALC_PlanetPositions!$B$7,{"Aries","Taurus","Gemini","Cancer","Leo","Virgo","Libra","Scorpio","Sagittarius","Capricorn","Aquarius","Pisces"},0)-MATCH(INPUT_Chart!$C$5,{"Aries","Taurus","Gemini","Cancer","Leo","Virgo","Libra","Scorpio","Sagittarius","Capricorn","Aquarius","Pisces"},0),12)+1=(MOD(11,12)+1)),AND(CALC_PlanetPositions!$M$8="Malefic",MOD(MATCH(CALC_PlanetPositions!$B$8,{"Aries","Taurus","Gemini","Cancer","Leo","Virgo","Libra","Scorpio","Sagittarius","Capricorn","Aquarius","Pisces"},0)-MATCH(INPUT_Chart!$C$5,{"Aries","Taurus","Gemini","Cancer","Leo","Virgo","Libra","Scorpio","Sagittarius","Capricorn","Aquarius","Pisces"},0),12)+1=(MOD(11,12)+1)),AND(CALC_PlanetPositions!$M$9="Malefic",MOD(MATCH(CALC_PlanetPositions!$B$9,{"Aries","Taurus","Gemini","Cancer","Leo","Virgo","Libra","Scorpio","Sagittarius","Capricorn","Aquarius","Pisces"},0)-MATCH(INPUT_Chart!$C$5,{"Aries","Taurus","Gemini","Cancer","Leo","Virgo","Libra","Scorpio","Sagittarius","Capricorn","Aquarius","Pisces"},0),12)+1=(MOD(11,12)+1)),AND(CALC_PlanetPositions!$M$10="Malefic",MOD(MATCH(CALC_PlanetPositions!$B$10,{"Aries","Taurus","Gemini","Cancer","Leo","Virgo","Libra","Scorpio","Sagittarius","Capricorn","Aquarius","Pisces"},0)-MATCH(INPUT_Chart!$C$5,{"Aries","Taurus","Gemini","Cancer","Leo","Virgo","Libra","Scorpio","Sagittarius","Capricorn","Aquarius","Pisces"},0),12)+1=(MOD(11,12)+1)),AND(CALC_PlanetPositions!$M$11="Malefic",MOD(MATCH(CALC_PlanetPositions!$B$11,{"Aries","Taurus","Gemini","Cancer","Leo","Virgo","Libra","Scorpio","Sagittarius","Capricorn","Aquarius","Pisces"},0)-MATCH(INPUT_Chart!$C$5,{"Aries","Taurus","Gemini","Cancer","Leo","Virgo","Libra","Scorpio","Sagittarius","Capricorn","Aquarius","Pisces"},0),12)+1=(MOD(11,12)+1)),AND(CALC_PlanetPositions!$M$12="Malefic",MOD(MATCH(CALC_PlanetPositions!$B$12,{"Aries","Taurus","Gemini","Cancer","Leo","Virgo","Libra","Scorpio","Sagittarius","Capricorn","Aquarius","Pisces"},0)-MATCH(INPUT_Chart!$C$5,{"Aries","Taurus","Gemini","Cancer","Leo","Virgo","Libra","Scorpio","Sagittarius","Capricorn","Aquarius","Pisces"},0),12)+1=(MOD(11,12)+1)),AND(CALC_PlanetPositions!$M$13="Malefic",MOD(MATCH(CALC_PlanetPositions!$B$13,{"Aries","Taurus","Gemini","Cancer","Leo","Virgo","Libra","Scorpio","Sagittarius","Capricorn","Aquarius","Pisces"},0)-MATCH(INPUT_Chart!$C$5,{"Aries","Taurus","Gemini","Cancer","Leo","Virgo","Libra","Scorpio","Sagittarius","Capricorn","Aquarius","Pisces"},0),12)+1=(MOD(11,12)+1)),AND(TRUE(),MOD(MATCH(CALC_PlanetPositions!$B$14,{"Aries","Taurus","Gemini","Cancer","Leo","Virgo","Libra","Scorpio","Sagittarius","Capricorn","Aquarius","Pisces"},0)-MATCH(INPUT_Chart!$C$5,{"Aries","Taurus","Gemini","Cancer","Leo","Virgo","Libra","Scorpio","Sagittarius","Capricorn","Aquarius","Pisces"},0),12)+1=(MOD(11,12)+1)),AND(TRUE(),MOD(MATCH(CALC_PlanetPositions!$B$15,{"Aries","Taurus","Gemini","Cancer","Leo","Virgo","Libra","Scorpio","Sagittarius","Capricorn","Aquarius","Pisces"},0)-MATCH(INPUT_Chart!$C$5,{"Aries","Taurus","Gemini","Cancer","Leo","Virgo","Libra","Scorpio","Sagittarius","Capricorn","Aquarius","Pisces"},0),12)+1=(MOD(11,12)+1)))),1,0),0))*IF(REF_Config!$B$6="KP",-0.75,IF(REF_Config!$B$6="Jaimini",-0.5,-0.75)),0)</f>
        <v>0</v>
      </c>
      <c r="D18" s="403" t="s">
        <v>4629</v>
      </c>
    </row>
    <row r="19" spans="1:7" ht="15.75" customHeight="1" x14ac:dyDescent="0.2">
      <c r="A19" s="1594" t="s">
        <v>3624</v>
      </c>
      <c r="B19" s="1594"/>
      <c r="C19" s="1594"/>
      <c r="D19" s="1594"/>
    </row>
    <row r="20" spans="1:7" ht="27.75" customHeight="1" x14ac:dyDescent="0.2">
      <c r="A20" s="1155" t="s">
        <v>4630</v>
      </c>
      <c r="B20" s="357" t="s">
        <v>4555</v>
      </c>
      <c r="C20" s="1117">
        <v>0</v>
      </c>
      <c r="D20" s="400" t="s">
        <v>4631</v>
      </c>
    </row>
    <row r="21" spans="1:7" ht="27.75" customHeight="1" x14ac:dyDescent="0.2">
      <c r="A21" s="1155" t="s">
        <v>4632</v>
      </c>
      <c r="B21" s="203" t="s">
        <v>4633</v>
      </c>
      <c r="C21" s="1118">
        <f>IFERROR((IFERROR(IF(OR(AND(CALC_PlanetPositions!$M$7="Malefic",INDEX(REF_Aspects!$D$5:$O$13,1,MOD(CALC_BhaveshMap!$H$15-(MOD(MATCH(CALC_PlanetPositions!$B$7,{"Aries","Taurus","Gemini","Cancer","Leo","Virgo","Libra","Scorpio","Sagittarius","Capricorn","Aquarius","Pisces"},0)-MATCH(INPUT_Chart!$C$5,{"Aries","Taurus","Gemini","Cancer","Leo","Virgo","Libra","Scorpio","Sagittarius","Capricorn","Aquarius","Pisces"},0),12)+1),12)+1)="FULL",NOT(CALC_PlanetPositions!$B$7=CALC_BhaveshMap!$G$15)),AND(CALC_PlanetPositions!$M$8="Malefic",INDEX(REF_Aspects!$D$5:$O$13,2,MOD(CALC_BhaveshMap!$H$15-(MOD(MATCH(CALC_PlanetPositions!$B$8,{"Aries","Taurus","Gemini","Cancer","Leo","Virgo","Libra","Scorpio","Sagittarius","Capricorn","Aquarius","Pisces"},0)-MATCH(INPUT_Chart!$C$5,{"Aries","Taurus","Gemini","Cancer","Leo","Virgo","Libra","Scorpio","Sagittarius","Capricorn","Aquarius","Pisces"},0),12)+1),12)+1)="FULL",NOT(CALC_PlanetPositions!$B$8=CALC_BhaveshMap!$G$15)),AND(CALC_PlanetPositions!$M$9="Malefic",INDEX(REF_Aspects!$D$5:$O$13,3,MOD(CALC_BhaveshMap!$H$15-(MOD(MATCH(CALC_PlanetPositions!$B$9,{"Aries","Taurus","Gemini","Cancer","Leo","Virgo","Libra","Scorpio","Sagittarius","Capricorn","Aquarius","Pisces"},0)-MATCH(INPUT_Chart!$C$5,{"Aries","Taurus","Gemini","Cancer","Leo","Virgo","Libra","Scorpio","Sagittarius","Capricorn","Aquarius","Pisces"},0),12)+1),12)+1)="FULL",NOT(CALC_PlanetPositions!$B$9=CALC_BhaveshMap!$G$15)),AND(CALC_PlanetPositions!$M$10="Malefic",INDEX(REF_Aspects!$D$5:$O$13,4,MOD(CALC_BhaveshMap!$H$15-(MOD(MATCH(CALC_PlanetPositions!$B$10,{"Aries","Taurus","Gemini","Cancer","Leo","Virgo","Libra","Scorpio","Sagittarius","Capricorn","Aquarius","Pisces"},0)-MATCH(INPUT_Chart!$C$5,{"Aries","Taurus","Gemini","Cancer","Leo","Virgo","Libra","Scorpio","Sagittarius","Capricorn","Aquarius","Pisces"},0),12)+1),12)+1)="FULL",NOT(CALC_PlanetPositions!$B$10=CALC_BhaveshMap!$G$15)),AND(CALC_PlanetPositions!$M$11="Malefic",INDEX(REF_Aspects!$D$5:$O$13,5,MOD(CALC_BhaveshMap!$H$15-(MOD(MATCH(CALC_PlanetPositions!$B$11,{"Aries","Taurus","Gemini","Cancer","Leo","Virgo","Libra","Scorpio","Sagittarius","Capricorn","Aquarius","Pisces"},0)-MATCH(INPUT_Chart!$C$5,{"Aries","Taurus","Gemini","Cancer","Leo","Virgo","Libra","Scorpio","Sagittarius","Capricorn","Aquarius","Pisces"},0),12)+1),12)+1)="FULL",NOT(CALC_PlanetPositions!$B$11=CALC_BhaveshMap!$G$15)),AND(CALC_PlanetPositions!$M$12="Malefic",INDEX(REF_Aspects!$D$5:$O$13,6,MOD(CALC_BhaveshMap!$H$15-(MOD(MATCH(CALC_PlanetPositions!$B$12,{"Aries","Taurus","Gemini","Cancer","Leo","Virgo","Libra","Scorpio","Sagittarius","Capricorn","Aquarius","Pisces"},0)-MATCH(INPUT_Chart!$C$5,{"Aries","Taurus","Gemini","Cancer","Leo","Virgo","Libra","Scorpio","Sagittarius","Capricorn","Aquarius","Pisces"},0),12)+1),12)+1)="FULL",NOT(CALC_PlanetPositions!$B$12=CALC_BhaveshMap!$G$15)),AND(CALC_PlanetPositions!$M$13="Malefic",INDEX(REF_Aspects!$D$5:$O$13,7,MOD(CALC_BhaveshMap!$H$15-(MOD(MATCH(CALC_PlanetPositions!$B$13,{"Aries","Taurus","Gemini","Cancer","Leo","Virgo","Libra","Scorpio","Sagittarius","Capricorn","Aquarius","Pisces"},0)-MATCH(INPUT_Chart!$C$5,{"Aries","Taurus","Gemini","Cancer","Leo","Virgo","Libra","Scorpio","Sagittarius","Capricorn","Aquarius","Pisces"},0),12)+1),12)+1)="FULL",NOT(CALC_PlanetPositions!$B$13=CALC_BhaveshMap!$G$15)),AND(TRUE(),INDEX(REF_Aspects!$D$5:$O$13,8,MOD(CALC_BhaveshMap!$H$15-(MOD(MATCH(CALC_PlanetPositions!$B$14,{"Aries","Taurus","Gemini","Cancer","Leo","Virgo","Libra","Scorpio","Sagittarius","Capricorn","Aquarius","Pisces"},0)-MATCH(INPUT_Chart!$C$5,{"Aries","Taurus","Gemini","Cancer","Leo","Virgo","Libra","Scorpio","Sagittarius","Capricorn","Aquarius","Pisces"},0),12)+1),12)+1)="FULL",NOT(CALC_PlanetPositions!$B$14=CALC_BhaveshMap!$G$15)),AND(TRUE(),INDEX(REF_Aspects!$D$5:$O$13,9,MOD(CALC_BhaveshMap!$H$15-(MOD(MATCH(CALC_PlanetPositions!$B$15,{"Aries","Taurus","Gemini","Cancer","Leo","Virgo","Libra","Scorpio","Sagittarius","Capricorn","Aquarius","Pisces"},0)-MATCH(INPUT_Chart!$C$5,{"Aries","Taurus","Gemini","Cancer","Leo","Virgo","Libra","Scorpio","Sagittarius","Capricorn","Aquarius","Pisces"},0),12)+1),12)+1)="FULL",NOT(CALC_PlanetPositions!$B$15=CALC_BhaveshMap!$G$15))),1,0),0))*-0.5,0)</f>
        <v>0</v>
      </c>
      <c r="D21" s="403" t="s">
        <v>4634</v>
      </c>
    </row>
    <row r="22" spans="1:7" ht="27.75" customHeight="1" x14ac:dyDescent="0.2">
      <c r="A22" s="1155" t="s">
        <v>4635</v>
      </c>
      <c r="B22" s="357" t="s">
        <v>3042</v>
      </c>
      <c r="C22" s="1117">
        <f>IFERROR((IFERROR(IF(CALC_BhaveshMap!$K$15="Yes",1,0),0))*IF(REF_Config!$B$6="KP",-1.75,IF(REF_Config!$B$6="Jaimini",-2,-2)),0)</f>
        <v>-2</v>
      </c>
      <c r="D22" s="400" t="s">
        <v>4636</v>
      </c>
    </row>
    <row r="23" spans="1:7" ht="27.75" customHeight="1" x14ac:dyDescent="0.2">
      <c r="A23" s="1155" t="s">
        <v>4637</v>
      </c>
      <c r="B23" s="203" t="s">
        <v>3059</v>
      </c>
      <c r="C23" s="1118">
        <f>IFERROR((IFERROR(IF(OR(AND(CALC_BhaveshMap!$G$10=CALC_BhaveshMap!$G$15,CALC_BhaveshMap!$D$10&lt;&gt;CALC_BhaveshMap!$D$15),AND(CALC_BhaveshMap!$G$12=CALC_BhaveshMap!$G$15,CALC_BhaveshMap!$D$12&lt;&gt;CALC_BhaveshMap!$D$15),AND(CALC_BhaveshMap!$G$16=CALC_BhaveshMap!$G$15,CALC_BhaveshMap!$D$16&lt;&gt;CALC_BhaveshMap!$D$15)),1,0),0))*-1,0)</f>
        <v>0</v>
      </c>
      <c r="D23" s="403" t="s">
        <v>4638</v>
      </c>
    </row>
    <row r="24" spans="1:7" ht="15.75" customHeight="1" x14ac:dyDescent="0.2">
      <c r="A24" s="1484" t="s">
        <v>4639</v>
      </c>
      <c r="B24" s="1484"/>
      <c r="C24" s="1484"/>
      <c r="D24" s="1484"/>
    </row>
    <row r="25" spans="1:7" ht="27.75" customHeight="1" x14ac:dyDescent="0.2">
      <c r="A25" s="1155" t="s">
        <v>4640</v>
      </c>
      <c r="B25" s="357" t="s">
        <v>3084</v>
      </c>
      <c r="C25" s="1117">
        <f>IFERROR(IF(CALC_KarakMap!$M$15&gt;0,CALC_KarakMap!$M$15,0),0)</f>
        <v>0</v>
      </c>
      <c r="D25" s="400" t="s">
        <v>4641</v>
      </c>
    </row>
    <row r="26" spans="1:7" ht="27.75" customHeight="1" x14ac:dyDescent="0.2">
      <c r="A26" s="1155" t="s">
        <v>4642</v>
      </c>
      <c r="B26" s="203" t="s">
        <v>4564</v>
      </c>
      <c r="C26" s="1118">
        <f>IFERROR(IF(CALC_KarakMap!$M$15&lt;0,CALC_KarakMap!$M$15,0),0)</f>
        <v>-0.5</v>
      </c>
      <c r="D26" s="403" t="s">
        <v>4643</v>
      </c>
    </row>
    <row r="27" spans="1:7" ht="27.75" customHeight="1" x14ac:dyDescent="0.2">
      <c r="A27" s="1119" t="s">
        <v>4644</v>
      </c>
      <c r="B27" s="296" t="s">
        <v>3624</v>
      </c>
      <c r="C27" s="1117">
        <f>IFERROR(IF(OR(CALC_BhaveshMap!$D$15="Sun",CALC_BhaveshMap!$D$15="Rahu",CALC_BhaveshMap!$D$15="Ketu"),0,IF(CALC_BhaveshMap!$D$15="Moon",IF(CALC_CombustionCheck!$G$4="Cazimi ✓",0.5,IF(CALC_CombustionCheck!$F$4="COMBUST ⚠",-1,0)),IF(CALC_BhaveshMap!$D$15="Mars",IF(CALC_CombustionCheck!$G$5="Cazimi ✓",0.5,IF(AND(CALC_CombustionCheck!$F$5="COMBUST ⚠",CALC_RetrogradeFix!$F$6="Rx ✓"),-0.5,IF(CALC_CombustionCheck!$F$5="COMBUST ⚠",-1,0))),IF(CALC_BhaveshMap!$D$15="Mercury",IF(CALC_CombustionCheck!$G$6="Cazimi ✓",0.5,IF(AND(CALC_CombustionCheck!$F$6="COMBUST ⚠",CALC_RetrogradeFix!$F$7="Rx ✓"),-0.5,IF(CALC_CombustionCheck!$F$6="COMBUST ⚠",-1,0))),IF(CALC_BhaveshMap!$D$15="Jupiter",IF(CALC_CombustionCheck!$G$7="Cazimi ✓",0.5,IF(AND(CALC_CombustionCheck!$F$7="COMBUST ⚠",CALC_RetrogradeFix!$F$8="Rx ✓"),-0.5,IF(CALC_CombustionCheck!$F$7="COMBUST ⚠",-1,0))),IF(CALC_BhaveshMap!$D$15="Venus",IF(CALC_CombustionCheck!$G$8="Cazimi ✓",0.5,IF(AND(CALC_CombustionCheck!$F$8="COMBUST ⚠",CALC_RetrogradeFix!$F$9="Rx ✓"),-0.5,IF(CALC_CombustionCheck!$F$8="COMBUST ⚠",-1,0))),IF(CALC_BhaveshMap!$D$15="Saturn",IF(CALC_CombustionCheck!$G$9="Cazimi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BhaveshMap!$D$15="Rahu",CALC_BhaveshMap!$D$15="Ketu"),0,IF(ISNUMBER(MATCH(CALC_BhaveshMap!$D$15,{"Sun","Moon","Mars","Mercury","Jupiter","Venus","Saturn"},0)),IF(INDEX(CALC_DigBala!$F$4:$F$10,MATCH(CALC_BhaveshMap!$D$15,{"Sun","Moon","Mars","Mercury","Jupiter","Venus","Saturn"},0))="Yes",0.5,0),0)),0)</f>
        <v>0</v>
      </c>
      <c r="D28" s="400" t="s">
        <v>4647</v>
      </c>
    </row>
    <row r="29" spans="1:7" ht="27.75" customHeight="1" x14ac:dyDescent="0.2">
      <c r="A29" s="1120" t="s">
        <v>4648</v>
      </c>
      <c r="B29" s="296" t="s">
        <v>3372</v>
      </c>
      <c r="C29" s="1117">
        <f>IFERROR(IF(COUNTIFS(REF_PushkaraNavamsha!$A$4:$A$27,CALC_BhaveshMap!$G$15,REF_PushkaraNavamsha!$B$4:$B$27,INDEX(CALC_PlanetPositions!$G$7:$G$15,MATCH(CALC_BhaveshMap!$D$15,CALC_PlanetPositions!$A$7:$A$15,0)))&gt;0,0.5,0),0)</f>
        <v>0.5</v>
      </c>
      <c r="D29" s="400" t="s">
        <v>4649</v>
      </c>
    </row>
    <row r="30" spans="1:7" ht="25.5" customHeight="1" x14ac:dyDescent="0.2">
      <c r="A30" s="147" t="s">
        <v>4650</v>
      </c>
      <c r="B30" s="1121" t="s">
        <v>4651</v>
      </c>
      <c r="C30" s="1122">
        <f>IFERROR(IF(ISNUMBER(MATCH(CALC_BhaveshMap!$D$15,{"Sun","Moon","Mars","Mercury","Jupiter","Venus","Saturn"},0)),INDEX(CALC_RetrogradeFix!$G$4:$G$10,MATCH(CALC_BhaveshMap!$D$15,{"Sun","Moon","Mars","Mercury","Jupiter","Venus","Saturn"},0)),0),0)</f>
        <v>0</v>
      </c>
      <c r="D30" s="1123" t="s">
        <v>4652</v>
      </c>
    </row>
    <row r="31" spans="1:7" ht="18" customHeight="1" x14ac:dyDescent="0.2">
      <c r="A31" s="1555" t="s">
        <v>4653</v>
      </c>
      <c r="B31" s="1555"/>
      <c r="C31" s="1555"/>
      <c r="D31" s="1555"/>
      <c r="E31" s="1124" t="s">
        <v>4654</v>
      </c>
      <c r="F31" s="1125">
        <f>IFERROR(IF(CALC_Ashtakavarga!L$15&gt;28,0.5,IF(CALC_Ashtakavarga!L$15&lt;22,-0.5,0)),0)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IFERROR(SUM(C9:C13,C28:C30,F31,0),0)</f>
        <v>1</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-2</v>
      </c>
      <c r="D37" s="1129"/>
    </row>
    <row r="38" spans="1:4" ht="21.75" customHeight="1" x14ac:dyDescent="0.2">
      <c r="A38" s="89" t="s">
        <v>4661</v>
      </c>
      <c r="B38" s="1129"/>
      <c r="C38" s="1131">
        <f>IFERROR(MAX(-10,MIN(10,C37)),0)</f>
        <v>-2</v>
      </c>
      <c r="D38" s="1132"/>
    </row>
    <row r="39" spans="1:4" ht="18" customHeight="1" x14ac:dyDescent="0.2">
      <c r="A39" s="517" t="s">
        <v>4662</v>
      </c>
      <c r="B39" s="1129"/>
      <c r="C39" s="1133">
        <f>IFERROR(CALC_LagneshStrength!$I$4,0)</f>
        <v>0</v>
      </c>
      <c r="D39" s="1129"/>
    </row>
    <row r="40" spans="1:4" ht="25.5" customHeight="1" x14ac:dyDescent="0.2">
      <c r="A40" s="1137" t="s">
        <v>4663</v>
      </c>
      <c r="B40" s="1129"/>
      <c r="C40" s="1138">
        <f>IFERROR(MAX(-10,MIN(10,C38+C39)),0)</f>
        <v>-2</v>
      </c>
      <c r="D40" s="1139" t="str">
        <f>IFERROR(IF(C40&gt;=7,"Excellent — Gains domain very strong",IF(C40&gt;=4,"Good — Gains domain strong",IF(C40&gt;=1,"Moderate",IF(C40&gt;=-2,"Mixed — Gains has challenges",IF(C40&gt;=-5,"Weak","Very weak — Gains heavily afflicted"))))),"—")</f>
        <v>Mixed — Gains has challenges</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B71C1C"/>
  </sheetPr>
  <dimension ref="A1:L42"/>
  <sheetViews>
    <sheetView zoomScaleNormal="100" workbookViewId="0">
      <pane ySplit="4" topLeftCell="A5" activePane="bottomLeft" state="frozen"/>
      <selection pane="bottomLeft"/>
    </sheetView>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4675</v>
      </c>
      <c r="B1" s="1518"/>
      <c r="C1" s="1518"/>
      <c r="D1" s="1518"/>
      <c r="L1" s="29" t="str">
        <f>HYPERLINK("#'00_INDEX'!A1","&lt;- Index")</f>
        <v>&lt;- Index</v>
      </c>
    </row>
    <row r="2" spans="1:12" ht="19.5" customHeight="1" x14ac:dyDescent="0.2">
      <c r="A2" s="1595" t="str">
        <f>IFERROR("Lagna: "&amp;INPUT_Chart!$C$5&amp;"  ·  H12 sign: "&amp;CALC_BhaveshMap!$C$16&amp;"  ·  Bhavesh: "&amp;CALC_BhaveshMap!$D$16&amp;" in H"&amp;CALC_BhaveshMap!$H$16&amp;" ("&amp;CALC_BhaveshMap!$L$16&amp;")","Enter Lagna in INPUT_Chart")</f>
        <v>Lagna: Taurus  ·  H12 sign: Aries  ·  Bhavesh: Mars in H2 (Enemy sign)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56" t="s">
        <v>4605</v>
      </c>
      <c r="B5" s="357" t="s">
        <v>4529</v>
      </c>
      <c r="C5" s="1117">
        <f>IFERROR((IFERROR(IF(INDEX(REF_Zodiac!$D$17:$O$17,MATCH(CALC_BhaveshMap!$C$16,REF_Zodiac!$D$3:$O$3,0))="Gentle",1,0),0))*0.5,0)</f>
        <v>0</v>
      </c>
      <c r="D5" s="400" t="s">
        <v>4606</v>
      </c>
    </row>
    <row r="6" spans="1:12" ht="27.75" customHeight="1" x14ac:dyDescent="0.2">
      <c r="A6" s="1156"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156" t="s">
        <v>4609</v>
      </c>
      <c r="B7" s="357" t="s">
        <v>4534</v>
      </c>
      <c r="C7" s="1117">
        <f>IFERROR((IFERROR(IF(OR(AND(OR(CALC_PlanetPositions!$M$7="Benefic",CALC_PlanetPositions!$M$7="Yogakaraka"),INDEX(REF_Aspects!$D$5:$O$13,1,MOD(12-(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12)),AND(OR(CALC_PlanetPositions!$M$8="Benefic",CALC_PlanetPositions!$M$8="Yogakaraka"),INDEX(REF_Aspects!$D$5:$O$13,2,MOD(12-(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12)),AND(OR(CALC_PlanetPositions!$M$9="Benefic",CALC_PlanetPositions!$M$9="Yogakaraka"),INDEX(REF_Aspects!$D$5:$O$13,3,MOD(12-(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12)),AND(OR(CALC_PlanetPositions!$M$10="Benefic",CALC_PlanetPositions!$M$10="Yogakaraka"),INDEX(REF_Aspects!$D$5:$O$13,4,MOD(12-(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12)),AND(OR(CALC_PlanetPositions!$M$11="Benefic",CALC_PlanetPositions!$M$11="Yogakaraka"),INDEX(REF_Aspects!$D$5:$O$13,5,MOD(12-(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12)),AND(OR(CALC_PlanetPositions!$M$12="Benefic",CALC_PlanetPositions!$M$12="Yogakaraka"),INDEX(REF_Aspects!$D$5:$O$13,6,MOD(12-(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12)),AND(OR(CALC_PlanetPositions!$M$13="Benefic",CALC_PlanetPositions!$M$13="Yogakaraka"),INDEX(REF_Aspects!$D$5:$O$13,7,MOD(12-(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12)),AND(FALSE(),INDEX(REF_Aspects!$D$5:$O$13,8,MOD(12-(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12)),AND(FALSE(),INDEX(REF_Aspects!$D$5:$O$13,9,MOD(12-(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12))),1,0),0))*IF(REF_Config!$B$6="KP",0.5,IF(REF_Config!$B$6="Jaimini",0.75,0.75)),0)</f>
        <v>0.75</v>
      </c>
      <c r="D7" s="400" t="s">
        <v>4610</v>
      </c>
    </row>
    <row r="8" spans="1:12" ht="15.75" customHeight="1" x14ac:dyDescent="0.2">
      <c r="A8" s="1597" t="s">
        <v>3372</v>
      </c>
      <c r="B8" s="1597"/>
      <c r="C8" s="1597"/>
      <c r="D8" s="1597"/>
    </row>
    <row r="9" spans="1:12" ht="27.75" customHeight="1" x14ac:dyDescent="0.2">
      <c r="A9" s="1156" t="s">
        <v>4611</v>
      </c>
      <c r="B9" s="203" t="s">
        <v>4537</v>
      </c>
      <c r="C9" s="1118">
        <f>IFERROR(IF(AND(OR(CALC_BhaveshMap!$I$16="Yes",CALC_BhaveshMap!$J$16="Yes"),NOT(CALC_BhaveshMap!$K$16="Yes")),1,0)*IF(REF_Config!$B$6="KP",1.5,IF(REF_Config!$B$6="Jaimini",1.5,2)),0)</f>
        <v>0</v>
      </c>
      <c r="D9" s="403" t="s">
        <v>4612</v>
      </c>
    </row>
    <row r="10" spans="1:12" ht="27.75" customHeight="1" x14ac:dyDescent="0.2">
      <c r="A10" s="1156" t="s">
        <v>4613</v>
      </c>
      <c r="B10" s="357" t="s">
        <v>3093</v>
      </c>
      <c r="C10" s="1117">
        <f>IFERROR((IFERROR(IF(OR(AND(CALC_BhaveshMap!$G$5=CALC_BhaveshMap!$G$16,CALC_BhaveshMap!$D$5&lt;&gt;CALC_BhaveshMap!$D$16),AND(CALC_BhaveshMap!$G$8=CALC_BhaveshMap!$G$16,CALC_BhaveshMap!$D$8&lt;&gt;CALC_BhaveshMap!$D$16),AND(CALC_BhaveshMap!$G$9=CALC_BhaveshMap!$G$16,CALC_BhaveshMap!$D$9&lt;&gt;CALC_BhaveshMap!$D$16),AND(CALC_BhaveshMap!$G$11=CALC_BhaveshMap!$G$16,CALC_BhaveshMap!$D$11&lt;&gt;CALC_BhaveshMap!$D$16),AND(CALC_BhaveshMap!$G$13=CALC_BhaveshMap!$G$16,CALC_BhaveshMap!$D$13&lt;&gt;CALC_BhaveshMap!$D$16),AND(CALC_BhaveshMap!$G$14=CALC_BhaveshMap!$G$16,CALC_BhaveshMap!$D$14&lt;&gt;CALC_BhaveshMap!$D$16)),1,0),0))*0.5,0)</f>
        <v>0</v>
      </c>
      <c r="D10" s="400" t="s">
        <v>4614</v>
      </c>
    </row>
    <row r="11" spans="1:12" ht="27.75" customHeight="1" x14ac:dyDescent="0.2">
      <c r="A11" s="1156" t="s">
        <v>4615</v>
      </c>
      <c r="B11" s="203" t="s">
        <v>4540</v>
      </c>
      <c r="C11" s="1118">
        <f>IFERROR((IFERROR(IF(OR(AND(OR(CALC_PlanetPositions!$M$7="Benefic",CALC_PlanetPositions!$M$7="Yogakaraka"),CALC_PlanetPositions!$B$7=CALC_BhaveshMap!$G$16,CALC_BhaveshMap!$D$16&lt;&gt;"Sun"),AND(OR(CALC_PlanetPositions!$M$8="Benefic",CALC_PlanetPositions!$M$8="Yogakaraka"),CALC_PlanetPositions!$B$8=CALC_BhaveshMap!$G$16,CALC_BhaveshMap!$D$16&lt;&gt;"Moon"),AND(OR(CALC_PlanetPositions!$M$9="Benefic",CALC_PlanetPositions!$M$9="Yogakaraka"),CALC_PlanetPositions!$B$9=CALC_BhaveshMap!$G$16,CALC_BhaveshMap!$D$16&lt;&gt;"Mars"),AND(OR(CALC_PlanetPositions!$M$10="Benefic",CALC_PlanetPositions!$M$10="Yogakaraka"),CALC_PlanetPositions!$B$10=CALC_BhaveshMap!$G$16,CALC_BhaveshMap!$D$16&lt;&gt;"Mercury"),AND(OR(CALC_PlanetPositions!$M$11="Benefic",CALC_PlanetPositions!$M$11="Yogakaraka"),CALC_PlanetPositions!$B$11=CALC_BhaveshMap!$G$16,CALC_BhaveshMap!$D$16&lt;&gt;"Jupiter"),AND(OR(CALC_PlanetPositions!$M$12="Benefic",CALC_PlanetPositions!$M$12="Yogakaraka"),CALC_PlanetPositions!$B$12=CALC_BhaveshMap!$G$16,CALC_BhaveshMap!$D$16&lt;&gt;"Venus"),AND(OR(CALC_PlanetPositions!$M$13="Benefic",CALC_PlanetPositions!$M$13="Yogakaraka"),CALC_PlanetPositions!$B$13=CALC_BhaveshMap!$G$16,CALC_BhaveshMap!$D$16&lt;&gt;"Saturn")),1,0),0))*IF(OR(AND(CALC_PlanetPositions!$M$7="Yogakaraka",CALC_PlanetPositions!$B$7=CALC_BhaveshMap!$G$16,CALC_BhaveshMap!$D$16&lt;&gt;"Sun"),AND(CALC_PlanetPositions!$M$8="Yogakaraka",CALC_PlanetPositions!$B$8=CALC_BhaveshMap!$G$16,CALC_BhaveshMap!$D$16&lt;&gt;"Moon"),AND(CALC_PlanetPositions!$M$9="Yogakaraka",CALC_PlanetPositions!$B$9=CALC_BhaveshMap!$G$16,CALC_BhaveshMap!$D$16&lt;&gt;"Mars"),AND(CALC_PlanetPositions!$M$10="Yogakaraka",CALC_PlanetPositions!$B$10=CALC_BhaveshMap!$G$16,CALC_BhaveshMap!$D$16&lt;&gt;"Mercury"),AND(CALC_PlanetPositions!$M$11="Yogakaraka",CALC_PlanetPositions!$B$11=CALC_BhaveshMap!$G$16,CALC_BhaveshMap!$D$16&lt;&gt;"Jupiter"),AND(CALC_PlanetPositions!$M$12="Yogakaraka",CALC_PlanetPositions!$B$12=CALC_BhaveshMap!$G$16,CALC_BhaveshMap!$D$16&lt;&gt;"Venus"),AND(CALC_PlanetPositions!$M$13="Yogakaraka",CALC_PlanetPositions!$B$13=CALC_BhaveshMap!$G$16,CALC_BhaveshMap!$D$16&lt;&gt;"Saturn")),1.5,1),0)</f>
        <v>0</v>
      </c>
      <c r="D11" s="403" t="s">
        <v>4616</v>
      </c>
    </row>
    <row r="12" spans="1:12" ht="27.75" customHeight="1" x14ac:dyDescent="0.2">
      <c r="A12" s="1156" t="s">
        <v>4617</v>
      </c>
      <c r="B12" s="357" t="s">
        <v>4542</v>
      </c>
      <c r="C12" s="1117">
        <f>IFERROR((IFERROR(IF(OR(AND(OR(CALC_PlanetPositions!$M$7="Benefic",CALC_PlanetPositions!$M$7="Yogakaraka"),INDEX(REF_Aspects!$D$5:$O$13,1,MOD(CALC_BhaveshMap!$H$16-(MOD(MATCH(CALC_PlanetPositions!$B$7,{"Aries","Taurus","Gemini","Cancer","Leo","Virgo","Libra","Scorpio","Sagittarius","Capricorn","Aquarius","Pisces"},0)-MATCH(INPUT_Chart!$C$5,{"Aries","Taurus","Gemini","Cancer","Leo","Virgo","Libra","Scorpio","Sagittarius","Capricorn","Aquarius","Pisces"},0),12)+1),12)+1)="FULL",NOT(CALC_PlanetPositions!$B$7=CALC_BhaveshMap!$G$16)),AND(OR(CALC_PlanetPositions!$M$8="Benefic",CALC_PlanetPositions!$M$8="Yogakaraka"),INDEX(REF_Aspects!$D$5:$O$13,2,MOD(CALC_BhaveshMap!$H$16-(MOD(MATCH(CALC_PlanetPositions!$B$8,{"Aries","Taurus","Gemini","Cancer","Leo","Virgo","Libra","Scorpio","Sagittarius","Capricorn","Aquarius","Pisces"},0)-MATCH(INPUT_Chart!$C$5,{"Aries","Taurus","Gemini","Cancer","Leo","Virgo","Libra","Scorpio","Sagittarius","Capricorn","Aquarius","Pisces"},0),12)+1),12)+1)="FULL",NOT(CALC_PlanetPositions!$B$8=CALC_BhaveshMap!$G$16)),AND(OR(CALC_PlanetPositions!$M$9="Benefic",CALC_PlanetPositions!$M$9="Yogakaraka"),INDEX(REF_Aspects!$D$5:$O$13,3,MOD(CALC_BhaveshMap!$H$16-(MOD(MATCH(CALC_PlanetPositions!$B$9,{"Aries","Taurus","Gemini","Cancer","Leo","Virgo","Libra","Scorpio","Sagittarius","Capricorn","Aquarius","Pisces"},0)-MATCH(INPUT_Chart!$C$5,{"Aries","Taurus","Gemini","Cancer","Leo","Virgo","Libra","Scorpio","Sagittarius","Capricorn","Aquarius","Pisces"},0),12)+1),12)+1)="FULL",NOT(CALC_PlanetPositions!$B$9=CALC_BhaveshMap!$G$16)),AND(OR(CALC_PlanetPositions!$M$10="Benefic",CALC_PlanetPositions!$M$10="Yogakaraka"),INDEX(REF_Aspects!$D$5:$O$13,4,MOD(CALC_BhaveshMap!$H$16-(MOD(MATCH(CALC_PlanetPositions!$B$10,{"Aries","Taurus","Gemini","Cancer","Leo","Virgo","Libra","Scorpio","Sagittarius","Capricorn","Aquarius","Pisces"},0)-MATCH(INPUT_Chart!$C$5,{"Aries","Taurus","Gemini","Cancer","Leo","Virgo","Libra","Scorpio","Sagittarius","Capricorn","Aquarius","Pisces"},0),12)+1),12)+1)="FULL",NOT(CALC_PlanetPositions!$B$10=CALC_BhaveshMap!$G$16)),AND(OR(CALC_PlanetPositions!$M$11="Benefic",CALC_PlanetPositions!$M$11="Yogakaraka"),INDEX(REF_Aspects!$D$5:$O$13,5,MOD(CALC_BhaveshMap!$H$16-(MOD(MATCH(CALC_PlanetPositions!$B$11,{"Aries","Taurus","Gemini","Cancer","Leo","Virgo","Libra","Scorpio","Sagittarius","Capricorn","Aquarius","Pisces"},0)-MATCH(INPUT_Chart!$C$5,{"Aries","Taurus","Gemini","Cancer","Leo","Virgo","Libra","Scorpio","Sagittarius","Capricorn","Aquarius","Pisces"},0),12)+1),12)+1)="FULL",NOT(CALC_PlanetPositions!$B$11=CALC_BhaveshMap!$G$16)),AND(OR(CALC_PlanetPositions!$M$12="Benefic",CALC_PlanetPositions!$M$12="Yogakaraka"),INDEX(REF_Aspects!$D$5:$O$13,6,MOD(CALC_BhaveshMap!$H$16-(MOD(MATCH(CALC_PlanetPositions!$B$12,{"Aries","Taurus","Gemini","Cancer","Leo","Virgo","Libra","Scorpio","Sagittarius","Capricorn","Aquarius","Pisces"},0)-MATCH(INPUT_Chart!$C$5,{"Aries","Taurus","Gemini","Cancer","Leo","Virgo","Libra","Scorpio","Sagittarius","Capricorn","Aquarius","Pisces"},0),12)+1),12)+1)="FULL",NOT(CALC_PlanetPositions!$B$12=CALC_BhaveshMap!$G$16)),AND(OR(CALC_PlanetPositions!$M$13="Benefic",CALC_PlanetPositions!$M$13="Yogakaraka"),INDEX(REF_Aspects!$D$5:$O$13,7,MOD(CALC_BhaveshMap!$H$16-(MOD(MATCH(CALC_PlanetPositions!$B$13,{"Aries","Taurus","Gemini","Cancer","Leo","Virgo","Libra","Scorpio","Sagittarius","Capricorn","Aquarius","Pisces"},0)-MATCH(INPUT_Chart!$C$5,{"Aries","Taurus","Gemini","Cancer","Leo","Virgo","Libra","Scorpio","Sagittarius","Capricorn","Aquarius","Pisces"},0),12)+1),12)+1)="FULL",NOT(CALC_PlanetPositions!$B$13=CALC_BhaveshMap!$G$16)),AND(FALSE(),INDEX(REF_Aspects!$D$5:$O$13,8,MOD(CALC_BhaveshMap!$H$16-(MOD(MATCH(CALC_PlanetPositions!$B$14,{"Aries","Taurus","Gemini","Cancer","Leo","Virgo","Libra","Scorpio","Sagittarius","Capricorn","Aquarius","Pisces"},0)-MATCH(INPUT_Chart!$C$5,{"Aries","Taurus","Gemini","Cancer","Leo","Virgo","Libra","Scorpio","Sagittarius","Capricorn","Aquarius","Pisces"},0),12)+1),12)+1)="FULL",NOT(CALC_PlanetPositions!$B$14=CALC_BhaveshMap!$G$16)),AND(FALSE(),INDEX(REF_Aspects!$D$5:$O$13,9,MOD(CALC_BhaveshMap!$H$16-(MOD(MATCH(CALC_PlanetPositions!$B$15,{"Aries","Taurus","Gemini","Cancer","Leo","Virgo","Libra","Scorpio","Sagittarius","Capricorn","Aquarius","Pisces"},0)-MATCH(INPUT_Chart!$C$5,{"Aries","Taurus","Gemini","Cancer","Leo","Virgo","Libra","Scorpio","Sagittarius","Capricorn","Aquarius","Pisces"},0),12)+1),12)+1)="FULL",NOT(CALC_PlanetPositions!$B$15=CALC_BhaveshMap!$G$16))),1,0),0))*0.5,0)</f>
        <v>0</v>
      </c>
      <c r="D12" s="400" t="s">
        <v>4618</v>
      </c>
    </row>
    <row r="13" spans="1:12" ht="27.75" customHeight="1" x14ac:dyDescent="0.2">
      <c r="A13" s="1156" t="s">
        <v>4619</v>
      </c>
      <c r="B13" s="203" t="s">
        <v>3034</v>
      </c>
      <c r="C13" s="1118">
        <f>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$16-2,12)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$16-2,12)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$16-2,12)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$16-2,12)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$16-2,12)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$16-2,12)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$16-2,12)+1)),AND(FALSE(),MOD(MATCH(CALC_PlanetPositions!$B$14,{"Aries","Taurus","Gemini","Cancer","Leo","Virgo","Libra","Scorpio","Sagittarius","Capricorn","Aquarius","Pisces"},0)-MATCH(INPUT_Chart!$C$5,{"Aries","Taurus","Gemini","Cancer","Leo","Virgo","Libra","Scorpio","Sagittarius","Capricorn","Aquarius","Pisces"},0),12)+1=(MOD(CALC_BhaveshMap!$H$16-2,12)+1)),AND(FALSE(),MOD(MATCH(CALC_PlanetPositions!$B$15,{"Aries","Taurus","Gemini","Cancer","Leo","Virgo","Libra","Scorpio","Sagittarius","Capricorn","Aquarius","Pisces"},0)-MATCH(INPUT_Chart!$C$5,{"Aries","Taurus","Gemini","Cancer","Leo","Virgo","Libra","Scorpio","Sagittarius","Capricorn","Aquarius","Pisces"},0),12)+1=(MOD(CALC_BhaveshMap!$H$16-2,12)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BhaveshMap!$H$16,12)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BhaveshMap!$H$16,12)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BhaveshMap!$H$16,12)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BhaveshMap!$H$16,12)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BhaveshMap!$H$16,12)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BhaveshMap!$H$16,12)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BhaveshMap!$H$16,12)+1)),AND(FALSE(),MOD(MATCH(CALC_PlanetPositions!$B$14,{"Aries","Taurus","Gemini","Cancer","Leo","Virgo","Libra","Scorpio","Sagittarius","Capricorn","Aquarius","Pisces"},0)-MATCH(INPUT_Chart!$C$5,{"Aries","Taurus","Gemini","Cancer","Leo","Virgo","Libra","Scorpio","Sagittarius","Capricorn","Aquarius","Pisces"},0),12)+1=(MOD(CALC_BhaveshMap!$H$16,12)+1)),AND(FALSE(),MOD(MATCH(CALC_PlanetPositions!$B$15,{"Aries","Taurus","Gemini","Cancer","Leo","Virgo","Libra","Scorpio","Sagittarius","Capricorn","Aquarius","Pisces"},0)-MATCH(INPUT_Chart!$C$5,{"Aries","Taurus","Gemini","Cancer","Leo","Virgo","Libra","Scorpio","Sagittarius","Capricorn","Aquarius","Pisces"},0),12)+1=(MOD(CALC_BhaveshMap!$H$16,12)+1)))),1,0),0))*IF(REF_Config!$B$6="KP",0.75,IF(REF_Config!$B$6="Jaimini",0.5,0.75)),0)</f>
        <v>0</v>
      </c>
      <c r="D13" s="403" t="s">
        <v>4620</v>
      </c>
    </row>
    <row r="14" spans="1:12" ht="15.75" customHeight="1" x14ac:dyDescent="0.2">
      <c r="A14" s="1598" t="s">
        <v>4621</v>
      </c>
      <c r="B14" s="1598"/>
      <c r="C14" s="1598"/>
      <c r="D14" s="1598"/>
    </row>
    <row r="15" spans="1:12" ht="27.75" customHeight="1" x14ac:dyDescent="0.2">
      <c r="A15" s="1156"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1,0),0))*-1,0)</f>
        <v>0</v>
      </c>
      <c r="D15" s="400" t="s">
        <v>4623</v>
      </c>
    </row>
    <row r="16" spans="1:12" ht="27.75" customHeight="1" x14ac:dyDescent="0.2">
      <c r="A16" s="1156" t="s">
        <v>4624</v>
      </c>
      <c r="B16" s="203" t="s">
        <v>4548</v>
      </c>
      <c r="C16" s="1118">
        <f>IFERROR((IFERROR(IF(OR(AND(CALC_PlanetPositions!$M$7="Malefic",INDEX(REF_Aspects!$D$5:$O$13,1,MOD(12-(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12)),AND(CALC_PlanetPositions!$M$8="Malefic",INDEX(REF_Aspects!$D$5:$O$13,2,MOD(12-(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12)),AND(CALC_PlanetPositions!$M$9="Malefic",INDEX(REF_Aspects!$D$5:$O$13,3,MOD(12-(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12)),AND(CALC_PlanetPositions!$M$10="Malefic",INDEX(REF_Aspects!$D$5:$O$13,4,MOD(12-(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12)),AND(CALC_PlanetPositions!$M$11="Malefic",INDEX(REF_Aspects!$D$5:$O$13,5,MOD(12-(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12)),AND(CALC_PlanetPositions!$M$12="Malefic",INDEX(REF_Aspects!$D$5:$O$13,6,MOD(12-(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12)),AND(CALC_PlanetPositions!$M$13="Malefic",INDEX(REF_Aspects!$D$5:$O$13,7,MOD(12-(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12)),AND(TRUE(),INDEX(REF_Aspects!$D$5:$O$13,8,MOD(12-(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12)),AND(TRUE(),INDEX(REF_Aspects!$D$5:$O$13,9,MOD(12-(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12))),1,0),0))*-1,0)</f>
        <v>-1</v>
      </c>
      <c r="D16" s="403" t="s">
        <v>4625</v>
      </c>
    </row>
    <row r="17" spans="1:7" ht="27.75" customHeight="1" x14ac:dyDescent="0.2">
      <c r="A17" s="1156" t="s">
        <v>4626</v>
      </c>
      <c r="B17" s="357" t="s">
        <v>3062</v>
      </c>
      <c r="C17" s="1117">
        <v>0</v>
      </c>
      <c r="D17" s="400" t="s">
        <v>4627</v>
      </c>
    </row>
    <row r="18" spans="1:7" ht="27.75" customHeight="1" x14ac:dyDescent="0.2">
      <c r="A18" s="1156"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MOD(12-2,12)+1)),AND(CALC_PlanetPositions!$M$8="Malefic",MOD(MATCH(CALC_PlanetPositions!$B$8,{"Aries","Taurus","Gemini","Cancer","Leo","Virgo","Libra","Scorpio","Sagittarius","Capricorn","Aquarius","Pisces"},0)-MATCH(INPUT_Chart!$C$5,{"Aries","Taurus","Gemini","Cancer","Leo","Virgo","Libra","Scorpio","Sagittarius","Capricorn","Aquarius","Pisces"},0),12)+1=(MOD(12-2,12)+1)),AND(CALC_PlanetPositions!$M$9="Malefic",MOD(MATCH(CALC_PlanetPositions!$B$9,{"Aries","Taurus","Gemini","Cancer","Leo","Virgo","Libra","Scorpio","Sagittarius","Capricorn","Aquarius","Pisces"},0)-MATCH(INPUT_Chart!$C$5,{"Aries","Taurus","Gemini","Cancer","Leo","Virgo","Libra","Scorpio","Sagittarius","Capricorn","Aquarius","Pisces"},0),12)+1=(MOD(12-2,12)+1)),AND(CALC_PlanetPositions!$M$10="Malefic",MOD(MATCH(CALC_PlanetPositions!$B$10,{"Aries","Taurus","Gemini","Cancer","Leo","Virgo","Libra","Scorpio","Sagittarius","Capricorn","Aquarius","Pisces"},0)-MATCH(INPUT_Chart!$C$5,{"Aries","Taurus","Gemini","Cancer","Leo","Virgo","Libra","Scorpio","Sagittarius","Capricorn","Aquarius","Pisces"},0),12)+1=(MOD(12-2,12)+1)),AND(CALC_PlanetPositions!$M$11="Malefic",MOD(MATCH(CALC_PlanetPositions!$B$11,{"Aries","Taurus","Gemini","Cancer","Leo","Virgo","Libra","Scorpio","Sagittarius","Capricorn","Aquarius","Pisces"},0)-MATCH(INPUT_Chart!$C$5,{"Aries","Taurus","Gemini","Cancer","Leo","Virgo","Libra","Scorpio","Sagittarius","Capricorn","Aquarius","Pisces"},0),12)+1=(MOD(12-2,12)+1)),AND(CALC_PlanetPositions!$M$12="Malefic",MOD(MATCH(CALC_PlanetPositions!$B$12,{"Aries","Taurus","Gemini","Cancer","Leo","Virgo","Libra","Scorpio","Sagittarius","Capricorn","Aquarius","Pisces"},0)-MATCH(INPUT_Chart!$C$5,{"Aries","Taurus","Gemini","Cancer","Leo","Virgo","Libra","Scorpio","Sagittarius","Capricorn","Aquarius","Pisces"},0),12)+1=(MOD(12-2,12)+1)),AND(CALC_PlanetPositions!$M$13="Malefic",MOD(MATCH(CALC_PlanetPositions!$B$13,{"Aries","Taurus","Gemini","Cancer","Leo","Virgo","Libra","Scorpio","Sagittarius","Capricorn","Aquarius","Pisces"},0)-MATCH(INPUT_Chart!$C$5,{"Aries","Taurus","Gemini","Cancer","Leo","Virgo","Libra","Scorpio","Sagittarius","Capricorn","Aquarius","Pisces"},0),12)+1=(MOD(12-2,12)+1)),AND(TRUE(),MOD(MATCH(CALC_PlanetPositions!$B$14,{"Aries","Taurus","Gemini","Cancer","Leo","Virgo","Libra","Scorpio","Sagittarius","Capricorn","Aquarius","Pisces"},0)-MATCH(INPUT_Chart!$C$5,{"Aries","Taurus","Gemini","Cancer","Leo","Virgo","Libra","Scorpio","Sagittarius","Capricorn","Aquarius","Pisces"},0),12)+1=(MOD(12-2,12)+1)),AND(TRUE(),MOD(MATCH(CALC_PlanetPositions!$B$15,{"Aries","Taurus","Gemini","Cancer","Leo","Virgo","Libra","Scorpio","Sagittarius","Capricorn","Aquarius","Pisces"},0)-MATCH(INPUT_Chart!$C$5,{"Aries","Taurus","Gemini","Cancer","Leo","Virgo","Libra","Scorpio","Sagittarius","Capricorn","Aquarius","Pisces"},0),12)+1=(MOD(12-2,12)+1))),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IF(REF_Config!$B$6="KP",-0.75,IF(REF_Config!$B$6="Jaimini",-0.5,-0.75)),0)</f>
        <v>0</v>
      </c>
      <c r="D18" s="403" t="s">
        <v>4629</v>
      </c>
    </row>
    <row r="19" spans="1:7" ht="15.75" customHeight="1" x14ac:dyDescent="0.2">
      <c r="A19" s="1594" t="s">
        <v>3624</v>
      </c>
      <c r="B19" s="1594"/>
      <c r="C19" s="1594"/>
      <c r="D19" s="1594"/>
    </row>
    <row r="20" spans="1:7" ht="27.75" customHeight="1" x14ac:dyDescent="0.2">
      <c r="A20" s="1156" t="s">
        <v>4630</v>
      </c>
      <c r="B20" s="357" t="s">
        <v>4555</v>
      </c>
      <c r="C20" s="1117">
        <v>0</v>
      </c>
      <c r="D20" s="400" t="s">
        <v>4631</v>
      </c>
    </row>
    <row r="21" spans="1:7" ht="27.75" customHeight="1" x14ac:dyDescent="0.2">
      <c r="A21" s="1156" t="s">
        <v>4632</v>
      </c>
      <c r="B21" s="203" t="s">
        <v>4633</v>
      </c>
      <c r="C21" s="1118">
        <f>IFERROR((IFERROR(IF(OR(AND(CALC_PlanetPositions!$M$7="Malefic",INDEX(REF_Aspects!$D$5:$O$13,1,MOD(CALC_BhaveshMap!$H$16-(MOD(MATCH(CALC_PlanetPositions!$B$7,{"Aries","Taurus","Gemini","Cancer","Leo","Virgo","Libra","Scorpio","Sagittarius","Capricorn","Aquarius","Pisces"},0)-MATCH(INPUT_Chart!$C$5,{"Aries","Taurus","Gemini","Cancer","Leo","Virgo","Libra","Scorpio","Sagittarius","Capricorn","Aquarius","Pisces"},0),12)+1),12)+1)="FULL",NOT(CALC_PlanetPositions!$B$7=CALC_BhaveshMap!$G$16)),AND(CALC_PlanetPositions!$M$8="Malefic",INDEX(REF_Aspects!$D$5:$O$13,2,MOD(CALC_BhaveshMap!$H$16-(MOD(MATCH(CALC_PlanetPositions!$B$8,{"Aries","Taurus","Gemini","Cancer","Leo","Virgo","Libra","Scorpio","Sagittarius","Capricorn","Aquarius","Pisces"},0)-MATCH(INPUT_Chart!$C$5,{"Aries","Taurus","Gemini","Cancer","Leo","Virgo","Libra","Scorpio","Sagittarius","Capricorn","Aquarius","Pisces"},0),12)+1),12)+1)="FULL",NOT(CALC_PlanetPositions!$B$8=CALC_BhaveshMap!$G$16)),AND(CALC_PlanetPositions!$M$9="Malefic",INDEX(REF_Aspects!$D$5:$O$13,3,MOD(CALC_BhaveshMap!$H$16-(MOD(MATCH(CALC_PlanetPositions!$B$9,{"Aries","Taurus","Gemini","Cancer","Leo","Virgo","Libra","Scorpio","Sagittarius","Capricorn","Aquarius","Pisces"},0)-MATCH(INPUT_Chart!$C$5,{"Aries","Taurus","Gemini","Cancer","Leo","Virgo","Libra","Scorpio","Sagittarius","Capricorn","Aquarius","Pisces"},0),12)+1),12)+1)="FULL",NOT(CALC_PlanetPositions!$B$9=CALC_BhaveshMap!$G$16)),AND(CALC_PlanetPositions!$M$10="Malefic",INDEX(REF_Aspects!$D$5:$O$13,4,MOD(CALC_BhaveshMap!$H$16-(MOD(MATCH(CALC_PlanetPositions!$B$10,{"Aries","Taurus","Gemini","Cancer","Leo","Virgo","Libra","Scorpio","Sagittarius","Capricorn","Aquarius","Pisces"},0)-MATCH(INPUT_Chart!$C$5,{"Aries","Taurus","Gemini","Cancer","Leo","Virgo","Libra","Scorpio","Sagittarius","Capricorn","Aquarius","Pisces"},0),12)+1),12)+1)="FULL",NOT(CALC_PlanetPositions!$B$10=CALC_BhaveshMap!$G$16)),AND(CALC_PlanetPositions!$M$11="Malefic",INDEX(REF_Aspects!$D$5:$O$13,5,MOD(CALC_BhaveshMap!$H$16-(MOD(MATCH(CALC_PlanetPositions!$B$11,{"Aries","Taurus","Gemini","Cancer","Leo","Virgo","Libra","Scorpio","Sagittarius","Capricorn","Aquarius","Pisces"},0)-MATCH(INPUT_Chart!$C$5,{"Aries","Taurus","Gemini","Cancer","Leo","Virgo","Libra","Scorpio","Sagittarius","Capricorn","Aquarius","Pisces"},0),12)+1),12)+1)="FULL",NOT(CALC_PlanetPositions!$B$11=CALC_BhaveshMap!$G$16)),AND(CALC_PlanetPositions!$M$12="Malefic",INDEX(REF_Aspects!$D$5:$O$13,6,MOD(CALC_BhaveshMap!$H$16-(MOD(MATCH(CALC_PlanetPositions!$B$12,{"Aries","Taurus","Gemini","Cancer","Leo","Virgo","Libra","Scorpio","Sagittarius","Capricorn","Aquarius","Pisces"},0)-MATCH(INPUT_Chart!$C$5,{"Aries","Taurus","Gemini","Cancer","Leo","Virgo","Libra","Scorpio","Sagittarius","Capricorn","Aquarius","Pisces"},0),12)+1),12)+1)="FULL",NOT(CALC_PlanetPositions!$B$12=CALC_BhaveshMap!$G$16)),AND(CALC_PlanetPositions!$M$13="Malefic",INDEX(REF_Aspects!$D$5:$O$13,7,MOD(CALC_BhaveshMap!$H$16-(MOD(MATCH(CALC_PlanetPositions!$B$13,{"Aries","Taurus","Gemini","Cancer","Leo","Virgo","Libra","Scorpio","Sagittarius","Capricorn","Aquarius","Pisces"},0)-MATCH(INPUT_Chart!$C$5,{"Aries","Taurus","Gemini","Cancer","Leo","Virgo","Libra","Scorpio","Sagittarius","Capricorn","Aquarius","Pisces"},0),12)+1),12)+1)="FULL",NOT(CALC_PlanetPositions!$B$13=CALC_BhaveshMap!$G$16)),AND(TRUE(),INDEX(REF_Aspects!$D$5:$O$13,8,MOD(CALC_BhaveshMap!$H$16-(MOD(MATCH(CALC_PlanetPositions!$B$14,{"Aries","Taurus","Gemini","Cancer","Leo","Virgo","Libra","Scorpio","Sagittarius","Capricorn","Aquarius","Pisces"},0)-MATCH(INPUT_Chart!$C$5,{"Aries","Taurus","Gemini","Cancer","Leo","Virgo","Libra","Scorpio","Sagittarius","Capricorn","Aquarius","Pisces"},0),12)+1),12)+1)="FULL",NOT(CALC_PlanetPositions!$B$14=CALC_BhaveshMap!$G$16)),AND(TRUE(),INDEX(REF_Aspects!$D$5:$O$13,9,MOD(CALC_BhaveshMap!$H$16-(MOD(MATCH(CALC_PlanetPositions!$B$15,{"Aries","Taurus","Gemini","Cancer","Leo","Virgo","Libra","Scorpio","Sagittarius","Capricorn","Aquarius","Pisces"},0)-MATCH(INPUT_Chart!$C$5,{"Aries","Taurus","Gemini","Cancer","Leo","Virgo","Libra","Scorpio","Sagittarius","Capricorn","Aquarius","Pisces"},0),12)+1),12)+1)="FULL",NOT(CALC_PlanetPositions!$B$15=CALC_BhaveshMap!$G$16))),1,0),0))*-0.5,0)</f>
        <v>-0.5</v>
      </c>
      <c r="D21" s="403" t="s">
        <v>4634</v>
      </c>
    </row>
    <row r="22" spans="1:7" ht="27.75" customHeight="1" x14ac:dyDescent="0.2">
      <c r="A22" s="1156" t="s">
        <v>4635</v>
      </c>
      <c r="B22" s="357" t="s">
        <v>3042</v>
      </c>
      <c r="C22" s="1117">
        <f>IFERROR((IFERROR(IF(CALC_BhaveshMap!$K$16="Yes",1,0),0))*IF(REF_Config!$B$6="KP",-1.75,IF(REF_Config!$B$6="Jaimini",-2,-2)),0)</f>
        <v>0</v>
      </c>
      <c r="D22" s="400" t="s">
        <v>4636</v>
      </c>
    </row>
    <row r="23" spans="1:7" ht="27.75" customHeight="1" x14ac:dyDescent="0.2">
      <c r="A23" s="1156" t="s">
        <v>4637</v>
      </c>
      <c r="B23" s="203" t="s">
        <v>3059</v>
      </c>
      <c r="C23" s="1118">
        <f>IFERROR((IFERROR(IF(OR(AND(CALC_BhaveshMap!$G$10=CALC_BhaveshMap!$G$16,CALC_BhaveshMap!$D$10&lt;&gt;CALC_BhaveshMap!$D$16),AND(CALC_BhaveshMap!$G$12=CALC_BhaveshMap!$G$16,CALC_BhaveshMap!$D$12&lt;&gt;CALC_BhaveshMap!$D$16),AND(CALC_BhaveshMap!$G$16=CALC_BhaveshMap!$G$16,CALC_BhaveshMap!$D$16&lt;&gt;CALC_BhaveshMap!$D$16)),1,0),0))*-1,0)</f>
        <v>0</v>
      </c>
      <c r="D23" s="403" t="s">
        <v>4638</v>
      </c>
    </row>
    <row r="24" spans="1:7" ht="15.75" customHeight="1" x14ac:dyDescent="0.2">
      <c r="A24" s="1484" t="s">
        <v>4639</v>
      </c>
      <c r="B24" s="1484"/>
      <c r="C24" s="1484"/>
      <c r="D24" s="1484"/>
    </row>
    <row r="25" spans="1:7" ht="27.75" customHeight="1" x14ac:dyDescent="0.2">
      <c r="A25" s="1156" t="s">
        <v>4640</v>
      </c>
      <c r="B25" s="357" t="s">
        <v>3084</v>
      </c>
      <c r="C25" s="1117">
        <f>IFERROR(IF(CALC_KarakMap!$M$16&gt;0,CALC_KarakMap!$M$16,0),0)</f>
        <v>0</v>
      </c>
      <c r="D25" s="400" t="s">
        <v>4641</v>
      </c>
    </row>
    <row r="26" spans="1:7" ht="27.75" customHeight="1" x14ac:dyDescent="0.2">
      <c r="A26" s="1156" t="s">
        <v>4642</v>
      </c>
      <c r="B26" s="203" t="s">
        <v>4564</v>
      </c>
      <c r="C26" s="1118">
        <f>IFERROR(IF(CALC_KarakMap!$M$16&lt;0,CALC_KarakMap!$M$16,0),0)</f>
        <v>0</v>
      </c>
      <c r="D26" s="403" t="s">
        <v>4643</v>
      </c>
    </row>
    <row r="27" spans="1:7" ht="27.75" customHeight="1" x14ac:dyDescent="0.2">
      <c r="A27" s="1119" t="s">
        <v>4644</v>
      </c>
      <c r="B27" s="296" t="s">
        <v>3624</v>
      </c>
      <c r="C27" s="1117">
        <f>IFERROR(IF(OR(CALC_BhaveshMap!$D$16="Sun",CALC_BhaveshMap!$D$16="Rahu",CALC_BhaveshMap!$D$16="Ketu"),0,IF(CALC_BhaveshMap!$D$16="Moon",IF(CALC_CombustionCheck!$G$4="Cazimi ✓",0.5,IF(CALC_CombustionCheck!$F$4="COMBUST ⚠",-1,0)),IF(CALC_BhaveshMap!$D$16="Mars",IF(CALC_CombustionCheck!$G$5="Cazimi ✓",0.5,IF(AND(CALC_CombustionCheck!$F$5="COMBUST ⚠",CALC_RetrogradeFix!$F$6="Rx ✓"),-0.5,IF(CALC_CombustionCheck!$F$5="COMBUST ⚠",-1,0))),IF(CALC_BhaveshMap!$D$16="Mercury",IF(CALC_CombustionCheck!$G$6="Cazimi ✓",0.5,IF(AND(CALC_CombustionCheck!$F$6="COMBUST ⚠",CALC_RetrogradeFix!$F$7="Rx ✓"),-0.5,IF(CALC_CombustionCheck!$F$6="COMBUST ⚠",-1,0))),IF(CALC_BhaveshMap!$D$16="Jupiter",IF(CALC_CombustionCheck!$G$7="Cazimi ✓",0.5,IF(AND(CALC_CombustionCheck!$F$7="COMBUST ⚠",CALC_RetrogradeFix!$F$8="Rx ✓"),-0.5,IF(CALC_CombustionCheck!$F$7="COMBUST ⚠",-1,0))),IF(CALC_BhaveshMap!$D$16="Venus",IF(CALC_CombustionCheck!$G$8="Cazimi ✓",0.5,IF(AND(CALC_CombustionCheck!$F$8="COMBUST ⚠",CALC_RetrogradeFix!$F$9="Rx ✓"),-0.5,IF(CALC_CombustionCheck!$F$8="COMBUST ⚠",-1,0))),IF(CALC_BhaveshMap!$D$16="Saturn",IF(CALC_CombustionCheck!$G$9="Cazimi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BhaveshMap!$D$16="Rahu",CALC_BhaveshMap!$D$16="Ketu"),0,IF(ISNUMBER(MATCH(CALC_BhaveshMap!$D$16,{"Sun","Moon","Mars","Mercury","Jupiter","Venus","Saturn"},0)),IF(INDEX(CALC_DigBala!$F$4:$F$10,MATCH(CALC_BhaveshMap!$D$16,{"Sun","Moon","Mars","Mercury","Jupiter","Venus","Saturn"},0))="Yes",0.5,0),0)),0)</f>
        <v>0</v>
      </c>
      <c r="D28" s="400" t="s">
        <v>4647</v>
      </c>
    </row>
    <row r="29" spans="1:7" ht="27.75" customHeight="1" x14ac:dyDescent="0.2">
      <c r="A29" s="1120" t="s">
        <v>4648</v>
      </c>
      <c r="B29" s="296" t="s">
        <v>3372</v>
      </c>
      <c r="C29" s="1117">
        <f>IFERROR(IF(COUNTIFS(REF_PushkaraNavamsha!$A$4:$A$27,CALC_BhaveshMap!$G$16,REF_PushkaraNavamsha!$B$4:$B$27,INDEX(CALC_PlanetPositions!$G$7:$G$15,MATCH(CALC_BhaveshMap!$D$16,CALC_PlanetPositions!$A$7:$A$15,0)))&gt;0,0.5,0),0)</f>
        <v>0</v>
      </c>
      <c r="D29" s="400" t="s">
        <v>4649</v>
      </c>
    </row>
    <row r="30" spans="1:7" ht="25.5" customHeight="1" x14ac:dyDescent="0.2">
      <c r="A30" s="147" t="s">
        <v>4650</v>
      </c>
      <c r="B30" s="1121" t="s">
        <v>4651</v>
      </c>
      <c r="C30" s="1122">
        <f>IFERROR(IF(ISNUMBER(MATCH(CALC_BhaveshMap!$D$16,{"Sun","Moon","Mars","Mercury","Jupiter","Venus","Saturn"},0)),INDEX(CALC_RetrogradeFix!$G$4:$G$10,MATCH(CALC_BhaveshMap!$D$16,{"Sun","Moon","Mars","Mercury","Jupiter","Venus","Saturn"},0)),0),0)</f>
        <v>0</v>
      </c>
      <c r="D30" s="1123" t="s">
        <v>4652</v>
      </c>
    </row>
    <row r="31" spans="1:7" ht="18" customHeight="1" x14ac:dyDescent="0.2">
      <c r="A31" s="1555" t="s">
        <v>4653</v>
      </c>
      <c r="B31" s="1555"/>
      <c r="C31" s="1555"/>
      <c r="D31" s="1555"/>
      <c r="E31" s="1124" t="s">
        <v>4654</v>
      </c>
      <c r="F31" s="1125">
        <f>IFERROR(IF(CALC_Ashtakavarga!M$15&gt;28,0.5,IF(CALC_Ashtakavarga!M$15&lt;22,-0.5,0)),0)</f>
        <v>0.5</v>
      </c>
      <c r="G31" s="1126" t="s">
        <v>4655</v>
      </c>
    </row>
    <row r="32" spans="1:7" ht="18" customHeight="1" x14ac:dyDescent="0.2">
      <c r="A32" s="189" t="s">
        <v>3367</v>
      </c>
      <c r="B32" s="1127" t="s">
        <v>4656</v>
      </c>
      <c r="C32" s="1128">
        <f>IFERROR(SUM(C5:C7),0)</f>
        <v>0.75</v>
      </c>
      <c r="D32" s="1129"/>
    </row>
    <row r="33" spans="1:4" ht="18" customHeight="1" x14ac:dyDescent="0.2">
      <c r="A33" s="189" t="s">
        <v>3372</v>
      </c>
      <c r="B33" s="1127" t="s">
        <v>4657</v>
      </c>
      <c r="C33" s="1128">
        <f>IFERROR(SUM(C9:C13,C28:C30,F31,0),0)</f>
        <v>0.5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-0.5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-0.25</v>
      </c>
      <c r="D37" s="1129"/>
    </row>
    <row r="38" spans="1:4" ht="21.75" customHeight="1" x14ac:dyDescent="0.2">
      <c r="A38" s="89" t="s">
        <v>4661</v>
      </c>
      <c r="B38" s="1129"/>
      <c r="C38" s="1131">
        <f>IFERROR(MAX(-10,MIN(10,C37)),0)</f>
        <v>-0.25</v>
      </c>
      <c r="D38" s="1132"/>
    </row>
    <row r="39" spans="1:4" ht="18" customHeight="1" x14ac:dyDescent="0.2">
      <c r="A39" s="517" t="s">
        <v>4662</v>
      </c>
      <c r="B39" s="1129"/>
      <c r="C39" s="1133">
        <f>IFERROR(CALC_LagneshStrength!$I$4,0)</f>
        <v>0</v>
      </c>
      <c r="D39" s="1129"/>
    </row>
    <row r="40" spans="1:4" ht="25.5" customHeight="1" x14ac:dyDescent="0.2">
      <c r="A40" s="1157" t="s">
        <v>4663</v>
      </c>
      <c r="B40" s="1129"/>
      <c r="C40" s="1158">
        <f>IFERROR(MAX(-10,MIN(10,C38+C39)),0)</f>
        <v>-0.25</v>
      </c>
      <c r="D40" s="1159" t="str">
        <f>IFERROR(IF(C40&gt;=7,"Excellent — Liberation domain very strong",IF(C40&gt;=4,"Good — Liberation domain strong",IF(C40&gt;=1,"Moderate",IF(C40&gt;=-2,"Mixed — Liberation has challenges",IF(C40&gt;=-5,"Weak","Very weak — Liberation heavily afflicted"))))),"—")</f>
        <v>Mixed — Liberation has challenges</v>
      </c>
    </row>
    <row r="41" spans="1:4" ht="18" customHeight="1" x14ac:dyDescent="0.2">
      <c r="A41" s="338" t="s">
        <v>4664</v>
      </c>
      <c r="B41" s="1129"/>
      <c r="C41" s="470" t="str">
        <f>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4676</v>
      </c>
      <c r="B1" s="1518"/>
      <c r="C1" s="1518"/>
      <c r="D1" s="1518"/>
      <c r="L1" s="544" t="s">
        <v>2214</v>
      </c>
    </row>
    <row r="2" spans="1:12" ht="19.5" customHeight="1" x14ac:dyDescent="0.2">
      <c r="A2" s="1595" t="str">
        <f>IFERROR("Chandra Lagna: "&amp;CALC_PlanetPositions!$B$8&amp;"  ·  H1 sign: "&amp;CALC_ChandraLagna!$C$4,"—")</f>
        <v>Chandra Lagna: Cancer  ·  H1 sign: Cancer</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IFERROR((IFERROR(IF(INDEX(REF_Zodiac!$D$17:$O$17,MATCH(CALC_ChandraLagna!$C$4,REF_Zodiac!$D$3:$O$3,0))="Gentle",1,0),0))*0.5,0)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1)),AND(FALSE(),INDEX(REF_Aspects!$D$5:$O$13,8,MOD(1-(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1)),AND(FALSE(),INDEX(REF_Aspects!$D$5:$O$13,9,MOD(1-(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IFERROR(IF(AND(OR(CALC_ChandraLagna!$G$4="Yes",CALC_ChandraLagna!$H$4="Yes"),NOT(CALC_ChandraLagna!$I$4="Yes")),1,0)*IF(REF_Config!$B$6="KP",1.5,IF(REF_Config!$B$6="Jaimini",1.5,2)),0)</f>
        <v>2</v>
      </c>
      <c r="D9" s="403" t="s">
        <v>4612</v>
      </c>
    </row>
    <row r="10" spans="1:12" ht="27.75" customHeight="1" x14ac:dyDescent="0.2">
      <c r="A10" s="121" t="s">
        <v>4613</v>
      </c>
      <c r="B10" s="357" t="s">
        <v>3093</v>
      </c>
      <c r="C10" s="1117">
        <f>IFERROR((IFERROR(IF(OR(AND(CALC_ChandraLagna!$E$4=CALC_ChandraLagna!$E$4,CALC_ChandraLagna!$D$4&lt;&gt;CALC_ChandraLagna!$D$4),AND(CALC_ChandraLagna!$E$7=CALC_ChandraLagna!$E$4,CALC_ChandraLagna!$D$7&lt;&gt;CALC_ChandraLagna!$D$4),AND(CALC_ChandraLagna!$E$8=CALC_ChandraLagna!$E$4,CALC_ChandraLagna!$D$8&lt;&gt;CALC_ChandraLagna!$D$4),AND(CALC_ChandraLagna!$E$10=CALC_ChandraLagna!$E$4,CALC_ChandraLagna!$D$10&lt;&gt;CALC_ChandraLagna!$D$4),AND(CALC_ChandraLagna!$E$12=CALC_ChandraLagna!$E$4,CALC_ChandraLagna!$D$12&lt;&gt;CALC_ChandraLagna!$D$4),AND(CALC_ChandraLagna!$E$13=CALC_ChandraLagna!$E$4,CALC_ChandraLagna!$D$13&lt;&gt;CALC_ChandraLagna!$D$4)),1,0),0))*0.5,0)</f>
        <v>0.5</v>
      </c>
      <c r="D10" s="400" t="s">
        <v>4614</v>
      </c>
    </row>
    <row r="11" spans="1:12" ht="27.75" customHeight="1" x14ac:dyDescent="0.2">
      <c r="A11" s="121" t="s">
        <v>4615</v>
      </c>
      <c r="B11" s="203" t="s">
        <v>4540</v>
      </c>
      <c r="C11" s="1118">
        <f>IFERROR((IFERROR(IF(OR(AND(OR(CALC_PlanetPositions!$M$7="Benefic",CALC_PlanetPositions!$M$7="Yogakaraka"),CALC_PlanetPositions!$B$7=CALC_ChandraLagna!$E$4,CALC_ChandraLagna!$D$4&lt;&gt;"Sun"),AND(OR(CALC_PlanetPositions!$M$8="Benefic",CALC_PlanetPositions!$M$8="Yogakaraka"),CALC_PlanetPositions!$B$8=CALC_ChandraLagna!$E$4,CALC_ChandraLagna!$D$4&lt;&gt;"Moon"),AND(OR(CALC_PlanetPositions!$M$9="Benefic",CALC_PlanetPositions!$M$9="Yogakaraka"),CALC_PlanetPositions!$B$9=CALC_ChandraLagna!$E$4,CALC_ChandraLagna!$D$4&lt;&gt;"Mars"),AND(OR(CALC_PlanetPositions!$M$10="Benefic",CALC_PlanetPositions!$M$10="Yogakaraka"),CALC_PlanetPositions!$B$10=CALC_ChandraLagna!$E$4,CALC_ChandraLagna!$D$4&lt;&gt;"Mercury"),AND(OR(CALC_PlanetPositions!$M$11="Benefic",CALC_PlanetPositions!$M$11="Yogakaraka"),CALC_PlanetPositions!$B$11=CALC_ChandraLagna!$E$4,CALC_ChandraLagna!$D$4&lt;&gt;"Jupiter"),AND(OR(CALC_PlanetPositions!$M$12="Benefic",CALC_PlanetPositions!$M$12="Yogakaraka"),CALC_PlanetPositions!$B$12=CALC_ChandraLagna!$E$4,CALC_ChandraLagna!$D$4&lt;&gt;"Venus"),AND(OR(CALC_PlanetPositions!$M$13="Benefic",CALC_PlanetPositions!$M$13="Yogakaraka"),CALC_PlanetPositions!$B$13=CALC_ChandraLagna!$E$4,CALC_ChandraLagna!$D$4&lt;&gt;"Saturn")),1,0),0))*IF(OR(AND(CALC_PlanetPositions!$M$7="Yogakaraka",CALC_PlanetPositions!$B$7=CALC_ChandraLagna!$E$4,CALC_ChandraLagna!$D$4&lt;&gt;"Sun"),AND(CALC_PlanetPositions!$M$8="Yogakaraka",CALC_PlanetPositions!$B$8=CALC_ChandraLagna!$E$4,CALC_ChandraLagna!$D$4&lt;&gt;"Moon"),AND(CALC_PlanetPositions!$M$9="Yogakaraka",CALC_PlanetPositions!$B$9=CALC_ChandraLagna!$E$4,CALC_ChandraLagna!$D$4&lt;&gt;"Mars"),AND(CALC_PlanetPositions!$M$10="Yogakaraka",CALC_PlanetPositions!$B$10=CALC_ChandraLagna!$E$4,CALC_ChandraLagna!$D$4&lt;&gt;"Mercury"),AND(CALC_PlanetPositions!$M$11="Yogakaraka",CALC_PlanetPositions!$B$11=CALC_ChandraLagna!$E$4,CALC_ChandraLagna!$D$4&lt;&gt;"Jupiter"),AND(CALC_PlanetPositions!$M$12="Yogakaraka",CALC_PlanetPositions!$B$12=CALC_ChandraLagna!$E$4,CALC_ChandraLagna!$D$4&lt;&gt;"Venus"),AND(CALC_PlanetPositions!$M$13="Yogakaraka",CALC_PlanetPositions!$B$13=CALC_ChandraLagna!$E$4,CALC_ChandraLagna!$D$4&lt;&gt;"Saturn")),1.5,1),0)</f>
        <v>1.5</v>
      </c>
      <c r="D11" s="403" t="s">
        <v>4616</v>
      </c>
    </row>
    <row r="12" spans="1:12" ht="27.75" customHeight="1" x14ac:dyDescent="0.2">
      <c r="A12" s="121" t="s">
        <v>4617</v>
      </c>
      <c r="B12" s="357" t="s">
        <v>4542</v>
      </c>
      <c r="C12" s="1117">
        <f>IFERROR((IFERROR(IF(OR(AND(OR(CALC_PlanetPositions!$M$7="Benefic",CALC_PlanetPositions!$M$7="Yogakaraka"),INDEX(REF_Aspects!$D$5:$O$13,1,MOD(CALC_ChandraLagna!$F$4-(MOD(MATCH(CALC_PlanetPositions!$B$7,{"Aries","Taurus","Gemini","Cancer","Leo","Virgo","Libra","Scorpio","Sagittarius","Capricorn","Aquarius","Pisces"},0)-MATCH(CALC_PlanetPositions!$B$8,{"Aries","Taurus","Gemini","Cancer","Leo","Virgo","Libra","Scorpio","Sagittarius","Capricorn","Aquarius","Pisces"},0),12)+1),12)+1)="FULL",NOT(CALC_PlanetPositions!$B$7=CALC_ChandraLagna!$E$4)),AND(OR(CALC_PlanetPositions!$M$8="Benefic",CALC_PlanetPositions!$M$8="Yogakaraka"),INDEX(REF_Aspects!$D$5:$O$13,2,MOD(CALC_ChandraLagna!$F$4-(MOD(MATCH(CALC_PlanetPositions!$B$8,{"Aries","Taurus","Gemini","Cancer","Leo","Virgo","Libra","Scorpio","Sagittarius","Capricorn","Aquarius","Pisces"},0)-MATCH(CALC_PlanetPositions!$B$8,{"Aries","Taurus","Gemini","Cancer","Leo","Virgo","Libra","Scorpio","Sagittarius","Capricorn","Aquarius","Pisces"},0),12)+1),12)+1)="FULL",NOT(CALC_PlanetPositions!$B$8=CALC_ChandraLagna!$E$4)),AND(OR(CALC_PlanetPositions!$M$9="Benefic",CALC_PlanetPositions!$M$9="Yogakaraka"),INDEX(REF_Aspects!$D$5:$O$13,3,MOD(CALC_ChandraLagna!$F$4-(MOD(MATCH(CALC_PlanetPositions!$B$9,{"Aries","Taurus","Gemini","Cancer","Leo","Virgo","Libra","Scorpio","Sagittarius","Capricorn","Aquarius","Pisces"},0)-MATCH(CALC_PlanetPositions!$B$8,{"Aries","Taurus","Gemini","Cancer","Leo","Virgo","Libra","Scorpio","Sagittarius","Capricorn","Aquarius","Pisces"},0),12)+1),12)+1)="FULL",NOT(CALC_PlanetPositions!$B$9=CALC_ChandraLagna!$E$4)),AND(OR(CALC_PlanetPositions!$M$10="Benefic",CALC_PlanetPositions!$M$10="Yogakaraka"),INDEX(REF_Aspects!$D$5:$O$13,4,MOD(CALC_ChandraLagna!$F$4-(MOD(MATCH(CALC_PlanetPositions!$B$10,{"Aries","Taurus","Gemini","Cancer","Leo","Virgo","Libra","Scorpio","Sagittarius","Capricorn","Aquarius","Pisces"},0)-MATCH(CALC_PlanetPositions!$B$8,{"Aries","Taurus","Gemini","Cancer","Leo","Virgo","Libra","Scorpio","Sagittarius","Capricorn","Aquarius","Pisces"},0),12)+1),12)+1)="FULL",NOT(CALC_PlanetPositions!$B$10=CALC_ChandraLagna!$E$4)),AND(OR(CALC_PlanetPositions!$M$11="Benefic",CALC_PlanetPositions!$M$11="Yogakaraka"),INDEX(REF_Aspects!$D$5:$O$13,5,MOD(CALC_ChandraLagna!$F$4-(MOD(MATCH(CALC_PlanetPositions!$B$11,{"Aries","Taurus","Gemini","Cancer","Leo","Virgo","Libra","Scorpio","Sagittarius","Capricorn","Aquarius","Pisces"},0)-MATCH(CALC_PlanetPositions!$B$8,{"Aries","Taurus","Gemini","Cancer","Leo","Virgo","Libra","Scorpio","Sagittarius","Capricorn","Aquarius","Pisces"},0),12)+1),12)+1)="FULL",NOT(CALC_PlanetPositions!$B$11=CALC_ChandraLagna!$E$4)),AND(OR(CALC_PlanetPositions!$M$12="Benefic",CALC_PlanetPositions!$M$12="Yogakaraka"),INDEX(REF_Aspects!$D$5:$O$13,6,MOD(CALC_ChandraLagna!$F$4-(MOD(MATCH(CALC_PlanetPositions!$B$12,{"Aries","Taurus","Gemini","Cancer","Leo","Virgo","Libra","Scorpio","Sagittarius","Capricorn","Aquarius","Pisces"},0)-MATCH(CALC_PlanetPositions!$B$8,{"Aries","Taurus","Gemini","Cancer","Leo","Virgo","Libra","Scorpio","Sagittarius","Capricorn","Aquarius","Pisces"},0),12)+1),12)+1)="FULL",NOT(CALC_PlanetPositions!$B$12=CALC_ChandraLagna!$E$4)),AND(OR(CALC_PlanetPositions!$M$13="Benefic",CALC_PlanetPositions!$M$13="Yogakaraka"),INDEX(REF_Aspects!$D$5:$O$13,7,MOD(CALC_ChandraLagna!$F$4-(MOD(MATCH(CALC_PlanetPositions!$B$13,{"Aries","Taurus","Gemini","Cancer","Leo","Virgo","Libra","Scorpio","Sagittarius","Capricorn","Aquarius","Pisces"},0)-MATCH(CALC_PlanetPositions!$B$8,{"Aries","Taurus","Gemini","Cancer","Leo","Virgo","Libra","Scorpio","Sagittarius","Capricorn","Aquarius","Pisces"},0),12)+1),12)+1)="FULL",NOT(CALC_PlanetPositions!$B$13=CALC_ChandraLagna!$E$4)),AND(FALSE(),INDEX(REF_Aspects!$D$5:$O$13,8,MOD(CALC_ChandraLagna!$F$4-(MOD(MATCH(CALC_PlanetPositions!$B$14,{"Aries","Taurus","Gemini","Cancer","Leo","Virgo","Libra","Scorpio","Sagittarius","Capricorn","Aquarius","Pisces"},0)-MATCH(CALC_PlanetPositions!$B$8,{"Aries","Taurus","Gemini","Cancer","Leo","Virgo","Libra","Scorpio","Sagittarius","Capricorn","Aquarius","Pisces"},0),12)+1),12)+1)="FULL",NOT(CALC_PlanetPositions!$B$14=CALC_ChandraLagna!$E$4)),AND(FALSE(),INDEX(REF_Aspects!$D$5:$O$13,9,MOD(CALC_ChandraLagna!$F$4-(MOD(MATCH(CALC_PlanetPositions!$B$15,{"Aries","Taurus","Gemini","Cancer","Leo","Virgo","Libra","Scorpio","Sagittarius","Capricorn","Aquarius","Pisces"},0)-MATCH(CALC_PlanetPositions!$B$8,{"Aries","Taurus","Gemini","Cancer","Leo","Virgo","Libra","Scorpio","Sagittarius","Capricorn","Aquarius","Pisces"},0),12)+1),12)+1)="FULL",NOT(CALC_PlanetPositions!$B$15=CALC_ChandraLagna!$E$4))),1,0),0))*0.5,0)</f>
        <v>0</v>
      </c>
      <c r="D12" s="400" t="s">
        <v>4618</v>
      </c>
    </row>
    <row r="13" spans="1:12" ht="27.75" customHeight="1" x14ac:dyDescent="0.2">
      <c r="A13" s="121"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$4-2,12)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$4-2,12)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$4-2,12)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$4-2,12)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$4-2,12)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$4-2,12)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$4-2,12)+1)),AND(FALSE(),MOD(MATCH(CALC_PlanetPositions!$B$14,{"Aries","Taurus","Gemini","Cancer","Leo","Virgo","Libra","Scorpio","Sagittarius","Capricorn","Aquarius","Pisces"},0)-MATCH(CALC_PlanetPositions!$B$8,{"Aries","Taurus","Gemini","Cancer","Leo","Virgo","Libra","Scorpio","Sagittarius","Capricorn","Aquarius","Pisces"},0),12)+1=(MOD(CALC_ChandraLagna!$F$4-2,12)+1)),AND(FALSE(),MOD(MATCH(CALC_PlanetPositions!$B$15,{"Aries","Taurus","Gemini","Cancer","Leo","Virgo","Libra","Scorpio","Sagittarius","Capricorn","Aquarius","Pisces"},0)-MATCH(CALC_PlanetPositions!$B$8,{"Aries","Taurus","Gemini","Cancer","Leo","Virgo","Libra","Scorpio","Sagittarius","Capricorn","Aquarius","Pisces"},0),12)+1=(MOD(CALC_ChandraLagna!$F$4-2,12)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$4,12)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$4,12)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$4,12)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$4,12)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$4,12)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$4,12)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$4,12)+1)),AND(FALSE(),MOD(MATCH(CALC_PlanetPositions!$B$14,{"Aries","Taurus","Gemini","Cancer","Leo","Virgo","Libra","Scorpio","Sagittarius","Capricorn","Aquarius","Pisces"},0)-MATCH(CALC_PlanetPositions!$B$8,{"Aries","Taurus","Gemini","Cancer","Leo","Virgo","Libra","Scorpio","Sagittarius","Capricorn","Aquarius","Pisces"},0),12)+1=(MOD(CALC_ChandraLagna!$F$4,12)+1)),AND(FALSE(),MOD(MATCH(CALC_PlanetPositions!$B$15,{"Aries","Taurus","Gemini","Cancer","Leo","Virgo","Libra","Scorpio","Sagittarius","Capricorn","Aquarius","Pisces"},0)-MATCH(CALC_PlanetPositions!$B$8,{"Aries","Taurus","Gemini","Cancer","Leo","Virgo","Libra","Scorpio","Sagittarius","Capricorn","Aquarius","Pisces"},0),12)+1=(MOD(CALC_ChandraLagna!$F$4,12)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1),AND(CALC_PlanetPositions!$M$8="Malefic",(MOD(MATCH(CALC_PlanetPositions!$B$8,{"Aries","Taurus","Gemini","Cancer","Leo","Virgo","Libra","Scorpio","Sagittarius","Capricorn","Aquarius","Pisces"},0)-MATCH(CALC_PlanetPositions!$B$8,{"Aries","Taurus","Gemini","Cancer","Leo","Virgo","Libra","Scorpio","Sagittarius","Capricorn","Aquarius","Pisces"},0),12)+1)=1),AND(CALC_PlanetPositions!$M$9="Malefic",(MOD(MATCH(CALC_PlanetPositions!$B$9,{"Aries","Taurus","Gemini","Cancer","Leo","Virgo","Libra","Scorpio","Sagittarius","Capricorn","Aquarius","Pisces"},0)-MATCH(CALC_PlanetPositions!$B$8,{"Aries","Taurus","Gemini","Cancer","Leo","Virgo","Libra","Scorpio","Sagittarius","Capricorn","Aquarius","Pisces"},0),12)+1)=1),AND(CALC_PlanetPositions!$M$10="Malefic",(MOD(MATCH(CALC_PlanetPositions!$B$10,{"Aries","Taurus","Gemini","Cancer","Leo","Virgo","Libra","Scorpio","Sagittarius","Capricorn","Aquarius","Pisces"},0)-MATCH(CALC_PlanetPositions!$B$8,{"Aries","Taurus","Gemini","Cancer","Leo","Virgo","Libra","Scorpio","Sagittarius","Capricorn","Aquarius","Pisces"},0),12)+1)=1),AND(CALC_PlanetPositions!$M$11="Malefic",(MOD(MATCH(CALC_PlanetPositions!$B$11,{"Aries","Taurus","Gemini","Cancer","Leo","Virgo","Libra","Scorpio","Sagittarius","Capricorn","Aquarius","Pisces"},0)-MATCH(CALC_PlanetPositions!$B$8,{"Aries","Taurus","Gemini","Cancer","Leo","Virgo","Libra","Scorpio","Sagittarius","Capricorn","Aquarius","Pisces"},0),12)+1)=1),AND(CALC_PlanetPositions!$M$12="Malefic",(MOD(MATCH(CALC_PlanetPositions!$B$12,{"Aries","Taurus","Gemini","Cancer","Leo","Virgo","Libra","Scorpio","Sagittarius","Capricorn","Aquarius","Pisces"},0)-MATCH(CALC_PlanetPositions!$B$8,{"Aries","Taurus","Gemini","Cancer","Leo","Virgo","Libra","Scorpio","Sagittarius","Capricorn","Aquarius","Pisces"},0),12)+1)=1),AND(CALC_PlanetPositions!$M$13="Malefic",(MOD(MATCH(CALC_PlanetPositions!$B$13,{"Aries","Taurus","Gemini","Cancer","Leo","Virgo","Libra","Scorpio","Sagittarius","Capricorn","Aquarius","Pisces"},0)-MATCH(CALC_PlanetPositions!$B$8,{"Aries","Taurus","Gemini","Cancer","Leo","Virgo","Libra","Scorpio","Sagittarius","Capricorn","Aquarius","Pisces"},0),12)+1)=1),AND(TRUE(),(MOD(MATCH(CALC_PlanetPositions!$B$14,{"Aries","Taurus","Gemini","Cancer","Leo","Virgo","Libra","Scorpio","Sagittarius","Capricorn","Aquarius","Pisces"},0)-MATCH(CALC_PlanetPositions!$B$8,{"Aries","Taurus","Gemini","Cancer","Leo","Virgo","Libra","Scorpio","Sagittarius","Capricorn","Aquarius","Pisces"},0),12)+1)=1),AND(TRUE(),(MOD(MATCH(CALC_PlanetPositions!$B$15,{"Aries","Taurus","Gemini","Cancer","Leo","Virgo","Libra","Scorpio","Sagittarius","Capricorn","Aquarius","Pisces"},0)-MATCH(CALC_PlanetPositions!$B$8,{"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1)),AND(CALC_PlanetPositions!$M$8="Malefic",INDEX(REF_Aspects!$D$5:$O$13,2,MOD(1-(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1)),AND(CALC_PlanetPositions!$M$9="Malefic",INDEX(REF_Aspects!$D$5:$O$13,3,MOD(1-(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1)),AND(CALC_PlanetPositions!$M$10="Malefic",INDEX(REF_Aspects!$D$5:$O$13,4,MOD(1-(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1)),AND(CALC_PlanetPositions!$M$11="Malefic",INDEX(REF_Aspects!$D$5:$O$13,5,MOD(1-(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1)),AND(CALC_PlanetPositions!$M$12="Malefic",INDEX(REF_Aspects!$D$5:$O$13,6,MOD(1-(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1)),AND(CALC_PlanetPositions!$M$13="Malefic",INDEX(REF_Aspects!$D$5:$O$13,7,MOD(1-(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1)),AND(TRUE(),INDEX(REF_Aspects!$D$5:$O$13,8,MOD(1-(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1)),AND(TRUE(),INDEX(REF_Aspects!$D$5:$O$13,9,MOD(1-(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(12)),AND(CALC_PlanetPositions!$M$8="Malefic",MOD(MATCH(CALC_PlanetPositions!$B$8,{"Aries","Taurus","Gemini","Cancer","Leo","Virgo","Libra","Scorpio","Sagittarius","Capricorn","Aquarius","Pisces"},0)-MATCH(CALC_PlanetPositions!$B$8,{"Aries","Taurus","Gemini","Cancer","Leo","Virgo","Libra","Scorpio","Sagittarius","Capricorn","Aquarius","Pisces"},0),12)+1=(12)),AND(CALC_PlanetPositions!$M$9="Malefic",MOD(MATCH(CALC_PlanetPositions!$B$9,{"Aries","Taurus","Gemini","Cancer","Leo","Virgo","Libra","Scorpio","Sagittarius","Capricorn","Aquarius","Pisces"},0)-MATCH(CALC_PlanetPositions!$B$8,{"Aries","Taurus","Gemini","Cancer","Leo","Virgo","Libra","Scorpio","Sagittarius","Capricorn","Aquarius","Pisces"},0),12)+1=(12)),AND(CALC_PlanetPositions!$M$10="Malefic",MOD(MATCH(CALC_PlanetPositions!$B$10,{"Aries","Taurus","Gemini","Cancer","Leo","Virgo","Libra","Scorpio","Sagittarius","Capricorn","Aquarius","Pisces"},0)-MATCH(CALC_PlanetPositions!$B$8,{"Aries","Taurus","Gemini","Cancer","Leo","Virgo","Libra","Scorpio","Sagittarius","Capricorn","Aquarius","Pisces"},0),12)+1=(12)),AND(CALC_PlanetPositions!$M$11="Malefic",MOD(MATCH(CALC_PlanetPositions!$B$11,{"Aries","Taurus","Gemini","Cancer","Leo","Virgo","Libra","Scorpio","Sagittarius","Capricorn","Aquarius","Pisces"},0)-MATCH(CALC_PlanetPositions!$B$8,{"Aries","Taurus","Gemini","Cancer","Leo","Virgo","Libra","Scorpio","Sagittarius","Capricorn","Aquarius","Pisces"},0),12)+1=(12)),AND(CALC_PlanetPositions!$M$12="Malefic",MOD(MATCH(CALC_PlanetPositions!$B$12,{"Aries","Taurus","Gemini","Cancer","Leo","Virgo","Libra","Scorpio","Sagittarius","Capricorn","Aquarius","Pisces"},0)-MATCH(CALC_PlanetPositions!$B$8,{"Aries","Taurus","Gemini","Cancer","Leo","Virgo","Libra","Scorpio","Sagittarius","Capricorn","Aquarius","Pisces"},0),12)+1=(12)),AND(CALC_PlanetPositions!$M$13="Malefic",MOD(MATCH(CALC_PlanetPositions!$B$13,{"Aries","Taurus","Gemini","Cancer","Leo","Virgo","Libra","Scorpio","Sagittarius","Capricorn","Aquarius","Pisces"},0)-MATCH(CALC_PlanetPositions!$B$8,{"Aries","Taurus","Gemini","Cancer","Leo","Virgo","Libra","Scorpio","Sagittarius","Capricorn","Aquarius","Pisces"},0),12)+1=(12)),AND(TRUE(),MOD(MATCH(CALC_PlanetPositions!$B$14,{"Aries","Taurus","Gemini","Cancer","Leo","Virgo","Libra","Scorpio","Sagittarius","Capricorn","Aquarius","Pisces"},0)-MATCH(CALC_PlanetPositions!$B$8,{"Aries","Taurus","Gemini","Cancer","Leo","Virgo","Libra","Scorpio","Sagittarius","Capricorn","Aquarius","Pisces"},0),12)+1=(12)),AND(TRUE(),MOD(MATCH(CALC_PlanetPositions!$B$15,{"Aries","Taurus","Gemini","Cancer","Leo","Virgo","Libra","Scorpio","Sagittarius","Capricorn","Aquarius","Pisces"},0)-MATCH(CALC_PlanetPositions!$B$8,{"Aries","Taurus","Gemini","Cancer","Leo","Virgo","Libra","Scorpio","Sagittarius","Capricorn","Aquarius","Pisces"},0),12)+1=(12))),OR(AND(CALC_PlanetPositions!$M$7="Malefic",MOD(MATCH(CALC_PlanetPositions!$B$7,{"Aries","Taurus","Gemini","Cancer","Leo","Virgo","Libra","Scorpio","Sagittarius","Capricorn","Aquarius","Pisces"},0)-MATCH(CALC_PlanetPositions!$B$8,{"Aries","Taurus","Gemini","Cancer","Leo","Virgo","Libra","Scorpio","Sagittarius","Capricorn","Aquarius","Pisces"},0),12)+1=(MOD(1,12)+1)),AND(CALC_PlanetPositions!$M$8="Malefic",MOD(MATCH(CALC_PlanetPositions!$B$8,{"Aries","Taurus","Gemini","Cancer","Leo","Virgo","Libra","Scorpio","Sagittarius","Capricorn","Aquarius","Pisces"},0)-MATCH(CALC_PlanetPositions!$B$8,{"Aries","Taurus","Gemini","Cancer","Leo","Virgo","Libra","Scorpio","Sagittarius","Capricorn","Aquarius","Pisces"},0),12)+1=(MOD(1,12)+1)),AND(CALC_PlanetPositions!$M$9="Malefic",MOD(MATCH(CALC_PlanetPositions!$B$9,{"Aries","Taurus","Gemini","Cancer","Leo","Virgo","Libra","Scorpio","Sagittarius","Capricorn","Aquarius","Pisces"},0)-MATCH(CALC_PlanetPositions!$B$8,{"Aries","Taurus","Gemini","Cancer","Leo","Virgo","Libra","Scorpio","Sagittarius","Capricorn","Aquarius","Pisces"},0),12)+1=(MOD(1,12)+1)),AND(CALC_PlanetPositions!$M$10="Malefic",MOD(MATCH(CALC_PlanetPositions!$B$10,{"Aries","Taurus","Gemini","Cancer","Leo","Virgo","Libra","Scorpio","Sagittarius","Capricorn","Aquarius","Pisces"},0)-MATCH(CALC_PlanetPositions!$B$8,{"Aries","Taurus","Gemini","Cancer","Leo","Virgo","Libra","Scorpio","Sagittarius","Capricorn","Aquarius","Pisces"},0),12)+1=(MOD(1,12)+1)),AND(CALC_PlanetPositions!$M$11="Malefic",MOD(MATCH(CALC_PlanetPositions!$B$11,{"Aries","Taurus","Gemini","Cancer","Leo","Virgo","Libra","Scorpio","Sagittarius","Capricorn","Aquarius","Pisces"},0)-MATCH(CALC_PlanetPositions!$B$8,{"Aries","Taurus","Gemini","Cancer","Leo","Virgo","Libra","Scorpio","Sagittarius","Capricorn","Aquarius","Pisces"},0),12)+1=(MOD(1,12)+1)),AND(CALC_PlanetPositions!$M$12="Malefic",MOD(MATCH(CALC_PlanetPositions!$B$12,{"Aries","Taurus","Gemini","Cancer","Leo","Virgo","Libra","Scorpio","Sagittarius","Capricorn","Aquarius","Pisces"},0)-MATCH(CALC_PlanetPositions!$B$8,{"Aries","Taurus","Gemini","Cancer","Leo","Virgo","Libra","Scorpio","Sagittarius","Capricorn","Aquarius","Pisces"},0),12)+1=(MOD(1,12)+1)),AND(CALC_PlanetPositions!$M$13="Malefic",MOD(MATCH(CALC_PlanetPositions!$B$13,{"Aries","Taurus","Gemini","Cancer","Leo","Virgo","Libra","Scorpio","Sagittarius","Capricorn","Aquarius","Pisces"},0)-MATCH(CALC_PlanetPositions!$B$8,{"Aries","Taurus","Gemini","Cancer","Leo","Virgo","Libra","Scorpio","Sagittarius","Capricorn","Aquarius","Pisces"},0),12)+1=(MOD(1,12)+1)),AND(TRUE(),MOD(MATCH(CALC_PlanetPositions!$B$14,{"Aries","Taurus","Gemini","Cancer","Leo","Virgo","Libra","Scorpio","Sagittarius","Capricorn","Aquarius","Pisces"},0)-MATCH(CALC_PlanetPositions!$B$8,{"Aries","Taurus","Gemini","Cancer","Leo","Virgo","Libra","Scorpio","Sagittarius","Capricorn","Aquarius","Pisces"},0),12)+1=(MOD(1,12)+1)),AND(TRUE(),MOD(MATCH(CALC_PlanetPositions!$B$15,{"Aries","Taurus","Gemini","Cancer","Leo","Virgo","Libra","Scorpio","Sagittarius","Capricorn","Aquarius","Pisces"},0)-MATCH(CALC_PlanetPositions!$B$8,{"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IFERROR((IFERROR(IF(OR(AND(CALC_PlanetPositions!$M$7="Malefic",INDEX(REF_Aspects!$D$5:$O$13,1,MOD(CALC_ChandraLagna!$F$4-(MOD(MATCH(CALC_PlanetPositions!$B$7,{"Aries","Taurus","Gemini","Cancer","Leo","Virgo","Libra","Scorpio","Sagittarius","Capricorn","Aquarius","Pisces"},0)-MATCH(CALC_PlanetPositions!$B$8,{"Aries","Taurus","Gemini","Cancer","Leo","Virgo","Libra","Scorpio","Sagittarius","Capricorn","Aquarius","Pisces"},0),12)+1),12)+1)="FULL",NOT(CALC_PlanetPositions!$B$7=CALC_ChandraLagna!$E$4)),AND(CALC_PlanetPositions!$M$8="Malefic",INDEX(REF_Aspects!$D$5:$O$13,2,MOD(CALC_ChandraLagna!$F$4-(MOD(MATCH(CALC_PlanetPositions!$B$8,{"Aries","Taurus","Gemini","Cancer","Leo","Virgo","Libra","Scorpio","Sagittarius","Capricorn","Aquarius","Pisces"},0)-MATCH(CALC_PlanetPositions!$B$8,{"Aries","Taurus","Gemini","Cancer","Leo","Virgo","Libra","Scorpio","Sagittarius","Capricorn","Aquarius","Pisces"},0),12)+1),12)+1)="FULL",NOT(CALC_PlanetPositions!$B$8=CALC_ChandraLagna!$E$4)),AND(CALC_PlanetPositions!$M$9="Malefic",INDEX(REF_Aspects!$D$5:$O$13,3,MOD(CALC_ChandraLagna!$F$4-(MOD(MATCH(CALC_PlanetPositions!$B$9,{"Aries","Taurus","Gemini","Cancer","Leo","Virgo","Libra","Scorpio","Sagittarius","Capricorn","Aquarius","Pisces"},0)-MATCH(CALC_PlanetPositions!$B$8,{"Aries","Taurus","Gemini","Cancer","Leo","Virgo","Libra","Scorpio","Sagittarius","Capricorn","Aquarius","Pisces"},0),12)+1),12)+1)="FULL",NOT(CALC_PlanetPositions!$B$9=CALC_ChandraLagna!$E$4)),AND(CALC_PlanetPositions!$M$10="Malefic",INDEX(REF_Aspects!$D$5:$O$13,4,MOD(CALC_ChandraLagna!$F$4-(MOD(MATCH(CALC_PlanetPositions!$B$10,{"Aries","Taurus","Gemini","Cancer","Leo","Virgo","Libra","Scorpio","Sagittarius","Capricorn","Aquarius","Pisces"},0)-MATCH(CALC_PlanetPositions!$B$8,{"Aries","Taurus","Gemini","Cancer","Leo","Virgo","Libra","Scorpio","Sagittarius","Capricorn","Aquarius","Pisces"},0),12)+1),12)+1)="FULL",NOT(CALC_PlanetPositions!$B$10=CALC_ChandraLagna!$E$4)),AND(CALC_PlanetPositions!$M$11="Malefic",INDEX(REF_Aspects!$D$5:$O$13,5,MOD(CALC_ChandraLagna!$F$4-(MOD(MATCH(CALC_PlanetPositions!$B$11,{"Aries","Taurus","Gemini","Cancer","Leo","Virgo","Libra","Scorpio","Sagittarius","Capricorn","Aquarius","Pisces"},0)-MATCH(CALC_PlanetPositions!$B$8,{"Aries","Taurus","Gemini","Cancer","Leo","Virgo","Libra","Scorpio","Sagittarius","Capricorn","Aquarius","Pisces"},0),12)+1),12)+1)="FULL",NOT(CALC_PlanetPositions!$B$11=CALC_ChandraLagna!$E$4)),AND(CALC_PlanetPositions!$M$12="Malefic",INDEX(REF_Aspects!$D$5:$O$13,6,MOD(CALC_ChandraLagna!$F$4-(MOD(MATCH(CALC_PlanetPositions!$B$12,{"Aries","Taurus","Gemini","Cancer","Leo","Virgo","Libra","Scorpio","Sagittarius","Capricorn","Aquarius","Pisces"},0)-MATCH(CALC_PlanetPositions!$B$8,{"Aries","Taurus","Gemini","Cancer","Leo","Virgo","Libra","Scorpio","Sagittarius","Capricorn","Aquarius","Pisces"},0),12)+1),12)+1)="FULL",NOT(CALC_PlanetPositions!$B$12=CALC_ChandraLagna!$E$4)),AND(CALC_PlanetPositions!$M$13="Malefic",INDEX(REF_Aspects!$D$5:$O$13,7,MOD(CALC_ChandraLagna!$F$4-(MOD(MATCH(CALC_PlanetPositions!$B$13,{"Aries","Taurus","Gemini","Cancer","Leo","Virgo","Libra","Scorpio","Sagittarius","Capricorn","Aquarius","Pisces"},0)-MATCH(CALC_PlanetPositions!$B$8,{"Aries","Taurus","Gemini","Cancer","Leo","Virgo","Libra","Scorpio","Sagittarius","Capricorn","Aquarius","Pisces"},0),12)+1),12)+1)="FULL",NOT(CALC_PlanetPositions!$B$13=CALC_ChandraLagna!$E$4)),AND(TRUE(),INDEX(REF_Aspects!$D$5:$O$13,8,MOD(CALC_ChandraLagna!$F$4-(MOD(MATCH(CALC_PlanetPositions!$B$14,{"Aries","Taurus","Gemini","Cancer","Leo","Virgo","Libra","Scorpio","Sagittarius","Capricorn","Aquarius","Pisces"},0)-MATCH(CALC_PlanetPositions!$B$8,{"Aries","Taurus","Gemini","Cancer","Leo","Virgo","Libra","Scorpio","Sagittarius","Capricorn","Aquarius","Pisces"},0),12)+1),12)+1)="FULL",NOT(CALC_PlanetPositions!$B$14=CALC_ChandraLagna!$E$4)),AND(TRUE(),INDEX(REF_Aspects!$D$5:$O$13,9,MOD(CALC_ChandraLagna!$F$4-(MOD(MATCH(CALC_PlanetPositions!$B$15,{"Aries","Taurus","Gemini","Cancer","Leo","Virgo","Libra","Scorpio","Sagittarius","Capricorn","Aquarius","Pisces"},0)-MATCH(CALC_PlanetPositions!$B$8,{"Aries","Taurus","Gemini","Cancer","Leo","Virgo","Libra","Scorpio","Sagittarius","Capricorn","Aquarius","Pisces"},0),12)+1),12)+1)="FULL",NOT(CALC_PlanetPositions!$B$15=CALC_ChandraLagna!$E$4))),1,0),0))*-0.5,0)</f>
        <v>-0.5</v>
      </c>
      <c r="D21" s="403" t="s">
        <v>4634</v>
      </c>
    </row>
    <row r="22" spans="1:7" ht="27.75" customHeight="1" x14ac:dyDescent="0.2">
      <c r="A22" s="121" t="s">
        <v>4635</v>
      </c>
      <c r="B22" s="357" t="s">
        <v>3042</v>
      </c>
      <c r="C22" s="1117">
        <f>IFERROR((IFERROR(IF(CALC_ChandraLagna!$I$4="Yes",1,0),0))*IF(REF_Config!$B$6="KP",-1.75,IF(REF_Config!$B$6="Jaimini",-2,-2)),0)</f>
        <v>0</v>
      </c>
      <c r="D22" s="400" t="s">
        <v>4636</v>
      </c>
    </row>
    <row r="23" spans="1:7" ht="27.75" customHeight="1" x14ac:dyDescent="0.2">
      <c r="A23" s="121" t="s">
        <v>4637</v>
      </c>
      <c r="B23" s="203" t="s">
        <v>3059</v>
      </c>
      <c r="C23" s="1118">
        <f>IFERROR((IFERROR(IF(OR(AND(CALC_ChandraLagna!$E$9=CALC_ChandraLagna!$E$4,CALC_ChandraLagna!$D$9&lt;&gt;CALC_ChandraLagna!$D$4),AND(CALC_ChandraLagna!$E$11=CALC_ChandraLagna!$E$4,CALC_ChandraLagna!$D$11&lt;&gt;CALC_ChandraLagna!$D$4),AND(CALC_ChandraLagna!$E$15=CALC_ChandraLagna!$E$4,CALC_ChandraLagna!$D$15&lt;&gt;CALC_ChandraLagna!$D$4)),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IFERROR(IF(OR(CALC_ChandraLagna!$D$4="Sun",CALC_ChandraLagna!$D$4="Rahu",CALC_ChandraLagna!$D$4="Ketu"),0,IF(CALC_ChandraLagna!$D$4="Moon",IF(CALC_CombustionCheck!$G$4="Cazimi ✓",0.5,IF(CALC_CombustionCheck!$F$4="COMBUST ⚠",-1,0)),IF(CALC_ChandraLagna!$D$4="Mars",IF(CALC_CombustionCheck!$G$5="Cazimi ✓",0.5,IF(AND(CALC_CombustionCheck!$F$5="COMBUST ⚠",CALC_RetrogradeFix!$F$6="Rx ✓"),-0.5,IF(CALC_CombustionCheck!$F$5="COMBUST ⚠",-1,0))),IF(CALC_ChandraLagna!$D$4="Mercury",IF(CALC_CombustionCheck!$G$6="Cazimi ✓",0.5,IF(AND(CALC_CombustionCheck!$F$6="COMBUST ⚠",CALC_RetrogradeFix!$F$7="Rx ✓"),-0.5,IF(CALC_CombustionCheck!$F$6="COMBUST ⚠",-1,0))),IF(CALC_ChandraLagna!$D$4="Jupiter",IF(CALC_CombustionCheck!$G$7="Cazimi ✓",0.5,IF(AND(CALC_CombustionCheck!$F$7="COMBUST ⚠",CALC_RetrogradeFix!$F$8="Rx ✓"),-0.5,IF(CALC_CombustionCheck!$F$7="COMBUST ⚠",-1,0))),IF(CALC_ChandraLagna!$D$4="Venus",IF(CALC_CombustionCheck!$G$8="Cazimi ✓",0.5,IF(AND(CALC_CombustionCheck!$F$8="COMBUST ⚠",CALC_RetrogradeFix!$F$9="Rx ✓"),-0.5,IF(CALC_CombustionCheck!$F$8="COMBUST ⚠",-1,0))),IF(CALC_ChandraLagna!$D$4="Saturn",IF(CALC_CombustionCheck!$G$9="Cazimi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ChandraLagna!$D$4="Rahu",CALC_ChandraLagna!$D$4="Ketu"),0,IF(ISNUMBER(MATCH(CALC_ChandraLagna!$D$4,{"Sun","Moon","Mars","Mercury","Jupiter","Venus","Saturn"},0)),IF(INDEX(CALC_DigBala!$F$4:$F$10,MATCH(CALC_ChandraLagna!$D$4,{"Sun","Moon","Mars","Mercury","Jupiter","Venus","Saturn"},0))="Yes",0.5,0),0)),0)</f>
        <v>0</v>
      </c>
      <c r="D28" s="400" t="s">
        <v>4647</v>
      </c>
    </row>
    <row r="29" spans="1:7" ht="27.75" customHeight="1" x14ac:dyDescent="0.2">
      <c r="A29" s="1120" t="s">
        <v>4648</v>
      </c>
      <c r="B29" s="296" t="s">
        <v>3372</v>
      </c>
      <c r="C29" s="1117">
        <f>IFERROR(IF(COUNTIFS(REF_PushkaraNavamsha!$A$4:$A$27,CALC_ChandraLagna!$E$4,REF_PushkaraNavamsha!$B$4:$B$27,INDEX(CALC_PlanetPositions!$G$7:$G$15,MATCH(CALC_ChandraLagna!$D$4,CALC_PlanetPositions!$A$7:$A$15,0)))&gt;0,0.5,0),0)</f>
        <v>0.5</v>
      </c>
      <c r="D29" s="400" t="s">
        <v>4649</v>
      </c>
    </row>
    <row r="30" spans="1:7" ht="25.5" customHeight="1" x14ac:dyDescent="0.2">
      <c r="A30" s="147" t="s">
        <v>4650</v>
      </c>
      <c r="B30" s="1121" t="s">
        <v>4651</v>
      </c>
      <c r="C30" s="1122">
        <f>IFERROR(IF(ISNUMBER(MATCH(CALC_ChandraLagna!$D$4,{"Sun","Moon","Mars","Mercury","Jupiter","Venus","Saturn"},0)),INDEX(CALC_RetrogradeFix!$G$4:$G$10,MATCH(CALC_ChandraLagna!$D$4,{"Sun","Moon","Mars","Mercury","Jupiter","Venus","Saturn"},0)),0),0)</f>
        <v>0</v>
      </c>
      <c r="D30" s="1123" t="s">
        <v>4652</v>
      </c>
    </row>
    <row r="31" spans="1:7" ht="18" customHeight="1" x14ac:dyDescent="0.2">
      <c r="A31" s="1555" t="s">
        <v>4653</v>
      </c>
      <c r="B31" s="1555"/>
      <c r="C31" s="1555"/>
      <c r="D31" s="1555"/>
      <c r="E31" s="1124" t="s">
        <v>4654</v>
      </c>
      <c r="F31" s="1125">
        <f>IFERROR(IF(CALC_Ashtakavarga!B$12&gt;28,0.5,IF(CALC_Ashtakavarga!B$12&lt;22,-0.5,0)),0)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4</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2.5</v>
      </c>
      <c r="D37" s="1129"/>
    </row>
    <row r="38" spans="1:4" ht="21.75" customHeight="1" x14ac:dyDescent="0.2">
      <c r="A38" s="89" t="s">
        <v>4661</v>
      </c>
      <c r="B38" s="1129"/>
      <c r="C38" s="1131">
        <f>IFERROR(MAX(-10,MIN(10,C37)),0)</f>
        <v>2.5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IFERROR(MAX(-10,MIN(10,C38+C39+C41)),0)</f>
        <v>2.6</v>
      </c>
      <c r="D40" s="1136" t="str">
        <f>IFERROR(IF(C40&gt;=7,"Excellent — Self domain very strong",IF(C40&gt;=4,"Good — Self domain strong",IF(C40&gt;=1,"Moderate",IF(C40&gt;=-2,"Mixed — Self has challenges",IF(C40&gt;=-5,"Weak","Very weak — Self heavily afflicted"))))),"—")</f>
        <v>Moderate</v>
      </c>
    </row>
    <row r="41" spans="1:4" ht="18" customHeight="1" x14ac:dyDescent="0.2">
      <c r="A41" s="622" t="s">
        <v>4677</v>
      </c>
      <c r="B41" s="904" t="s">
        <v>4678</v>
      </c>
      <c r="C41" s="1160">
        <v>0.1</v>
      </c>
      <c r="D41" s="550" t="s">
        <v>4679</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4680</v>
      </c>
      <c r="B1" s="1518"/>
      <c r="C1" s="1518"/>
      <c r="D1" s="1518"/>
      <c r="L1" s="544" t="s">
        <v>2214</v>
      </c>
    </row>
    <row r="2" spans="1:12" ht="19.5" customHeight="1" x14ac:dyDescent="0.2">
      <c r="A2" s="1595" t="str">
        <f>IFERROR("Chandra Lagna: "&amp;CALC_PlanetPositions!$B$8&amp;"  ·  H2 sign: "&amp;CALC_ChandraLagna!$C$5,"—")</f>
        <v>Chandra Lagna: Cancer  ·  H2 sign: Leo</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0" t="s">
        <v>4605</v>
      </c>
      <c r="B5" s="357" t="s">
        <v>4529</v>
      </c>
      <c r="C5" s="1117">
        <f>IFERROR((IFERROR(IF(INDEX(REF_Zodiac!$D$17:$O$17,MATCH(CALC_ChandraLagna!$C$5,REF_Zodiac!$D$3:$O$3,0))="Gentle",1,0),0))*0.5,0)</f>
        <v>0</v>
      </c>
      <c r="D5" s="400" t="s">
        <v>4606</v>
      </c>
    </row>
    <row r="6" spans="1:12" ht="27.75" customHeight="1" x14ac:dyDescent="0.2">
      <c r="A6" s="120"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20" t="s">
        <v>4609</v>
      </c>
      <c r="B7" s="357" t="s">
        <v>4534</v>
      </c>
      <c r="C7" s="1117">
        <f>IFERROR((IFERROR(IF(OR(AND(OR(CALC_PlanetPositions!$M$7="Benefic",CALC_PlanetPositions!$M$7="Yogakaraka"),INDEX(REF_Aspects!$D$5:$O$13,1,MOD(2-(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2)),AND(OR(CALC_PlanetPositions!$M$8="Benefic",CALC_PlanetPositions!$M$8="Yogakaraka"),INDEX(REF_Aspects!$D$5:$O$13,2,MOD(2-(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2)),AND(OR(CALC_PlanetPositions!$M$9="Benefic",CALC_PlanetPositions!$M$9="Yogakaraka"),INDEX(REF_Aspects!$D$5:$O$13,3,MOD(2-(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2)),AND(OR(CALC_PlanetPositions!$M$10="Benefic",CALC_PlanetPositions!$M$10="Yogakaraka"),INDEX(REF_Aspects!$D$5:$O$13,4,MOD(2-(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2)),AND(OR(CALC_PlanetPositions!$M$11="Benefic",CALC_PlanetPositions!$M$11="Yogakaraka"),INDEX(REF_Aspects!$D$5:$O$13,5,MOD(2-(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2)),AND(OR(CALC_PlanetPositions!$M$12="Benefic",CALC_PlanetPositions!$M$12="Yogakaraka"),INDEX(REF_Aspects!$D$5:$O$13,6,MOD(2-(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2)),AND(OR(CALC_PlanetPositions!$M$13="Benefic",CALC_PlanetPositions!$M$13="Yogakaraka"),INDEX(REF_Aspects!$D$5:$O$13,7,MOD(2-(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2)),AND(FALSE(),INDEX(REF_Aspects!$D$5:$O$13,8,MOD(2-(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2)),AND(FALSE(),INDEX(REF_Aspects!$D$5:$O$13,9,MOD(2-(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2))),1,0),0))*IF(REF_Config!$B$6="KP",0.5,IF(REF_Config!$B$6="Jaimini",0.75,0.75)),0)</f>
        <v>0</v>
      </c>
      <c r="D7" s="400" t="s">
        <v>4610</v>
      </c>
    </row>
    <row r="8" spans="1:12" ht="15.75" customHeight="1" x14ac:dyDescent="0.2">
      <c r="A8" s="1597" t="s">
        <v>3372</v>
      </c>
      <c r="B8" s="1597"/>
      <c r="C8" s="1597"/>
      <c r="D8" s="1597"/>
    </row>
    <row r="9" spans="1:12" ht="27.75" customHeight="1" x14ac:dyDescent="0.2">
      <c r="A9" s="120" t="s">
        <v>4611</v>
      </c>
      <c r="B9" s="203" t="s">
        <v>4537</v>
      </c>
      <c r="C9" s="1118">
        <f>IFERROR(IF(AND(OR(CALC_ChandraLagna!$G$5="Yes",CALC_ChandraLagna!$H$5="Yes"),NOT(CALC_ChandraLagna!$I$5="Yes")),1,0)*IF(REF_Config!$B$6="KP",1.5,IF(REF_Config!$B$6="Jaimini",1.5,2)),0)</f>
        <v>2</v>
      </c>
      <c r="D9" s="403" t="s">
        <v>4612</v>
      </c>
    </row>
    <row r="10" spans="1:12" ht="27.75" customHeight="1" x14ac:dyDescent="0.2">
      <c r="A10" s="120" t="s">
        <v>4613</v>
      </c>
      <c r="B10" s="357" t="s">
        <v>3093</v>
      </c>
      <c r="C10" s="1117">
        <f>IFERROR((IFERROR(IF(OR(AND(CALC_ChandraLagna!$E$4=CALC_ChandraLagna!$E$5,CALC_ChandraLagna!$D$4&lt;&gt;CALC_ChandraLagna!$D$5),AND(CALC_ChandraLagna!$E$7=CALC_ChandraLagna!$E$5,CALC_ChandraLagna!$D$7&lt;&gt;CALC_ChandraLagna!$D$5),AND(CALC_ChandraLagna!$E$8=CALC_ChandraLagna!$E$5,CALC_ChandraLagna!$D$8&lt;&gt;CALC_ChandraLagna!$D$5),AND(CALC_ChandraLagna!$E$10=CALC_ChandraLagna!$E$5,CALC_ChandraLagna!$D$10&lt;&gt;CALC_ChandraLagna!$D$5),AND(CALC_ChandraLagna!$E$12=CALC_ChandraLagna!$E$5,CALC_ChandraLagna!$D$12&lt;&gt;CALC_ChandraLagna!$D$5),AND(CALC_ChandraLagna!$E$13=CALC_ChandraLagna!$E$5,CALC_ChandraLagna!$D$13&lt;&gt;CALC_ChandraLagna!$D$5)),1,0),0))*0.5,0)</f>
        <v>0.5</v>
      </c>
      <c r="D10" s="400" t="s">
        <v>4614</v>
      </c>
    </row>
    <row r="11" spans="1:12" ht="27.75" customHeight="1" x14ac:dyDescent="0.2">
      <c r="A11" s="120" t="s">
        <v>4615</v>
      </c>
      <c r="B11" s="203" t="s">
        <v>4540</v>
      </c>
      <c r="C11" s="1118">
        <f>IFERROR((IFERROR(IF(OR(AND(OR(CALC_PlanetPositions!$M$7="Benefic",CALC_PlanetPositions!$M$7="Yogakaraka"),CALC_PlanetPositions!$B$7=CALC_ChandraLagna!$E$5,CALC_ChandraLagna!$D$5&lt;&gt;"Sun"),AND(OR(CALC_PlanetPositions!$M$8="Benefic",CALC_PlanetPositions!$M$8="Yogakaraka"),CALC_PlanetPositions!$B$8=CALC_ChandraLagna!$E$5,CALC_ChandraLagna!$D$5&lt;&gt;"Moon"),AND(OR(CALC_PlanetPositions!$M$9="Benefic",CALC_PlanetPositions!$M$9="Yogakaraka"),CALC_PlanetPositions!$B$9=CALC_ChandraLagna!$E$5,CALC_ChandraLagna!$D$5&lt;&gt;"Mars"),AND(OR(CALC_PlanetPositions!$M$10="Benefic",CALC_PlanetPositions!$M$10="Yogakaraka"),CALC_PlanetPositions!$B$10=CALC_ChandraLagna!$E$5,CALC_ChandraLagna!$D$5&lt;&gt;"Mercury"),AND(OR(CALC_PlanetPositions!$M$11="Benefic",CALC_PlanetPositions!$M$11="Yogakaraka"),CALC_PlanetPositions!$B$11=CALC_ChandraLagna!$E$5,CALC_ChandraLagna!$D$5&lt;&gt;"Jupiter"),AND(OR(CALC_PlanetPositions!$M$12="Benefic",CALC_PlanetPositions!$M$12="Yogakaraka"),CALC_PlanetPositions!$B$12=CALC_ChandraLagna!$E$5,CALC_ChandraLagna!$D$5&lt;&gt;"Venus"),AND(OR(CALC_PlanetPositions!$M$13="Benefic",CALC_PlanetPositions!$M$13="Yogakaraka"),CALC_PlanetPositions!$B$13=CALC_ChandraLagna!$E$5,CALC_ChandraLagna!$D$5&lt;&gt;"Saturn")),1,0),0))*IF(OR(AND(CALC_PlanetPositions!$M$7="Yogakaraka",CALC_PlanetPositions!$B$7=CALC_ChandraLagna!$E$5,CALC_ChandraLagna!$D$5&lt;&gt;"Sun"),AND(CALC_PlanetPositions!$M$8="Yogakaraka",CALC_PlanetPositions!$B$8=CALC_ChandraLagna!$E$5,CALC_ChandraLagna!$D$5&lt;&gt;"Moon"),AND(CALC_PlanetPositions!$M$9="Yogakaraka",CALC_PlanetPositions!$B$9=CALC_ChandraLagna!$E$5,CALC_ChandraLagna!$D$5&lt;&gt;"Mars"),AND(CALC_PlanetPositions!$M$10="Yogakaraka",CALC_PlanetPositions!$B$10=CALC_ChandraLagna!$E$5,CALC_ChandraLagna!$D$5&lt;&gt;"Mercury"),AND(CALC_PlanetPositions!$M$11="Yogakaraka",CALC_PlanetPositions!$B$11=CALC_ChandraLagna!$E$5,CALC_ChandraLagna!$D$5&lt;&gt;"Jupiter"),AND(CALC_PlanetPositions!$M$12="Yogakaraka",CALC_PlanetPositions!$B$12=CALC_ChandraLagna!$E$5,CALC_ChandraLagna!$D$5&lt;&gt;"Venus"),AND(CALC_PlanetPositions!$M$13="Yogakaraka",CALC_PlanetPositions!$B$13=CALC_ChandraLagna!$E$5,CALC_ChandraLagna!$D$5&lt;&gt;"Saturn")),1.5,1),0)</f>
        <v>1.5</v>
      </c>
      <c r="D11" s="403" t="s">
        <v>4616</v>
      </c>
    </row>
    <row r="12" spans="1:12" ht="27.75" customHeight="1" x14ac:dyDescent="0.2">
      <c r="A12" s="120" t="s">
        <v>4617</v>
      </c>
      <c r="B12" s="357" t="s">
        <v>4542</v>
      </c>
      <c r="C12" s="1117">
        <f>IFERROR((IFERROR(IF(OR(AND(OR(CALC_PlanetPositions!$M$7="Benefic",CALC_PlanetPositions!$M$7="Yogakaraka"),INDEX(REF_Aspects!$D$5:$O$13,1,MOD(CALC_ChandraLagna!$F$5-(MOD(MATCH(CALC_PlanetPositions!$B$7,{"Aries","Taurus","Gemini","Cancer","Leo","Virgo","Libra","Scorpio","Sagittarius","Capricorn","Aquarius","Pisces"},0)-MATCH(CALC_PlanetPositions!$B$8,{"Aries","Taurus","Gemini","Cancer","Leo","Virgo","Libra","Scorpio","Sagittarius","Capricorn","Aquarius","Pisces"},0),12)+1),12)+1)="FULL",NOT(CALC_PlanetPositions!$B$7=CALC_ChandraLagna!$E$5)),AND(OR(CALC_PlanetPositions!$M$8="Benefic",CALC_PlanetPositions!$M$8="Yogakaraka"),INDEX(REF_Aspects!$D$5:$O$13,2,MOD(CALC_ChandraLagna!$F$5-(MOD(MATCH(CALC_PlanetPositions!$B$8,{"Aries","Taurus","Gemini","Cancer","Leo","Virgo","Libra","Scorpio","Sagittarius","Capricorn","Aquarius","Pisces"},0)-MATCH(CALC_PlanetPositions!$B$8,{"Aries","Taurus","Gemini","Cancer","Leo","Virgo","Libra","Scorpio","Sagittarius","Capricorn","Aquarius","Pisces"},0),12)+1),12)+1)="FULL",NOT(CALC_PlanetPositions!$B$8=CALC_ChandraLagna!$E$5)),AND(OR(CALC_PlanetPositions!$M$9="Benefic",CALC_PlanetPositions!$M$9="Yogakaraka"),INDEX(REF_Aspects!$D$5:$O$13,3,MOD(CALC_ChandraLagna!$F$5-(MOD(MATCH(CALC_PlanetPositions!$B$9,{"Aries","Taurus","Gemini","Cancer","Leo","Virgo","Libra","Scorpio","Sagittarius","Capricorn","Aquarius","Pisces"},0)-MATCH(CALC_PlanetPositions!$B$8,{"Aries","Taurus","Gemini","Cancer","Leo","Virgo","Libra","Scorpio","Sagittarius","Capricorn","Aquarius","Pisces"},0),12)+1),12)+1)="FULL",NOT(CALC_PlanetPositions!$B$9=CALC_ChandraLagna!$E$5)),AND(OR(CALC_PlanetPositions!$M$10="Benefic",CALC_PlanetPositions!$M$10="Yogakaraka"),INDEX(REF_Aspects!$D$5:$O$13,4,MOD(CALC_ChandraLagna!$F$5-(MOD(MATCH(CALC_PlanetPositions!$B$10,{"Aries","Taurus","Gemini","Cancer","Leo","Virgo","Libra","Scorpio","Sagittarius","Capricorn","Aquarius","Pisces"},0)-MATCH(CALC_PlanetPositions!$B$8,{"Aries","Taurus","Gemini","Cancer","Leo","Virgo","Libra","Scorpio","Sagittarius","Capricorn","Aquarius","Pisces"},0),12)+1),12)+1)="FULL",NOT(CALC_PlanetPositions!$B$10=CALC_ChandraLagna!$E$5)),AND(OR(CALC_PlanetPositions!$M$11="Benefic",CALC_PlanetPositions!$M$11="Yogakaraka"),INDEX(REF_Aspects!$D$5:$O$13,5,MOD(CALC_ChandraLagna!$F$5-(MOD(MATCH(CALC_PlanetPositions!$B$11,{"Aries","Taurus","Gemini","Cancer","Leo","Virgo","Libra","Scorpio","Sagittarius","Capricorn","Aquarius","Pisces"},0)-MATCH(CALC_PlanetPositions!$B$8,{"Aries","Taurus","Gemini","Cancer","Leo","Virgo","Libra","Scorpio","Sagittarius","Capricorn","Aquarius","Pisces"},0),12)+1),12)+1)="FULL",NOT(CALC_PlanetPositions!$B$11=CALC_ChandraLagna!$E$5)),AND(OR(CALC_PlanetPositions!$M$12="Benefic",CALC_PlanetPositions!$M$12="Yogakaraka"),INDEX(REF_Aspects!$D$5:$O$13,6,MOD(CALC_ChandraLagna!$F$5-(MOD(MATCH(CALC_PlanetPositions!$B$12,{"Aries","Taurus","Gemini","Cancer","Leo","Virgo","Libra","Scorpio","Sagittarius","Capricorn","Aquarius","Pisces"},0)-MATCH(CALC_PlanetPositions!$B$8,{"Aries","Taurus","Gemini","Cancer","Leo","Virgo","Libra","Scorpio","Sagittarius","Capricorn","Aquarius","Pisces"},0),12)+1),12)+1)="FULL",NOT(CALC_PlanetPositions!$B$12=CALC_ChandraLagna!$E$5)),AND(OR(CALC_PlanetPositions!$M$13="Benefic",CALC_PlanetPositions!$M$13="Yogakaraka"),INDEX(REF_Aspects!$D$5:$O$13,7,MOD(CALC_ChandraLagna!$F$5-(MOD(MATCH(CALC_PlanetPositions!$B$13,{"Aries","Taurus","Gemini","Cancer","Leo","Virgo","Libra","Scorpio","Sagittarius","Capricorn","Aquarius","Pisces"},0)-MATCH(CALC_PlanetPositions!$B$8,{"Aries","Taurus","Gemini","Cancer","Leo","Virgo","Libra","Scorpio","Sagittarius","Capricorn","Aquarius","Pisces"},0),12)+1),12)+1)="FULL",NOT(CALC_PlanetPositions!$B$13=CALC_ChandraLagna!$E$5)),AND(FALSE(),INDEX(REF_Aspects!$D$5:$O$13,8,MOD(CALC_ChandraLagna!$F$5-(MOD(MATCH(CALC_PlanetPositions!$B$14,{"Aries","Taurus","Gemini","Cancer","Leo","Virgo","Libra","Scorpio","Sagittarius","Capricorn","Aquarius","Pisces"},0)-MATCH(CALC_PlanetPositions!$B$8,{"Aries","Taurus","Gemini","Cancer","Leo","Virgo","Libra","Scorpio","Sagittarius","Capricorn","Aquarius","Pisces"},0),12)+1),12)+1)="FULL",NOT(CALC_PlanetPositions!$B$14=CALC_ChandraLagna!$E$5)),AND(FALSE(),INDEX(REF_Aspects!$D$5:$O$13,9,MOD(CALC_ChandraLagna!$F$5-(MOD(MATCH(CALC_PlanetPositions!$B$15,{"Aries","Taurus","Gemini","Cancer","Leo","Virgo","Libra","Scorpio","Sagittarius","Capricorn","Aquarius","Pisces"},0)-MATCH(CALC_PlanetPositions!$B$8,{"Aries","Taurus","Gemini","Cancer","Leo","Virgo","Libra","Scorpio","Sagittarius","Capricorn","Aquarius","Pisces"},0),12)+1),12)+1)="FULL",NOT(CALC_PlanetPositions!$B$15=CALC_ChandraLagna!$E$5))),1,0),0))*0.5,0)</f>
        <v>0</v>
      </c>
      <c r="D12" s="400" t="s">
        <v>4618</v>
      </c>
    </row>
    <row r="13" spans="1:12" ht="27.75" customHeight="1" x14ac:dyDescent="0.2">
      <c r="A13" s="120"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$5-2,12)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$5-2,12)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$5-2,12)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$5-2,12)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$5-2,12)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$5-2,12)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$5-2,12)+1)),AND(FALSE(),MOD(MATCH(CALC_PlanetPositions!$B$14,{"Aries","Taurus","Gemini","Cancer","Leo","Virgo","Libra","Scorpio","Sagittarius","Capricorn","Aquarius","Pisces"},0)-MATCH(CALC_PlanetPositions!$B$8,{"Aries","Taurus","Gemini","Cancer","Leo","Virgo","Libra","Scorpio","Sagittarius","Capricorn","Aquarius","Pisces"},0),12)+1=(MOD(CALC_ChandraLagna!$F$5-2,12)+1)),AND(FALSE(),MOD(MATCH(CALC_PlanetPositions!$B$15,{"Aries","Taurus","Gemini","Cancer","Leo","Virgo","Libra","Scorpio","Sagittarius","Capricorn","Aquarius","Pisces"},0)-MATCH(CALC_PlanetPositions!$B$8,{"Aries","Taurus","Gemini","Cancer","Leo","Virgo","Libra","Scorpio","Sagittarius","Capricorn","Aquarius","Pisces"},0),12)+1=(MOD(CALC_ChandraLagna!$F$5-2,12)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$5,12)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$5,12)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$5,12)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$5,12)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$5,12)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$5,12)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$5,12)+1)),AND(FALSE(),MOD(MATCH(CALC_PlanetPositions!$B$14,{"Aries","Taurus","Gemini","Cancer","Leo","Virgo","Libra","Scorpio","Sagittarius","Capricorn","Aquarius","Pisces"},0)-MATCH(CALC_PlanetPositions!$B$8,{"Aries","Taurus","Gemini","Cancer","Leo","Virgo","Libra","Scorpio","Sagittarius","Capricorn","Aquarius","Pisces"},0),12)+1=(MOD(CALC_ChandraLagna!$F$5,12)+1)),AND(FALSE(),MOD(MATCH(CALC_PlanetPositions!$B$15,{"Aries","Taurus","Gemini","Cancer","Leo","Virgo","Libra","Scorpio","Sagittarius","Capricorn","Aquarius","Pisces"},0)-MATCH(CALC_PlanetPositions!$B$8,{"Aries","Taurus","Gemini","Cancer","Leo","Virgo","Libra","Scorpio","Sagittarius","Capricorn","Aquarius","Pisces"},0),12)+1=(MOD(CALC_ChandraLagna!$F$5,12)+1)))),1,0),0))*IF(REF_Config!$B$6="KP",0.75,IF(REF_Config!$B$6="Jaimini",0.5,0.75)),0)</f>
        <v>0</v>
      </c>
      <c r="D13" s="403" t="s">
        <v>4620</v>
      </c>
    </row>
    <row r="14" spans="1:12" ht="15.75" customHeight="1" x14ac:dyDescent="0.2">
      <c r="A14" s="1598" t="s">
        <v>4621</v>
      </c>
      <c r="B14" s="1598"/>
      <c r="C14" s="1598"/>
      <c r="D14" s="1598"/>
    </row>
    <row r="15" spans="1:12" ht="27.75" customHeight="1" x14ac:dyDescent="0.2">
      <c r="A15" s="120"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2),AND(CALC_PlanetPositions!$M$8="Malefic",(MOD(MATCH(CALC_PlanetPositions!$B$8,{"Aries","Taurus","Gemini","Cancer","Leo","Virgo","Libra","Scorpio","Sagittarius","Capricorn","Aquarius","Pisces"},0)-MATCH(CALC_PlanetPositions!$B$8,{"Aries","Taurus","Gemini","Cancer","Leo","Virgo","Libra","Scorpio","Sagittarius","Capricorn","Aquarius","Pisces"},0),12)+1)=2),AND(CALC_PlanetPositions!$M$9="Malefic",(MOD(MATCH(CALC_PlanetPositions!$B$9,{"Aries","Taurus","Gemini","Cancer","Leo","Virgo","Libra","Scorpio","Sagittarius","Capricorn","Aquarius","Pisces"},0)-MATCH(CALC_PlanetPositions!$B$8,{"Aries","Taurus","Gemini","Cancer","Leo","Virgo","Libra","Scorpio","Sagittarius","Capricorn","Aquarius","Pisces"},0),12)+1)=2),AND(CALC_PlanetPositions!$M$10="Malefic",(MOD(MATCH(CALC_PlanetPositions!$B$10,{"Aries","Taurus","Gemini","Cancer","Leo","Virgo","Libra","Scorpio","Sagittarius","Capricorn","Aquarius","Pisces"},0)-MATCH(CALC_PlanetPositions!$B$8,{"Aries","Taurus","Gemini","Cancer","Leo","Virgo","Libra","Scorpio","Sagittarius","Capricorn","Aquarius","Pisces"},0),12)+1)=2),AND(CALC_PlanetPositions!$M$11="Malefic",(MOD(MATCH(CALC_PlanetPositions!$B$11,{"Aries","Taurus","Gemini","Cancer","Leo","Virgo","Libra","Scorpio","Sagittarius","Capricorn","Aquarius","Pisces"},0)-MATCH(CALC_PlanetPositions!$B$8,{"Aries","Taurus","Gemini","Cancer","Leo","Virgo","Libra","Scorpio","Sagittarius","Capricorn","Aquarius","Pisces"},0),12)+1)=2),AND(CALC_PlanetPositions!$M$12="Malefic",(MOD(MATCH(CALC_PlanetPositions!$B$12,{"Aries","Taurus","Gemini","Cancer","Leo","Virgo","Libra","Scorpio","Sagittarius","Capricorn","Aquarius","Pisces"},0)-MATCH(CALC_PlanetPositions!$B$8,{"Aries","Taurus","Gemini","Cancer","Leo","Virgo","Libra","Scorpio","Sagittarius","Capricorn","Aquarius","Pisces"},0),12)+1)=2),AND(CALC_PlanetPositions!$M$13="Malefic",(MOD(MATCH(CALC_PlanetPositions!$B$13,{"Aries","Taurus","Gemini","Cancer","Leo","Virgo","Libra","Scorpio","Sagittarius","Capricorn","Aquarius","Pisces"},0)-MATCH(CALC_PlanetPositions!$B$8,{"Aries","Taurus","Gemini","Cancer","Leo","Virgo","Libra","Scorpio","Sagittarius","Capricorn","Aquarius","Pisces"},0),12)+1)=2),AND(TRUE(),(MOD(MATCH(CALC_PlanetPositions!$B$14,{"Aries","Taurus","Gemini","Cancer","Leo","Virgo","Libra","Scorpio","Sagittarius","Capricorn","Aquarius","Pisces"},0)-MATCH(CALC_PlanetPositions!$B$8,{"Aries","Taurus","Gemini","Cancer","Leo","Virgo","Libra","Scorpio","Sagittarius","Capricorn","Aquarius","Pisces"},0),12)+1)=2),AND(TRUE(),(MOD(MATCH(CALC_PlanetPositions!$B$15,{"Aries","Taurus","Gemini","Cancer","Leo","Virgo","Libra","Scorpio","Sagittarius","Capricorn","Aquarius","Pisces"},0)-MATCH(CALC_PlanetPositions!$B$8,{"Aries","Taurus","Gemini","Cancer","Leo","Virgo","Libra","Scorpio","Sagittarius","Capricorn","Aquarius","Pisces"},0),12)+1)=2)),1,0),0))*-1,0)</f>
        <v>0</v>
      </c>
      <c r="D15" s="400" t="s">
        <v>4623</v>
      </c>
    </row>
    <row r="16" spans="1:12" ht="27.75" customHeight="1" x14ac:dyDescent="0.2">
      <c r="A16" s="120" t="s">
        <v>4624</v>
      </c>
      <c r="B16" s="203" t="s">
        <v>4548</v>
      </c>
      <c r="C16" s="1118">
        <f>IFERROR((IFERROR(IF(OR(AND(CALC_PlanetPositions!$M$7="Malefic",INDEX(REF_Aspects!$D$5:$O$13,1,MOD(2-(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2)),AND(CALC_PlanetPositions!$M$8="Malefic",INDEX(REF_Aspects!$D$5:$O$13,2,MOD(2-(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2)),AND(CALC_PlanetPositions!$M$9="Malefic",INDEX(REF_Aspects!$D$5:$O$13,3,MOD(2-(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2)),AND(CALC_PlanetPositions!$M$10="Malefic",INDEX(REF_Aspects!$D$5:$O$13,4,MOD(2-(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2)),AND(CALC_PlanetPositions!$M$11="Malefic",INDEX(REF_Aspects!$D$5:$O$13,5,MOD(2-(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2)),AND(CALC_PlanetPositions!$M$12="Malefic",INDEX(REF_Aspects!$D$5:$O$13,6,MOD(2-(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2)),AND(CALC_PlanetPositions!$M$13="Malefic",INDEX(REF_Aspects!$D$5:$O$13,7,MOD(2-(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2)),AND(TRUE(),INDEX(REF_Aspects!$D$5:$O$13,8,MOD(2-(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2)),AND(TRUE(),INDEX(REF_Aspects!$D$5:$O$13,9,MOD(2-(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2))),1,0),0))*-1,0)</f>
        <v>0</v>
      </c>
      <c r="D16" s="403" t="s">
        <v>4625</v>
      </c>
    </row>
    <row r="17" spans="1:7" ht="27.75" customHeight="1" x14ac:dyDescent="0.2">
      <c r="A17" s="120" t="s">
        <v>4626</v>
      </c>
      <c r="B17" s="357" t="s">
        <v>3062</v>
      </c>
      <c r="C17" s="1117">
        <v>0</v>
      </c>
      <c r="D17" s="400" t="s">
        <v>4627</v>
      </c>
    </row>
    <row r="18" spans="1:7" ht="27.75" customHeight="1" x14ac:dyDescent="0.2">
      <c r="A18" s="120"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(2-2,12)+1)),AND(CALC_PlanetPositions!$M$8="Malefic",MOD(MATCH(CALC_PlanetPositions!$B$8,{"Aries","Taurus","Gemini","Cancer","Leo","Virgo","Libra","Scorpio","Sagittarius","Capricorn","Aquarius","Pisces"},0)-MATCH(CALC_PlanetPositions!$B$8,{"Aries","Taurus","Gemini","Cancer","Leo","Virgo","Libra","Scorpio","Sagittarius","Capricorn","Aquarius","Pisces"},0),12)+1=(MOD(2-2,12)+1)),AND(CALC_PlanetPositions!$M$9="Malefic",MOD(MATCH(CALC_PlanetPositions!$B$9,{"Aries","Taurus","Gemini","Cancer","Leo","Virgo","Libra","Scorpio","Sagittarius","Capricorn","Aquarius","Pisces"},0)-MATCH(CALC_PlanetPositions!$B$8,{"Aries","Taurus","Gemini","Cancer","Leo","Virgo","Libra","Scorpio","Sagittarius","Capricorn","Aquarius","Pisces"},0),12)+1=(MOD(2-2,12)+1)),AND(CALC_PlanetPositions!$M$10="Malefic",MOD(MATCH(CALC_PlanetPositions!$B$10,{"Aries","Taurus","Gemini","Cancer","Leo","Virgo","Libra","Scorpio","Sagittarius","Capricorn","Aquarius","Pisces"},0)-MATCH(CALC_PlanetPositions!$B$8,{"Aries","Taurus","Gemini","Cancer","Leo","Virgo","Libra","Scorpio","Sagittarius","Capricorn","Aquarius","Pisces"},0),12)+1=(MOD(2-2,12)+1)),AND(CALC_PlanetPositions!$M$11="Malefic",MOD(MATCH(CALC_PlanetPositions!$B$11,{"Aries","Taurus","Gemini","Cancer","Leo","Virgo","Libra","Scorpio","Sagittarius","Capricorn","Aquarius","Pisces"},0)-MATCH(CALC_PlanetPositions!$B$8,{"Aries","Taurus","Gemini","Cancer","Leo","Virgo","Libra","Scorpio","Sagittarius","Capricorn","Aquarius","Pisces"},0),12)+1=(MOD(2-2,12)+1)),AND(CALC_PlanetPositions!$M$12="Malefic",MOD(MATCH(CALC_PlanetPositions!$B$12,{"Aries","Taurus","Gemini","Cancer","Leo","Virgo","Libra","Scorpio","Sagittarius","Capricorn","Aquarius","Pisces"},0)-MATCH(CALC_PlanetPositions!$B$8,{"Aries","Taurus","Gemini","Cancer","Leo","Virgo","Libra","Scorpio","Sagittarius","Capricorn","Aquarius","Pisces"},0),12)+1=(MOD(2-2,12)+1)),AND(CALC_PlanetPositions!$M$13="Malefic",MOD(MATCH(CALC_PlanetPositions!$B$13,{"Aries","Taurus","Gemini","Cancer","Leo","Virgo","Libra","Scorpio","Sagittarius","Capricorn","Aquarius","Pisces"},0)-MATCH(CALC_PlanetPositions!$B$8,{"Aries","Taurus","Gemini","Cancer","Leo","Virgo","Libra","Scorpio","Sagittarius","Capricorn","Aquarius","Pisces"},0),12)+1=(MOD(2-2,12)+1)),AND(TRUE(),MOD(MATCH(CALC_PlanetPositions!$B$14,{"Aries","Taurus","Gemini","Cancer","Leo","Virgo","Libra","Scorpio","Sagittarius","Capricorn","Aquarius","Pisces"},0)-MATCH(CALC_PlanetPositions!$B$8,{"Aries","Taurus","Gemini","Cancer","Leo","Virgo","Libra","Scorpio","Sagittarius","Capricorn","Aquarius","Pisces"},0),12)+1=(MOD(2-2,12)+1)),AND(TRUE(),MOD(MATCH(CALC_PlanetPositions!$B$15,{"Aries","Taurus","Gemini","Cancer","Leo","Virgo","Libra","Scorpio","Sagittarius","Capricorn","Aquarius","Pisces"},0)-MATCH(CALC_PlanetPositions!$B$8,{"Aries","Taurus","Gemini","Cancer","Leo","Virgo","Libra","Scorpio","Sagittarius","Capricorn","Aquarius","Pisces"},0),12)+1=(MOD(2-2,12)+1))),OR(AND(CALC_PlanetPositions!$M$7="Malefic",MOD(MATCH(CALC_PlanetPositions!$B$7,{"Aries","Taurus","Gemini","Cancer","Leo","Virgo","Libra","Scorpio","Sagittarius","Capricorn","Aquarius","Pisces"},0)-MATCH(CALC_PlanetPositions!$B$8,{"Aries","Taurus","Gemini","Cancer","Leo","Virgo","Libra","Scorpio","Sagittarius","Capricorn","Aquarius","Pisces"},0),12)+1=(MOD(2,12)+1)),AND(CALC_PlanetPositions!$M$8="Malefic",MOD(MATCH(CALC_PlanetPositions!$B$8,{"Aries","Taurus","Gemini","Cancer","Leo","Virgo","Libra","Scorpio","Sagittarius","Capricorn","Aquarius","Pisces"},0)-MATCH(CALC_PlanetPositions!$B$8,{"Aries","Taurus","Gemini","Cancer","Leo","Virgo","Libra","Scorpio","Sagittarius","Capricorn","Aquarius","Pisces"},0),12)+1=(MOD(2,12)+1)),AND(CALC_PlanetPositions!$M$9="Malefic",MOD(MATCH(CALC_PlanetPositions!$B$9,{"Aries","Taurus","Gemini","Cancer","Leo","Virgo","Libra","Scorpio","Sagittarius","Capricorn","Aquarius","Pisces"},0)-MATCH(CALC_PlanetPositions!$B$8,{"Aries","Taurus","Gemini","Cancer","Leo","Virgo","Libra","Scorpio","Sagittarius","Capricorn","Aquarius","Pisces"},0),12)+1=(MOD(2,12)+1)),AND(CALC_PlanetPositions!$M$10="Malefic",MOD(MATCH(CALC_PlanetPositions!$B$10,{"Aries","Taurus","Gemini","Cancer","Leo","Virgo","Libra","Scorpio","Sagittarius","Capricorn","Aquarius","Pisces"},0)-MATCH(CALC_PlanetPositions!$B$8,{"Aries","Taurus","Gemini","Cancer","Leo","Virgo","Libra","Scorpio","Sagittarius","Capricorn","Aquarius","Pisces"},0),12)+1=(MOD(2,12)+1)),AND(CALC_PlanetPositions!$M$11="Malefic",MOD(MATCH(CALC_PlanetPositions!$B$11,{"Aries","Taurus","Gemini","Cancer","Leo","Virgo","Libra","Scorpio","Sagittarius","Capricorn","Aquarius","Pisces"},0)-MATCH(CALC_PlanetPositions!$B$8,{"Aries","Taurus","Gemini","Cancer","Leo","Virgo","Libra","Scorpio","Sagittarius","Capricorn","Aquarius","Pisces"},0),12)+1=(MOD(2,12)+1)),AND(CALC_PlanetPositions!$M$12="Malefic",MOD(MATCH(CALC_PlanetPositions!$B$12,{"Aries","Taurus","Gemini","Cancer","Leo","Virgo","Libra","Scorpio","Sagittarius","Capricorn","Aquarius","Pisces"},0)-MATCH(CALC_PlanetPositions!$B$8,{"Aries","Taurus","Gemini","Cancer","Leo","Virgo","Libra","Scorpio","Sagittarius","Capricorn","Aquarius","Pisces"},0),12)+1=(MOD(2,12)+1)),AND(CALC_PlanetPositions!$M$13="Malefic",MOD(MATCH(CALC_PlanetPositions!$B$13,{"Aries","Taurus","Gemini","Cancer","Leo","Virgo","Libra","Scorpio","Sagittarius","Capricorn","Aquarius","Pisces"},0)-MATCH(CALC_PlanetPositions!$B$8,{"Aries","Taurus","Gemini","Cancer","Leo","Virgo","Libra","Scorpio","Sagittarius","Capricorn","Aquarius","Pisces"},0),12)+1=(MOD(2,12)+1)),AND(TRUE(),MOD(MATCH(CALC_PlanetPositions!$B$14,{"Aries","Taurus","Gemini","Cancer","Leo","Virgo","Libra","Scorpio","Sagittarius","Capricorn","Aquarius","Pisces"},0)-MATCH(CALC_PlanetPositions!$B$8,{"Aries","Taurus","Gemini","Cancer","Leo","Virgo","Libra","Scorpio","Sagittarius","Capricorn","Aquarius","Pisces"},0),12)+1=(MOD(2,12)+1)),AND(TRUE(),MOD(MATCH(CALC_PlanetPositions!$B$15,{"Aries","Taurus","Gemini","Cancer","Leo","Virgo","Libra","Scorpio","Sagittarius","Capricorn","Aquarius","Pisces"},0)-MATCH(CALC_PlanetPositions!$B$8,{"Aries","Taurus","Gemini","Cancer","Leo","Virgo","Libra","Scorpio","Sagittarius","Capricorn","Aquarius","Pisces"},0),12)+1=(MOD(2,12)+1)))),1,0),0))*IF(REF_Config!$B$6="KP",-0.75,IF(REF_Config!$B$6="Jaimini",-0.5,-0.75)),0)</f>
        <v>0</v>
      </c>
      <c r="D18" s="403" t="s">
        <v>4629</v>
      </c>
    </row>
    <row r="19" spans="1:7" ht="15.75" customHeight="1" x14ac:dyDescent="0.2">
      <c r="A19" s="1594" t="s">
        <v>3624</v>
      </c>
      <c r="B19" s="1594"/>
      <c r="C19" s="1594"/>
      <c r="D19" s="1594"/>
    </row>
    <row r="20" spans="1:7" ht="27.75" customHeight="1" x14ac:dyDescent="0.2">
      <c r="A20" s="120" t="s">
        <v>4630</v>
      </c>
      <c r="B20" s="357" t="s">
        <v>4555</v>
      </c>
      <c r="C20" s="1117">
        <v>0</v>
      </c>
      <c r="D20" s="400" t="s">
        <v>4631</v>
      </c>
    </row>
    <row r="21" spans="1:7" ht="27.75" customHeight="1" x14ac:dyDescent="0.2">
      <c r="A21" s="120" t="s">
        <v>4632</v>
      </c>
      <c r="B21" s="203" t="s">
        <v>4633</v>
      </c>
      <c r="C21" s="1118">
        <f>IFERROR((IFERROR(IF(OR(AND(CALC_PlanetPositions!$M$7="Malefic",INDEX(REF_Aspects!$D$5:$O$13,1,MOD(CALC_ChandraLagna!$F$5-(MOD(MATCH(CALC_PlanetPositions!$B$7,{"Aries","Taurus","Gemini","Cancer","Leo","Virgo","Libra","Scorpio","Sagittarius","Capricorn","Aquarius","Pisces"},0)-MATCH(CALC_PlanetPositions!$B$8,{"Aries","Taurus","Gemini","Cancer","Leo","Virgo","Libra","Scorpio","Sagittarius","Capricorn","Aquarius","Pisces"},0),12)+1),12)+1)="FULL",NOT(CALC_PlanetPositions!$B$7=CALC_ChandraLagna!$E$5)),AND(CALC_PlanetPositions!$M$8="Malefic",INDEX(REF_Aspects!$D$5:$O$13,2,MOD(CALC_ChandraLagna!$F$5-(MOD(MATCH(CALC_PlanetPositions!$B$8,{"Aries","Taurus","Gemini","Cancer","Leo","Virgo","Libra","Scorpio","Sagittarius","Capricorn","Aquarius","Pisces"},0)-MATCH(CALC_PlanetPositions!$B$8,{"Aries","Taurus","Gemini","Cancer","Leo","Virgo","Libra","Scorpio","Sagittarius","Capricorn","Aquarius","Pisces"},0),12)+1),12)+1)="FULL",NOT(CALC_PlanetPositions!$B$8=CALC_ChandraLagna!$E$5)),AND(CALC_PlanetPositions!$M$9="Malefic",INDEX(REF_Aspects!$D$5:$O$13,3,MOD(CALC_ChandraLagna!$F$5-(MOD(MATCH(CALC_PlanetPositions!$B$9,{"Aries","Taurus","Gemini","Cancer","Leo","Virgo","Libra","Scorpio","Sagittarius","Capricorn","Aquarius","Pisces"},0)-MATCH(CALC_PlanetPositions!$B$8,{"Aries","Taurus","Gemini","Cancer","Leo","Virgo","Libra","Scorpio","Sagittarius","Capricorn","Aquarius","Pisces"},0),12)+1),12)+1)="FULL",NOT(CALC_PlanetPositions!$B$9=CALC_ChandraLagna!$E$5)),AND(CALC_PlanetPositions!$M$10="Malefic",INDEX(REF_Aspects!$D$5:$O$13,4,MOD(CALC_ChandraLagna!$F$5-(MOD(MATCH(CALC_PlanetPositions!$B$10,{"Aries","Taurus","Gemini","Cancer","Leo","Virgo","Libra","Scorpio","Sagittarius","Capricorn","Aquarius","Pisces"},0)-MATCH(CALC_PlanetPositions!$B$8,{"Aries","Taurus","Gemini","Cancer","Leo","Virgo","Libra","Scorpio","Sagittarius","Capricorn","Aquarius","Pisces"},0),12)+1),12)+1)="FULL",NOT(CALC_PlanetPositions!$B$10=CALC_ChandraLagna!$E$5)),AND(CALC_PlanetPositions!$M$11="Malefic",INDEX(REF_Aspects!$D$5:$O$13,5,MOD(CALC_ChandraLagna!$F$5-(MOD(MATCH(CALC_PlanetPositions!$B$11,{"Aries","Taurus","Gemini","Cancer","Leo","Virgo","Libra","Scorpio","Sagittarius","Capricorn","Aquarius","Pisces"},0)-MATCH(CALC_PlanetPositions!$B$8,{"Aries","Taurus","Gemini","Cancer","Leo","Virgo","Libra","Scorpio","Sagittarius","Capricorn","Aquarius","Pisces"},0),12)+1),12)+1)="FULL",NOT(CALC_PlanetPositions!$B$11=CALC_ChandraLagna!$E$5)),AND(CALC_PlanetPositions!$M$12="Malefic",INDEX(REF_Aspects!$D$5:$O$13,6,MOD(CALC_ChandraLagna!$F$5-(MOD(MATCH(CALC_PlanetPositions!$B$12,{"Aries","Taurus","Gemini","Cancer","Leo","Virgo","Libra","Scorpio","Sagittarius","Capricorn","Aquarius","Pisces"},0)-MATCH(CALC_PlanetPositions!$B$8,{"Aries","Taurus","Gemini","Cancer","Leo","Virgo","Libra","Scorpio","Sagittarius","Capricorn","Aquarius","Pisces"},0),12)+1),12)+1)="FULL",NOT(CALC_PlanetPositions!$B$12=CALC_ChandraLagna!$E$5)),AND(CALC_PlanetPositions!$M$13="Malefic",INDEX(REF_Aspects!$D$5:$O$13,7,MOD(CALC_ChandraLagna!$F$5-(MOD(MATCH(CALC_PlanetPositions!$B$13,{"Aries","Taurus","Gemini","Cancer","Leo","Virgo","Libra","Scorpio","Sagittarius","Capricorn","Aquarius","Pisces"},0)-MATCH(CALC_PlanetPositions!$B$8,{"Aries","Taurus","Gemini","Cancer","Leo","Virgo","Libra","Scorpio","Sagittarius","Capricorn","Aquarius","Pisces"},0),12)+1),12)+1)="FULL",NOT(CALC_PlanetPositions!$B$13=CALC_ChandraLagna!$E$5)),AND(TRUE(),INDEX(REF_Aspects!$D$5:$O$13,8,MOD(CALC_ChandraLagna!$F$5-(MOD(MATCH(CALC_PlanetPositions!$B$14,{"Aries","Taurus","Gemini","Cancer","Leo","Virgo","Libra","Scorpio","Sagittarius","Capricorn","Aquarius","Pisces"},0)-MATCH(CALC_PlanetPositions!$B$8,{"Aries","Taurus","Gemini","Cancer","Leo","Virgo","Libra","Scorpio","Sagittarius","Capricorn","Aquarius","Pisces"},0),12)+1),12)+1)="FULL",NOT(CALC_PlanetPositions!$B$14=CALC_ChandraLagna!$E$5)),AND(TRUE(),INDEX(REF_Aspects!$D$5:$O$13,9,MOD(CALC_ChandraLagna!$F$5-(MOD(MATCH(CALC_PlanetPositions!$B$15,{"Aries","Taurus","Gemini","Cancer","Leo","Virgo","Libra","Scorpio","Sagittarius","Capricorn","Aquarius","Pisces"},0)-MATCH(CALC_PlanetPositions!$B$8,{"Aries","Taurus","Gemini","Cancer","Leo","Virgo","Libra","Scorpio","Sagittarius","Capricorn","Aquarius","Pisces"},0),12)+1),12)+1)="FULL",NOT(CALC_PlanetPositions!$B$15=CALC_ChandraLagna!$E$5))),1,0),0))*-0.5,0)</f>
        <v>-0.5</v>
      </c>
      <c r="D21" s="403" t="s">
        <v>4634</v>
      </c>
    </row>
    <row r="22" spans="1:7" ht="27.75" customHeight="1" x14ac:dyDescent="0.2">
      <c r="A22" s="120" t="s">
        <v>4635</v>
      </c>
      <c r="B22" s="357" t="s">
        <v>3042</v>
      </c>
      <c r="C22" s="1117">
        <f>IFERROR((IFERROR(IF(CALC_ChandraLagna!$I$5="Yes",1,0),0))*IF(REF_Config!$B$6="KP",-1.75,IF(REF_Config!$B$6="Jaimini",-2,-2)),0)</f>
        <v>0</v>
      </c>
      <c r="D22" s="400" t="s">
        <v>4636</v>
      </c>
    </row>
    <row r="23" spans="1:7" ht="27.75" customHeight="1" x14ac:dyDescent="0.2">
      <c r="A23" s="120" t="s">
        <v>4637</v>
      </c>
      <c r="B23" s="203" t="s">
        <v>3059</v>
      </c>
      <c r="C23" s="1118">
        <f>IFERROR((IFERROR(IF(OR(AND(CALC_ChandraLagna!$E$9=CALC_ChandraLagna!$E$5,CALC_ChandraLagna!$D$9&lt;&gt;CALC_ChandraLagna!$D$5),AND(CALC_ChandraLagna!$E$11=CALC_ChandraLagna!$E$5,CALC_ChandraLagna!$D$11&lt;&gt;CALC_ChandraLagna!$D$5),AND(CALC_ChandraLagna!$E$15=CALC_ChandraLagna!$E$5,CALC_ChandraLagna!$D$15&lt;&gt;CALC_ChandraLagna!$D$5)),1,0),0))*-1,0)</f>
        <v>-1</v>
      </c>
      <c r="D23" s="403" t="s">
        <v>4638</v>
      </c>
    </row>
    <row r="24" spans="1:7" ht="15.75" customHeight="1" x14ac:dyDescent="0.2">
      <c r="A24" s="1484" t="s">
        <v>4639</v>
      </c>
      <c r="B24" s="1484"/>
      <c r="C24" s="1484"/>
      <c r="D24" s="1484"/>
    </row>
    <row r="25" spans="1:7" ht="27.75" customHeight="1" x14ac:dyDescent="0.2">
      <c r="A25" s="120" t="s">
        <v>4640</v>
      </c>
      <c r="B25" s="357" t="s">
        <v>3084</v>
      </c>
      <c r="C25" s="1117">
        <f>IFERROR(IF(CALC_KarakMap!$M$6&gt;0,CALC_KarakMap!$M$6,0),0)</f>
        <v>0</v>
      </c>
      <c r="D25" s="400" t="s">
        <v>4641</v>
      </c>
    </row>
    <row r="26" spans="1:7" ht="27.75" customHeight="1" x14ac:dyDescent="0.2">
      <c r="A26" s="120" t="s">
        <v>4642</v>
      </c>
      <c r="B26" s="203" t="s">
        <v>4564</v>
      </c>
      <c r="C26" s="1118">
        <f>IFERROR(IF(CALC_KarakMap!$M$6&lt;0,CALC_KarakMap!$M$6,0),0)</f>
        <v>-0.5</v>
      </c>
      <c r="D26" s="403" t="s">
        <v>4643</v>
      </c>
    </row>
    <row r="27" spans="1:7" ht="27.75" customHeight="1" x14ac:dyDescent="0.2">
      <c r="A27" s="1119" t="s">
        <v>4644</v>
      </c>
      <c r="B27" s="296" t="s">
        <v>3624</v>
      </c>
      <c r="C27" s="1117">
        <f>IFERROR(IF(OR(CALC_ChandraLagna!$D$5="Sun",CALC_ChandraLagna!$D$5="Rahu",CALC_ChandraLagna!$D$5="Ketu"),0,IF(CALC_ChandraLagna!$D$5="Moon",IF(CALC_CombustionCheck!$G$4="Cazimi ✓",0.5,IF(CALC_CombustionCheck!$F$4="COMBUST ⚠",-1,0)),IF(CALC_ChandraLagna!$D$5="Mars",IF(CALC_CombustionCheck!$G$5="Cazimi ✓",0.5,IF(AND(CALC_CombustionCheck!$F$5="COMBUST ⚠",CALC_RetrogradeFix!$F$6="Rx ✓"),-0.5,IF(CALC_CombustionCheck!$F$5="COMBUST ⚠",-1,0))),IF(CALC_ChandraLagna!$D$5="Mercury",IF(CALC_CombustionCheck!$G$6="Cazimi ✓",0.5,IF(AND(CALC_CombustionCheck!$F$6="COMBUST ⚠",CALC_RetrogradeFix!$F$7="Rx ✓"),-0.5,IF(CALC_CombustionCheck!$F$6="COMBUST ⚠",-1,0))),IF(CALC_ChandraLagna!$D$5="Jupiter",IF(CALC_CombustionCheck!$G$7="Cazimi ✓",0.5,IF(AND(CALC_CombustionCheck!$F$7="COMBUST ⚠",CALC_RetrogradeFix!$F$8="Rx ✓"),-0.5,IF(CALC_CombustionCheck!$F$7="COMBUST ⚠",-1,0))),IF(CALC_ChandraLagna!$D$5="Venus",IF(CALC_CombustionCheck!$G$8="Cazimi ✓",0.5,IF(AND(CALC_CombustionCheck!$F$8="COMBUST ⚠",CALC_RetrogradeFix!$F$9="Rx ✓"),-0.5,IF(CALC_CombustionCheck!$F$8="COMBUST ⚠",-1,0))),IF(CALC_ChandraLagna!$D$5="Saturn",IF(CALC_CombustionCheck!$G$9="Cazimi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ChandraLagna!$D$5="Rahu",CALC_ChandraLagna!$D$5="Ketu"),0,IF(ISNUMBER(MATCH(CALC_ChandraLagna!$D$5,{"Sun","Moon","Mars","Mercury","Jupiter","Venus","Saturn"},0)),IF(INDEX(CALC_DigBala!$F$4:$F$10,MATCH(CALC_ChandraLagna!$D$5,{"Sun","Moon","Mars","Mercury","Jupiter","Venus","Saturn"},0))="Yes",0.5,0),0)),0)</f>
        <v>0</v>
      </c>
      <c r="D28" s="400" t="s">
        <v>4647</v>
      </c>
    </row>
    <row r="29" spans="1:7" ht="27.75" customHeight="1" x14ac:dyDescent="0.2">
      <c r="A29" s="1120" t="s">
        <v>4648</v>
      </c>
      <c r="B29" s="296" t="s">
        <v>3372</v>
      </c>
      <c r="C29" s="1117">
        <f>IFERROR(IF(COUNTIFS(REF_PushkaraNavamsha!$A$4:$A$27,CALC_ChandraLagna!$E$5,REF_PushkaraNavamsha!$B$4:$B$27,INDEX(CALC_PlanetPositions!$G$7:$G$15,MATCH(CALC_ChandraLagna!$D$5,CALC_PlanetPositions!$A$7:$A$15,0)))&gt;0,0.5,0),0)</f>
        <v>0.5</v>
      </c>
      <c r="D29" s="400" t="s">
        <v>4649</v>
      </c>
    </row>
    <row r="30" spans="1:7" ht="25.5" customHeight="1" x14ac:dyDescent="0.2">
      <c r="A30" s="147" t="s">
        <v>4650</v>
      </c>
      <c r="B30" s="1121" t="s">
        <v>4651</v>
      </c>
      <c r="C30" s="1122">
        <f>IFERROR(IF(ISNUMBER(MATCH(CALC_ChandraLagna!$D$5,{"Sun","Moon","Mars","Mercury","Jupiter","Venus","Saturn"},0)),INDEX(CALC_RetrogradeFix!$G$4:$G$10,MATCH(CALC_ChandraLagna!$D$5,{"Sun","Moon","Mars","Mercury","Jupiter","Venus","Saturn"},0)),0),0)</f>
        <v>0</v>
      </c>
      <c r="D30" s="1123" t="s">
        <v>4652</v>
      </c>
    </row>
    <row r="31" spans="1:7" ht="18" customHeight="1" x14ac:dyDescent="0.2">
      <c r="A31" s="1555" t="s">
        <v>4653</v>
      </c>
      <c r="B31" s="1555"/>
      <c r="C31" s="1555"/>
      <c r="D31" s="1555"/>
      <c r="E31" s="1124" t="s">
        <v>4654</v>
      </c>
      <c r="F31" s="1125">
        <f>IFERROR(IF(CALC_Ashtakavarga!C$12&gt;28,0.5,IF(CALC_Ashtakavarga!C$12&lt;22,-0.5,0)),0)</f>
        <v>-0.5</v>
      </c>
      <c r="G31" s="1126" t="s">
        <v>4655</v>
      </c>
    </row>
    <row r="32" spans="1:7" ht="18" customHeight="1" x14ac:dyDescent="0.2">
      <c r="A32" s="189" t="s">
        <v>3367</v>
      </c>
      <c r="B32" s="1127" t="s">
        <v>4656</v>
      </c>
      <c r="C32" s="1128">
        <f>IFERROR(SUM(C5:C7),0)</f>
        <v>1.5</v>
      </c>
      <c r="D32" s="1129"/>
    </row>
    <row r="33" spans="1:4" ht="18" customHeight="1" x14ac:dyDescent="0.2">
      <c r="A33" s="189" t="s">
        <v>3372</v>
      </c>
      <c r="B33" s="1127" t="s">
        <v>4657</v>
      </c>
      <c r="C33" s="1128">
        <f>IFERROR(SUM(C9:C13,C28:C30,F31,0),0)</f>
        <v>4</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3.5</v>
      </c>
      <c r="D37" s="1129"/>
    </row>
    <row r="38" spans="1:4" ht="21.75" customHeight="1" x14ac:dyDescent="0.2">
      <c r="A38" s="89" t="s">
        <v>4661</v>
      </c>
      <c r="B38" s="1129"/>
      <c r="C38" s="1131">
        <f>IFERROR(MAX(-10,MIN(10,C37)),0)</f>
        <v>3.5</v>
      </c>
      <c r="D38" s="1132"/>
    </row>
    <row r="39" spans="1:4" ht="18" customHeight="1" x14ac:dyDescent="0.2">
      <c r="A39" s="517" t="s">
        <v>4662</v>
      </c>
      <c r="B39" s="1129"/>
      <c r="C39" s="1133">
        <f>IFERROR(CALC_LagneshStrength!$I$4,0)</f>
        <v>0</v>
      </c>
      <c r="D39" s="1129"/>
    </row>
    <row r="40" spans="1:4" ht="25.5" customHeight="1" x14ac:dyDescent="0.2">
      <c r="A40" s="1137" t="s">
        <v>4663</v>
      </c>
      <c r="B40" s="1129"/>
      <c r="C40" s="1138">
        <f>IFERROR(MAX(-10,MIN(10,C38+C39+C41)),0)</f>
        <v>3.5</v>
      </c>
      <c r="D40" s="1139" t="str">
        <f>IFERROR(IF(C40&gt;=7,"Excellent — Wealth domain very strong",IF(C40&gt;=4,"Good — Wealth domain strong",IF(C40&gt;=1,"Moderate",IF(C40&gt;=-2,"Mixed — Wealth has challenges",IF(C40&gt;=-5,"Weak","Very weak — Wealth heavily afflicted"))))),"—")</f>
        <v>Moderate</v>
      </c>
    </row>
    <row r="41" spans="1:4" ht="18" customHeight="1" x14ac:dyDescent="0.2">
      <c r="A41" s="622" t="s">
        <v>4681</v>
      </c>
      <c r="B41" s="904" t="s">
        <v>4678</v>
      </c>
      <c r="C41" s="1160">
        <v>0</v>
      </c>
      <c r="D41" s="550" t="s">
        <v>4682</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4683</v>
      </c>
      <c r="B1" s="1518"/>
      <c r="C1" s="1518"/>
      <c r="D1" s="1518"/>
      <c r="L1" s="544" t="s">
        <v>2214</v>
      </c>
    </row>
    <row r="2" spans="1:12" ht="19.5" customHeight="1" x14ac:dyDescent="0.2">
      <c r="A2" s="1595" t="str">
        <f>IFERROR("Chandra Lagna: "&amp;CALC_PlanetPositions!$B$8&amp;"  ·  H3 sign: "&amp;CALC_ChandraLagna!$C$6,"—")</f>
        <v>Chandra Lagna: Cancer  ·  H3 sign: Virgo</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47" t="s">
        <v>4605</v>
      </c>
      <c r="B5" s="357" t="s">
        <v>4529</v>
      </c>
      <c r="C5" s="1117">
        <f>IFERROR((IFERROR(IF(INDEX(REF_Zodiac!$D$17:$O$17,MATCH(CALC_ChandraLagna!$C$6,REF_Zodiac!$D$3:$O$3,0))="Gentle",1,0),0))*0.5,0)</f>
        <v>0.5</v>
      </c>
      <c r="D5" s="400" t="s">
        <v>4606</v>
      </c>
    </row>
    <row r="6" spans="1:12" ht="27.75" customHeight="1" x14ac:dyDescent="0.2">
      <c r="A6" s="147"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47" t="s">
        <v>4609</v>
      </c>
      <c r="B7" s="357" t="s">
        <v>4534</v>
      </c>
      <c r="C7" s="1117">
        <f>IFERROR((IFERROR(IF(OR(AND(OR(CALC_PlanetPositions!$M$7="Benefic",CALC_PlanetPositions!$M$7="Yogakaraka"),INDEX(REF_Aspects!$D$5:$O$13,1,MOD(3-(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3)),AND(OR(CALC_PlanetPositions!$M$8="Benefic",CALC_PlanetPositions!$M$8="Yogakaraka"),INDEX(REF_Aspects!$D$5:$O$13,2,MOD(3-(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3)),AND(OR(CALC_PlanetPositions!$M$9="Benefic",CALC_PlanetPositions!$M$9="Yogakaraka"),INDEX(REF_Aspects!$D$5:$O$13,3,MOD(3-(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3)),AND(OR(CALC_PlanetPositions!$M$10="Benefic",CALC_PlanetPositions!$M$10="Yogakaraka"),INDEX(REF_Aspects!$D$5:$O$13,4,MOD(3-(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3)),AND(OR(CALC_PlanetPositions!$M$11="Benefic",CALC_PlanetPositions!$M$11="Yogakaraka"),INDEX(REF_Aspects!$D$5:$O$13,5,MOD(3-(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3)),AND(OR(CALC_PlanetPositions!$M$12="Benefic",CALC_PlanetPositions!$M$12="Yogakaraka"),INDEX(REF_Aspects!$D$5:$O$13,6,MOD(3-(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3)),AND(OR(CALC_PlanetPositions!$M$13="Benefic",CALC_PlanetPositions!$M$13="Yogakaraka"),INDEX(REF_Aspects!$D$5:$O$13,7,MOD(3-(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3)),AND(FALSE(),INDEX(REF_Aspects!$D$5:$O$13,8,MOD(3-(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3)),AND(FALSE(),INDEX(REF_Aspects!$D$5:$O$13,9,MOD(3-(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3))),1,0),0))*IF(REF_Config!$B$6="KP",0.5,IF(REF_Config!$B$6="Jaimini",0.75,0.75)),0)</f>
        <v>0.75</v>
      </c>
      <c r="D7" s="400" t="s">
        <v>4610</v>
      </c>
    </row>
    <row r="8" spans="1:12" ht="15.75" customHeight="1" x14ac:dyDescent="0.2">
      <c r="A8" s="1597" t="s">
        <v>3372</v>
      </c>
      <c r="B8" s="1597"/>
      <c r="C8" s="1597"/>
      <c r="D8" s="1597"/>
    </row>
    <row r="9" spans="1:12" ht="27.75" customHeight="1" x14ac:dyDescent="0.2">
      <c r="A9" s="147" t="s">
        <v>4611</v>
      </c>
      <c r="B9" s="203" t="s">
        <v>4537</v>
      </c>
      <c r="C9" s="1118">
        <f>IFERROR(IF(AND(OR(CALC_ChandraLagna!$G$6="Yes",CALC_ChandraLagna!$H$6="Yes"),NOT(CALC_ChandraLagna!$I$6="Yes")),1,0)*IF(REF_Config!$B$6="KP",1.5,IF(REF_Config!$B$6="Jaimini",1.5,2)),0)</f>
        <v>2</v>
      </c>
      <c r="D9" s="403" t="s">
        <v>4612</v>
      </c>
    </row>
    <row r="10" spans="1:12" ht="27.75" customHeight="1" x14ac:dyDescent="0.2">
      <c r="A10" s="147" t="s">
        <v>4613</v>
      </c>
      <c r="B10" s="357" t="s">
        <v>3093</v>
      </c>
      <c r="C10" s="1117">
        <f>IFERROR((IFERROR(IF(OR(AND(CALC_ChandraLagna!$E$4=CALC_ChandraLagna!$E$6,CALC_ChandraLagna!$D$4&lt;&gt;CALC_ChandraLagna!$D$6),AND(CALC_ChandraLagna!$E$7=CALC_ChandraLagna!$E$6,CALC_ChandraLagna!$D$7&lt;&gt;CALC_ChandraLagna!$D$6),AND(CALC_ChandraLagna!$E$8=CALC_ChandraLagna!$E$6,CALC_ChandraLagna!$D$8&lt;&gt;CALC_ChandraLagna!$D$6),AND(CALC_ChandraLagna!$E$10=CALC_ChandraLagna!$E$6,CALC_ChandraLagna!$D$10&lt;&gt;CALC_ChandraLagna!$D$6),AND(CALC_ChandraLagna!$E$12=CALC_ChandraLagna!$E$6,CALC_ChandraLagna!$D$12&lt;&gt;CALC_ChandraLagna!$D$6),AND(CALC_ChandraLagna!$E$13=CALC_ChandraLagna!$E$6,CALC_ChandraLagna!$D$13&lt;&gt;CALC_ChandraLagna!$D$6)),1,0),0))*0.5,0)</f>
        <v>0.5</v>
      </c>
      <c r="D10" s="400" t="s">
        <v>4614</v>
      </c>
    </row>
    <row r="11" spans="1:12" ht="27.75" customHeight="1" x14ac:dyDescent="0.2">
      <c r="A11" s="147" t="s">
        <v>4615</v>
      </c>
      <c r="B11" s="203" t="s">
        <v>4540</v>
      </c>
      <c r="C11" s="1118">
        <f>IFERROR((IFERROR(IF(OR(AND(OR(CALC_PlanetPositions!$M$7="Benefic",CALC_PlanetPositions!$M$7="Yogakaraka"),CALC_PlanetPositions!$B$7=CALC_ChandraLagna!$E$6,CALC_ChandraLagna!$D$6&lt;&gt;"Sun"),AND(OR(CALC_PlanetPositions!$M$8="Benefic",CALC_PlanetPositions!$M$8="Yogakaraka"),CALC_PlanetPositions!$B$8=CALC_ChandraLagna!$E$6,CALC_ChandraLagna!$D$6&lt;&gt;"Moon"),AND(OR(CALC_PlanetPositions!$M$9="Benefic",CALC_PlanetPositions!$M$9="Yogakaraka"),CALC_PlanetPositions!$B$9=CALC_ChandraLagna!$E$6,CALC_ChandraLagna!$D$6&lt;&gt;"Mars"),AND(OR(CALC_PlanetPositions!$M$10="Benefic",CALC_PlanetPositions!$M$10="Yogakaraka"),CALC_PlanetPositions!$B$10=CALC_ChandraLagna!$E$6,CALC_ChandraLagna!$D$6&lt;&gt;"Mercury"),AND(OR(CALC_PlanetPositions!$M$11="Benefic",CALC_PlanetPositions!$M$11="Yogakaraka"),CALC_PlanetPositions!$B$11=CALC_ChandraLagna!$E$6,CALC_ChandraLagna!$D$6&lt;&gt;"Jupiter"),AND(OR(CALC_PlanetPositions!$M$12="Benefic",CALC_PlanetPositions!$M$12="Yogakaraka"),CALC_PlanetPositions!$B$12=CALC_ChandraLagna!$E$6,CALC_ChandraLagna!$D$6&lt;&gt;"Venus"),AND(OR(CALC_PlanetPositions!$M$13="Benefic",CALC_PlanetPositions!$M$13="Yogakaraka"),CALC_PlanetPositions!$B$13=CALC_ChandraLagna!$E$6,CALC_ChandraLagna!$D$6&lt;&gt;"Saturn")),1,0),0))*IF(OR(AND(CALC_PlanetPositions!$M$7="Yogakaraka",CALC_PlanetPositions!$B$7=CALC_ChandraLagna!$E$6,CALC_ChandraLagna!$D$6&lt;&gt;"Sun"),AND(CALC_PlanetPositions!$M$8="Yogakaraka",CALC_PlanetPositions!$B$8=CALC_ChandraLagna!$E$6,CALC_ChandraLagna!$D$6&lt;&gt;"Moon"),AND(CALC_PlanetPositions!$M$9="Yogakaraka",CALC_PlanetPositions!$B$9=CALC_ChandraLagna!$E$6,CALC_ChandraLagna!$D$6&lt;&gt;"Mars"),AND(CALC_PlanetPositions!$M$10="Yogakaraka",CALC_PlanetPositions!$B$10=CALC_ChandraLagna!$E$6,CALC_ChandraLagna!$D$6&lt;&gt;"Mercury"),AND(CALC_PlanetPositions!$M$11="Yogakaraka",CALC_PlanetPositions!$B$11=CALC_ChandraLagna!$E$6,CALC_ChandraLagna!$D$6&lt;&gt;"Jupiter"),AND(CALC_PlanetPositions!$M$12="Yogakaraka",CALC_PlanetPositions!$B$12=CALC_ChandraLagna!$E$6,CALC_ChandraLagna!$D$6&lt;&gt;"Venus"),AND(CALC_PlanetPositions!$M$13="Yogakaraka",CALC_PlanetPositions!$B$13=CALC_ChandraLagna!$E$6,CALC_ChandraLagna!$D$6&lt;&gt;"Saturn")),1.5,1),0)</f>
        <v>1.5</v>
      </c>
      <c r="D11" s="403" t="s">
        <v>4616</v>
      </c>
    </row>
    <row r="12" spans="1:12" ht="27.75" customHeight="1" x14ac:dyDescent="0.2">
      <c r="A12" s="147" t="s">
        <v>4617</v>
      </c>
      <c r="B12" s="357" t="s">
        <v>4542</v>
      </c>
      <c r="C12" s="1117">
        <f>IFERROR((IFERROR(IF(OR(AND(OR(CALC_PlanetPositions!$M$7="Benefic",CALC_PlanetPositions!$M$7="Yogakaraka"),INDEX(REF_Aspects!$D$5:$O$13,1,MOD(CALC_ChandraLagna!$F$6-(MOD(MATCH(CALC_PlanetPositions!$B$7,{"Aries","Taurus","Gemini","Cancer","Leo","Virgo","Libra","Scorpio","Sagittarius","Capricorn","Aquarius","Pisces"},0)-MATCH(CALC_PlanetPositions!$B$8,{"Aries","Taurus","Gemini","Cancer","Leo","Virgo","Libra","Scorpio","Sagittarius","Capricorn","Aquarius","Pisces"},0),12)+1),12)+1)="FULL",NOT(CALC_PlanetPositions!$B$7=CALC_ChandraLagna!$E$6)),AND(OR(CALC_PlanetPositions!$M$8="Benefic",CALC_PlanetPositions!$M$8="Yogakaraka"),INDEX(REF_Aspects!$D$5:$O$13,2,MOD(CALC_ChandraLagna!$F$6-(MOD(MATCH(CALC_PlanetPositions!$B$8,{"Aries","Taurus","Gemini","Cancer","Leo","Virgo","Libra","Scorpio","Sagittarius","Capricorn","Aquarius","Pisces"},0)-MATCH(CALC_PlanetPositions!$B$8,{"Aries","Taurus","Gemini","Cancer","Leo","Virgo","Libra","Scorpio","Sagittarius","Capricorn","Aquarius","Pisces"},0),12)+1),12)+1)="FULL",NOT(CALC_PlanetPositions!$B$8=CALC_ChandraLagna!$E$6)),AND(OR(CALC_PlanetPositions!$M$9="Benefic",CALC_PlanetPositions!$M$9="Yogakaraka"),INDEX(REF_Aspects!$D$5:$O$13,3,MOD(CALC_ChandraLagna!$F$6-(MOD(MATCH(CALC_PlanetPositions!$B$9,{"Aries","Taurus","Gemini","Cancer","Leo","Virgo","Libra","Scorpio","Sagittarius","Capricorn","Aquarius","Pisces"},0)-MATCH(CALC_PlanetPositions!$B$8,{"Aries","Taurus","Gemini","Cancer","Leo","Virgo","Libra","Scorpio","Sagittarius","Capricorn","Aquarius","Pisces"},0),12)+1),12)+1)="FULL",NOT(CALC_PlanetPositions!$B$9=CALC_ChandraLagna!$E$6)),AND(OR(CALC_PlanetPositions!$M$10="Benefic",CALC_PlanetPositions!$M$10="Yogakaraka"),INDEX(REF_Aspects!$D$5:$O$13,4,MOD(CALC_ChandraLagna!$F$6-(MOD(MATCH(CALC_PlanetPositions!$B$10,{"Aries","Taurus","Gemini","Cancer","Leo","Virgo","Libra","Scorpio","Sagittarius","Capricorn","Aquarius","Pisces"},0)-MATCH(CALC_PlanetPositions!$B$8,{"Aries","Taurus","Gemini","Cancer","Leo","Virgo","Libra","Scorpio","Sagittarius","Capricorn","Aquarius","Pisces"},0),12)+1),12)+1)="FULL",NOT(CALC_PlanetPositions!$B$10=CALC_ChandraLagna!$E$6)),AND(OR(CALC_PlanetPositions!$M$11="Benefic",CALC_PlanetPositions!$M$11="Yogakaraka"),INDEX(REF_Aspects!$D$5:$O$13,5,MOD(CALC_ChandraLagna!$F$6-(MOD(MATCH(CALC_PlanetPositions!$B$11,{"Aries","Taurus","Gemini","Cancer","Leo","Virgo","Libra","Scorpio","Sagittarius","Capricorn","Aquarius","Pisces"},0)-MATCH(CALC_PlanetPositions!$B$8,{"Aries","Taurus","Gemini","Cancer","Leo","Virgo","Libra","Scorpio","Sagittarius","Capricorn","Aquarius","Pisces"},0),12)+1),12)+1)="FULL",NOT(CALC_PlanetPositions!$B$11=CALC_ChandraLagna!$E$6)),AND(OR(CALC_PlanetPositions!$M$12="Benefic",CALC_PlanetPositions!$M$12="Yogakaraka"),INDEX(REF_Aspects!$D$5:$O$13,6,MOD(CALC_ChandraLagna!$F$6-(MOD(MATCH(CALC_PlanetPositions!$B$12,{"Aries","Taurus","Gemini","Cancer","Leo","Virgo","Libra","Scorpio","Sagittarius","Capricorn","Aquarius","Pisces"},0)-MATCH(CALC_PlanetPositions!$B$8,{"Aries","Taurus","Gemini","Cancer","Leo","Virgo","Libra","Scorpio","Sagittarius","Capricorn","Aquarius","Pisces"},0),12)+1),12)+1)="FULL",NOT(CALC_PlanetPositions!$B$12=CALC_ChandraLagna!$E$6)),AND(OR(CALC_PlanetPositions!$M$13="Benefic",CALC_PlanetPositions!$M$13="Yogakaraka"),INDEX(REF_Aspects!$D$5:$O$13,7,MOD(CALC_ChandraLagna!$F$6-(MOD(MATCH(CALC_PlanetPositions!$B$13,{"Aries","Taurus","Gemini","Cancer","Leo","Virgo","Libra","Scorpio","Sagittarius","Capricorn","Aquarius","Pisces"},0)-MATCH(CALC_PlanetPositions!$B$8,{"Aries","Taurus","Gemini","Cancer","Leo","Virgo","Libra","Scorpio","Sagittarius","Capricorn","Aquarius","Pisces"},0),12)+1),12)+1)="FULL",NOT(CALC_PlanetPositions!$B$13=CALC_ChandraLagna!$E$6)),AND(FALSE(),INDEX(REF_Aspects!$D$5:$O$13,8,MOD(CALC_ChandraLagna!$F$6-(MOD(MATCH(CALC_PlanetPositions!$B$14,{"Aries","Taurus","Gemini","Cancer","Leo","Virgo","Libra","Scorpio","Sagittarius","Capricorn","Aquarius","Pisces"},0)-MATCH(CALC_PlanetPositions!$B$8,{"Aries","Taurus","Gemini","Cancer","Leo","Virgo","Libra","Scorpio","Sagittarius","Capricorn","Aquarius","Pisces"},0),12)+1),12)+1)="FULL",NOT(CALC_PlanetPositions!$B$14=CALC_ChandraLagna!$E$6)),AND(FALSE(),INDEX(REF_Aspects!$D$5:$O$13,9,MOD(CALC_ChandraLagna!$F$6-(MOD(MATCH(CALC_PlanetPositions!$B$15,{"Aries","Taurus","Gemini","Cancer","Leo","Virgo","Libra","Scorpio","Sagittarius","Capricorn","Aquarius","Pisces"},0)-MATCH(CALC_PlanetPositions!$B$8,{"Aries","Taurus","Gemini","Cancer","Leo","Virgo","Libra","Scorpio","Sagittarius","Capricorn","Aquarius","Pisces"},0),12)+1),12)+1)="FULL",NOT(CALC_PlanetPositions!$B$15=CALC_ChandraLagna!$E$6))),1,0),0))*0.5,0)</f>
        <v>0</v>
      </c>
      <c r="D12" s="400" t="s">
        <v>4618</v>
      </c>
    </row>
    <row r="13" spans="1:12" ht="27.75" customHeight="1" x14ac:dyDescent="0.2">
      <c r="A13" s="147"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$6-2,12)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$6-2,12)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$6-2,12)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$6-2,12)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$6-2,12)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$6-2,12)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$6-2,12)+1)),AND(FALSE(),MOD(MATCH(CALC_PlanetPositions!$B$14,{"Aries","Taurus","Gemini","Cancer","Leo","Virgo","Libra","Scorpio","Sagittarius","Capricorn","Aquarius","Pisces"},0)-MATCH(CALC_PlanetPositions!$B$8,{"Aries","Taurus","Gemini","Cancer","Leo","Virgo","Libra","Scorpio","Sagittarius","Capricorn","Aquarius","Pisces"},0),12)+1=(MOD(CALC_ChandraLagna!$F$6-2,12)+1)),AND(FALSE(),MOD(MATCH(CALC_PlanetPositions!$B$15,{"Aries","Taurus","Gemini","Cancer","Leo","Virgo","Libra","Scorpio","Sagittarius","Capricorn","Aquarius","Pisces"},0)-MATCH(CALC_PlanetPositions!$B$8,{"Aries","Taurus","Gemini","Cancer","Leo","Virgo","Libra","Scorpio","Sagittarius","Capricorn","Aquarius","Pisces"},0),12)+1=(MOD(CALC_ChandraLagna!$F$6-2,12)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$6,12)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$6,12)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$6,12)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$6,12)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$6,12)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$6,12)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$6,12)+1)),AND(FALSE(),MOD(MATCH(CALC_PlanetPositions!$B$14,{"Aries","Taurus","Gemini","Cancer","Leo","Virgo","Libra","Scorpio","Sagittarius","Capricorn","Aquarius","Pisces"},0)-MATCH(CALC_PlanetPositions!$B$8,{"Aries","Taurus","Gemini","Cancer","Leo","Virgo","Libra","Scorpio","Sagittarius","Capricorn","Aquarius","Pisces"},0),12)+1=(MOD(CALC_ChandraLagna!$F$6,12)+1)),AND(FALSE(),MOD(MATCH(CALC_PlanetPositions!$B$15,{"Aries","Taurus","Gemini","Cancer","Leo","Virgo","Libra","Scorpio","Sagittarius","Capricorn","Aquarius","Pisces"},0)-MATCH(CALC_PlanetPositions!$B$8,{"Aries","Taurus","Gemini","Cancer","Leo","Virgo","Libra","Scorpio","Sagittarius","Capricorn","Aquarius","Pisces"},0),12)+1=(MOD(CALC_ChandraLagna!$F$6,12)+1)))),1,0),0))*IF(REF_Config!$B$6="KP",0.75,IF(REF_Config!$B$6="Jaimini",0.5,0.75)),0)</f>
        <v>0</v>
      </c>
      <c r="D13" s="403" t="s">
        <v>4620</v>
      </c>
    </row>
    <row r="14" spans="1:12" ht="15.75" customHeight="1" x14ac:dyDescent="0.2">
      <c r="A14" s="1598" t="s">
        <v>4621</v>
      </c>
      <c r="B14" s="1598"/>
      <c r="C14" s="1598"/>
      <c r="D14" s="1598"/>
    </row>
    <row r="15" spans="1:12" ht="27.75" customHeight="1" x14ac:dyDescent="0.2">
      <c r="A15" s="147"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3),AND(CALC_PlanetPositions!$M$8="Malefic",(MOD(MATCH(CALC_PlanetPositions!$B$8,{"Aries","Taurus","Gemini","Cancer","Leo","Virgo","Libra","Scorpio","Sagittarius","Capricorn","Aquarius","Pisces"},0)-MATCH(CALC_PlanetPositions!$B$8,{"Aries","Taurus","Gemini","Cancer","Leo","Virgo","Libra","Scorpio","Sagittarius","Capricorn","Aquarius","Pisces"},0),12)+1)=3),AND(CALC_PlanetPositions!$M$9="Malefic",(MOD(MATCH(CALC_PlanetPositions!$B$9,{"Aries","Taurus","Gemini","Cancer","Leo","Virgo","Libra","Scorpio","Sagittarius","Capricorn","Aquarius","Pisces"},0)-MATCH(CALC_PlanetPositions!$B$8,{"Aries","Taurus","Gemini","Cancer","Leo","Virgo","Libra","Scorpio","Sagittarius","Capricorn","Aquarius","Pisces"},0),12)+1)=3),AND(CALC_PlanetPositions!$M$10="Malefic",(MOD(MATCH(CALC_PlanetPositions!$B$10,{"Aries","Taurus","Gemini","Cancer","Leo","Virgo","Libra","Scorpio","Sagittarius","Capricorn","Aquarius","Pisces"},0)-MATCH(CALC_PlanetPositions!$B$8,{"Aries","Taurus","Gemini","Cancer","Leo","Virgo","Libra","Scorpio","Sagittarius","Capricorn","Aquarius","Pisces"},0),12)+1)=3),AND(CALC_PlanetPositions!$M$11="Malefic",(MOD(MATCH(CALC_PlanetPositions!$B$11,{"Aries","Taurus","Gemini","Cancer","Leo","Virgo","Libra","Scorpio","Sagittarius","Capricorn","Aquarius","Pisces"},0)-MATCH(CALC_PlanetPositions!$B$8,{"Aries","Taurus","Gemini","Cancer","Leo","Virgo","Libra","Scorpio","Sagittarius","Capricorn","Aquarius","Pisces"},0),12)+1)=3),AND(CALC_PlanetPositions!$M$12="Malefic",(MOD(MATCH(CALC_PlanetPositions!$B$12,{"Aries","Taurus","Gemini","Cancer","Leo","Virgo","Libra","Scorpio","Sagittarius","Capricorn","Aquarius","Pisces"},0)-MATCH(CALC_PlanetPositions!$B$8,{"Aries","Taurus","Gemini","Cancer","Leo","Virgo","Libra","Scorpio","Sagittarius","Capricorn","Aquarius","Pisces"},0),12)+1)=3),AND(CALC_PlanetPositions!$M$13="Malefic",(MOD(MATCH(CALC_PlanetPositions!$B$13,{"Aries","Taurus","Gemini","Cancer","Leo","Virgo","Libra","Scorpio","Sagittarius","Capricorn","Aquarius","Pisces"},0)-MATCH(CALC_PlanetPositions!$B$8,{"Aries","Taurus","Gemini","Cancer","Leo","Virgo","Libra","Scorpio","Sagittarius","Capricorn","Aquarius","Pisces"},0),12)+1)=3),AND(TRUE(),(MOD(MATCH(CALC_PlanetPositions!$B$14,{"Aries","Taurus","Gemini","Cancer","Leo","Virgo","Libra","Scorpio","Sagittarius","Capricorn","Aquarius","Pisces"},0)-MATCH(CALC_PlanetPositions!$B$8,{"Aries","Taurus","Gemini","Cancer","Leo","Virgo","Libra","Scorpio","Sagittarius","Capricorn","Aquarius","Pisces"},0),12)+1)=3),AND(TRUE(),(MOD(MATCH(CALC_PlanetPositions!$B$15,{"Aries","Taurus","Gemini","Cancer","Leo","Virgo","Libra","Scorpio","Sagittarius","Capricorn","Aquarius","Pisces"},0)-MATCH(CALC_PlanetPositions!$B$8,{"Aries","Taurus","Gemini","Cancer","Leo","Virgo","Libra","Scorpio","Sagittarius","Capricorn","Aquarius","Pisces"},0),12)+1)=3)),1,0),0))*-1,0)</f>
        <v>0</v>
      </c>
      <c r="D15" s="400" t="s">
        <v>4623</v>
      </c>
    </row>
    <row r="16" spans="1:12" ht="27.75" customHeight="1" x14ac:dyDescent="0.2">
      <c r="A16" s="147" t="s">
        <v>4624</v>
      </c>
      <c r="B16" s="203" t="s">
        <v>4548</v>
      </c>
      <c r="C16" s="1118">
        <f>IFERROR((IFERROR(IF(OR(AND(CALC_PlanetPositions!$M$7="Malefic",INDEX(REF_Aspects!$D$5:$O$13,1,MOD(3-(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3)),AND(CALC_PlanetPositions!$M$8="Malefic",INDEX(REF_Aspects!$D$5:$O$13,2,MOD(3-(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3)),AND(CALC_PlanetPositions!$M$9="Malefic",INDEX(REF_Aspects!$D$5:$O$13,3,MOD(3-(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3)),AND(CALC_PlanetPositions!$M$10="Malefic",INDEX(REF_Aspects!$D$5:$O$13,4,MOD(3-(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3)),AND(CALC_PlanetPositions!$M$11="Malefic",INDEX(REF_Aspects!$D$5:$O$13,5,MOD(3-(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3)),AND(CALC_PlanetPositions!$M$12="Malefic",INDEX(REF_Aspects!$D$5:$O$13,6,MOD(3-(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3)),AND(CALC_PlanetPositions!$M$13="Malefic",INDEX(REF_Aspects!$D$5:$O$13,7,MOD(3-(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3)),AND(TRUE(),INDEX(REF_Aspects!$D$5:$O$13,8,MOD(3-(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3)),AND(TRUE(),INDEX(REF_Aspects!$D$5:$O$13,9,MOD(3-(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3))),1,0),0))*-1,0)</f>
        <v>-1</v>
      </c>
      <c r="D16" s="403" t="s">
        <v>4625</v>
      </c>
    </row>
    <row r="17" spans="1:7" ht="27.75" customHeight="1" x14ac:dyDescent="0.2">
      <c r="A17" s="147" t="s">
        <v>4626</v>
      </c>
      <c r="B17" s="357" t="s">
        <v>3062</v>
      </c>
      <c r="C17" s="1117">
        <v>0</v>
      </c>
      <c r="D17" s="400" t="s">
        <v>4627</v>
      </c>
    </row>
    <row r="18" spans="1:7" ht="27.75" customHeight="1" x14ac:dyDescent="0.2">
      <c r="A18" s="147"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(3-2,12)+1)),AND(CALC_PlanetPositions!$M$8="Malefic",MOD(MATCH(CALC_PlanetPositions!$B$8,{"Aries","Taurus","Gemini","Cancer","Leo","Virgo","Libra","Scorpio","Sagittarius","Capricorn","Aquarius","Pisces"},0)-MATCH(CALC_PlanetPositions!$B$8,{"Aries","Taurus","Gemini","Cancer","Leo","Virgo","Libra","Scorpio","Sagittarius","Capricorn","Aquarius","Pisces"},0),12)+1=(MOD(3-2,12)+1)),AND(CALC_PlanetPositions!$M$9="Malefic",MOD(MATCH(CALC_PlanetPositions!$B$9,{"Aries","Taurus","Gemini","Cancer","Leo","Virgo","Libra","Scorpio","Sagittarius","Capricorn","Aquarius","Pisces"},0)-MATCH(CALC_PlanetPositions!$B$8,{"Aries","Taurus","Gemini","Cancer","Leo","Virgo","Libra","Scorpio","Sagittarius","Capricorn","Aquarius","Pisces"},0),12)+1=(MOD(3-2,12)+1)),AND(CALC_PlanetPositions!$M$10="Malefic",MOD(MATCH(CALC_PlanetPositions!$B$10,{"Aries","Taurus","Gemini","Cancer","Leo","Virgo","Libra","Scorpio","Sagittarius","Capricorn","Aquarius","Pisces"},0)-MATCH(CALC_PlanetPositions!$B$8,{"Aries","Taurus","Gemini","Cancer","Leo","Virgo","Libra","Scorpio","Sagittarius","Capricorn","Aquarius","Pisces"},0),12)+1=(MOD(3-2,12)+1)),AND(CALC_PlanetPositions!$M$11="Malefic",MOD(MATCH(CALC_PlanetPositions!$B$11,{"Aries","Taurus","Gemini","Cancer","Leo","Virgo","Libra","Scorpio","Sagittarius","Capricorn","Aquarius","Pisces"},0)-MATCH(CALC_PlanetPositions!$B$8,{"Aries","Taurus","Gemini","Cancer","Leo","Virgo","Libra","Scorpio","Sagittarius","Capricorn","Aquarius","Pisces"},0),12)+1=(MOD(3-2,12)+1)),AND(CALC_PlanetPositions!$M$12="Malefic",MOD(MATCH(CALC_PlanetPositions!$B$12,{"Aries","Taurus","Gemini","Cancer","Leo","Virgo","Libra","Scorpio","Sagittarius","Capricorn","Aquarius","Pisces"},0)-MATCH(CALC_PlanetPositions!$B$8,{"Aries","Taurus","Gemini","Cancer","Leo","Virgo","Libra","Scorpio","Sagittarius","Capricorn","Aquarius","Pisces"},0),12)+1=(MOD(3-2,12)+1)),AND(CALC_PlanetPositions!$M$13="Malefic",MOD(MATCH(CALC_PlanetPositions!$B$13,{"Aries","Taurus","Gemini","Cancer","Leo","Virgo","Libra","Scorpio","Sagittarius","Capricorn","Aquarius","Pisces"},0)-MATCH(CALC_PlanetPositions!$B$8,{"Aries","Taurus","Gemini","Cancer","Leo","Virgo","Libra","Scorpio","Sagittarius","Capricorn","Aquarius","Pisces"},0),12)+1=(MOD(3-2,12)+1)),AND(TRUE(),MOD(MATCH(CALC_PlanetPositions!$B$14,{"Aries","Taurus","Gemini","Cancer","Leo","Virgo","Libra","Scorpio","Sagittarius","Capricorn","Aquarius","Pisces"},0)-MATCH(CALC_PlanetPositions!$B$8,{"Aries","Taurus","Gemini","Cancer","Leo","Virgo","Libra","Scorpio","Sagittarius","Capricorn","Aquarius","Pisces"},0),12)+1=(MOD(3-2,12)+1)),AND(TRUE(),MOD(MATCH(CALC_PlanetPositions!$B$15,{"Aries","Taurus","Gemini","Cancer","Leo","Virgo","Libra","Scorpio","Sagittarius","Capricorn","Aquarius","Pisces"},0)-MATCH(CALC_PlanetPositions!$B$8,{"Aries","Taurus","Gemini","Cancer","Leo","Virgo","Libra","Scorpio","Sagittarius","Capricorn","Aquarius","Pisces"},0),12)+1=(MOD(3-2,12)+1))),OR(AND(CALC_PlanetPositions!$M$7="Malefic",MOD(MATCH(CALC_PlanetPositions!$B$7,{"Aries","Taurus","Gemini","Cancer","Leo","Virgo","Libra","Scorpio","Sagittarius","Capricorn","Aquarius","Pisces"},0)-MATCH(CALC_PlanetPositions!$B$8,{"Aries","Taurus","Gemini","Cancer","Leo","Virgo","Libra","Scorpio","Sagittarius","Capricorn","Aquarius","Pisces"},0),12)+1=(MOD(3,12)+1)),AND(CALC_PlanetPositions!$M$8="Malefic",MOD(MATCH(CALC_PlanetPositions!$B$8,{"Aries","Taurus","Gemini","Cancer","Leo","Virgo","Libra","Scorpio","Sagittarius","Capricorn","Aquarius","Pisces"},0)-MATCH(CALC_PlanetPositions!$B$8,{"Aries","Taurus","Gemini","Cancer","Leo","Virgo","Libra","Scorpio","Sagittarius","Capricorn","Aquarius","Pisces"},0),12)+1=(MOD(3,12)+1)),AND(CALC_PlanetPositions!$M$9="Malefic",MOD(MATCH(CALC_PlanetPositions!$B$9,{"Aries","Taurus","Gemini","Cancer","Leo","Virgo","Libra","Scorpio","Sagittarius","Capricorn","Aquarius","Pisces"},0)-MATCH(CALC_PlanetPositions!$B$8,{"Aries","Taurus","Gemini","Cancer","Leo","Virgo","Libra","Scorpio","Sagittarius","Capricorn","Aquarius","Pisces"},0),12)+1=(MOD(3,12)+1)),AND(CALC_PlanetPositions!$M$10="Malefic",MOD(MATCH(CALC_PlanetPositions!$B$10,{"Aries","Taurus","Gemini","Cancer","Leo","Virgo","Libra","Scorpio","Sagittarius","Capricorn","Aquarius","Pisces"},0)-MATCH(CALC_PlanetPositions!$B$8,{"Aries","Taurus","Gemini","Cancer","Leo","Virgo","Libra","Scorpio","Sagittarius","Capricorn","Aquarius","Pisces"},0),12)+1=(MOD(3,12)+1)),AND(CALC_PlanetPositions!$M$11="Malefic",MOD(MATCH(CALC_PlanetPositions!$B$11,{"Aries","Taurus","Gemini","Cancer","Leo","Virgo","Libra","Scorpio","Sagittarius","Capricorn","Aquarius","Pisces"},0)-MATCH(CALC_PlanetPositions!$B$8,{"Aries","Taurus","Gemini","Cancer","Leo","Virgo","Libra","Scorpio","Sagittarius","Capricorn","Aquarius","Pisces"},0),12)+1=(MOD(3,12)+1)),AND(CALC_PlanetPositions!$M$12="Malefic",MOD(MATCH(CALC_PlanetPositions!$B$12,{"Aries","Taurus","Gemini","Cancer","Leo","Virgo","Libra","Scorpio","Sagittarius","Capricorn","Aquarius","Pisces"},0)-MATCH(CALC_PlanetPositions!$B$8,{"Aries","Taurus","Gemini","Cancer","Leo","Virgo","Libra","Scorpio","Sagittarius","Capricorn","Aquarius","Pisces"},0),12)+1=(MOD(3,12)+1)),AND(CALC_PlanetPositions!$M$13="Malefic",MOD(MATCH(CALC_PlanetPositions!$B$13,{"Aries","Taurus","Gemini","Cancer","Leo","Virgo","Libra","Scorpio","Sagittarius","Capricorn","Aquarius","Pisces"},0)-MATCH(CALC_PlanetPositions!$B$8,{"Aries","Taurus","Gemini","Cancer","Leo","Virgo","Libra","Scorpio","Sagittarius","Capricorn","Aquarius","Pisces"},0),12)+1=(MOD(3,12)+1)),AND(TRUE(),MOD(MATCH(CALC_PlanetPositions!$B$14,{"Aries","Taurus","Gemini","Cancer","Leo","Virgo","Libra","Scorpio","Sagittarius","Capricorn","Aquarius","Pisces"},0)-MATCH(CALC_PlanetPositions!$B$8,{"Aries","Taurus","Gemini","Cancer","Leo","Virgo","Libra","Scorpio","Sagittarius","Capricorn","Aquarius","Pisces"},0),12)+1=(MOD(3,12)+1)),AND(TRUE(),MOD(MATCH(CALC_PlanetPositions!$B$15,{"Aries","Taurus","Gemini","Cancer","Leo","Virgo","Libra","Scorpio","Sagittarius","Capricorn","Aquarius","Pisces"},0)-MATCH(CALC_PlanetPositions!$B$8,{"Aries","Taurus","Gemini","Cancer","Leo","Virgo","Libra","Scorpio","Sagittarius","Capricorn","Aquarius","Pisces"},0),12)+1=(MOD(3,12)+1)))),1,0),0))*IF(REF_Config!$B$6="KP",-0.75,IF(REF_Config!$B$6="Jaimini",-0.5,-0.75)),0)</f>
        <v>0</v>
      </c>
      <c r="D18" s="403" t="s">
        <v>4629</v>
      </c>
    </row>
    <row r="19" spans="1:7" ht="15.75" customHeight="1" x14ac:dyDescent="0.2">
      <c r="A19" s="1594" t="s">
        <v>3624</v>
      </c>
      <c r="B19" s="1594"/>
      <c r="C19" s="1594"/>
      <c r="D19" s="1594"/>
    </row>
    <row r="20" spans="1:7" ht="27.75" customHeight="1" x14ac:dyDescent="0.2">
      <c r="A20" s="147" t="s">
        <v>4630</v>
      </c>
      <c r="B20" s="357" t="s">
        <v>4555</v>
      </c>
      <c r="C20" s="1117">
        <v>0</v>
      </c>
      <c r="D20" s="400" t="s">
        <v>4631</v>
      </c>
    </row>
    <row r="21" spans="1:7" ht="27.75" customHeight="1" x14ac:dyDescent="0.2">
      <c r="A21" s="147" t="s">
        <v>4632</v>
      </c>
      <c r="B21" s="203" t="s">
        <v>4633</v>
      </c>
      <c r="C21" s="1118">
        <f>IFERROR((IFERROR(IF(OR(AND(CALC_PlanetPositions!$M$7="Malefic",INDEX(REF_Aspects!$D$5:$O$13,1,MOD(CALC_ChandraLagna!$F$6-(MOD(MATCH(CALC_PlanetPositions!$B$7,{"Aries","Taurus","Gemini","Cancer","Leo","Virgo","Libra","Scorpio","Sagittarius","Capricorn","Aquarius","Pisces"},0)-MATCH(CALC_PlanetPositions!$B$8,{"Aries","Taurus","Gemini","Cancer","Leo","Virgo","Libra","Scorpio","Sagittarius","Capricorn","Aquarius","Pisces"},0),12)+1),12)+1)="FULL",NOT(CALC_PlanetPositions!$B$7=CALC_ChandraLagna!$E$6)),AND(CALC_PlanetPositions!$M$8="Malefic",INDEX(REF_Aspects!$D$5:$O$13,2,MOD(CALC_ChandraLagna!$F$6-(MOD(MATCH(CALC_PlanetPositions!$B$8,{"Aries","Taurus","Gemini","Cancer","Leo","Virgo","Libra","Scorpio","Sagittarius","Capricorn","Aquarius","Pisces"},0)-MATCH(CALC_PlanetPositions!$B$8,{"Aries","Taurus","Gemini","Cancer","Leo","Virgo","Libra","Scorpio","Sagittarius","Capricorn","Aquarius","Pisces"},0),12)+1),12)+1)="FULL",NOT(CALC_PlanetPositions!$B$8=CALC_ChandraLagna!$E$6)),AND(CALC_PlanetPositions!$M$9="Malefic",INDEX(REF_Aspects!$D$5:$O$13,3,MOD(CALC_ChandraLagna!$F$6-(MOD(MATCH(CALC_PlanetPositions!$B$9,{"Aries","Taurus","Gemini","Cancer","Leo","Virgo","Libra","Scorpio","Sagittarius","Capricorn","Aquarius","Pisces"},0)-MATCH(CALC_PlanetPositions!$B$8,{"Aries","Taurus","Gemini","Cancer","Leo","Virgo","Libra","Scorpio","Sagittarius","Capricorn","Aquarius","Pisces"},0),12)+1),12)+1)="FULL",NOT(CALC_PlanetPositions!$B$9=CALC_ChandraLagna!$E$6)),AND(CALC_PlanetPositions!$M$10="Malefic",INDEX(REF_Aspects!$D$5:$O$13,4,MOD(CALC_ChandraLagna!$F$6-(MOD(MATCH(CALC_PlanetPositions!$B$10,{"Aries","Taurus","Gemini","Cancer","Leo","Virgo","Libra","Scorpio","Sagittarius","Capricorn","Aquarius","Pisces"},0)-MATCH(CALC_PlanetPositions!$B$8,{"Aries","Taurus","Gemini","Cancer","Leo","Virgo","Libra","Scorpio","Sagittarius","Capricorn","Aquarius","Pisces"},0),12)+1),12)+1)="FULL",NOT(CALC_PlanetPositions!$B$10=CALC_ChandraLagna!$E$6)),AND(CALC_PlanetPositions!$M$11="Malefic",INDEX(REF_Aspects!$D$5:$O$13,5,MOD(CALC_ChandraLagna!$F$6-(MOD(MATCH(CALC_PlanetPositions!$B$11,{"Aries","Taurus","Gemini","Cancer","Leo","Virgo","Libra","Scorpio","Sagittarius","Capricorn","Aquarius","Pisces"},0)-MATCH(CALC_PlanetPositions!$B$8,{"Aries","Taurus","Gemini","Cancer","Leo","Virgo","Libra","Scorpio","Sagittarius","Capricorn","Aquarius","Pisces"},0),12)+1),12)+1)="FULL",NOT(CALC_PlanetPositions!$B$11=CALC_ChandraLagna!$E$6)),AND(CALC_PlanetPositions!$M$12="Malefic",INDEX(REF_Aspects!$D$5:$O$13,6,MOD(CALC_ChandraLagna!$F$6-(MOD(MATCH(CALC_PlanetPositions!$B$12,{"Aries","Taurus","Gemini","Cancer","Leo","Virgo","Libra","Scorpio","Sagittarius","Capricorn","Aquarius","Pisces"},0)-MATCH(CALC_PlanetPositions!$B$8,{"Aries","Taurus","Gemini","Cancer","Leo","Virgo","Libra","Scorpio","Sagittarius","Capricorn","Aquarius","Pisces"},0),12)+1),12)+1)="FULL",NOT(CALC_PlanetPositions!$B$12=CALC_ChandraLagna!$E$6)),AND(CALC_PlanetPositions!$M$13="Malefic",INDEX(REF_Aspects!$D$5:$O$13,7,MOD(CALC_ChandraLagna!$F$6-(MOD(MATCH(CALC_PlanetPositions!$B$13,{"Aries","Taurus","Gemini","Cancer","Leo","Virgo","Libra","Scorpio","Sagittarius","Capricorn","Aquarius","Pisces"},0)-MATCH(CALC_PlanetPositions!$B$8,{"Aries","Taurus","Gemini","Cancer","Leo","Virgo","Libra","Scorpio","Sagittarius","Capricorn","Aquarius","Pisces"},0),12)+1),12)+1)="FULL",NOT(CALC_PlanetPositions!$B$13=CALC_ChandraLagna!$E$6)),AND(TRUE(),INDEX(REF_Aspects!$D$5:$O$13,8,MOD(CALC_ChandraLagna!$F$6-(MOD(MATCH(CALC_PlanetPositions!$B$14,{"Aries","Taurus","Gemini","Cancer","Leo","Virgo","Libra","Scorpio","Sagittarius","Capricorn","Aquarius","Pisces"},0)-MATCH(CALC_PlanetPositions!$B$8,{"Aries","Taurus","Gemini","Cancer","Leo","Virgo","Libra","Scorpio","Sagittarius","Capricorn","Aquarius","Pisces"},0),12)+1),12)+1)="FULL",NOT(CALC_PlanetPositions!$B$14=CALC_ChandraLagna!$E$6)),AND(TRUE(),INDEX(REF_Aspects!$D$5:$O$13,9,MOD(CALC_ChandraLagna!$F$6-(MOD(MATCH(CALC_PlanetPositions!$B$15,{"Aries","Taurus","Gemini","Cancer","Leo","Virgo","Libra","Scorpio","Sagittarius","Capricorn","Aquarius","Pisces"},0)-MATCH(CALC_PlanetPositions!$B$8,{"Aries","Taurus","Gemini","Cancer","Leo","Virgo","Libra","Scorpio","Sagittarius","Capricorn","Aquarius","Pisces"},0),12)+1),12)+1)="FULL",NOT(CALC_PlanetPositions!$B$15=CALC_ChandraLagna!$E$6))),1,0),0))*-0.5,0)</f>
        <v>-0.5</v>
      </c>
      <c r="D21" s="403" t="s">
        <v>4634</v>
      </c>
    </row>
    <row r="22" spans="1:7" ht="27.75" customHeight="1" x14ac:dyDescent="0.2">
      <c r="A22" s="147" t="s">
        <v>4635</v>
      </c>
      <c r="B22" s="357" t="s">
        <v>3042</v>
      </c>
      <c r="C22" s="1117">
        <f>IFERROR((IFERROR(IF(CALC_ChandraLagna!$I$6="Yes",1,0),0))*IF(REF_Config!$B$6="KP",-1.75,IF(REF_Config!$B$6="Jaimini",-2,-2)),0)</f>
        <v>0</v>
      </c>
      <c r="D22" s="400" t="s">
        <v>4636</v>
      </c>
    </row>
    <row r="23" spans="1:7" ht="27.75" customHeight="1" x14ac:dyDescent="0.2">
      <c r="A23" s="147" t="s">
        <v>4637</v>
      </c>
      <c r="B23" s="203" t="s">
        <v>3059</v>
      </c>
      <c r="C23" s="1118">
        <f>IFERROR((IFERROR(IF(OR(AND(CALC_ChandraLagna!$E$9=CALC_ChandraLagna!$E$6,CALC_ChandraLagna!$D$9&lt;&gt;CALC_ChandraLagna!$D$6),AND(CALC_ChandraLagna!$E$11=CALC_ChandraLagna!$E$6,CALC_ChandraLagna!$D$11&lt;&gt;CALC_ChandraLagna!$D$6),AND(CALC_ChandraLagna!$E$15=CALC_ChandraLagna!$E$6,CALC_ChandraLagna!$D$15&lt;&gt;CALC_ChandraLagna!$D$6)),1,0),0))*-1,0)</f>
        <v>-1</v>
      </c>
      <c r="D23" s="403" t="s">
        <v>4638</v>
      </c>
    </row>
    <row r="24" spans="1:7" ht="15.75" customHeight="1" x14ac:dyDescent="0.2">
      <c r="A24" s="1484" t="s">
        <v>4639</v>
      </c>
      <c r="B24" s="1484"/>
      <c r="C24" s="1484"/>
      <c r="D24" s="1484"/>
    </row>
    <row r="25" spans="1:7" ht="27.75" customHeight="1" x14ac:dyDescent="0.2">
      <c r="A25" s="147" t="s">
        <v>4640</v>
      </c>
      <c r="B25" s="357" t="s">
        <v>3084</v>
      </c>
      <c r="C25" s="1117">
        <f>IFERROR(IF(CALC_KarakMap!$M$7&gt;0,CALC_KarakMap!$M$7,0),0)</f>
        <v>0</v>
      </c>
      <c r="D25" s="400" t="s">
        <v>4641</v>
      </c>
    </row>
    <row r="26" spans="1:7" ht="27.75" customHeight="1" x14ac:dyDescent="0.2">
      <c r="A26" s="147" t="s">
        <v>4642</v>
      </c>
      <c r="B26" s="203" t="s">
        <v>4564</v>
      </c>
      <c r="C26" s="1118">
        <f>IFERROR(IF(CALC_KarakMap!$M$7&lt;0,CALC_KarakMap!$M$7,0),0)</f>
        <v>0</v>
      </c>
      <c r="D26" s="403" t="s">
        <v>4643</v>
      </c>
    </row>
    <row r="27" spans="1:7" ht="27.75" customHeight="1" x14ac:dyDescent="0.2">
      <c r="A27" s="1119" t="s">
        <v>4644</v>
      </c>
      <c r="B27" s="296" t="s">
        <v>3624</v>
      </c>
      <c r="C27" s="1117">
        <f>IFERROR(IF(OR(CALC_ChandraLagna!$D$6="Sun",CALC_ChandraLagna!$D$6="Rahu",CALC_ChandraLagna!$D$6="Ketu"),0,IF(CALC_ChandraLagna!$D$6="Moon",IF(CALC_CombustionCheck!$G$4="Cazimi ✓",0.5,IF(CALC_CombustionCheck!$F$4="COMBUST ⚠",-1,0)),IF(CALC_ChandraLagna!$D$6="Mars",IF(CALC_CombustionCheck!$G$5="Cazimi ✓",0.5,IF(AND(CALC_CombustionCheck!$F$5="COMBUST ⚠",CALC_RetrogradeFix!$F$6="Rx ✓"),-0.5,IF(CALC_CombustionCheck!$F$5="COMBUST ⚠",-1,0))),IF(CALC_ChandraLagna!$D$6="Mercury",IF(CALC_CombustionCheck!$G$6="Cazimi ✓",0.5,IF(AND(CALC_CombustionCheck!$F$6="COMBUST ⚠",CALC_RetrogradeFix!$F$7="Rx ✓"),-0.5,IF(CALC_CombustionCheck!$F$6="COMBUST ⚠",-1,0))),IF(CALC_ChandraLagna!$D$6="Jupiter",IF(CALC_CombustionCheck!$G$7="Cazimi ✓",0.5,IF(AND(CALC_CombustionCheck!$F$7="COMBUST ⚠",CALC_RetrogradeFix!$F$8="Rx ✓"),-0.5,IF(CALC_CombustionCheck!$F$7="COMBUST ⚠",-1,0))),IF(CALC_ChandraLagna!$D$6="Venus",IF(CALC_CombustionCheck!$G$8="Cazimi ✓",0.5,IF(AND(CALC_CombustionCheck!$F$8="COMBUST ⚠",CALC_RetrogradeFix!$F$9="Rx ✓"),-0.5,IF(CALC_CombustionCheck!$F$8="COMBUST ⚠",-1,0))),IF(CALC_ChandraLagna!$D$6="Saturn",IF(CALC_CombustionCheck!$G$9="Cazimi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ChandraLagna!$D$6="Rahu",CALC_ChandraLagna!$D$6="Ketu"),0,IF(ISNUMBER(MATCH(CALC_ChandraLagna!$D$6,{"Sun","Moon","Mars","Mercury","Jupiter","Venus","Saturn"},0)),IF(INDEX(CALC_DigBala!$F$4:$F$10,MATCH(CALC_ChandraLagna!$D$6,{"Sun","Moon","Mars","Mercury","Jupiter","Venus","Saturn"},0))="Yes",0.5,0),0)),0)</f>
        <v>0</v>
      </c>
      <c r="D28" s="400" t="s">
        <v>4647</v>
      </c>
    </row>
    <row r="29" spans="1:7" ht="27.75" customHeight="1" x14ac:dyDescent="0.2">
      <c r="A29" s="1120" t="s">
        <v>4648</v>
      </c>
      <c r="B29" s="296" t="s">
        <v>3372</v>
      </c>
      <c r="C29" s="1117">
        <f>IFERROR(IF(COUNTIFS(REF_PushkaraNavamsha!$A$4:$A$27,CALC_ChandraLagna!$E$6,REF_PushkaraNavamsha!$B$4:$B$27,INDEX(CALC_PlanetPositions!$G$7:$G$15,MATCH(CALC_ChandraLagna!$D$6,CALC_PlanetPositions!$A$7:$A$15,0)))&gt;0,0.5,0),0)</f>
        <v>0.5</v>
      </c>
      <c r="D29" s="400" t="s">
        <v>4649</v>
      </c>
    </row>
    <row r="30" spans="1:7" ht="25.5" customHeight="1" x14ac:dyDescent="0.2">
      <c r="A30" s="147" t="s">
        <v>4650</v>
      </c>
      <c r="B30" s="1121" t="s">
        <v>4651</v>
      </c>
      <c r="C30" s="1122">
        <f>IFERROR(IF(ISNUMBER(MATCH(CALC_ChandraLagna!$D$6,{"Sun","Moon","Mars","Mercury","Jupiter","Venus","Saturn"},0)),INDEX(CALC_RetrogradeFix!$G$4:$G$10,MATCH(CALC_ChandraLagna!$D$6,{"Sun","Moon","Mars","Mercury","Jupiter","Venus","Saturn"},0)),0),0)</f>
        <v>0</v>
      </c>
      <c r="D30" s="1123" t="s">
        <v>4652</v>
      </c>
    </row>
    <row r="31" spans="1:7" ht="18" customHeight="1" x14ac:dyDescent="0.2">
      <c r="A31" s="1555" t="s">
        <v>4653</v>
      </c>
      <c r="B31" s="1555"/>
      <c r="C31" s="1555"/>
      <c r="D31" s="1555"/>
      <c r="E31" s="1124" t="s">
        <v>4654</v>
      </c>
      <c r="F31" s="1125">
        <f>IFERROR(IF(CALC_Ashtakavarga!D$12&gt;28,0.5,IF(CALC_Ashtakavarga!D$12&lt;22,-0.5,0)),0)</f>
        <v>-0.5</v>
      </c>
      <c r="G31" s="1126" t="s">
        <v>4655</v>
      </c>
    </row>
    <row r="32" spans="1:7" ht="18" customHeight="1" x14ac:dyDescent="0.2">
      <c r="A32" s="189" t="s">
        <v>3367</v>
      </c>
      <c r="B32" s="1127" t="s">
        <v>4656</v>
      </c>
      <c r="C32" s="1128">
        <f>IFERROR(SUM(C5:C7),0)</f>
        <v>2.75</v>
      </c>
      <c r="D32" s="1129"/>
    </row>
    <row r="33" spans="1:4" ht="18" customHeight="1" x14ac:dyDescent="0.2">
      <c r="A33" s="189" t="s">
        <v>3372</v>
      </c>
      <c r="B33" s="1127" t="s">
        <v>4657</v>
      </c>
      <c r="C33" s="1128">
        <f>IFERROR(SUM(C9:C13,C28:C30,F31,0),0)</f>
        <v>4</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4.25</v>
      </c>
      <c r="D37" s="1129"/>
    </row>
    <row r="38" spans="1:4" ht="21.75" customHeight="1" x14ac:dyDescent="0.2">
      <c r="A38" s="89" t="s">
        <v>4661</v>
      </c>
      <c r="B38" s="1129"/>
      <c r="C38" s="1131">
        <f>IFERROR(MAX(-10,MIN(10,C37)),0)</f>
        <v>4.25</v>
      </c>
      <c r="D38" s="1132"/>
    </row>
    <row r="39" spans="1:4" ht="18" customHeight="1" x14ac:dyDescent="0.2">
      <c r="A39" s="517" t="s">
        <v>4662</v>
      </c>
      <c r="B39" s="1129"/>
      <c r="C39" s="1133">
        <f>IFERROR(CALC_LagneshStrength!$I$4,0)</f>
        <v>0</v>
      </c>
      <c r="D39" s="1129"/>
    </row>
    <row r="40" spans="1:4" ht="25.5" customHeight="1" x14ac:dyDescent="0.2">
      <c r="A40" s="1" t="s">
        <v>4663</v>
      </c>
      <c r="B40" s="1129"/>
      <c r="C40" s="1140">
        <f>IFERROR(MAX(-10,MIN(10,C38+C39+C41)),0)</f>
        <v>4.25</v>
      </c>
      <c r="D40" s="1141" t="str">
        <f>IFERROR(IF(C40&gt;=7,"Excellent — Courage domain very strong",IF(C40&gt;=4,"Good — Courage domain strong",IF(C40&gt;=1,"Moderate",IF(C40&gt;=-2,"Mixed — Courage has challenges",IF(C40&gt;=-5,"Weak","Very weak — Courage heavily afflicted"))))),"—")</f>
        <v>Good — Courage domain strong</v>
      </c>
    </row>
    <row r="41" spans="1:4" ht="18" customHeight="1" x14ac:dyDescent="0.2">
      <c r="A41" s="622" t="s">
        <v>4681</v>
      </c>
      <c r="B41" s="904" t="s">
        <v>4678</v>
      </c>
      <c r="C41" s="1160">
        <v>0</v>
      </c>
      <c r="D41" s="550" t="s">
        <v>4684</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4685</v>
      </c>
      <c r="B1" s="1518"/>
      <c r="C1" s="1518"/>
      <c r="D1" s="1518"/>
      <c r="L1" s="544" t="s">
        <v>2214</v>
      </c>
    </row>
    <row r="2" spans="1:12" ht="19.5" customHeight="1" x14ac:dyDescent="0.2">
      <c r="A2" s="1595" t="str">
        <f>IFERROR("Chandra Lagna: "&amp;CALC_PlanetPositions!$B$8&amp;"  ·  H4 sign: "&amp;CALC_ChandraLagna!$C$7,"—")</f>
        <v>Chandra Lagna: Cancer  ·  H4 sign: Libra</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2" t="s">
        <v>4605</v>
      </c>
      <c r="B5" s="357" t="s">
        <v>4529</v>
      </c>
      <c r="C5" s="1117">
        <f>IFERROR((IFERROR(IF(INDEX(REF_Zodiac!$D$17:$O$17,MATCH(CALC_ChandraLagna!$C$7,REF_Zodiac!$D$3:$O$3,0))="Gentle",1,0),0))*0.5,0)</f>
        <v>0.5</v>
      </c>
      <c r="D5" s="400" t="s">
        <v>4606</v>
      </c>
    </row>
    <row r="6" spans="1:12" ht="27.75" customHeight="1" x14ac:dyDescent="0.2">
      <c r="A6" s="122"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22" t="s">
        <v>4609</v>
      </c>
      <c r="B7" s="357" t="s">
        <v>4534</v>
      </c>
      <c r="C7" s="1117">
        <f>IFERROR((IFERROR(IF(OR(AND(OR(CALC_PlanetPositions!$M$7="Benefic",CALC_PlanetPositions!$M$7="Yogakaraka"),INDEX(REF_Aspects!$D$5:$O$13,1,MOD(4-(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4)),AND(OR(CALC_PlanetPositions!$M$8="Benefic",CALC_PlanetPositions!$M$8="Yogakaraka"),INDEX(REF_Aspects!$D$5:$O$13,2,MOD(4-(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4)),AND(OR(CALC_PlanetPositions!$M$9="Benefic",CALC_PlanetPositions!$M$9="Yogakaraka"),INDEX(REF_Aspects!$D$5:$O$13,3,MOD(4-(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4)),AND(OR(CALC_PlanetPositions!$M$10="Benefic",CALC_PlanetPositions!$M$10="Yogakaraka"),INDEX(REF_Aspects!$D$5:$O$13,4,MOD(4-(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4)),AND(OR(CALC_PlanetPositions!$M$11="Benefic",CALC_PlanetPositions!$M$11="Yogakaraka"),INDEX(REF_Aspects!$D$5:$O$13,5,MOD(4-(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4)),AND(OR(CALC_PlanetPositions!$M$12="Benefic",CALC_PlanetPositions!$M$12="Yogakaraka"),INDEX(REF_Aspects!$D$5:$O$13,6,MOD(4-(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4)),AND(OR(CALC_PlanetPositions!$M$13="Benefic",CALC_PlanetPositions!$M$13="Yogakaraka"),INDEX(REF_Aspects!$D$5:$O$13,7,MOD(4-(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4)),AND(FALSE(),INDEX(REF_Aspects!$D$5:$O$13,8,MOD(4-(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4)),AND(FALSE(),INDEX(REF_Aspects!$D$5:$O$13,9,MOD(4-(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4))),1,0),0))*IF(REF_Config!$B$6="KP",0.5,IF(REF_Config!$B$6="Jaimini",0.75,0.75)),0)</f>
        <v>0</v>
      </c>
      <c r="D7" s="400" t="s">
        <v>4610</v>
      </c>
    </row>
    <row r="8" spans="1:12" ht="15.75" customHeight="1" x14ac:dyDescent="0.2">
      <c r="A8" s="1597" t="s">
        <v>3372</v>
      </c>
      <c r="B8" s="1597"/>
      <c r="C8" s="1597"/>
      <c r="D8" s="1597"/>
    </row>
    <row r="9" spans="1:12" ht="27.75" customHeight="1" x14ac:dyDescent="0.2">
      <c r="A9" s="122" t="s">
        <v>4611</v>
      </c>
      <c r="B9" s="203" t="s">
        <v>4537</v>
      </c>
      <c r="C9" s="1118">
        <f>IFERROR(IF(AND(OR(CALC_ChandraLagna!$G$7="Yes",CALC_ChandraLagna!$H$7="Yes"),NOT(CALC_ChandraLagna!$I$7="Yes")),1,0)*IF(REF_Config!$B$6="KP",1.5,IF(REF_Config!$B$6="Jaimini",1.5,2)),0)</f>
        <v>2</v>
      </c>
      <c r="D9" s="403" t="s">
        <v>4612</v>
      </c>
    </row>
    <row r="10" spans="1:12" ht="27.75" customHeight="1" x14ac:dyDescent="0.2">
      <c r="A10" s="122" t="s">
        <v>4613</v>
      </c>
      <c r="B10" s="357" t="s">
        <v>3093</v>
      </c>
      <c r="C10" s="1117">
        <f>IFERROR((IFERROR(IF(OR(AND(CALC_ChandraLagna!$E$4=CALC_ChandraLagna!$E$7,CALC_ChandraLagna!$D$4&lt;&gt;CALC_ChandraLagna!$D$7),AND(CALC_ChandraLagna!$E$7=CALC_ChandraLagna!$E$7,CALC_ChandraLagna!$D$7&lt;&gt;CALC_ChandraLagna!$D$7),AND(CALC_ChandraLagna!$E$8=CALC_ChandraLagna!$E$7,CALC_ChandraLagna!$D$8&lt;&gt;CALC_ChandraLagna!$D$7),AND(CALC_ChandraLagna!$E$10=CALC_ChandraLagna!$E$7,CALC_ChandraLagna!$D$10&lt;&gt;CALC_ChandraLagna!$D$7),AND(CALC_ChandraLagna!$E$12=CALC_ChandraLagna!$E$7,CALC_ChandraLagna!$D$12&lt;&gt;CALC_ChandraLagna!$D$7),AND(CALC_ChandraLagna!$E$13=CALC_ChandraLagna!$E$7,CALC_ChandraLagna!$D$13&lt;&gt;CALC_ChandraLagna!$D$7)),1,0),0))*0.5,0)</f>
        <v>0.5</v>
      </c>
      <c r="D10" s="400" t="s">
        <v>4614</v>
      </c>
    </row>
    <row r="11" spans="1:12" ht="27.75" customHeight="1" x14ac:dyDescent="0.2">
      <c r="A11" s="122" t="s">
        <v>4615</v>
      </c>
      <c r="B11" s="203" t="s">
        <v>4540</v>
      </c>
      <c r="C11" s="1118">
        <f>IFERROR((IFERROR(IF(OR(AND(OR(CALC_PlanetPositions!$M$7="Benefic",CALC_PlanetPositions!$M$7="Yogakaraka"),CALC_PlanetPositions!$B$7=CALC_ChandraLagna!$E$7,CALC_ChandraLagna!$D$7&lt;&gt;"Sun"),AND(OR(CALC_PlanetPositions!$M$8="Benefic",CALC_PlanetPositions!$M$8="Yogakaraka"),CALC_PlanetPositions!$B$8=CALC_ChandraLagna!$E$7,CALC_ChandraLagna!$D$7&lt;&gt;"Moon"),AND(OR(CALC_PlanetPositions!$M$9="Benefic",CALC_PlanetPositions!$M$9="Yogakaraka"),CALC_PlanetPositions!$B$9=CALC_ChandraLagna!$E$7,CALC_ChandraLagna!$D$7&lt;&gt;"Mars"),AND(OR(CALC_PlanetPositions!$M$10="Benefic",CALC_PlanetPositions!$M$10="Yogakaraka"),CALC_PlanetPositions!$B$10=CALC_ChandraLagna!$E$7,CALC_ChandraLagna!$D$7&lt;&gt;"Mercury"),AND(OR(CALC_PlanetPositions!$M$11="Benefic",CALC_PlanetPositions!$M$11="Yogakaraka"),CALC_PlanetPositions!$B$11=CALC_ChandraLagna!$E$7,CALC_ChandraLagna!$D$7&lt;&gt;"Jupiter"),AND(OR(CALC_PlanetPositions!$M$12="Benefic",CALC_PlanetPositions!$M$12="Yogakaraka"),CALC_PlanetPositions!$B$12=CALC_ChandraLagna!$E$7,CALC_ChandraLagna!$D$7&lt;&gt;"Venus"),AND(OR(CALC_PlanetPositions!$M$13="Benefic",CALC_PlanetPositions!$M$13="Yogakaraka"),CALC_PlanetPositions!$B$13=CALC_ChandraLagna!$E$7,CALC_ChandraLagna!$D$7&lt;&gt;"Saturn")),1,0),0))*IF(OR(AND(CALC_PlanetPositions!$M$7="Yogakaraka",CALC_PlanetPositions!$B$7=CALC_ChandraLagna!$E$7,CALC_ChandraLagna!$D$7&lt;&gt;"Sun"),AND(CALC_PlanetPositions!$M$8="Yogakaraka",CALC_PlanetPositions!$B$8=CALC_ChandraLagna!$E$7,CALC_ChandraLagna!$D$7&lt;&gt;"Moon"),AND(CALC_PlanetPositions!$M$9="Yogakaraka",CALC_PlanetPositions!$B$9=CALC_ChandraLagna!$E$7,CALC_ChandraLagna!$D$7&lt;&gt;"Mars"),AND(CALC_PlanetPositions!$M$10="Yogakaraka",CALC_PlanetPositions!$B$10=CALC_ChandraLagna!$E$7,CALC_ChandraLagna!$D$7&lt;&gt;"Mercury"),AND(CALC_PlanetPositions!$M$11="Yogakaraka",CALC_PlanetPositions!$B$11=CALC_ChandraLagna!$E$7,CALC_ChandraLagna!$D$7&lt;&gt;"Jupiter"),AND(CALC_PlanetPositions!$M$12="Yogakaraka",CALC_PlanetPositions!$B$12=CALC_ChandraLagna!$E$7,CALC_ChandraLagna!$D$7&lt;&gt;"Venus"),AND(CALC_PlanetPositions!$M$13="Yogakaraka",CALC_PlanetPositions!$B$13=CALC_ChandraLagna!$E$7,CALC_ChandraLagna!$D$7&lt;&gt;"Saturn")),1.5,1),0)</f>
        <v>1.5</v>
      </c>
      <c r="D11" s="403" t="s">
        <v>4616</v>
      </c>
    </row>
    <row r="12" spans="1:12" ht="27.75" customHeight="1" x14ac:dyDescent="0.2">
      <c r="A12" s="122" t="s">
        <v>4617</v>
      </c>
      <c r="B12" s="357" t="s">
        <v>4542</v>
      </c>
      <c r="C12" s="1117">
        <f>IFERROR((IFERROR(IF(OR(AND(OR(CALC_PlanetPositions!$M$7="Benefic",CALC_PlanetPositions!$M$7="Yogakaraka"),INDEX(REF_Aspects!$D$5:$O$13,1,MOD(CALC_ChandraLagna!$F$7-(MOD(MATCH(CALC_PlanetPositions!$B$7,{"Aries","Taurus","Gemini","Cancer","Leo","Virgo","Libra","Scorpio","Sagittarius","Capricorn","Aquarius","Pisces"},0)-MATCH(CALC_PlanetPositions!$B$8,{"Aries","Taurus","Gemini","Cancer","Leo","Virgo","Libra","Scorpio","Sagittarius","Capricorn","Aquarius","Pisces"},0),12)+1),12)+1)="FULL",NOT(CALC_PlanetPositions!$B$7=CALC_ChandraLagna!$E$7)),AND(OR(CALC_PlanetPositions!$M$8="Benefic",CALC_PlanetPositions!$M$8="Yogakaraka"),INDEX(REF_Aspects!$D$5:$O$13,2,MOD(CALC_ChandraLagna!$F$7-(MOD(MATCH(CALC_PlanetPositions!$B$8,{"Aries","Taurus","Gemini","Cancer","Leo","Virgo","Libra","Scorpio","Sagittarius","Capricorn","Aquarius","Pisces"},0)-MATCH(CALC_PlanetPositions!$B$8,{"Aries","Taurus","Gemini","Cancer","Leo","Virgo","Libra","Scorpio","Sagittarius","Capricorn","Aquarius","Pisces"},0),12)+1),12)+1)="FULL",NOT(CALC_PlanetPositions!$B$8=CALC_ChandraLagna!$E$7)),AND(OR(CALC_PlanetPositions!$M$9="Benefic",CALC_PlanetPositions!$M$9="Yogakaraka"),INDEX(REF_Aspects!$D$5:$O$13,3,MOD(CALC_ChandraLagna!$F$7-(MOD(MATCH(CALC_PlanetPositions!$B$9,{"Aries","Taurus","Gemini","Cancer","Leo","Virgo","Libra","Scorpio","Sagittarius","Capricorn","Aquarius","Pisces"},0)-MATCH(CALC_PlanetPositions!$B$8,{"Aries","Taurus","Gemini","Cancer","Leo","Virgo","Libra","Scorpio","Sagittarius","Capricorn","Aquarius","Pisces"},0),12)+1),12)+1)="FULL",NOT(CALC_PlanetPositions!$B$9=CALC_ChandraLagna!$E$7)),AND(OR(CALC_PlanetPositions!$M$10="Benefic",CALC_PlanetPositions!$M$10="Yogakaraka"),INDEX(REF_Aspects!$D$5:$O$13,4,MOD(CALC_ChandraLagna!$F$7-(MOD(MATCH(CALC_PlanetPositions!$B$10,{"Aries","Taurus","Gemini","Cancer","Leo","Virgo","Libra","Scorpio","Sagittarius","Capricorn","Aquarius","Pisces"},0)-MATCH(CALC_PlanetPositions!$B$8,{"Aries","Taurus","Gemini","Cancer","Leo","Virgo","Libra","Scorpio","Sagittarius","Capricorn","Aquarius","Pisces"},0),12)+1),12)+1)="FULL",NOT(CALC_PlanetPositions!$B$10=CALC_ChandraLagna!$E$7)),AND(OR(CALC_PlanetPositions!$M$11="Benefic",CALC_PlanetPositions!$M$11="Yogakaraka"),INDEX(REF_Aspects!$D$5:$O$13,5,MOD(CALC_ChandraLagna!$F$7-(MOD(MATCH(CALC_PlanetPositions!$B$11,{"Aries","Taurus","Gemini","Cancer","Leo","Virgo","Libra","Scorpio","Sagittarius","Capricorn","Aquarius","Pisces"},0)-MATCH(CALC_PlanetPositions!$B$8,{"Aries","Taurus","Gemini","Cancer","Leo","Virgo","Libra","Scorpio","Sagittarius","Capricorn","Aquarius","Pisces"},0),12)+1),12)+1)="FULL",NOT(CALC_PlanetPositions!$B$11=CALC_ChandraLagna!$E$7)),AND(OR(CALC_PlanetPositions!$M$12="Benefic",CALC_PlanetPositions!$M$12="Yogakaraka"),INDEX(REF_Aspects!$D$5:$O$13,6,MOD(CALC_ChandraLagna!$F$7-(MOD(MATCH(CALC_PlanetPositions!$B$12,{"Aries","Taurus","Gemini","Cancer","Leo","Virgo","Libra","Scorpio","Sagittarius","Capricorn","Aquarius","Pisces"},0)-MATCH(CALC_PlanetPositions!$B$8,{"Aries","Taurus","Gemini","Cancer","Leo","Virgo","Libra","Scorpio","Sagittarius","Capricorn","Aquarius","Pisces"},0),12)+1),12)+1)="FULL",NOT(CALC_PlanetPositions!$B$12=CALC_ChandraLagna!$E$7)),AND(OR(CALC_PlanetPositions!$M$13="Benefic",CALC_PlanetPositions!$M$13="Yogakaraka"),INDEX(REF_Aspects!$D$5:$O$13,7,MOD(CALC_ChandraLagna!$F$7-(MOD(MATCH(CALC_PlanetPositions!$B$13,{"Aries","Taurus","Gemini","Cancer","Leo","Virgo","Libra","Scorpio","Sagittarius","Capricorn","Aquarius","Pisces"},0)-MATCH(CALC_PlanetPositions!$B$8,{"Aries","Taurus","Gemini","Cancer","Leo","Virgo","Libra","Scorpio","Sagittarius","Capricorn","Aquarius","Pisces"},0),12)+1),12)+1)="FULL",NOT(CALC_PlanetPositions!$B$13=CALC_ChandraLagna!$E$7)),AND(FALSE(),INDEX(REF_Aspects!$D$5:$O$13,8,MOD(CALC_ChandraLagna!$F$7-(MOD(MATCH(CALC_PlanetPositions!$B$14,{"Aries","Taurus","Gemini","Cancer","Leo","Virgo","Libra","Scorpio","Sagittarius","Capricorn","Aquarius","Pisces"},0)-MATCH(CALC_PlanetPositions!$B$8,{"Aries","Taurus","Gemini","Cancer","Leo","Virgo","Libra","Scorpio","Sagittarius","Capricorn","Aquarius","Pisces"},0),12)+1),12)+1)="FULL",NOT(CALC_PlanetPositions!$B$14=CALC_ChandraLagna!$E$7)),AND(FALSE(),INDEX(REF_Aspects!$D$5:$O$13,9,MOD(CALC_ChandraLagna!$F$7-(MOD(MATCH(CALC_PlanetPositions!$B$15,{"Aries","Taurus","Gemini","Cancer","Leo","Virgo","Libra","Scorpio","Sagittarius","Capricorn","Aquarius","Pisces"},0)-MATCH(CALC_PlanetPositions!$B$8,{"Aries","Taurus","Gemini","Cancer","Leo","Virgo","Libra","Scorpio","Sagittarius","Capricorn","Aquarius","Pisces"},0),12)+1),12)+1)="FULL",NOT(CALC_PlanetPositions!$B$15=CALC_ChandraLagna!$E$7))),1,0),0))*0.5,0)</f>
        <v>0</v>
      </c>
      <c r="D12" s="400" t="s">
        <v>4618</v>
      </c>
    </row>
    <row r="13" spans="1:12" ht="27.75" customHeight="1" x14ac:dyDescent="0.2">
      <c r="A13" s="122"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$7-2,12)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$7-2,12)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$7-2,12)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$7-2,12)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$7-2,12)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$7-2,12)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$7-2,12)+1)),AND(FALSE(),MOD(MATCH(CALC_PlanetPositions!$B$14,{"Aries","Taurus","Gemini","Cancer","Leo","Virgo","Libra","Scorpio","Sagittarius","Capricorn","Aquarius","Pisces"},0)-MATCH(CALC_PlanetPositions!$B$8,{"Aries","Taurus","Gemini","Cancer","Leo","Virgo","Libra","Scorpio","Sagittarius","Capricorn","Aquarius","Pisces"},0),12)+1=(MOD(CALC_ChandraLagna!$F$7-2,12)+1)),AND(FALSE(),MOD(MATCH(CALC_PlanetPositions!$B$15,{"Aries","Taurus","Gemini","Cancer","Leo","Virgo","Libra","Scorpio","Sagittarius","Capricorn","Aquarius","Pisces"},0)-MATCH(CALC_PlanetPositions!$B$8,{"Aries","Taurus","Gemini","Cancer","Leo","Virgo","Libra","Scorpio","Sagittarius","Capricorn","Aquarius","Pisces"},0),12)+1=(MOD(CALC_ChandraLagna!$F$7-2,12)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$7,12)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$7,12)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$7,12)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$7,12)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$7,12)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$7,12)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$7,12)+1)),AND(FALSE(),MOD(MATCH(CALC_PlanetPositions!$B$14,{"Aries","Taurus","Gemini","Cancer","Leo","Virgo","Libra","Scorpio","Sagittarius","Capricorn","Aquarius","Pisces"},0)-MATCH(CALC_PlanetPositions!$B$8,{"Aries","Taurus","Gemini","Cancer","Leo","Virgo","Libra","Scorpio","Sagittarius","Capricorn","Aquarius","Pisces"},0),12)+1=(MOD(CALC_ChandraLagna!$F$7,12)+1)),AND(FALSE(),MOD(MATCH(CALC_PlanetPositions!$B$15,{"Aries","Taurus","Gemini","Cancer","Leo","Virgo","Libra","Scorpio","Sagittarius","Capricorn","Aquarius","Pisces"},0)-MATCH(CALC_PlanetPositions!$B$8,{"Aries","Taurus","Gemini","Cancer","Leo","Virgo","Libra","Scorpio","Sagittarius","Capricorn","Aquarius","Pisces"},0),12)+1=(MOD(CALC_ChandraLagna!$F$7,12)+1)))),1,0),0))*IF(REF_Config!$B$6="KP",0.75,IF(REF_Config!$B$6="Jaimini",0.5,0.75)),0)</f>
        <v>0</v>
      </c>
      <c r="D13" s="403" t="s">
        <v>4620</v>
      </c>
    </row>
    <row r="14" spans="1:12" ht="15.75" customHeight="1" x14ac:dyDescent="0.2">
      <c r="A14" s="1598" t="s">
        <v>4621</v>
      </c>
      <c r="B14" s="1598"/>
      <c r="C14" s="1598"/>
      <c r="D14" s="1598"/>
    </row>
    <row r="15" spans="1:12" ht="27.75" customHeight="1" x14ac:dyDescent="0.2">
      <c r="A15" s="122"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4),AND(CALC_PlanetPositions!$M$8="Malefic",(MOD(MATCH(CALC_PlanetPositions!$B$8,{"Aries","Taurus","Gemini","Cancer","Leo","Virgo","Libra","Scorpio","Sagittarius","Capricorn","Aquarius","Pisces"},0)-MATCH(CALC_PlanetPositions!$B$8,{"Aries","Taurus","Gemini","Cancer","Leo","Virgo","Libra","Scorpio","Sagittarius","Capricorn","Aquarius","Pisces"},0),12)+1)=4),AND(CALC_PlanetPositions!$M$9="Malefic",(MOD(MATCH(CALC_PlanetPositions!$B$9,{"Aries","Taurus","Gemini","Cancer","Leo","Virgo","Libra","Scorpio","Sagittarius","Capricorn","Aquarius","Pisces"},0)-MATCH(CALC_PlanetPositions!$B$8,{"Aries","Taurus","Gemini","Cancer","Leo","Virgo","Libra","Scorpio","Sagittarius","Capricorn","Aquarius","Pisces"},0),12)+1)=4),AND(CALC_PlanetPositions!$M$10="Malefic",(MOD(MATCH(CALC_PlanetPositions!$B$10,{"Aries","Taurus","Gemini","Cancer","Leo","Virgo","Libra","Scorpio","Sagittarius","Capricorn","Aquarius","Pisces"},0)-MATCH(CALC_PlanetPositions!$B$8,{"Aries","Taurus","Gemini","Cancer","Leo","Virgo","Libra","Scorpio","Sagittarius","Capricorn","Aquarius","Pisces"},0),12)+1)=4),AND(CALC_PlanetPositions!$M$11="Malefic",(MOD(MATCH(CALC_PlanetPositions!$B$11,{"Aries","Taurus","Gemini","Cancer","Leo","Virgo","Libra","Scorpio","Sagittarius","Capricorn","Aquarius","Pisces"},0)-MATCH(CALC_PlanetPositions!$B$8,{"Aries","Taurus","Gemini","Cancer","Leo","Virgo","Libra","Scorpio","Sagittarius","Capricorn","Aquarius","Pisces"},0),12)+1)=4),AND(CALC_PlanetPositions!$M$12="Malefic",(MOD(MATCH(CALC_PlanetPositions!$B$12,{"Aries","Taurus","Gemini","Cancer","Leo","Virgo","Libra","Scorpio","Sagittarius","Capricorn","Aquarius","Pisces"},0)-MATCH(CALC_PlanetPositions!$B$8,{"Aries","Taurus","Gemini","Cancer","Leo","Virgo","Libra","Scorpio","Sagittarius","Capricorn","Aquarius","Pisces"},0),12)+1)=4),AND(CALC_PlanetPositions!$M$13="Malefic",(MOD(MATCH(CALC_PlanetPositions!$B$13,{"Aries","Taurus","Gemini","Cancer","Leo","Virgo","Libra","Scorpio","Sagittarius","Capricorn","Aquarius","Pisces"},0)-MATCH(CALC_PlanetPositions!$B$8,{"Aries","Taurus","Gemini","Cancer","Leo","Virgo","Libra","Scorpio","Sagittarius","Capricorn","Aquarius","Pisces"},0),12)+1)=4),AND(TRUE(),(MOD(MATCH(CALC_PlanetPositions!$B$14,{"Aries","Taurus","Gemini","Cancer","Leo","Virgo","Libra","Scorpio","Sagittarius","Capricorn","Aquarius","Pisces"},0)-MATCH(CALC_PlanetPositions!$B$8,{"Aries","Taurus","Gemini","Cancer","Leo","Virgo","Libra","Scorpio","Sagittarius","Capricorn","Aquarius","Pisces"},0),12)+1)=4),AND(TRUE(),(MOD(MATCH(CALC_PlanetPositions!$B$15,{"Aries","Taurus","Gemini","Cancer","Leo","Virgo","Libra","Scorpio","Sagittarius","Capricorn","Aquarius","Pisces"},0)-MATCH(CALC_PlanetPositions!$B$8,{"Aries","Taurus","Gemini","Cancer","Leo","Virgo","Libra","Scorpio","Sagittarius","Capricorn","Aquarius","Pisces"},0),12)+1)=4)),1,0),0))*-1,0)</f>
        <v>-1</v>
      </c>
      <c r="D15" s="400" t="s">
        <v>4623</v>
      </c>
    </row>
    <row r="16" spans="1:12" ht="27.75" customHeight="1" x14ac:dyDescent="0.2">
      <c r="A16" s="122" t="s">
        <v>4624</v>
      </c>
      <c r="B16" s="203" t="s">
        <v>4548</v>
      </c>
      <c r="C16" s="1118">
        <f>IFERROR((IFERROR(IF(OR(AND(CALC_PlanetPositions!$M$7="Malefic",INDEX(REF_Aspects!$D$5:$O$13,1,MOD(4-(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4)),AND(CALC_PlanetPositions!$M$8="Malefic",INDEX(REF_Aspects!$D$5:$O$13,2,MOD(4-(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4)),AND(CALC_PlanetPositions!$M$9="Malefic",INDEX(REF_Aspects!$D$5:$O$13,3,MOD(4-(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4)),AND(CALC_PlanetPositions!$M$10="Malefic",INDEX(REF_Aspects!$D$5:$O$13,4,MOD(4-(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4)),AND(CALC_PlanetPositions!$M$11="Malefic",INDEX(REF_Aspects!$D$5:$O$13,5,MOD(4-(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4)),AND(CALC_PlanetPositions!$M$12="Malefic",INDEX(REF_Aspects!$D$5:$O$13,6,MOD(4-(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4)),AND(CALC_PlanetPositions!$M$13="Malefic",INDEX(REF_Aspects!$D$5:$O$13,7,MOD(4-(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4)),AND(TRUE(),INDEX(REF_Aspects!$D$5:$O$13,8,MOD(4-(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4)),AND(TRUE(),INDEX(REF_Aspects!$D$5:$O$13,9,MOD(4-(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4))),1,0),0))*-1,0)</f>
        <v>0</v>
      </c>
      <c r="D16" s="403" t="s">
        <v>4625</v>
      </c>
    </row>
    <row r="17" spans="1:7" ht="27.75" customHeight="1" x14ac:dyDescent="0.2">
      <c r="A17" s="122" t="s">
        <v>4626</v>
      </c>
      <c r="B17" s="357" t="s">
        <v>3062</v>
      </c>
      <c r="C17" s="1117">
        <v>0</v>
      </c>
      <c r="D17" s="400" t="s">
        <v>4627</v>
      </c>
    </row>
    <row r="18" spans="1:7" ht="27.75" customHeight="1" x14ac:dyDescent="0.2">
      <c r="A18" s="122"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(4-2,12)+1)),AND(CALC_PlanetPositions!$M$8="Malefic",MOD(MATCH(CALC_PlanetPositions!$B$8,{"Aries","Taurus","Gemini","Cancer","Leo","Virgo","Libra","Scorpio","Sagittarius","Capricorn","Aquarius","Pisces"},0)-MATCH(CALC_PlanetPositions!$B$8,{"Aries","Taurus","Gemini","Cancer","Leo","Virgo","Libra","Scorpio","Sagittarius","Capricorn","Aquarius","Pisces"},0),12)+1=(MOD(4-2,12)+1)),AND(CALC_PlanetPositions!$M$9="Malefic",MOD(MATCH(CALC_PlanetPositions!$B$9,{"Aries","Taurus","Gemini","Cancer","Leo","Virgo","Libra","Scorpio","Sagittarius","Capricorn","Aquarius","Pisces"},0)-MATCH(CALC_PlanetPositions!$B$8,{"Aries","Taurus","Gemini","Cancer","Leo","Virgo","Libra","Scorpio","Sagittarius","Capricorn","Aquarius","Pisces"},0),12)+1=(MOD(4-2,12)+1)),AND(CALC_PlanetPositions!$M$10="Malefic",MOD(MATCH(CALC_PlanetPositions!$B$10,{"Aries","Taurus","Gemini","Cancer","Leo","Virgo","Libra","Scorpio","Sagittarius","Capricorn","Aquarius","Pisces"},0)-MATCH(CALC_PlanetPositions!$B$8,{"Aries","Taurus","Gemini","Cancer","Leo","Virgo","Libra","Scorpio","Sagittarius","Capricorn","Aquarius","Pisces"},0),12)+1=(MOD(4-2,12)+1)),AND(CALC_PlanetPositions!$M$11="Malefic",MOD(MATCH(CALC_PlanetPositions!$B$11,{"Aries","Taurus","Gemini","Cancer","Leo","Virgo","Libra","Scorpio","Sagittarius","Capricorn","Aquarius","Pisces"},0)-MATCH(CALC_PlanetPositions!$B$8,{"Aries","Taurus","Gemini","Cancer","Leo","Virgo","Libra","Scorpio","Sagittarius","Capricorn","Aquarius","Pisces"},0),12)+1=(MOD(4-2,12)+1)),AND(CALC_PlanetPositions!$M$12="Malefic",MOD(MATCH(CALC_PlanetPositions!$B$12,{"Aries","Taurus","Gemini","Cancer","Leo","Virgo","Libra","Scorpio","Sagittarius","Capricorn","Aquarius","Pisces"},0)-MATCH(CALC_PlanetPositions!$B$8,{"Aries","Taurus","Gemini","Cancer","Leo","Virgo","Libra","Scorpio","Sagittarius","Capricorn","Aquarius","Pisces"},0),12)+1=(MOD(4-2,12)+1)),AND(CALC_PlanetPositions!$M$13="Malefic",MOD(MATCH(CALC_PlanetPositions!$B$13,{"Aries","Taurus","Gemini","Cancer","Leo","Virgo","Libra","Scorpio","Sagittarius","Capricorn","Aquarius","Pisces"},0)-MATCH(CALC_PlanetPositions!$B$8,{"Aries","Taurus","Gemini","Cancer","Leo","Virgo","Libra","Scorpio","Sagittarius","Capricorn","Aquarius","Pisces"},0),12)+1=(MOD(4-2,12)+1)),AND(TRUE(),MOD(MATCH(CALC_PlanetPositions!$B$14,{"Aries","Taurus","Gemini","Cancer","Leo","Virgo","Libra","Scorpio","Sagittarius","Capricorn","Aquarius","Pisces"},0)-MATCH(CALC_PlanetPositions!$B$8,{"Aries","Taurus","Gemini","Cancer","Leo","Virgo","Libra","Scorpio","Sagittarius","Capricorn","Aquarius","Pisces"},0),12)+1=(MOD(4-2,12)+1)),AND(TRUE(),MOD(MATCH(CALC_PlanetPositions!$B$15,{"Aries","Taurus","Gemini","Cancer","Leo","Virgo","Libra","Scorpio","Sagittarius","Capricorn","Aquarius","Pisces"},0)-MATCH(CALC_PlanetPositions!$B$8,{"Aries","Taurus","Gemini","Cancer","Leo","Virgo","Libra","Scorpio","Sagittarius","Capricorn","Aquarius","Pisces"},0),12)+1=(MOD(4-2,12)+1))),OR(AND(CALC_PlanetPositions!$M$7="Malefic",MOD(MATCH(CALC_PlanetPositions!$B$7,{"Aries","Taurus","Gemini","Cancer","Leo","Virgo","Libra","Scorpio","Sagittarius","Capricorn","Aquarius","Pisces"},0)-MATCH(CALC_PlanetPositions!$B$8,{"Aries","Taurus","Gemini","Cancer","Leo","Virgo","Libra","Scorpio","Sagittarius","Capricorn","Aquarius","Pisces"},0),12)+1=(MOD(4,12)+1)),AND(CALC_PlanetPositions!$M$8="Malefic",MOD(MATCH(CALC_PlanetPositions!$B$8,{"Aries","Taurus","Gemini","Cancer","Leo","Virgo","Libra","Scorpio","Sagittarius","Capricorn","Aquarius","Pisces"},0)-MATCH(CALC_PlanetPositions!$B$8,{"Aries","Taurus","Gemini","Cancer","Leo","Virgo","Libra","Scorpio","Sagittarius","Capricorn","Aquarius","Pisces"},0),12)+1=(MOD(4,12)+1)),AND(CALC_PlanetPositions!$M$9="Malefic",MOD(MATCH(CALC_PlanetPositions!$B$9,{"Aries","Taurus","Gemini","Cancer","Leo","Virgo","Libra","Scorpio","Sagittarius","Capricorn","Aquarius","Pisces"},0)-MATCH(CALC_PlanetPositions!$B$8,{"Aries","Taurus","Gemini","Cancer","Leo","Virgo","Libra","Scorpio","Sagittarius","Capricorn","Aquarius","Pisces"},0),12)+1=(MOD(4,12)+1)),AND(CALC_PlanetPositions!$M$10="Malefic",MOD(MATCH(CALC_PlanetPositions!$B$10,{"Aries","Taurus","Gemini","Cancer","Leo","Virgo","Libra","Scorpio","Sagittarius","Capricorn","Aquarius","Pisces"},0)-MATCH(CALC_PlanetPositions!$B$8,{"Aries","Taurus","Gemini","Cancer","Leo","Virgo","Libra","Scorpio","Sagittarius","Capricorn","Aquarius","Pisces"},0),12)+1=(MOD(4,12)+1)),AND(CALC_PlanetPositions!$M$11="Malefic",MOD(MATCH(CALC_PlanetPositions!$B$11,{"Aries","Taurus","Gemini","Cancer","Leo","Virgo","Libra","Scorpio","Sagittarius","Capricorn","Aquarius","Pisces"},0)-MATCH(CALC_PlanetPositions!$B$8,{"Aries","Taurus","Gemini","Cancer","Leo","Virgo","Libra","Scorpio","Sagittarius","Capricorn","Aquarius","Pisces"},0),12)+1=(MOD(4,12)+1)),AND(CALC_PlanetPositions!$M$12="Malefic",MOD(MATCH(CALC_PlanetPositions!$B$12,{"Aries","Taurus","Gemini","Cancer","Leo","Virgo","Libra","Scorpio","Sagittarius","Capricorn","Aquarius","Pisces"},0)-MATCH(CALC_PlanetPositions!$B$8,{"Aries","Taurus","Gemini","Cancer","Leo","Virgo","Libra","Scorpio","Sagittarius","Capricorn","Aquarius","Pisces"},0),12)+1=(MOD(4,12)+1)),AND(CALC_PlanetPositions!$M$13="Malefic",MOD(MATCH(CALC_PlanetPositions!$B$13,{"Aries","Taurus","Gemini","Cancer","Leo","Virgo","Libra","Scorpio","Sagittarius","Capricorn","Aquarius","Pisces"},0)-MATCH(CALC_PlanetPositions!$B$8,{"Aries","Taurus","Gemini","Cancer","Leo","Virgo","Libra","Scorpio","Sagittarius","Capricorn","Aquarius","Pisces"},0),12)+1=(MOD(4,12)+1)),AND(TRUE(),MOD(MATCH(CALC_PlanetPositions!$B$14,{"Aries","Taurus","Gemini","Cancer","Leo","Virgo","Libra","Scorpio","Sagittarius","Capricorn","Aquarius","Pisces"},0)-MATCH(CALC_PlanetPositions!$B$8,{"Aries","Taurus","Gemini","Cancer","Leo","Virgo","Libra","Scorpio","Sagittarius","Capricorn","Aquarius","Pisces"},0),12)+1=(MOD(4,12)+1)),AND(TRUE(),MOD(MATCH(CALC_PlanetPositions!$B$15,{"Aries","Taurus","Gemini","Cancer","Leo","Virgo","Libra","Scorpio","Sagittarius","Capricorn","Aquarius","Pisces"},0)-MATCH(CALC_PlanetPositions!$B$8,{"Aries","Taurus","Gemini","Cancer","Leo","Virgo","Libra","Scorpio","Sagittarius","Capricorn","Aquarius","Pisces"},0),12)+1=(MOD(4,12)+1)))),1,0),0))*IF(REF_Config!$B$6="KP",-0.75,IF(REF_Config!$B$6="Jaimini",-0.5,-0.75)),0)</f>
        <v>0</v>
      </c>
      <c r="D18" s="403" t="s">
        <v>4629</v>
      </c>
    </row>
    <row r="19" spans="1:7" ht="15.75" customHeight="1" x14ac:dyDescent="0.2">
      <c r="A19" s="1594" t="s">
        <v>3624</v>
      </c>
      <c r="B19" s="1594"/>
      <c r="C19" s="1594"/>
      <c r="D19" s="1594"/>
    </row>
    <row r="20" spans="1:7" ht="27.75" customHeight="1" x14ac:dyDescent="0.2">
      <c r="A20" s="122" t="s">
        <v>4630</v>
      </c>
      <c r="B20" s="357" t="s">
        <v>4555</v>
      </c>
      <c r="C20" s="1117">
        <v>0</v>
      </c>
      <c r="D20" s="400" t="s">
        <v>4631</v>
      </c>
    </row>
    <row r="21" spans="1:7" ht="27.75" customHeight="1" x14ac:dyDescent="0.2">
      <c r="A21" s="122" t="s">
        <v>4632</v>
      </c>
      <c r="B21" s="203" t="s">
        <v>4633</v>
      </c>
      <c r="C21" s="1118">
        <f>IFERROR((IFERROR(IF(OR(AND(CALC_PlanetPositions!$M$7="Malefic",INDEX(REF_Aspects!$D$5:$O$13,1,MOD(CALC_ChandraLagna!$F$7-(MOD(MATCH(CALC_PlanetPositions!$B$7,{"Aries","Taurus","Gemini","Cancer","Leo","Virgo","Libra","Scorpio","Sagittarius","Capricorn","Aquarius","Pisces"},0)-MATCH(CALC_PlanetPositions!$B$8,{"Aries","Taurus","Gemini","Cancer","Leo","Virgo","Libra","Scorpio","Sagittarius","Capricorn","Aquarius","Pisces"},0),12)+1),12)+1)="FULL",NOT(CALC_PlanetPositions!$B$7=CALC_ChandraLagna!$E$7)),AND(CALC_PlanetPositions!$M$8="Malefic",INDEX(REF_Aspects!$D$5:$O$13,2,MOD(CALC_ChandraLagna!$F$7-(MOD(MATCH(CALC_PlanetPositions!$B$8,{"Aries","Taurus","Gemini","Cancer","Leo","Virgo","Libra","Scorpio","Sagittarius","Capricorn","Aquarius","Pisces"},0)-MATCH(CALC_PlanetPositions!$B$8,{"Aries","Taurus","Gemini","Cancer","Leo","Virgo","Libra","Scorpio","Sagittarius","Capricorn","Aquarius","Pisces"},0),12)+1),12)+1)="FULL",NOT(CALC_PlanetPositions!$B$8=CALC_ChandraLagna!$E$7)),AND(CALC_PlanetPositions!$M$9="Malefic",INDEX(REF_Aspects!$D$5:$O$13,3,MOD(CALC_ChandraLagna!$F$7-(MOD(MATCH(CALC_PlanetPositions!$B$9,{"Aries","Taurus","Gemini","Cancer","Leo","Virgo","Libra","Scorpio","Sagittarius","Capricorn","Aquarius","Pisces"},0)-MATCH(CALC_PlanetPositions!$B$8,{"Aries","Taurus","Gemini","Cancer","Leo","Virgo","Libra","Scorpio","Sagittarius","Capricorn","Aquarius","Pisces"},0),12)+1),12)+1)="FULL",NOT(CALC_PlanetPositions!$B$9=CALC_ChandraLagna!$E$7)),AND(CALC_PlanetPositions!$M$10="Malefic",INDEX(REF_Aspects!$D$5:$O$13,4,MOD(CALC_ChandraLagna!$F$7-(MOD(MATCH(CALC_PlanetPositions!$B$10,{"Aries","Taurus","Gemini","Cancer","Leo","Virgo","Libra","Scorpio","Sagittarius","Capricorn","Aquarius","Pisces"},0)-MATCH(CALC_PlanetPositions!$B$8,{"Aries","Taurus","Gemini","Cancer","Leo","Virgo","Libra","Scorpio","Sagittarius","Capricorn","Aquarius","Pisces"},0),12)+1),12)+1)="FULL",NOT(CALC_PlanetPositions!$B$10=CALC_ChandraLagna!$E$7)),AND(CALC_PlanetPositions!$M$11="Malefic",INDEX(REF_Aspects!$D$5:$O$13,5,MOD(CALC_ChandraLagna!$F$7-(MOD(MATCH(CALC_PlanetPositions!$B$11,{"Aries","Taurus","Gemini","Cancer","Leo","Virgo","Libra","Scorpio","Sagittarius","Capricorn","Aquarius","Pisces"},0)-MATCH(CALC_PlanetPositions!$B$8,{"Aries","Taurus","Gemini","Cancer","Leo","Virgo","Libra","Scorpio","Sagittarius","Capricorn","Aquarius","Pisces"},0),12)+1),12)+1)="FULL",NOT(CALC_PlanetPositions!$B$11=CALC_ChandraLagna!$E$7)),AND(CALC_PlanetPositions!$M$12="Malefic",INDEX(REF_Aspects!$D$5:$O$13,6,MOD(CALC_ChandraLagna!$F$7-(MOD(MATCH(CALC_PlanetPositions!$B$12,{"Aries","Taurus","Gemini","Cancer","Leo","Virgo","Libra","Scorpio","Sagittarius","Capricorn","Aquarius","Pisces"},0)-MATCH(CALC_PlanetPositions!$B$8,{"Aries","Taurus","Gemini","Cancer","Leo","Virgo","Libra","Scorpio","Sagittarius","Capricorn","Aquarius","Pisces"},0),12)+1),12)+1)="FULL",NOT(CALC_PlanetPositions!$B$12=CALC_ChandraLagna!$E$7)),AND(CALC_PlanetPositions!$M$13="Malefic",INDEX(REF_Aspects!$D$5:$O$13,7,MOD(CALC_ChandraLagna!$F$7-(MOD(MATCH(CALC_PlanetPositions!$B$13,{"Aries","Taurus","Gemini","Cancer","Leo","Virgo","Libra","Scorpio","Sagittarius","Capricorn","Aquarius","Pisces"},0)-MATCH(CALC_PlanetPositions!$B$8,{"Aries","Taurus","Gemini","Cancer","Leo","Virgo","Libra","Scorpio","Sagittarius","Capricorn","Aquarius","Pisces"},0),12)+1),12)+1)="FULL",NOT(CALC_PlanetPositions!$B$13=CALC_ChandraLagna!$E$7)),AND(TRUE(),INDEX(REF_Aspects!$D$5:$O$13,8,MOD(CALC_ChandraLagna!$F$7-(MOD(MATCH(CALC_PlanetPositions!$B$14,{"Aries","Taurus","Gemini","Cancer","Leo","Virgo","Libra","Scorpio","Sagittarius","Capricorn","Aquarius","Pisces"},0)-MATCH(CALC_PlanetPositions!$B$8,{"Aries","Taurus","Gemini","Cancer","Leo","Virgo","Libra","Scorpio","Sagittarius","Capricorn","Aquarius","Pisces"},0),12)+1),12)+1)="FULL",NOT(CALC_PlanetPositions!$B$14=CALC_ChandraLagna!$E$7)),AND(TRUE(),INDEX(REF_Aspects!$D$5:$O$13,9,MOD(CALC_ChandraLagna!$F$7-(MOD(MATCH(CALC_PlanetPositions!$B$15,{"Aries","Taurus","Gemini","Cancer","Leo","Virgo","Libra","Scorpio","Sagittarius","Capricorn","Aquarius","Pisces"},0)-MATCH(CALC_PlanetPositions!$B$8,{"Aries","Taurus","Gemini","Cancer","Leo","Virgo","Libra","Scorpio","Sagittarius","Capricorn","Aquarius","Pisces"},0),12)+1),12)+1)="FULL",NOT(CALC_PlanetPositions!$B$15=CALC_ChandraLagna!$E$7))),1,0),0))*-0.5,0)</f>
        <v>-0.5</v>
      </c>
      <c r="D21" s="403" t="s">
        <v>4634</v>
      </c>
    </row>
    <row r="22" spans="1:7" ht="27.75" customHeight="1" x14ac:dyDescent="0.2">
      <c r="A22" s="122" t="s">
        <v>4635</v>
      </c>
      <c r="B22" s="357" t="s">
        <v>3042</v>
      </c>
      <c r="C22" s="1117">
        <f>IFERROR((IFERROR(IF(CALC_ChandraLagna!$I$7="Yes",1,0),0))*IF(REF_Config!$B$6="KP",-1.75,IF(REF_Config!$B$6="Jaimini",-2,-2)),0)</f>
        <v>0</v>
      </c>
      <c r="D22" s="400" t="s">
        <v>4636</v>
      </c>
    </row>
    <row r="23" spans="1:7" ht="27.75" customHeight="1" x14ac:dyDescent="0.2">
      <c r="A23" s="122" t="s">
        <v>4637</v>
      </c>
      <c r="B23" s="203" t="s">
        <v>3059</v>
      </c>
      <c r="C23" s="1118">
        <f>IFERROR((IFERROR(IF(OR(AND(CALC_ChandraLagna!$E$9=CALC_ChandraLagna!$E$7,CALC_ChandraLagna!$D$9&lt;&gt;CALC_ChandraLagna!$D$7),AND(CALC_ChandraLagna!$E$11=CALC_ChandraLagna!$E$7,CALC_ChandraLagna!$D$11&lt;&gt;CALC_ChandraLagna!$D$7),AND(CALC_ChandraLagna!$E$15=CALC_ChandraLagna!$E$7,CALC_ChandraLagna!$D$15&lt;&gt;CALC_ChandraLagna!$D$7)),1,0),0))*-1,0)</f>
        <v>-1</v>
      </c>
      <c r="D23" s="403" t="s">
        <v>4638</v>
      </c>
    </row>
    <row r="24" spans="1:7" ht="15.75" customHeight="1" x14ac:dyDescent="0.2">
      <c r="A24" s="1484" t="s">
        <v>4639</v>
      </c>
      <c r="B24" s="1484"/>
      <c r="C24" s="1484"/>
      <c r="D24" s="1484"/>
    </row>
    <row r="25" spans="1:7" ht="27.75" customHeight="1" x14ac:dyDescent="0.2">
      <c r="A25" s="122" t="s">
        <v>4640</v>
      </c>
      <c r="B25" s="357" t="s">
        <v>3084</v>
      </c>
      <c r="C25" s="1117">
        <f>IFERROR(IF(CALC_KarakMap!$M$8&gt;0,CALC_KarakMap!$M$8,0),0)</f>
        <v>0</v>
      </c>
      <c r="D25" s="400" t="s">
        <v>4641</v>
      </c>
    </row>
    <row r="26" spans="1:7" ht="27.75" customHeight="1" x14ac:dyDescent="0.2">
      <c r="A26" s="122" t="s">
        <v>4642</v>
      </c>
      <c r="B26" s="203" t="s">
        <v>4564</v>
      </c>
      <c r="C26" s="1118">
        <f>IFERROR(IF(CALC_KarakMap!$M$8&lt;0,CALC_KarakMap!$M$8,0),0)</f>
        <v>0</v>
      </c>
      <c r="D26" s="403" t="s">
        <v>4643</v>
      </c>
    </row>
    <row r="27" spans="1:7" ht="27.75" customHeight="1" x14ac:dyDescent="0.2">
      <c r="A27" s="1119" t="s">
        <v>4644</v>
      </c>
      <c r="B27" s="296" t="s">
        <v>3624</v>
      </c>
      <c r="C27" s="1117">
        <f>IFERROR(IF(OR(CALC_ChandraLagna!$D$7="Sun",CALC_ChandraLagna!$D$7="Rahu",CALC_ChandraLagna!$D$7="Ketu"),0,IF(CALC_ChandraLagna!$D$7="Moon",IF(CALC_CombustionCheck!$G$4="Cazimi ✓",0.5,IF(CALC_CombustionCheck!$F$4="COMBUST ⚠",-1,0)),IF(CALC_ChandraLagna!$D$7="Mars",IF(CALC_CombustionCheck!$G$5="Cazimi ✓",0.5,IF(AND(CALC_CombustionCheck!$F$5="COMBUST ⚠",CALC_RetrogradeFix!$F$6="Rx ✓"),-0.5,IF(CALC_CombustionCheck!$F$5="COMBUST ⚠",-1,0))),IF(CALC_ChandraLagna!$D$7="Mercury",IF(CALC_CombustionCheck!$G$6="Cazimi ✓",0.5,IF(AND(CALC_CombustionCheck!$F$6="COMBUST ⚠",CALC_RetrogradeFix!$F$7="Rx ✓"),-0.5,IF(CALC_CombustionCheck!$F$6="COMBUST ⚠",-1,0))),IF(CALC_ChandraLagna!$D$7="Jupiter",IF(CALC_CombustionCheck!$G$7="Cazimi ✓",0.5,IF(AND(CALC_CombustionCheck!$F$7="COMBUST ⚠",CALC_RetrogradeFix!$F$8="Rx ✓"),-0.5,IF(CALC_CombustionCheck!$F$7="COMBUST ⚠",-1,0))),IF(CALC_ChandraLagna!$D$7="Venus",IF(CALC_CombustionCheck!$G$8="Cazimi ✓",0.5,IF(AND(CALC_CombustionCheck!$F$8="COMBUST ⚠",CALC_RetrogradeFix!$F$9="Rx ✓"),-0.5,IF(CALC_CombustionCheck!$F$8="COMBUST ⚠",-1,0))),IF(CALC_ChandraLagna!$D$7="Saturn",IF(CALC_CombustionCheck!$G$9="Cazimi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ChandraLagna!$D$7="Rahu",CALC_ChandraLagna!$D$7="Ketu"),0,IF(ISNUMBER(MATCH(CALC_ChandraLagna!$D$7,{"Sun","Moon","Mars","Mercury","Jupiter","Venus","Saturn"},0)),IF(INDEX(CALC_DigBala!$F$4:$F$10,MATCH(CALC_ChandraLagna!$D$7,{"Sun","Moon","Mars","Mercury","Jupiter","Venus","Saturn"},0))="Yes",0.5,0),0)),0)</f>
        <v>0</v>
      </c>
      <c r="D28" s="400" t="s">
        <v>4647</v>
      </c>
    </row>
    <row r="29" spans="1:7" ht="27.75" customHeight="1" x14ac:dyDescent="0.2">
      <c r="A29" s="1120" t="s">
        <v>4648</v>
      </c>
      <c r="B29" s="296" t="s">
        <v>3372</v>
      </c>
      <c r="C29" s="1117">
        <f>IFERROR(IF(COUNTIFS(REF_PushkaraNavamsha!$A$4:$A$27,CALC_ChandraLagna!$E$7,REF_PushkaraNavamsha!$B$4:$B$27,INDEX(CALC_PlanetPositions!$G$7:$G$15,MATCH(CALC_ChandraLagna!$D$7,CALC_PlanetPositions!$A$7:$A$15,0)))&gt;0,0.5,0),0)</f>
        <v>0</v>
      </c>
      <c r="D29" s="400" t="s">
        <v>4649</v>
      </c>
    </row>
    <row r="30" spans="1:7" ht="25.5" customHeight="1" x14ac:dyDescent="0.2">
      <c r="A30" s="147" t="s">
        <v>4650</v>
      </c>
      <c r="B30" s="1121" t="s">
        <v>4651</v>
      </c>
      <c r="C30" s="1122">
        <f>IFERROR(IF(ISNUMBER(MATCH(CALC_ChandraLagna!$D$7,{"Sun","Moon","Mars","Mercury","Jupiter","Venus","Saturn"},0)),INDEX(CALC_RetrogradeFix!$G$4:$G$10,MATCH(CALC_ChandraLagna!$D$7,{"Sun","Moon","Mars","Mercury","Jupiter","Venus","Saturn"},0)),0),0)</f>
        <v>0</v>
      </c>
      <c r="D30" s="1123" t="s">
        <v>4652</v>
      </c>
    </row>
    <row r="31" spans="1:7" ht="18" customHeight="1" x14ac:dyDescent="0.2">
      <c r="A31" s="1555" t="s">
        <v>4653</v>
      </c>
      <c r="B31" s="1555"/>
      <c r="C31" s="1555"/>
      <c r="D31" s="1555"/>
      <c r="E31" s="1124" t="s">
        <v>4654</v>
      </c>
      <c r="F31" s="1125">
        <f>IFERROR(IF(CALC_Ashtakavarga!E$12&gt;28,0.5,IF(CALC_Ashtakavarga!E$12&lt;22,-0.5,0)),0)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3.5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2</v>
      </c>
      <c r="D37" s="1129"/>
    </row>
    <row r="38" spans="1:4" ht="21.75" customHeight="1" x14ac:dyDescent="0.2">
      <c r="A38" s="89" t="s">
        <v>4661</v>
      </c>
      <c r="B38" s="1129"/>
      <c r="C38" s="1131">
        <f>IFERROR(MAX(-10,MIN(10,C37)),0)</f>
        <v>2</v>
      </c>
      <c r="D38" s="1132"/>
    </row>
    <row r="39" spans="1:4" ht="18" customHeight="1" x14ac:dyDescent="0.2">
      <c r="A39" s="517" t="s">
        <v>4662</v>
      </c>
      <c r="B39" s="1129"/>
      <c r="C39" s="1133">
        <f>IFERROR(CALC_LagneshStrength!$I$4,0)</f>
        <v>0</v>
      </c>
      <c r="D39" s="1129"/>
    </row>
    <row r="40" spans="1:4" ht="25.5" customHeight="1" x14ac:dyDescent="0.2">
      <c r="A40" s="1142" t="s">
        <v>4663</v>
      </c>
      <c r="B40" s="1129"/>
      <c r="C40" s="1143">
        <f>IFERROR(MAX(-10,MIN(10,C38+C39+C41)),0)</f>
        <v>2.25</v>
      </c>
      <c r="D40" s="1144" t="str">
        <f>IFERROR(IF(C40&gt;=7,"Excellent — Home domain very strong",IF(C40&gt;=4,"Good — Home domain strong",IF(C40&gt;=1,"Moderate",IF(C40&gt;=-2,"Mixed — Home has challenges",IF(C40&gt;=-5,"Weak","Very weak — Home heavily afflicted"))))),"—")</f>
        <v>Moderate</v>
      </c>
    </row>
    <row r="41" spans="1:4" ht="18" customHeight="1" x14ac:dyDescent="0.2">
      <c r="A41" s="622" t="s">
        <v>4686</v>
      </c>
      <c r="B41" s="904" t="s">
        <v>4678</v>
      </c>
      <c r="C41" s="1160">
        <v>0.25</v>
      </c>
      <c r="D41" s="550" t="s">
        <v>4687</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4688</v>
      </c>
      <c r="B1" s="1518"/>
      <c r="C1" s="1518"/>
      <c r="D1" s="1518"/>
      <c r="L1" s="544" t="s">
        <v>2214</v>
      </c>
    </row>
    <row r="2" spans="1:12" ht="19.5" customHeight="1" x14ac:dyDescent="0.2">
      <c r="A2" s="1595" t="str">
        <f>IFERROR("Chandra Lagna: "&amp;CALC_PlanetPositions!$B$8&amp;"  ·  H5 sign: "&amp;CALC_ChandraLagna!$C$8,"—")</f>
        <v>Chandra Lagna: Cancer  ·  H5 sign: Scorpio</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6" t="s">
        <v>4605</v>
      </c>
      <c r="B5" s="357" t="s">
        <v>4529</v>
      </c>
      <c r="C5" s="1117">
        <f>IFERROR((IFERROR(IF(INDEX(REF_Zodiac!$D$17:$O$17,MATCH(CALC_ChandraLagna!$C$8,REF_Zodiac!$D$3:$O$3,0))="Gentle",1,0),0))*0.5,0)</f>
        <v>0</v>
      </c>
      <c r="D5" s="400" t="s">
        <v>4606</v>
      </c>
    </row>
    <row r="6" spans="1:12" ht="27.75" customHeight="1" x14ac:dyDescent="0.2">
      <c r="A6" s="126"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26" t="s">
        <v>4609</v>
      </c>
      <c r="B7" s="357" t="s">
        <v>4534</v>
      </c>
      <c r="C7" s="1117">
        <f>IFERROR((IFERROR(IF(OR(AND(OR(CALC_PlanetPositions!$M$7="Benefic",CALC_PlanetPositions!$M$7="Yogakaraka"),INDEX(REF_Aspects!$D$5:$O$13,1,MOD(5-(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5)),AND(OR(CALC_PlanetPositions!$M$8="Benefic",CALC_PlanetPositions!$M$8="Yogakaraka"),INDEX(REF_Aspects!$D$5:$O$13,2,MOD(5-(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5)),AND(OR(CALC_PlanetPositions!$M$9="Benefic",CALC_PlanetPositions!$M$9="Yogakaraka"),INDEX(REF_Aspects!$D$5:$O$13,3,MOD(5-(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5)),AND(OR(CALC_PlanetPositions!$M$10="Benefic",CALC_PlanetPositions!$M$10="Yogakaraka"),INDEX(REF_Aspects!$D$5:$O$13,4,MOD(5-(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5)),AND(OR(CALC_PlanetPositions!$M$11="Benefic",CALC_PlanetPositions!$M$11="Yogakaraka"),INDEX(REF_Aspects!$D$5:$O$13,5,MOD(5-(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5)),AND(OR(CALC_PlanetPositions!$M$12="Benefic",CALC_PlanetPositions!$M$12="Yogakaraka"),INDEX(REF_Aspects!$D$5:$O$13,6,MOD(5-(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5)),AND(OR(CALC_PlanetPositions!$M$13="Benefic",CALC_PlanetPositions!$M$13="Yogakaraka"),INDEX(REF_Aspects!$D$5:$O$13,7,MOD(5-(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5)),AND(FALSE(),INDEX(REF_Aspects!$D$5:$O$13,8,MOD(5-(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5)),AND(FALSE(),INDEX(REF_Aspects!$D$5:$O$13,9,MOD(5-(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5))),1,0),0))*IF(REF_Config!$B$6="KP",0.5,IF(REF_Config!$B$6="Jaimini",0.75,0.75)),0)</f>
        <v>0</v>
      </c>
      <c r="D7" s="400" t="s">
        <v>4610</v>
      </c>
    </row>
    <row r="8" spans="1:12" ht="15.75" customHeight="1" x14ac:dyDescent="0.2">
      <c r="A8" s="1597" t="s">
        <v>3372</v>
      </c>
      <c r="B8" s="1597"/>
      <c r="C8" s="1597"/>
      <c r="D8" s="1597"/>
    </row>
    <row r="9" spans="1:12" ht="27.75" customHeight="1" x14ac:dyDescent="0.2">
      <c r="A9" s="126" t="s">
        <v>4611</v>
      </c>
      <c r="B9" s="203" t="s">
        <v>4537</v>
      </c>
      <c r="C9" s="1118">
        <f>IFERROR(IF(AND(OR(CALC_ChandraLagna!$G$8="Yes",CALC_ChandraLagna!$H$8="Yes"),NOT(CALC_ChandraLagna!$I$8="Yes")),1,0)*IF(REF_Config!$B$6="KP",1.5,IF(REF_Config!$B$6="Jaimini",1.5,2)),0)</f>
        <v>0</v>
      </c>
      <c r="D9" s="403" t="s">
        <v>4612</v>
      </c>
    </row>
    <row r="10" spans="1:12" ht="27.75" customHeight="1" x14ac:dyDescent="0.2">
      <c r="A10" s="126" t="s">
        <v>4613</v>
      </c>
      <c r="B10" s="357" t="s">
        <v>3093</v>
      </c>
      <c r="C10" s="1117">
        <f>IFERROR((IFERROR(IF(OR(AND(CALC_ChandraLagna!$E$4=CALC_ChandraLagna!$E$8,CALC_ChandraLagna!$D$4&lt;&gt;CALC_ChandraLagna!$D$8),AND(CALC_ChandraLagna!$E$7=CALC_ChandraLagna!$E$8,CALC_ChandraLagna!$D$7&lt;&gt;CALC_ChandraLagna!$D$8),AND(CALC_ChandraLagna!$E$8=CALC_ChandraLagna!$E$8,CALC_ChandraLagna!$D$8&lt;&gt;CALC_ChandraLagna!$D$8),AND(CALC_ChandraLagna!$E$10=CALC_ChandraLagna!$E$8,CALC_ChandraLagna!$D$10&lt;&gt;CALC_ChandraLagna!$D$8),AND(CALC_ChandraLagna!$E$12=CALC_ChandraLagna!$E$8,CALC_ChandraLagna!$D$12&lt;&gt;CALC_ChandraLagna!$D$8),AND(CALC_ChandraLagna!$E$13=CALC_ChandraLagna!$E$8,CALC_ChandraLagna!$D$13&lt;&gt;CALC_ChandraLagna!$D$8)),1,0),0))*0.5,0)</f>
        <v>0</v>
      </c>
      <c r="D10" s="400" t="s">
        <v>4614</v>
      </c>
    </row>
    <row r="11" spans="1:12" ht="27.75" customHeight="1" x14ac:dyDescent="0.2">
      <c r="A11" s="126" t="s">
        <v>4615</v>
      </c>
      <c r="B11" s="203" t="s">
        <v>4540</v>
      </c>
      <c r="C11" s="1118">
        <f>IFERROR((IFERROR(IF(OR(AND(OR(CALC_PlanetPositions!$M$7="Benefic",CALC_PlanetPositions!$M$7="Yogakaraka"),CALC_PlanetPositions!$B$7=CALC_ChandraLagna!$E$8,CALC_ChandraLagna!$D$8&lt;&gt;"Sun"),AND(OR(CALC_PlanetPositions!$M$8="Benefic",CALC_PlanetPositions!$M$8="Yogakaraka"),CALC_PlanetPositions!$B$8=CALC_ChandraLagna!$E$8,CALC_ChandraLagna!$D$8&lt;&gt;"Moon"),AND(OR(CALC_PlanetPositions!$M$9="Benefic",CALC_PlanetPositions!$M$9="Yogakaraka"),CALC_PlanetPositions!$B$9=CALC_ChandraLagna!$E$8,CALC_ChandraLagna!$D$8&lt;&gt;"Mars"),AND(OR(CALC_PlanetPositions!$M$10="Benefic",CALC_PlanetPositions!$M$10="Yogakaraka"),CALC_PlanetPositions!$B$10=CALC_ChandraLagna!$E$8,CALC_ChandraLagna!$D$8&lt;&gt;"Mercury"),AND(OR(CALC_PlanetPositions!$M$11="Benefic",CALC_PlanetPositions!$M$11="Yogakaraka"),CALC_PlanetPositions!$B$11=CALC_ChandraLagna!$E$8,CALC_ChandraLagna!$D$8&lt;&gt;"Jupiter"),AND(OR(CALC_PlanetPositions!$M$12="Benefic",CALC_PlanetPositions!$M$12="Yogakaraka"),CALC_PlanetPositions!$B$12=CALC_ChandraLagna!$E$8,CALC_ChandraLagna!$D$8&lt;&gt;"Venus"),AND(OR(CALC_PlanetPositions!$M$13="Benefic",CALC_PlanetPositions!$M$13="Yogakaraka"),CALC_PlanetPositions!$B$13=CALC_ChandraLagna!$E$8,CALC_ChandraLagna!$D$8&lt;&gt;"Saturn")),1,0),0))*IF(OR(AND(CALC_PlanetPositions!$M$7="Yogakaraka",CALC_PlanetPositions!$B$7=CALC_ChandraLagna!$E$8,CALC_ChandraLagna!$D$8&lt;&gt;"Sun"),AND(CALC_PlanetPositions!$M$8="Yogakaraka",CALC_PlanetPositions!$B$8=CALC_ChandraLagna!$E$8,CALC_ChandraLagna!$D$8&lt;&gt;"Moon"),AND(CALC_PlanetPositions!$M$9="Yogakaraka",CALC_PlanetPositions!$B$9=CALC_ChandraLagna!$E$8,CALC_ChandraLagna!$D$8&lt;&gt;"Mars"),AND(CALC_PlanetPositions!$M$10="Yogakaraka",CALC_PlanetPositions!$B$10=CALC_ChandraLagna!$E$8,CALC_ChandraLagna!$D$8&lt;&gt;"Mercury"),AND(CALC_PlanetPositions!$M$11="Yogakaraka",CALC_PlanetPositions!$B$11=CALC_ChandraLagna!$E$8,CALC_ChandraLagna!$D$8&lt;&gt;"Jupiter"),AND(CALC_PlanetPositions!$M$12="Yogakaraka",CALC_PlanetPositions!$B$12=CALC_ChandraLagna!$E$8,CALC_ChandraLagna!$D$8&lt;&gt;"Venus"),AND(CALC_PlanetPositions!$M$13="Yogakaraka",CALC_PlanetPositions!$B$13=CALC_ChandraLagna!$E$8,CALC_ChandraLagna!$D$8&lt;&gt;"Saturn")),1.5,1),0)</f>
        <v>0</v>
      </c>
      <c r="D11" s="403" t="s">
        <v>4616</v>
      </c>
    </row>
    <row r="12" spans="1:12" ht="27.75" customHeight="1" x14ac:dyDescent="0.2">
      <c r="A12" s="126" t="s">
        <v>4617</v>
      </c>
      <c r="B12" s="357" t="s">
        <v>4542</v>
      </c>
      <c r="C12" s="1117">
        <f>IFERROR((IFERROR(IF(OR(AND(OR(CALC_PlanetPositions!$M$7="Benefic",CALC_PlanetPositions!$M$7="Yogakaraka"),INDEX(REF_Aspects!$D$5:$O$13,1,MOD(CALC_ChandraLagna!$F$8-(MOD(MATCH(CALC_PlanetPositions!$B$7,{"Aries","Taurus","Gemini","Cancer","Leo","Virgo","Libra","Scorpio","Sagittarius","Capricorn","Aquarius","Pisces"},0)-MATCH(CALC_PlanetPositions!$B$8,{"Aries","Taurus","Gemini","Cancer","Leo","Virgo","Libra","Scorpio","Sagittarius","Capricorn","Aquarius","Pisces"},0),12)+1),12)+1)="FULL",NOT(CALC_PlanetPositions!$B$7=CALC_ChandraLagna!$E$8)),AND(OR(CALC_PlanetPositions!$M$8="Benefic",CALC_PlanetPositions!$M$8="Yogakaraka"),INDEX(REF_Aspects!$D$5:$O$13,2,MOD(CALC_ChandraLagna!$F$8-(MOD(MATCH(CALC_PlanetPositions!$B$8,{"Aries","Taurus","Gemini","Cancer","Leo","Virgo","Libra","Scorpio","Sagittarius","Capricorn","Aquarius","Pisces"},0)-MATCH(CALC_PlanetPositions!$B$8,{"Aries","Taurus","Gemini","Cancer","Leo","Virgo","Libra","Scorpio","Sagittarius","Capricorn","Aquarius","Pisces"},0),12)+1),12)+1)="FULL",NOT(CALC_PlanetPositions!$B$8=CALC_ChandraLagna!$E$8)),AND(OR(CALC_PlanetPositions!$M$9="Benefic",CALC_PlanetPositions!$M$9="Yogakaraka"),INDEX(REF_Aspects!$D$5:$O$13,3,MOD(CALC_ChandraLagna!$F$8-(MOD(MATCH(CALC_PlanetPositions!$B$9,{"Aries","Taurus","Gemini","Cancer","Leo","Virgo","Libra","Scorpio","Sagittarius","Capricorn","Aquarius","Pisces"},0)-MATCH(CALC_PlanetPositions!$B$8,{"Aries","Taurus","Gemini","Cancer","Leo","Virgo","Libra","Scorpio","Sagittarius","Capricorn","Aquarius","Pisces"},0),12)+1),12)+1)="FULL",NOT(CALC_PlanetPositions!$B$9=CALC_ChandraLagna!$E$8)),AND(OR(CALC_PlanetPositions!$M$10="Benefic",CALC_PlanetPositions!$M$10="Yogakaraka"),INDEX(REF_Aspects!$D$5:$O$13,4,MOD(CALC_ChandraLagna!$F$8-(MOD(MATCH(CALC_PlanetPositions!$B$10,{"Aries","Taurus","Gemini","Cancer","Leo","Virgo","Libra","Scorpio","Sagittarius","Capricorn","Aquarius","Pisces"},0)-MATCH(CALC_PlanetPositions!$B$8,{"Aries","Taurus","Gemini","Cancer","Leo","Virgo","Libra","Scorpio","Sagittarius","Capricorn","Aquarius","Pisces"},0),12)+1),12)+1)="FULL",NOT(CALC_PlanetPositions!$B$10=CALC_ChandraLagna!$E$8)),AND(OR(CALC_PlanetPositions!$M$11="Benefic",CALC_PlanetPositions!$M$11="Yogakaraka"),INDEX(REF_Aspects!$D$5:$O$13,5,MOD(CALC_ChandraLagna!$F$8-(MOD(MATCH(CALC_PlanetPositions!$B$11,{"Aries","Taurus","Gemini","Cancer","Leo","Virgo","Libra","Scorpio","Sagittarius","Capricorn","Aquarius","Pisces"},0)-MATCH(CALC_PlanetPositions!$B$8,{"Aries","Taurus","Gemini","Cancer","Leo","Virgo","Libra","Scorpio","Sagittarius","Capricorn","Aquarius","Pisces"},0),12)+1),12)+1)="FULL",NOT(CALC_PlanetPositions!$B$11=CALC_ChandraLagna!$E$8)),AND(OR(CALC_PlanetPositions!$M$12="Benefic",CALC_PlanetPositions!$M$12="Yogakaraka"),INDEX(REF_Aspects!$D$5:$O$13,6,MOD(CALC_ChandraLagna!$F$8-(MOD(MATCH(CALC_PlanetPositions!$B$12,{"Aries","Taurus","Gemini","Cancer","Leo","Virgo","Libra","Scorpio","Sagittarius","Capricorn","Aquarius","Pisces"},0)-MATCH(CALC_PlanetPositions!$B$8,{"Aries","Taurus","Gemini","Cancer","Leo","Virgo","Libra","Scorpio","Sagittarius","Capricorn","Aquarius","Pisces"},0),12)+1),12)+1)="FULL",NOT(CALC_PlanetPositions!$B$12=CALC_ChandraLagna!$E$8)),AND(OR(CALC_PlanetPositions!$M$13="Benefic",CALC_PlanetPositions!$M$13="Yogakaraka"),INDEX(REF_Aspects!$D$5:$O$13,7,MOD(CALC_ChandraLagna!$F$8-(MOD(MATCH(CALC_PlanetPositions!$B$13,{"Aries","Taurus","Gemini","Cancer","Leo","Virgo","Libra","Scorpio","Sagittarius","Capricorn","Aquarius","Pisces"},0)-MATCH(CALC_PlanetPositions!$B$8,{"Aries","Taurus","Gemini","Cancer","Leo","Virgo","Libra","Scorpio","Sagittarius","Capricorn","Aquarius","Pisces"},0),12)+1),12)+1)="FULL",NOT(CALC_PlanetPositions!$B$13=CALC_ChandraLagna!$E$8)),AND(FALSE(),INDEX(REF_Aspects!$D$5:$O$13,8,MOD(CALC_ChandraLagna!$F$8-(MOD(MATCH(CALC_PlanetPositions!$B$14,{"Aries","Taurus","Gemini","Cancer","Leo","Virgo","Libra","Scorpio","Sagittarius","Capricorn","Aquarius","Pisces"},0)-MATCH(CALC_PlanetPositions!$B$8,{"Aries","Taurus","Gemini","Cancer","Leo","Virgo","Libra","Scorpio","Sagittarius","Capricorn","Aquarius","Pisces"},0),12)+1),12)+1)="FULL",NOT(CALC_PlanetPositions!$B$14=CALC_ChandraLagna!$E$8)),AND(FALSE(),INDEX(REF_Aspects!$D$5:$O$13,9,MOD(CALC_ChandraLagna!$F$8-(MOD(MATCH(CALC_PlanetPositions!$B$15,{"Aries","Taurus","Gemini","Cancer","Leo","Virgo","Libra","Scorpio","Sagittarius","Capricorn","Aquarius","Pisces"},0)-MATCH(CALC_PlanetPositions!$B$8,{"Aries","Taurus","Gemini","Cancer","Leo","Virgo","Libra","Scorpio","Sagittarius","Capricorn","Aquarius","Pisces"},0),12)+1),12)+1)="FULL",NOT(CALC_PlanetPositions!$B$15=CALC_ChandraLagna!$E$8))),1,0),0))*0.5,0)</f>
        <v>0</v>
      </c>
      <c r="D12" s="400" t="s">
        <v>4618</v>
      </c>
    </row>
    <row r="13" spans="1:12" ht="27.75" customHeight="1" x14ac:dyDescent="0.2">
      <c r="A13" s="126"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$8-2,12)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$8-2,12)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$8-2,12)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$8-2,12)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$8-2,12)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$8-2,12)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$8-2,12)+1)),AND(FALSE(),MOD(MATCH(CALC_PlanetPositions!$B$14,{"Aries","Taurus","Gemini","Cancer","Leo","Virgo","Libra","Scorpio","Sagittarius","Capricorn","Aquarius","Pisces"},0)-MATCH(CALC_PlanetPositions!$B$8,{"Aries","Taurus","Gemini","Cancer","Leo","Virgo","Libra","Scorpio","Sagittarius","Capricorn","Aquarius","Pisces"},0),12)+1=(MOD(CALC_ChandraLagna!$F$8-2,12)+1)),AND(FALSE(),MOD(MATCH(CALC_PlanetPositions!$B$15,{"Aries","Taurus","Gemini","Cancer","Leo","Virgo","Libra","Scorpio","Sagittarius","Capricorn","Aquarius","Pisces"},0)-MATCH(CALC_PlanetPositions!$B$8,{"Aries","Taurus","Gemini","Cancer","Leo","Virgo","Libra","Scorpio","Sagittarius","Capricorn","Aquarius","Pisces"},0),12)+1=(MOD(CALC_ChandraLagna!$F$8-2,12)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$8,12)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$8,12)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$8,12)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$8,12)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$8,12)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$8,12)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$8,12)+1)),AND(FALSE(),MOD(MATCH(CALC_PlanetPositions!$B$14,{"Aries","Taurus","Gemini","Cancer","Leo","Virgo","Libra","Scorpio","Sagittarius","Capricorn","Aquarius","Pisces"},0)-MATCH(CALC_PlanetPositions!$B$8,{"Aries","Taurus","Gemini","Cancer","Leo","Virgo","Libra","Scorpio","Sagittarius","Capricorn","Aquarius","Pisces"},0),12)+1=(MOD(CALC_ChandraLagna!$F$8,12)+1)),AND(FALSE(),MOD(MATCH(CALC_PlanetPositions!$B$15,{"Aries","Taurus","Gemini","Cancer","Leo","Virgo","Libra","Scorpio","Sagittarius","Capricorn","Aquarius","Pisces"},0)-MATCH(CALC_PlanetPositions!$B$8,{"Aries","Taurus","Gemini","Cancer","Leo","Virgo","Libra","Scorpio","Sagittarius","Capricorn","Aquarius","Pisces"},0),12)+1=(MOD(CALC_ChandraLagna!$F$8,12)+1)))),1,0),0))*IF(REF_Config!$B$6="KP",0.75,IF(REF_Config!$B$6="Jaimini",0.5,0.75)),0)</f>
        <v>0</v>
      </c>
      <c r="D13" s="403" t="s">
        <v>4620</v>
      </c>
    </row>
    <row r="14" spans="1:12" ht="15.75" customHeight="1" x14ac:dyDescent="0.2">
      <c r="A14" s="1598" t="s">
        <v>4621</v>
      </c>
      <c r="B14" s="1598"/>
      <c r="C14" s="1598"/>
      <c r="D14" s="1598"/>
    </row>
    <row r="15" spans="1:12" ht="27.75" customHeight="1" x14ac:dyDescent="0.2">
      <c r="A15" s="126"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5),AND(CALC_PlanetPositions!$M$8="Malefic",(MOD(MATCH(CALC_PlanetPositions!$B$8,{"Aries","Taurus","Gemini","Cancer","Leo","Virgo","Libra","Scorpio","Sagittarius","Capricorn","Aquarius","Pisces"},0)-MATCH(CALC_PlanetPositions!$B$8,{"Aries","Taurus","Gemini","Cancer","Leo","Virgo","Libra","Scorpio","Sagittarius","Capricorn","Aquarius","Pisces"},0),12)+1)=5),AND(CALC_PlanetPositions!$M$9="Malefic",(MOD(MATCH(CALC_PlanetPositions!$B$9,{"Aries","Taurus","Gemini","Cancer","Leo","Virgo","Libra","Scorpio","Sagittarius","Capricorn","Aquarius","Pisces"},0)-MATCH(CALC_PlanetPositions!$B$8,{"Aries","Taurus","Gemini","Cancer","Leo","Virgo","Libra","Scorpio","Sagittarius","Capricorn","Aquarius","Pisces"},0),12)+1)=5),AND(CALC_PlanetPositions!$M$10="Malefic",(MOD(MATCH(CALC_PlanetPositions!$B$10,{"Aries","Taurus","Gemini","Cancer","Leo","Virgo","Libra","Scorpio","Sagittarius","Capricorn","Aquarius","Pisces"},0)-MATCH(CALC_PlanetPositions!$B$8,{"Aries","Taurus","Gemini","Cancer","Leo","Virgo","Libra","Scorpio","Sagittarius","Capricorn","Aquarius","Pisces"},0),12)+1)=5),AND(CALC_PlanetPositions!$M$11="Malefic",(MOD(MATCH(CALC_PlanetPositions!$B$11,{"Aries","Taurus","Gemini","Cancer","Leo","Virgo","Libra","Scorpio","Sagittarius","Capricorn","Aquarius","Pisces"},0)-MATCH(CALC_PlanetPositions!$B$8,{"Aries","Taurus","Gemini","Cancer","Leo","Virgo","Libra","Scorpio","Sagittarius","Capricorn","Aquarius","Pisces"},0),12)+1)=5),AND(CALC_PlanetPositions!$M$12="Malefic",(MOD(MATCH(CALC_PlanetPositions!$B$12,{"Aries","Taurus","Gemini","Cancer","Leo","Virgo","Libra","Scorpio","Sagittarius","Capricorn","Aquarius","Pisces"},0)-MATCH(CALC_PlanetPositions!$B$8,{"Aries","Taurus","Gemini","Cancer","Leo","Virgo","Libra","Scorpio","Sagittarius","Capricorn","Aquarius","Pisces"},0),12)+1)=5),AND(CALC_PlanetPositions!$M$13="Malefic",(MOD(MATCH(CALC_PlanetPositions!$B$13,{"Aries","Taurus","Gemini","Cancer","Leo","Virgo","Libra","Scorpio","Sagittarius","Capricorn","Aquarius","Pisces"},0)-MATCH(CALC_PlanetPositions!$B$8,{"Aries","Taurus","Gemini","Cancer","Leo","Virgo","Libra","Scorpio","Sagittarius","Capricorn","Aquarius","Pisces"},0),12)+1)=5),AND(TRUE(),(MOD(MATCH(CALC_PlanetPositions!$B$14,{"Aries","Taurus","Gemini","Cancer","Leo","Virgo","Libra","Scorpio","Sagittarius","Capricorn","Aquarius","Pisces"},0)-MATCH(CALC_PlanetPositions!$B$8,{"Aries","Taurus","Gemini","Cancer","Leo","Virgo","Libra","Scorpio","Sagittarius","Capricorn","Aquarius","Pisces"},0),12)+1)=5),AND(TRUE(),(MOD(MATCH(CALC_PlanetPositions!$B$15,{"Aries","Taurus","Gemini","Cancer","Leo","Virgo","Libra","Scorpio","Sagittarius","Capricorn","Aquarius","Pisces"},0)-MATCH(CALC_PlanetPositions!$B$8,{"Aries","Taurus","Gemini","Cancer","Leo","Virgo","Libra","Scorpio","Sagittarius","Capricorn","Aquarius","Pisces"},0),12)+1)=5)),1,0),0))*-1,0)</f>
        <v>-1</v>
      </c>
      <c r="D15" s="400" t="s">
        <v>4623</v>
      </c>
    </row>
    <row r="16" spans="1:12" ht="27.75" customHeight="1" x14ac:dyDescent="0.2">
      <c r="A16" s="126" t="s">
        <v>4624</v>
      </c>
      <c r="B16" s="203" t="s">
        <v>4548</v>
      </c>
      <c r="C16" s="1118">
        <f>IFERROR((IFERROR(IF(OR(AND(CALC_PlanetPositions!$M$7="Malefic",INDEX(REF_Aspects!$D$5:$O$13,1,MOD(5-(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5)),AND(CALC_PlanetPositions!$M$8="Malefic",INDEX(REF_Aspects!$D$5:$O$13,2,MOD(5-(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5)),AND(CALC_PlanetPositions!$M$9="Malefic",INDEX(REF_Aspects!$D$5:$O$13,3,MOD(5-(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5)),AND(CALC_PlanetPositions!$M$10="Malefic",INDEX(REF_Aspects!$D$5:$O$13,4,MOD(5-(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5)),AND(CALC_PlanetPositions!$M$11="Malefic",INDEX(REF_Aspects!$D$5:$O$13,5,MOD(5-(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5)),AND(CALC_PlanetPositions!$M$12="Malefic",INDEX(REF_Aspects!$D$5:$O$13,6,MOD(5-(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5)),AND(CALC_PlanetPositions!$M$13="Malefic",INDEX(REF_Aspects!$D$5:$O$13,7,MOD(5-(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5)),AND(TRUE(),INDEX(REF_Aspects!$D$5:$O$13,8,MOD(5-(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5)),AND(TRUE(),INDEX(REF_Aspects!$D$5:$O$13,9,MOD(5-(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5))),1,0),0))*-1,0)</f>
        <v>-1</v>
      </c>
      <c r="D16" s="403" t="s">
        <v>4625</v>
      </c>
    </row>
    <row r="17" spans="1:7" ht="27.75" customHeight="1" x14ac:dyDescent="0.2">
      <c r="A17" s="126" t="s">
        <v>4626</v>
      </c>
      <c r="B17" s="357" t="s">
        <v>3062</v>
      </c>
      <c r="C17" s="1117">
        <v>0</v>
      </c>
      <c r="D17" s="400" t="s">
        <v>4627</v>
      </c>
    </row>
    <row r="18" spans="1:7" ht="27.75" customHeight="1" x14ac:dyDescent="0.2">
      <c r="A18" s="126"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(5-2,12)+1)),AND(CALC_PlanetPositions!$M$8="Malefic",MOD(MATCH(CALC_PlanetPositions!$B$8,{"Aries","Taurus","Gemini","Cancer","Leo","Virgo","Libra","Scorpio","Sagittarius","Capricorn","Aquarius","Pisces"},0)-MATCH(CALC_PlanetPositions!$B$8,{"Aries","Taurus","Gemini","Cancer","Leo","Virgo","Libra","Scorpio","Sagittarius","Capricorn","Aquarius","Pisces"},0),12)+1=(MOD(5-2,12)+1)),AND(CALC_PlanetPositions!$M$9="Malefic",MOD(MATCH(CALC_PlanetPositions!$B$9,{"Aries","Taurus","Gemini","Cancer","Leo","Virgo","Libra","Scorpio","Sagittarius","Capricorn","Aquarius","Pisces"},0)-MATCH(CALC_PlanetPositions!$B$8,{"Aries","Taurus","Gemini","Cancer","Leo","Virgo","Libra","Scorpio","Sagittarius","Capricorn","Aquarius","Pisces"},0),12)+1=(MOD(5-2,12)+1)),AND(CALC_PlanetPositions!$M$10="Malefic",MOD(MATCH(CALC_PlanetPositions!$B$10,{"Aries","Taurus","Gemini","Cancer","Leo","Virgo","Libra","Scorpio","Sagittarius","Capricorn","Aquarius","Pisces"},0)-MATCH(CALC_PlanetPositions!$B$8,{"Aries","Taurus","Gemini","Cancer","Leo","Virgo","Libra","Scorpio","Sagittarius","Capricorn","Aquarius","Pisces"},0),12)+1=(MOD(5-2,12)+1)),AND(CALC_PlanetPositions!$M$11="Malefic",MOD(MATCH(CALC_PlanetPositions!$B$11,{"Aries","Taurus","Gemini","Cancer","Leo","Virgo","Libra","Scorpio","Sagittarius","Capricorn","Aquarius","Pisces"},0)-MATCH(CALC_PlanetPositions!$B$8,{"Aries","Taurus","Gemini","Cancer","Leo","Virgo","Libra","Scorpio","Sagittarius","Capricorn","Aquarius","Pisces"},0),12)+1=(MOD(5-2,12)+1)),AND(CALC_PlanetPositions!$M$12="Malefic",MOD(MATCH(CALC_PlanetPositions!$B$12,{"Aries","Taurus","Gemini","Cancer","Leo","Virgo","Libra","Scorpio","Sagittarius","Capricorn","Aquarius","Pisces"},0)-MATCH(CALC_PlanetPositions!$B$8,{"Aries","Taurus","Gemini","Cancer","Leo","Virgo","Libra","Scorpio","Sagittarius","Capricorn","Aquarius","Pisces"},0),12)+1=(MOD(5-2,12)+1)),AND(CALC_PlanetPositions!$M$13="Malefic",MOD(MATCH(CALC_PlanetPositions!$B$13,{"Aries","Taurus","Gemini","Cancer","Leo","Virgo","Libra","Scorpio","Sagittarius","Capricorn","Aquarius","Pisces"},0)-MATCH(CALC_PlanetPositions!$B$8,{"Aries","Taurus","Gemini","Cancer","Leo","Virgo","Libra","Scorpio","Sagittarius","Capricorn","Aquarius","Pisces"},0),12)+1=(MOD(5-2,12)+1)),AND(TRUE(),MOD(MATCH(CALC_PlanetPositions!$B$14,{"Aries","Taurus","Gemini","Cancer","Leo","Virgo","Libra","Scorpio","Sagittarius","Capricorn","Aquarius","Pisces"},0)-MATCH(CALC_PlanetPositions!$B$8,{"Aries","Taurus","Gemini","Cancer","Leo","Virgo","Libra","Scorpio","Sagittarius","Capricorn","Aquarius","Pisces"},0),12)+1=(MOD(5-2,12)+1)),AND(TRUE(),MOD(MATCH(CALC_PlanetPositions!$B$15,{"Aries","Taurus","Gemini","Cancer","Leo","Virgo","Libra","Scorpio","Sagittarius","Capricorn","Aquarius","Pisces"},0)-MATCH(CALC_PlanetPositions!$B$8,{"Aries","Taurus","Gemini","Cancer","Leo","Virgo","Libra","Scorpio","Sagittarius","Capricorn","Aquarius","Pisces"},0),12)+1=(MOD(5-2,12)+1))),OR(AND(CALC_PlanetPositions!$M$7="Malefic",MOD(MATCH(CALC_PlanetPositions!$B$7,{"Aries","Taurus","Gemini","Cancer","Leo","Virgo","Libra","Scorpio","Sagittarius","Capricorn","Aquarius","Pisces"},0)-MATCH(CALC_PlanetPositions!$B$8,{"Aries","Taurus","Gemini","Cancer","Leo","Virgo","Libra","Scorpio","Sagittarius","Capricorn","Aquarius","Pisces"},0),12)+1=(MOD(5,12)+1)),AND(CALC_PlanetPositions!$M$8="Malefic",MOD(MATCH(CALC_PlanetPositions!$B$8,{"Aries","Taurus","Gemini","Cancer","Leo","Virgo","Libra","Scorpio","Sagittarius","Capricorn","Aquarius","Pisces"},0)-MATCH(CALC_PlanetPositions!$B$8,{"Aries","Taurus","Gemini","Cancer","Leo","Virgo","Libra","Scorpio","Sagittarius","Capricorn","Aquarius","Pisces"},0),12)+1=(MOD(5,12)+1)),AND(CALC_PlanetPositions!$M$9="Malefic",MOD(MATCH(CALC_PlanetPositions!$B$9,{"Aries","Taurus","Gemini","Cancer","Leo","Virgo","Libra","Scorpio","Sagittarius","Capricorn","Aquarius","Pisces"},0)-MATCH(CALC_PlanetPositions!$B$8,{"Aries","Taurus","Gemini","Cancer","Leo","Virgo","Libra","Scorpio","Sagittarius","Capricorn","Aquarius","Pisces"},0),12)+1=(MOD(5,12)+1)),AND(CALC_PlanetPositions!$M$10="Malefic",MOD(MATCH(CALC_PlanetPositions!$B$10,{"Aries","Taurus","Gemini","Cancer","Leo","Virgo","Libra","Scorpio","Sagittarius","Capricorn","Aquarius","Pisces"},0)-MATCH(CALC_PlanetPositions!$B$8,{"Aries","Taurus","Gemini","Cancer","Leo","Virgo","Libra","Scorpio","Sagittarius","Capricorn","Aquarius","Pisces"},0),12)+1=(MOD(5,12)+1)),AND(CALC_PlanetPositions!$M$11="Malefic",MOD(MATCH(CALC_PlanetPositions!$B$11,{"Aries","Taurus","Gemini","Cancer","Leo","Virgo","Libra","Scorpio","Sagittarius","Capricorn","Aquarius","Pisces"},0)-MATCH(CALC_PlanetPositions!$B$8,{"Aries","Taurus","Gemini","Cancer","Leo","Virgo","Libra","Scorpio","Sagittarius","Capricorn","Aquarius","Pisces"},0),12)+1=(MOD(5,12)+1)),AND(CALC_PlanetPositions!$M$12="Malefic",MOD(MATCH(CALC_PlanetPositions!$B$12,{"Aries","Taurus","Gemini","Cancer","Leo","Virgo","Libra","Scorpio","Sagittarius","Capricorn","Aquarius","Pisces"},0)-MATCH(CALC_PlanetPositions!$B$8,{"Aries","Taurus","Gemini","Cancer","Leo","Virgo","Libra","Scorpio","Sagittarius","Capricorn","Aquarius","Pisces"},0),12)+1=(MOD(5,12)+1)),AND(CALC_PlanetPositions!$M$13="Malefic",MOD(MATCH(CALC_PlanetPositions!$B$13,{"Aries","Taurus","Gemini","Cancer","Leo","Virgo","Libra","Scorpio","Sagittarius","Capricorn","Aquarius","Pisces"},0)-MATCH(CALC_PlanetPositions!$B$8,{"Aries","Taurus","Gemini","Cancer","Leo","Virgo","Libra","Scorpio","Sagittarius","Capricorn","Aquarius","Pisces"},0),12)+1=(MOD(5,12)+1)),AND(TRUE(),MOD(MATCH(CALC_PlanetPositions!$B$14,{"Aries","Taurus","Gemini","Cancer","Leo","Virgo","Libra","Scorpio","Sagittarius","Capricorn","Aquarius","Pisces"},0)-MATCH(CALC_PlanetPositions!$B$8,{"Aries","Taurus","Gemini","Cancer","Leo","Virgo","Libra","Scorpio","Sagittarius","Capricorn","Aquarius","Pisces"},0),12)+1=(MOD(5,12)+1)),AND(TRUE(),MOD(MATCH(CALC_PlanetPositions!$B$15,{"Aries","Taurus","Gemini","Cancer","Leo","Virgo","Libra","Scorpio","Sagittarius","Capricorn","Aquarius","Pisces"},0)-MATCH(CALC_PlanetPositions!$B$8,{"Aries","Taurus","Gemini","Cancer","Leo","Virgo","Libra","Scorpio","Sagittarius","Capricorn","Aquarius","Pisces"},0),12)+1=(MOD(5,12)+1)))),1,0),0))*IF(REF_Config!$B$6="KP",-0.75,IF(REF_Config!$B$6="Jaimini",-0.5,-0.75)),0)</f>
        <v>0</v>
      </c>
      <c r="D18" s="403" t="s">
        <v>4629</v>
      </c>
    </row>
    <row r="19" spans="1:7" ht="15.75" customHeight="1" x14ac:dyDescent="0.2">
      <c r="A19" s="1594" t="s">
        <v>3624</v>
      </c>
      <c r="B19" s="1594"/>
      <c r="C19" s="1594"/>
      <c r="D19" s="1594"/>
    </row>
    <row r="20" spans="1:7" ht="27.75" customHeight="1" x14ac:dyDescent="0.2">
      <c r="A20" s="126" t="s">
        <v>4630</v>
      </c>
      <c r="B20" s="357" t="s">
        <v>4555</v>
      </c>
      <c r="C20" s="1117">
        <v>0</v>
      </c>
      <c r="D20" s="400" t="s">
        <v>4631</v>
      </c>
    </row>
    <row r="21" spans="1:7" ht="27.75" customHeight="1" x14ac:dyDescent="0.2">
      <c r="A21" s="126" t="s">
        <v>4632</v>
      </c>
      <c r="B21" s="203" t="s">
        <v>4633</v>
      </c>
      <c r="C21" s="1118">
        <f>IFERROR((IFERROR(IF(OR(AND(CALC_PlanetPositions!$M$7="Malefic",INDEX(REF_Aspects!$D$5:$O$13,1,MOD(CALC_ChandraLagna!$F$8-(MOD(MATCH(CALC_PlanetPositions!$B$7,{"Aries","Taurus","Gemini","Cancer","Leo","Virgo","Libra","Scorpio","Sagittarius","Capricorn","Aquarius","Pisces"},0)-MATCH(CALC_PlanetPositions!$B$8,{"Aries","Taurus","Gemini","Cancer","Leo","Virgo","Libra","Scorpio","Sagittarius","Capricorn","Aquarius","Pisces"},0),12)+1),12)+1)="FULL",NOT(CALC_PlanetPositions!$B$7=CALC_ChandraLagna!$E$8)),AND(CALC_PlanetPositions!$M$8="Malefic",INDEX(REF_Aspects!$D$5:$O$13,2,MOD(CALC_ChandraLagna!$F$8-(MOD(MATCH(CALC_PlanetPositions!$B$8,{"Aries","Taurus","Gemini","Cancer","Leo","Virgo","Libra","Scorpio","Sagittarius","Capricorn","Aquarius","Pisces"},0)-MATCH(CALC_PlanetPositions!$B$8,{"Aries","Taurus","Gemini","Cancer","Leo","Virgo","Libra","Scorpio","Sagittarius","Capricorn","Aquarius","Pisces"},0),12)+1),12)+1)="FULL",NOT(CALC_PlanetPositions!$B$8=CALC_ChandraLagna!$E$8)),AND(CALC_PlanetPositions!$M$9="Malefic",INDEX(REF_Aspects!$D$5:$O$13,3,MOD(CALC_ChandraLagna!$F$8-(MOD(MATCH(CALC_PlanetPositions!$B$9,{"Aries","Taurus","Gemini","Cancer","Leo","Virgo","Libra","Scorpio","Sagittarius","Capricorn","Aquarius","Pisces"},0)-MATCH(CALC_PlanetPositions!$B$8,{"Aries","Taurus","Gemini","Cancer","Leo","Virgo","Libra","Scorpio","Sagittarius","Capricorn","Aquarius","Pisces"},0),12)+1),12)+1)="FULL",NOT(CALC_PlanetPositions!$B$9=CALC_ChandraLagna!$E$8)),AND(CALC_PlanetPositions!$M$10="Malefic",INDEX(REF_Aspects!$D$5:$O$13,4,MOD(CALC_ChandraLagna!$F$8-(MOD(MATCH(CALC_PlanetPositions!$B$10,{"Aries","Taurus","Gemini","Cancer","Leo","Virgo","Libra","Scorpio","Sagittarius","Capricorn","Aquarius","Pisces"},0)-MATCH(CALC_PlanetPositions!$B$8,{"Aries","Taurus","Gemini","Cancer","Leo","Virgo","Libra","Scorpio","Sagittarius","Capricorn","Aquarius","Pisces"},0),12)+1),12)+1)="FULL",NOT(CALC_PlanetPositions!$B$10=CALC_ChandraLagna!$E$8)),AND(CALC_PlanetPositions!$M$11="Malefic",INDEX(REF_Aspects!$D$5:$O$13,5,MOD(CALC_ChandraLagna!$F$8-(MOD(MATCH(CALC_PlanetPositions!$B$11,{"Aries","Taurus","Gemini","Cancer","Leo","Virgo","Libra","Scorpio","Sagittarius","Capricorn","Aquarius","Pisces"},0)-MATCH(CALC_PlanetPositions!$B$8,{"Aries","Taurus","Gemini","Cancer","Leo","Virgo","Libra","Scorpio","Sagittarius","Capricorn","Aquarius","Pisces"},0),12)+1),12)+1)="FULL",NOT(CALC_PlanetPositions!$B$11=CALC_ChandraLagna!$E$8)),AND(CALC_PlanetPositions!$M$12="Malefic",INDEX(REF_Aspects!$D$5:$O$13,6,MOD(CALC_ChandraLagna!$F$8-(MOD(MATCH(CALC_PlanetPositions!$B$12,{"Aries","Taurus","Gemini","Cancer","Leo","Virgo","Libra","Scorpio","Sagittarius","Capricorn","Aquarius","Pisces"},0)-MATCH(CALC_PlanetPositions!$B$8,{"Aries","Taurus","Gemini","Cancer","Leo","Virgo","Libra","Scorpio","Sagittarius","Capricorn","Aquarius","Pisces"},0),12)+1),12)+1)="FULL",NOT(CALC_PlanetPositions!$B$12=CALC_ChandraLagna!$E$8)),AND(CALC_PlanetPositions!$M$13="Malefic",INDEX(REF_Aspects!$D$5:$O$13,7,MOD(CALC_ChandraLagna!$F$8-(MOD(MATCH(CALC_PlanetPositions!$B$13,{"Aries","Taurus","Gemini","Cancer","Leo","Virgo","Libra","Scorpio","Sagittarius","Capricorn","Aquarius","Pisces"},0)-MATCH(CALC_PlanetPositions!$B$8,{"Aries","Taurus","Gemini","Cancer","Leo","Virgo","Libra","Scorpio","Sagittarius","Capricorn","Aquarius","Pisces"},0),12)+1),12)+1)="FULL",NOT(CALC_PlanetPositions!$B$13=CALC_ChandraLagna!$E$8)),AND(TRUE(),INDEX(REF_Aspects!$D$5:$O$13,8,MOD(CALC_ChandraLagna!$F$8-(MOD(MATCH(CALC_PlanetPositions!$B$14,{"Aries","Taurus","Gemini","Cancer","Leo","Virgo","Libra","Scorpio","Sagittarius","Capricorn","Aquarius","Pisces"},0)-MATCH(CALC_PlanetPositions!$B$8,{"Aries","Taurus","Gemini","Cancer","Leo","Virgo","Libra","Scorpio","Sagittarius","Capricorn","Aquarius","Pisces"},0),12)+1),12)+1)="FULL",NOT(CALC_PlanetPositions!$B$14=CALC_ChandraLagna!$E$8)),AND(TRUE(),INDEX(REF_Aspects!$D$5:$O$13,9,MOD(CALC_ChandraLagna!$F$8-(MOD(MATCH(CALC_PlanetPositions!$B$15,{"Aries","Taurus","Gemini","Cancer","Leo","Virgo","Libra","Scorpio","Sagittarius","Capricorn","Aquarius","Pisces"},0)-MATCH(CALC_PlanetPositions!$B$8,{"Aries","Taurus","Gemini","Cancer","Leo","Virgo","Libra","Scorpio","Sagittarius","Capricorn","Aquarius","Pisces"},0),12)+1),12)+1)="FULL",NOT(CALC_PlanetPositions!$B$15=CALC_ChandraLagna!$E$8))),1,0),0))*-0.5,0)</f>
        <v>-0.5</v>
      </c>
      <c r="D21" s="403" t="s">
        <v>4634</v>
      </c>
    </row>
    <row r="22" spans="1:7" ht="27.75" customHeight="1" x14ac:dyDescent="0.2">
      <c r="A22" s="126" t="s">
        <v>4635</v>
      </c>
      <c r="B22" s="357" t="s">
        <v>3042</v>
      </c>
      <c r="C22" s="1117">
        <f>IFERROR((IFERROR(IF(CALC_ChandraLagna!$I$8="Yes",1,0),0))*IF(REF_Config!$B$6="KP",-1.75,IF(REF_Config!$B$6="Jaimini",-2,-2)),0)</f>
        <v>-2</v>
      </c>
      <c r="D22" s="400" t="s">
        <v>4636</v>
      </c>
    </row>
    <row r="23" spans="1:7" ht="27.75" customHeight="1" x14ac:dyDescent="0.2">
      <c r="A23" s="126" t="s">
        <v>4637</v>
      </c>
      <c r="B23" s="203" t="s">
        <v>3059</v>
      </c>
      <c r="C23" s="1118">
        <f>IFERROR((IFERROR(IF(OR(AND(CALC_ChandraLagna!$E$9=CALC_ChandraLagna!$E$8,CALC_ChandraLagna!$D$9&lt;&gt;CALC_ChandraLagna!$D$8),AND(CALC_ChandraLagna!$E$11=CALC_ChandraLagna!$E$8,CALC_ChandraLagna!$D$11&lt;&gt;CALC_ChandraLagna!$D$8),AND(CALC_ChandraLagna!$E$15=CALC_ChandraLagna!$E$8,CALC_ChandraLagna!$D$15&lt;&gt;CALC_ChandraLagna!$D$8)),1,0),0))*-1,0)</f>
        <v>0</v>
      </c>
      <c r="D23" s="403" t="s">
        <v>4638</v>
      </c>
    </row>
    <row r="24" spans="1:7" ht="15.75" customHeight="1" x14ac:dyDescent="0.2">
      <c r="A24" s="1484" t="s">
        <v>4639</v>
      </c>
      <c r="B24" s="1484"/>
      <c r="C24" s="1484"/>
      <c r="D24" s="1484"/>
    </row>
    <row r="25" spans="1:7" ht="27.75" customHeight="1" x14ac:dyDescent="0.2">
      <c r="A25" s="126" t="s">
        <v>4640</v>
      </c>
      <c r="B25" s="357" t="s">
        <v>3084</v>
      </c>
      <c r="C25" s="1117">
        <f>IFERROR(IF(CALC_KarakMap!$M$9&gt;0,CALC_KarakMap!$M$9,0),0)</f>
        <v>0</v>
      </c>
      <c r="D25" s="400" t="s">
        <v>4641</v>
      </c>
    </row>
    <row r="26" spans="1:7" ht="27.75" customHeight="1" x14ac:dyDescent="0.2">
      <c r="A26" s="126" t="s">
        <v>4642</v>
      </c>
      <c r="B26" s="203" t="s">
        <v>4564</v>
      </c>
      <c r="C26" s="1118">
        <f>IFERROR(IF(CALC_KarakMap!$M$9&lt;0,CALC_KarakMap!$M$9,0),0)</f>
        <v>-0.5</v>
      </c>
      <c r="D26" s="403" t="s">
        <v>4643</v>
      </c>
    </row>
    <row r="27" spans="1:7" ht="27.75" customHeight="1" x14ac:dyDescent="0.2">
      <c r="A27" s="1119" t="s">
        <v>4644</v>
      </c>
      <c r="B27" s="296" t="s">
        <v>3624</v>
      </c>
      <c r="C27" s="1117">
        <f>IFERROR(IF(OR(CALC_ChandraLagna!$D$8="Sun",CALC_ChandraLagna!$D$8="Rahu",CALC_ChandraLagna!$D$8="Ketu"),0,IF(CALC_ChandraLagna!$D$8="Moon",IF(CALC_CombustionCheck!$G$4="Cazimi ✓",0.5,IF(CALC_CombustionCheck!$F$4="COMBUST ⚠",-1,0)),IF(CALC_ChandraLagna!$D$8="Mars",IF(CALC_CombustionCheck!$G$5="Cazimi ✓",0.5,IF(AND(CALC_CombustionCheck!$F$5="COMBUST ⚠",CALC_RetrogradeFix!$F$6="Rx ✓"),-0.5,IF(CALC_CombustionCheck!$F$5="COMBUST ⚠",-1,0))),IF(CALC_ChandraLagna!$D$8="Mercury",IF(CALC_CombustionCheck!$G$6="Cazimi ✓",0.5,IF(AND(CALC_CombustionCheck!$F$6="COMBUST ⚠",CALC_RetrogradeFix!$F$7="Rx ✓"),-0.5,IF(CALC_CombustionCheck!$F$6="COMBUST ⚠",-1,0))),IF(CALC_ChandraLagna!$D$8="Jupiter",IF(CALC_CombustionCheck!$G$7="Cazimi ✓",0.5,IF(AND(CALC_CombustionCheck!$F$7="COMBUST ⚠",CALC_RetrogradeFix!$F$8="Rx ✓"),-0.5,IF(CALC_CombustionCheck!$F$7="COMBUST ⚠",-1,0))),IF(CALC_ChandraLagna!$D$8="Venus",IF(CALC_CombustionCheck!$G$8="Cazimi ✓",0.5,IF(AND(CALC_CombustionCheck!$F$8="COMBUST ⚠",CALC_RetrogradeFix!$F$9="Rx ✓"),-0.5,IF(CALC_CombustionCheck!$F$8="COMBUST ⚠",-1,0))),IF(CALC_ChandraLagna!$D$8="Saturn",IF(CALC_CombustionCheck!$G$9="Cazimi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ChandraLagna!$D$8="Rahu",CALC_ChandraLagna!$D$8="Ketu"),0,IF(ISNUMBER(MATCH(CALC_ChandraLagna!$D$8,{"Sun","Moon","Mars","Mercury","Jupiter","Venus","Saturn"},0)),IF(INDEX(CALC_DigBala!$F$4:$F$10,MATCH(CALC_ChandraLagna!$D$8,{"Sun","Moon","Mars","Mercury","Jupiter","Venus","Saturn"},0))="Yes",0.5,0),0)),0)</f>
        <v>0</v>
      </c>
      <c r="D28" s="400" t="s">
        <v>4647</v>
      </c>
    </row>
    <row r="29" spans="1:7" ht="27.75" customHeight="1" x14ac:dyDescent="0.2">
      <c r="A29" s="1120" t="s">
        <v>4648</v>
      </c>
      <c r="B29" s="296" t="s">
        <v>3372</v>
      </c>
      <c r="C29" s="1117">
        <f>IFERROR(IF(COUNTIFS(REF_PushkaraNavamsha!$A$4:$A$27,CALC_ChandraLagna!$E$8,REF_PushkaraNavamsha!$B$4:$B$27,INDEX(CALC_PlanetPositions!$G$7:$G$15,MATCH(CALC_ChandraLagna!$D$8,CALC_PlanetPositions!$A$7:$A$15,0)))&gt;0,0.5,0),0)</f>
        <v>0</v>
      </c>
      <c r="D29" s="400" t="s">
        <v>4649</v>
      </c>
    </row>
    <row r="30" spans="1:7" ht="25.5" customHeight="1" x14ac:dyDescent="0.2">
      <c r="A30" s="147" t="s">
        <v>4650</v>
      </c>
      <c r="B30" s="1121" t="s">
        <v>4651</v>
      </c>
      <c r="C30" s="1122">
        <f>IFERROR(IF(ISNUMBER(MATCH(CALC_ChandraLagna!$D$8,{"Sun","Moon","Mars","Mercury","Jupiter","Venus","Saturn"},0)),INDEX(CALC_RetrogradeFix!$G$4:$G$10,MATCH(CALC_ChandraLagna!$D$8,{"Sun","Moon","Mars","Mercury","Jupiter","Venus","Saturn"},0)),0),0)</f>
        <v>0</v>
      </c>
      <c r="D30" s="1123" t="s">
        <v>4652</v>
      </c>
    </row>
    <row r="31" spans="1:7" ht="18" customHeight="1" x14ac:dyDescent="0.2">
      <c r="A31" s="1555" t="s">
        <v>4653</v>
      </c>
      <c r="B31" s="1555"/>
      <c r="C31" s="1555"/>
      <c r="D31" s="1555"/>
      <c r="E31" s="1124" t="s">
        <v>4654</v>
      </c>
      <c r="F31" s="1125">
        <f>IFERROR(IF(CALC_Ashtakavarga!F$12&gt;28,0.5,IF(CALC_Ashtakavarga!F$12&lt;22,-0.5,0)),0)</f>
        <v>-0.5</v>
      </c>
      <c r="G31" s="1126" t="s">
        <v>4655</v>
      </c>
    </row>
    <row r="32" spans="1:7" ht="18" customHeight="1" x14ac:dyDescent="0.2">
      <c r="A32" s="189" t="s">
        <v>3367</v>
      </c>
      <c r="B32" s="1127" t="s">
        <v>4656</v>
      </c>
      <c r="C32" s="1128">
        <f>IFERROR(SUM(C5:C7),0)</f>
        <v>1.5</v>
      </c>
      <c r="D32" s="1129"/>
    </row>
    <row r="33" spans="1:4" ht="18" customHeight="1" x14ac:dyDescent="0.2">
      <c r="A33" s="189" t="s">
        <v>3372</v>
      </c>
      <c r="B33" s="1127" t="s">
        <v>4657</v>
      </c>
      <c r="C33" s="1128">
        <f>IFERROR(SUM(C9:C13,C28:C30,F31,0),0)</f>
        <v>-0.5</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-4</v>
      </c>
      <c r="D37" s="1129"/>
    </row>
    <row r="38" spans="1:4" ht="21.75" customHeight="1" x14ac:dyDescent="0.2">
      <c r="A38" s="89" t="s">
        <v>4661</v>
      </c>
      <c r="B38" s="1129"/>
      <c r="C38" s="1131">
        <f>IFERROR(MAX(-10,MIN(10,C37)),0)</f>
        <v>-4</v>
      </c>
      <c r="D38" s="1132"/>
    </row>
    <row r="39" spans="1:4" ht="18" customHeight="1" x14ac:dyDescent="0.2">
      <c r="A39" s="517" t="s">
        <v>4662</v>
      </c>
      <c r="B39" s="1129"/>
      <c r="C39" s="1133">
        <f>IFERROR(CALC_LagneshStrength!$I$4,0)</f>
        <v>0</v>
      </c>
      <c r="D39" s="1129"/>
    </row>
    <row r="40" spans="1:4" ht="25.5" customHeight="1" x14ac:dyDescent="0.2">
      <c r="A40" s="1145" t="s">
        <v>4663</v>
      </c>
      <c r="B40" s="1129"/>
      <c r="C40" s="1146">
        <f>IFERROR(MAX(-10,MIN(10,C38+C39+C41)),0)</f>
        <v>-4</v>
      </c>
      <c r="D40" s="1147" t="str">
        <f>IFERROR(IF(C40&gt;=7,"Excellent — Intellect domain very strong",IF(C40&gt;=4,"Good — Intellect domain strong",IF(C40&gt;=1,"Moderate",IF(C40&gt;=-2,"Mixed — Intellect has challenges",IF(C40&gt;=-5,"Weak","Very weak — Intellect heavily afflicted"))))),"—")</f>
        <v>Weak</v>
      </c>
    </row>
    <row r="41" spans="1:4" ht="18" customHeight="1" x14ac:dyDescent="0.2">
      <c r="A41" s="622" t="s">
        <v>4681</v>
      </c>
      <c r="B41" s="904" t="s">
        <v>4678</v>
      </c>
      <c r="C41" s="1160">
        <v>0</v>
      </c>
      <c r="D41" s="550" t="s">
        <v>4689</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4690</v>
      </c>
      <c r="B1" s="1518"/>
      <c r="C1" s="1518"/>
      <c r="D1" s="1518"/>
      <c r="L1" s="544" t="s">
        <v>2214</v>
      </c>
    </row>
    <row r="2" spans="1:12" ht="19.5" customHeight="1" x14ac:dyDescent="0.2">
      <c r="A2" s="1595" t="str">
        <f>IFERROR("Chandra Lagna: "&amp;CALC_PlanetPositions!$B$8&amp;"  ·  H6 sign: "&amp;CALC_ChandraLagna!$C$9,"—")</f>
        <v>Chandra Lagna: Cancer  ·  H6 sign: Sagittarius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9" t="s">
        <v>4605</v>
      </c>
      <c r="B5" s="357" t="s">
        <v>4529</v>
      </c>
      <c r="C5" s="1117">
        <f>IFERROR((IFERROR(IF(INDEX(REF_Zodiac!$D$17:$O$17,MATCH(CALC_ChandraLagna!$C$9,REF_Zodiac!$D$3:$O$3,0))="Gentle",1,0),0))*0.5,0)</f>
        <v>0.5</v>
      </c>
      <c r="D5" s="400" t="s">
        <v>4606</v>
      </c>
    </row>
    <row r="6" spans="1:12" ht="27.75" customHeight="1" x14ac:dyDescent="0.2">
      <c r="A6" s="119"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19" t="s">
        <v>4609</v>
      </c>
      <c r="B7" s="357" t="s">
        <v>4534</v>
      </c>
      <c r="C7" s="1117">
        <f>IFERROR((IFERROR(IF(OR(AND(OR(CALC_PlanetPositions!$M$7="Benefic",CALC_PlanetPositions!$M$7="Yogakaraka"),INDEX(REF_Aspects!$D$5:$O$13,1,MOD(6-(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6)),AND(OR(CALC_PlanetPositions!$M$8="Benefic",CALC_PlanetPositions!$M$8="Yogakaraka"),INDEX(REF_Aspects!$D$5:$O$13,2,MOD(6-(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6)),AND(OR(CALC_PlanetPositions!$M$9="Benefic",CALC_PlanetPositions!$M$9="Yogakaraka"),INDEX(REF_Aspects!$D$5:$O$13,3,MOD(6-(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6)),AND(OR(CALC_PlanetPositions!$M$10="Benefic",CALC_PlanetPositions!$M$10="Yogakaraka"),INDEX(REF_Aspects!$D$5:$O$13,4,MOD(6-(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6)),AND(OR(CALC_PlanetPositions!$M$11="Benefic",CALC_PlanetPositions!$M$11="Yogakaraka"),INDEX(REF_Aspects!$D$5:$O$13,5,MOD(6-(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6)),AND(OR(CALC_PlanetPositions!$M$12="Benefic",CALC_PlanetPositions!$M$12="Yogakaraka"),INDEX(REF_Aspects!$D$5:$O$13,6,MOD(6-(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6)),AND(OR(CALC_PlanetPositions!$M$13="Benefic",CALC_PlanetPositions!$M$13="Yogakaraka"),INDEX(REF_Aspects!$D$5:$O$13,7,MOD(6-(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6)),AND(FALSE(),INDEX(REF_Aspects!$D$5:$O$13,8,MOD(6-(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6)),AND(FALSE(),INDEX(REF_Aspects!$D$5:$O$13,9,MOD(6-(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6))),1,0),0))*IF(REF_Config!$B$6="KP",0.5,IF(REF_Config!$B$6="Jaimini",0.75,0.75)),0)</f>
        <v>0</v>
      </c>
      <c r="D7" s="400" t="s">
        <v>4610</v>
      </c>
    </row>
    <row r="8" spans="1:12" ht="15.75" customHeight="1" x14ac:dyDescent="0.2">
      <c r="A8" s="1597" t="s">
        <v>3372</v>
      </c>
      <c r="B8" s="1597"/>
      <c r="C8" s="1597"/>
      <c r="D8" s="1597"/>
    </row>
    <row r="9" spans="1:12" ht="27.75" customHeight="1" x14ac:dyDescent="0.2">
      <c r="A9" s="119" t="s">
        <v>4611</v>
      </c>
      <c r="B9" s="203" t="s">
        <v>4537</v>
      </c>
      <c r="C9" s="1118">
        <f>IFERROR(IF(AND(OR(CALC_ChandraLagna!$G$9="Yes",CALC_ChandraLagna!$H$9="Yes"),NOT(CALC_ChandraLagna!$I$9="Yes")),1,0)*IF(REF_Config!$B$6="KP",1.5,IF(REF_Config!$B$6="Jaimini",1.5,2)),0)</f>
        <v>2</v>
      </c>
      <c r="D9" s="403" t="s">
        <v>4612</v>
      </c>
    </row>
    <row r="10" spans="1:12" ht="27.75" customHeight="1" x14ac:dyDescent="0.2">
      <c r="A10" s="119" t="s">
        <v>4613</v>
      </c>
      <c r="B10" s="357" t="s">
        <v>3093</v>
      </c>
      <c r="C10" s="1117">
        <f>IFERROR((IFERROR(IF(OR(AND(CALC_ChandraLagna!$E$4=CALC_ChandraLagna!$E$9,CALC_ChandraLagna!$D$4&lt;&gt;CALC_ChandraLagna!$D$9),AND(CALC_ChandraLagna!$E$7=CALC_ChandraLagna!$E$9,CALC_ChandraLagna!$D$7&lt;&gt;CALC_ChandraLagna!$D$9),AND(CALC_ChandraLagna!$E$8=CALC_ChandraLagna!$E$9,CALC_ChandraLagna!$D$8&lt;&gt;CALC_ChandraLagna!$D$9),AND(CALC_ChandraLagna!$E$10=CALC_ChandraLagna!$E$9,CALC_ChandraLagna!$D$10&lt;&gt;CALC_ChandraLagna!$D$9),AND(CALC_ChandraLagna!$E$12=CALC_ChandraLagna!$E$9,CALC_ChandraLagna!$D$12&lt;&gt;CALC_ChandraLagna!$D$9),AND(CALC_ChandraLagna!$E$13=CALC_ChandraLagna!$E$9,CALC_ChandraLagna!$D$13&lt;&gt;CALC_ChandraLagna!$D$9)),1,0),0))*0.5,0)</f>
        <v>0</v>
      </c>
      <c r="D10" s="400" t="s">
        <v>4614</v>
      </c>
    </row>
    <row r="11" spans="1:12" ht="27.75" customHeight="1" x14ac:dyDescent="0.2">
      <c r="A11" s="119" t="s">
        <v>4615</v>
      </c>
      <c r="B11" s="203" t="s">
        <v>4540</v>
      </c>
      <c r="C11" s="1118">
        <f>IFERROR((IFERROR(IF(OR(AND(OR(CALC_PlanetPositions!$M$7="Benefic",CALC_PlanetPositions!$M$7="Yogakaraka"),CALC_PlanetPositions!$B$7=CALC_ChandraLagna!$E$9,CALC_ChandraLagna!$D$9&lt;&gt;"Sun"),AND(OR(CALC_PlanetPositions!$M$8="Benefic",CALC_PlanetPositions!$M$8="Yogakaraka"),CALC_PlanetPositions!$B$8=CALC_ChandraLagna!$E$9,CALC_ChandraLagna!$D$9&lt;&gt;"Moon"),AND(OR(CALC_PlanetPositions!$M$9="Benefic",CALC_PlanetPositions!$M$9="Yogakaraka"),CALC_PlanetPositions!$B$9=CALC_ChandraLagna!$E$9,CALC_ChandraLagna!$D$9&lt;&gt;"Mars"),AND(OR(CALC_PlanetPositions!$M$10="Benefic",CALC_PlanetPositions!$M$10="Yogakaraka"),CALC_PlanetPositions!$B$10=CALC_ChandraLagna!$E$9,CALC_ChandraLagna!$D$9&lt;&gt;"Mercury"),AND(OR(CALC_PlanetPositions!$M$11="Benefic",CALC_PlanetPositions!$M$11="Yogakaraka"),CALC_PlanetPositions!$B$11=CALC_ChandraLagna!$E$9,CALC_ChandraLagna!$D$9&lt;&gt;"Jupiter"),AND(OR(CALC_PlanetPositions!$M$12="Benefic",CALC_PlanetPositions!$M$12="Yogakaraka"),CALC_PlanetPositions!$B$12=CALC_ChandraLagna!$E$9,CALC_ChandraLagna!$D$9&lt;&gt;"Venus"),AND(OR(CALC_PlanetPositions!$M$13="Benefic",CALC_PlanetPositions!$M$13="Yogakaraka"),CALC_PlanetPositions!$B$13=CALC_ChandraLagna!$E$9,CALC_ChandraLagna!$D$9&lt;&gt;"Saturn")),1,0),0))*IF(OR(AND(CALC_PlanetPositions!$M$7="Yogakaraka",CALC_PlanetPositions!$B$7=CALC_ChandraLagna!$E$9,CALC_ChandraLagna!$D$9&lt;&gt;"Sun"),AND(CALC_PlanetPositions!$M$8="Yogakaraka",CALC_PlanetPositions!$B$8=CALC_ChandraLagna!$E$9,CALC_ChandraLagna!$D$9&lt;&gt;"Moon"),AND(CALC_PlanetPositions!$M$9="Yogakaraka",CALC_PlanetPositions!$B$9=CALC_ChandraLagna!$E$9,CALC_ChandraLagna!$D$9&lt;&gt;"Mars"),AND(CALC_PlanetPositions!$M$10="Yogakaraka",CALC_PlanetPositions!$B$10=CALC_ChandraLagna!$E$9,CALC_ChandraLagna!$D$9&lt;&gt;"Mercury"),AND(CALC_PlanetPositions!$M$11="Yogakaraka",CALC_PlanetPositions!$B$11=CALC_ChandraLagna!$E$9,CALC_ChandraLagna!$D$9&lt;&gt;"Jupiter"),AND(CALC_PlanetPositions!$M$12="Yogakaraka",CALC_PlanetPositions!$B$12=CALC_ChandraLagna!$E$9,CALC_ChandraLagna!$D$9&lt;&gt;"Venus"),AND(CALC_PlanetPositions!$M$13="Yogakaraka",CALC_PlanetPositions!$B$13=CALC_ChandraLagna!$E$9,CALC_ChandraLagna!$D$9&lt;&gt;"Saturn")),1.5,1),0)</f>
        <v>0</v>
      </c>
      <c r="D11" s="403" t="s">
        <v>4616</v>
      </c>
    </row>
    <row r="12" spans="1:12" ht="27.75" customHeight="1" x14ac:dyDescent="0.2">
      <c r="A12" s="119" t="s">
        <v>4617</v>
      </c>
      <c r="B12" s="357" t="s">
        <v>4542</v>
      </c>
      <c r="C12" s="1117">
        <f>IFERROR((IFERROR(IF(OR(AND(OR(CALC_PlanetPositions!$M$7="Benefic",CALC_PlanetPositions!$M$7="Yogakaraka"),INDEX(REF_Aspects!$D$5:$O$13,1,MOD(CALC_ChandraLagna!$F$9-(MOD(MATCH(CALC_PlanetPositions!$B$7,{"Aries","Taurus","Gemini","Cancer","Leo","Virgo","Libra","Scorpio","Sagittarius","Capricorn","Aquarius","Pisces"},0)-MATCH(CALC_PlanetPositions!$B$8,{"Aries","Taurus","Gemini","Cancer","Leo","Virgo","Libra","Scorpio","Sagittarius","Capricorn","Aquarius","Pisces"},0),12)+1),12)+1)="FULL",NOT(CALC_PlanetPositions!$B$7=CALC_ChandraLagna!$E$9)),AND(OR(CALC_PlanetPositions!$M$8="Benefic",CALC_PlanetPositions!$M$8="Yogakaraka"),INDEX(REF_Aspects!$D$5:$O$13,2,MOD(CALC_ChandraLagna!$F$9-(MOD(MATCH(CALC_PlanetPositions!$B$8,{"Aries","Taurus","Gemini","Cancer","Leo","Virgo","Libra","Scorpio","Sagittarius","Capricorn","Aquarius","Pisces"},0)-MATCH(CALC_PlanetPositions!$B$8,{"Aries","Taurus","Gemini","Cancer","Leo","Virgo","Libra","Scorpio","Sagittarius","Capricorn","Aquarius","Pisces"},0),12)+1),12)+1)="FULL",NOT(CALC_PlanetPositions!$B$8=CALC_ChandraLagna!$E$9)),AND(OR(CALC_PlanetPositions!$M$9="Benefic",CALC_PlanetPositions!$M$9="Yogakaraka"),INDEX(REF_Aspects!$D$5:$O$13,3,MOD(CALC_ChandraLagna!$F$9-(MOD(MATCH(CALC_PlanetPositions!$B$9,{"Aries","Taurus","Gemini","Cancer","Leo","Virgo","Libra","Scorpio","Sagittarius","Capricorn","Aquarius","Pisces"},0)-MATCH(CALC_PlanetPositions!$B$8,{"Aries","Taurus","Gemini","Cancer","Leo","Virgo","Libra","Scorpio","Sagittarius","Capricorn","Aquarius","Pisces"},0),12)+1),12)+1)="FULL",NOT(CALC_PlanetPositions!$B$9=CALC_ChandraLagna!$E$9)),AND(OR(CALC_PlanetPositions!$M$10="Benefic",CALC_PlanetPositions!$M$10="Yogakaraka"),INDEX(REF_Aspects!$D$5:$O$13,4,MOD(CALC_ChandraLagna!$F$9-(MOD(MATCH(CALC_PlanetPositions!$B$10,{"Aries","Taurus","Gemini","Cancer","Leo","Virgo","Libra","Scorpio","Sagittarius","Capricorn","Aquarius","Pisces"},0)-MATCH(CALC_PlanetPositions!$B$8,{"Aries","Taurus","Gemini","Cancer","Leo","Virgo","Libra","Scorpio","Sagittarius","Capricorn","Aquarius","Pisces"},0),12)+1),12)+1)="FULL",NOT(CALC_PlanetPositions!$B$10=CALC_ChandraLagna!$E$9)),AND(OR(CALC_PlanetPositions!$M$11="Benefic",CALC_PlanetPositions!$M$11="Yogakaraka"),INDEX(REF_Aspects!$D$5:$O$13,5,MOD(CALC_ChandraLagna!$F$9-(MOD(MATCH(CALC_PlanetPositions!$B$11,{"Aries","Taurus","Gemini","Cancer","Leo","Virgo","Libra","Scorpio","Sagittarius","Capricorn","Aquarius","Pisces"},0)-MATCH(CALC_PlanetPositions!$B$8,{"Aries","Taurus","Gemini","Cancer","Leo","Virgo","Libra","Scorpio","Sagittarius","Capricorn","Aquarius","Pisces"},0),12)+1),12)+1)="FULL",NOT(CALC_PlanetPositions!$B$11=CALC_ChandraLagna!$E$9)),AND(OR(CALC_PlanetPositions!$M$12="Benefic",CALC_PlanetPositions!$M$12="Yogakaraka"),INDEX(REF_Aspects!$D$5:$O$13,6,MOD(CALC_ChandraLagna!$F$9-(MOD(MATCH(CALC_PlanetPositions!$B$12,{"Aries","Taurus","Gemini","Cancer","Leo","Virgo","Libra","Scorpio","Sagittarius","Capricorn","Aquarius","Pisces"},0)-MATCH(CALC_PlanetPositions!$B$8,{"Aries","Taurus","Gemini","Cancer","Leo","Virgo","Libra","Scorpio","Sagittarius","Capricorn","Aquarius","Pisces"},0),12)+1),12)+1)="FULL",NOT(CALC_PlanetPositions!$B$12=CALC_ChandraLagna!$E$9)),AND(OR(CALC_PlanetPositions!$M$13="Benefic",CALC_PlanetPositions!$M$13="Yogakaraka"),INDEX(REF_Aspects!$D$5:$O$13,7,MOD(CALC_ChandraLagna!$F$9-(MOD(MATCH(CALC_PlanetPositions!$B$13,{"Aries","Taurus","Gemini","Cancer","Leo","Virgo","Libra","Scorpio","Sagittarius","Capricorn","Aquarius","Pisces"},0)-MATCH(CALC_PlanetPositions!$B$8,{"Aries","Taurus","Gemini","Cancer","Leo","Virgo","Libra","Scorpio","Sagittarius","Capricorn","Aquarius","Pisces"},0),12)+1),12)+1)="FULL",NOT(CALC_PlanetPositions!$B$13=CALC_ChandraLagna!$E$9)),AND(FALSE(),INDEX(REF_Aspects!$D$5:$O$13,8,MOD(CALC_ChandraLagna!$F$9-(MOD(MATCH(CALC_PlanetPositions!$B$14,{"Aries","Taurus","Gemini","Cancer","Leo","Virgo","Libra","Scorpio","Sagittarius","Capricorn","Aquarius","Pisces"},0)-MATCH(CALC_PlanetPositions!$B$8,{"Aries","Taurus","Gemini","Cancer","Leo","Virgo","Libra","Scorpio","Sagittarius","Capricorn","Aquarius","Pisces"},0),12)+1),12)+1)="FULL",NOT(CALC_PlanetPositions!$B$14=CALC_ChandraLagna!$E$9)),AND(FALSE(),INDEX(REF_Aspects!$D$5:$O$13,9,MOD(CALC_ChandraLagna!$F$9-(MOD(MATCH(CALC_PlanetPositions!$B$15,{"Aries","Taurus","Gemini","Cancer","Leo","Virgo","Libra","Scorpio","Sagittarius","Capricorn","Aquarius","Pisces"},0)-MATCH(CALC_PlanetPositions!$B$8,{"Aries","Taurus","Gemini","Cancer","Leo","Virgo","Libra","Scorpio","Sagittarius","Capricorn","Aquarius","Pisces"},0),12)+1),12)+1)="FULL",NOT(CALC_PlanetPositions!$B$15=CALC_ChandraLagna!$E$9))),1,0),0))*0.5,0)</f>
        <v>0</v>
      </c>
      <c r="D12" s="400" t="s">
        <v>4618</v>
      </c>
    </row>
    <row r="13" spans="1:12" ht="27.75" customHeight="1" x14ac:dyDescent="0.2">
      <c r="A13" s="119"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$9-2,12)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$9-2,12)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$9-2,12)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$9-2,12)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$9-2,12)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$9-2,12)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$9-2,12)+1)),AND(FALSE(),MOD(MATCH(CALC_PlanetPositions!$B$14,{"Aries","Taurus","Gemini","Cancer","Leo","Virgo","Libra","Scorpio","Sagittarius","Capricorn","Aquarius","Pisces"},0)-MATCH(CALC_PlanetPositions!$B$8,{"Aries","Taurus","Gemini","Cancer","Leo","Virgo","Libra","Scorpio","Sagittarius","Capricorn","Aquarius","Pisces"},0),12)+1=(MOD(CALC_ChandraLagna!$F$9-2,12)+1)),AND(FALSE(),MOD(MATCH(CALC_PlanetPositions!$B$15,{"Aries","Taurus","Gemini","Cancer","Leo","Virgo","Libra","Scorpio","Sagittarius","Capricorn","Aquarius","Pisces"},0)-MATCH(CALC_PlanetPositions!$B$8,{"Aries","Taurus","Gemini","Cancer","Leo","Virgo","Libra","Scorpio","Sagittarius","Capricorn","Aquarius","Pisces"},0),12)+1=(MOD(CALC_ChandraLagna!$F$9-2,12)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$9,12)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$9,12)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$9,12)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$9,12)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$9,12)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$9,12)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$9,12)+1)),AND(FALSE(),MOD(MATCH(CALC_PlanetPositions!$B$14,{"Aries","Taurus","Gemini","Cancer","Leo","Virgo","Libra","Scorpio","Sagittarius","Capricorn","Aquarius","Pisces"},0)-MATCH(CALC_PlanetPositions!$B$8,{"Aries","Taurus","Gemini","Cancer","Leo","Virgo","Libra","Scorpio","Sagittarius","Capricorn","Aquarius","Pisces"},0),12)+1=(MOD(CALC_ChandraLagna!$F$9,12)+1)),AND(FALSE(),MOD(MATCH(CALC_PlanetPositions!$B$15,{"Aries","Taurus","Gemini","Cancer","Leo","Virgo","Libra","Scorpio","Sagittarius","Capricorn","Aquarius","Pisces"},0)-MATCH(CALC_PlanetPositions!$B$8,{"Aries","Taurus","Gemini","Cancer","Leo","Virgo","Libra","Scorpio","Sagittarius","Capricorn","Aquarius","Pisces"},0),12)+1=(MOD(CALC_ChandraLagna!$F$9,12)+1)))),1,0),0))*IF(REF_Config!$B$6="KP",0.75,IF(REF_Config!$B$6="Jaimini",0.5,0.75)),0)</f>
        <v>0</v>
      </c>
      <c r="D13" s="403" t="s">
        <v>4620</v>
      </c>
    </row>
    <row r="14" spans="1:12" ht="15.75" customHeight="1" x14ac:dyDescent="0.2">
      <c r="A14" s="1598" t="s">
        <v>4621</v>
      </c>
      <c r="B14" s="1598"/>
      <c r="C14" s="1598"/>
      <c r="D14" s="1598"/>
    </row>
    <row r="15" spans="1:12" ht="27.75" customHeight="1" x14ac:dyDescent="0.2">
      <c r="A15" s="119"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6),AND(CALC_PlanetPositions!$M$8="Malefic",(MOD(MATCH(CALC_PlanetPositions!$B$8,{"Aries","Taurus","Gemini","Cancer","Leo","Virgo","Libra","Scorpio","Sagittarius","Capricorn","Aquarius","Pisces"},0)-MATCH(CALC_PlanetPositions!$B$8,{"Aries","Taurus","Gemini","Cancer","Leo","Virgo","Libra","Scorpio","Sagittarius","Capricorn","Aquarius","Pisces"},0),12)+1)=6),AND(CALC_PlanetPositions!$M$9="Malefic",(MOD(MATCH(CALC_PlanetPositions!$B$9,{"Aries","Taurus","Gemini","Cancer","Leo","Virgo","Libra","Scorpio","Sagittarius","Capricorn","Aquarius","Pisces"},0)-MATCH(CALC_PlanetPositions!$B$8,{"Aries","Taurus","Gemini","Cancer","Leo","Virgo","Libra","Scorpio","Sagittarius","Capricorn","Aquarius","Pisces"},0),12)+1)=6),AND(CALC_PlanetPositions!$M$10="Malefic",(MOD(MATCH(CALC_PlanetPositions!$B$10,{"Aries","Taurus","Gemini","Cancer","Leo","Virgo","Libra","Scorpio","Sagittarius","Capricorn","Aquarius","Pisces"},0)-MATCH(CALC_PlanetPositions!$B$8,{"Aries","Taurus","Gemini","Cancer","Leo","Virgo","Libra","Scorpio","Sagittarius","Capricorn","Aquarius","Pisces"},0),12)+1)=6),AND(CALC_PlanetPositions!$M$11="Malefic",(MOD(MATCH(CALC_PlanetPositions!$B$11,{"Aries","Taurus","Gemini","Cancer","Leo","Virgo","Libra","Scorpio","Sagittarius","Capricorn","Aquarius","Pisces"},0)-MATCH(CALC_PlanetPositions!$B$8,{"Aries","Taurus","Gemini","Cancer","Leo","Virgo","Libra","Scorpio","Sagittarius","Capricorn","Aquarius","Pisces"},0),12)+1)=6),AND(CALC_PlanetPositions!$M$12="Malefic",(MOD(MATCH(CALC_PlanetPositions!$B$12,{"Aries","Taurus","Gemini","Cancer","Leo","Virgo","Libra","Scorpio","Sagittarius","Capricorn","Aquarius","Pisces"},0)-MATCH(CALC_PlanetPositions!$B$8,{"Aries","Taurus","Gemini","Cancer","Leo","Virgo","Libra","Scorpio","Sagittarius","Capricorn","Aquarius","Pisces"},0),12)+1)=6),AND(CALC_PlanetPositions!$M$13="Malefic",(MOD(MATCH(CALC_PlanetPositions!$B$13,{"Aries","Taurus","Gemini","Cancer","Leo","Virgo","Libra","Scorpio","Sagittarius","Capricorn","Aquarius","Pisces"},0)-MATCH(CALC_PlanetPositions!$B$8,{"Aries","Taurus","Gemini","Cancer","Leo","Virgo","Libra","Scorpio","Sagittarius","Capricorn","Aquarius","Pisces"},0),12)+1)=6),AND(TRUE(),(MOD(MATCH(CALC_PlanetPositions!$B$14,{"Aries","Taurus","Gemini","Cancer","Leo","Virgo","Libra","Scorpio","Sagittarius","Capricorn","Aquarius","Pisces"},0)-MATCH(CALC_PlanetPositions!$B$8,{"Aries","Taurus","Gemini","Cancer","Leo","Virgo","Libra","Scorpio","Sagittarius","Capricorn","Aquarius","Pisces"},0),12)+1)=6),AND(TRUE(),(MOD(MATCH(CALC_PlanetPositions!$B$15,{"Aries","Taurus","Gemini","Cancer","Leo","Virgo","Libra","Scorpio","Sagittarius","Capricorn","Aquarius","Pisces"},0)-MATCH(CALC_PlanetPositions!$B$8,{"Aries","Taurus","Gemini","Cancer","Leo","Virgo","Libra","Scorpio","Sagittarius","Capricorn","Aquarius","Pisces"},0),12)+1)=6)),1,0),0))*-1,0)</f>
        <v>0</v>
      </c>
      <c r="D15" s="400" t="s">
        <v>4623</v>
      </c>
    </row>
    <row r="16" spans="1:12" ht="27.75" customHeight="1" x14ac:dyDescent="0.2">
      <c r="A16" s="119" t="s">
        <v>4624</v>
      </c>
      <c r="B16" s="203" t="s">
        <v>4548</v>
      </c>
      <c r="C16" s="1118">
        <f>IFERROR((IFERROR(IF(OR(AND(CALC_PlanetPositions!$M$7="Malefic",INDEX(REF_Aspects!$D$5:$O$13,1,MOD(6-(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6)),AND(CALC_PlanetPositions!$M$8="Malefic",INDEX(REF_Aspects!$D$5:$O$13,2,MOD(6-(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6)),AND(CALC_PlanetPositions!$M$9="Malefic",INDEX(REF_Aspects!$D$5:$O$13,3,MOD(6-(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6)),AND(CALC_PlanetPositions!$M$10="Malefic",INDEX(REF_Aspects!$D$5:$O$13,4,MOD(6-(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6)),AND(CALC_PlanetPositions!$M$11="Malefic",INDEX(REF_Aspects!$D$5:$O$13,5,MOD(6-(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6)),AND(CALC_PlanetPositions!$M$12="Malefic",INDEX(REF_Aspects!$D$5:$O$13,6,MOD(6-(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6)),AND(CALC_PlanetPositions!$M$13="Malefic",INDEX(REF_Aspects!$D$5:$O$13,7,MOD(6-(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6)),AND(TRUE(),INDEX(REF_Aspects!$D$5:$O$13,8,MOD(6-(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6)),AND(TRUE(),INDEX(REF_Aspects!$D$5:$O$13,9,MOD(6-(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6))),1,0),0))*-1,0)</f>
        <v>-1</v>
      </c>
      <c r="D16" s="403" t="s">
        <v>4625</v>
      </c>
    </row>
    <row r="17" spans="1:7" ht="27.75" customHeight="1" x14ac:dyDescent="0.2">
      <c r="A17" s="119" t="s">
        <v>4626</v>
      </c>
      <c r="B17" s="357" t="s">
        <v>3062</v>
      </c>
      <c r="C17" s="1117">
        <v>0</v>
      </c>
      <c r="D17" s="400" t="s">
        <v>4627</v>
      </c>
    </row>
    <row r="18" spans="1:7" ht="27.75" customHeight="1" x14ac:dyDescent="0.2">
      <c r="A18" s="119"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(6-2,12)+1)),AND(CALC_PlanetPositions!$M$8="Malefic",MOD(MATCH(CALC_PlanetPositions!$B$8,{"Aries","Taurus","Gemini","Cancer","Leo","Virgo","Libra","Scorpio","Sagittarius","Capricorn","Aquarius","Pisces"},0)-MATCH(CALC_PlanetPositions!$B$8,{"Aries","Taurus","Gemini","Cancer","Leo","Virgo","Libra","Scorpio","Sagittarius","Capricorn","Aquarius","Pisces"},0),12)+1=(MOD(6-2,12)+1)),AND(CALC_PlanetPositions!$M$9="Malefic",MOD(MATCH(CALC_PlanetPositions!$B$9,{"Aries","Taurus","Gemini","Cancer","Leo","Virgo","Libra","Scorpio","Sagittarius","Capricorn","Aquarius","Pisces"},0)-MATCH(CALC_PlanetPositions!$B$8,{"Aries","Taurus","Gemini","Cancer","Leo","Virgo","Libra","Scorpio","Sagittarius","Capricorn","Aquarius","Pisces"},0),12)+1=(MOD(6-2,12)+1)),AND(CALC_PlanetPositions!$M$10="Malefic",MOD(MATCH(CALC_PlanetPositions!$B$10,{"Aries","Taurus","Gemini","Cancer","Leo","Virgo","Libra","Scorpio","Sagittarius","Capricorn","Aquarius","Pisces"},0)-MATCH(CALC_PlanetPositions!$B$8,{"Aries","Taurus","Gemini","Cancer","Leo","Virgo","Libra","Scorpio","Sagittarius","Capricorn","Aquarius","Pisces"},0),12)+1=(MOD(6-2,12)+1)),AND(CALC_PlanetPositions!$M$11="Malefic",MOD(MATCH(CALC_PlanetPositions!$B$11,{"Aries","Taurus","Gemini","Cancer","Leo","Virgo","Libra","Scorpio","Sagittarius","Capricorn","Aquarius","Pisces"},0)-MATCH(CALC_PlanetPositions!$B$8,{"Aries","Taurus","Gemini","Cancer","Leo","Virgo","Libra","Scorpio","Sagittarius","Capricorn","Aquarius","Pisces"},0),12)+1=(MOD(6-2,12)+1)),AND(CALC_PlanetPositions!$M$12="Malefic",MOD(MATCH(CALC_PlanetPositions!$B$12,{"Aries","Taurus","Gemini","Cancer","Leo","Virgo","Libra","Scorpio","Sagittarius","Capricorn","Aquarius","Pisces"},0)-MATCH(CALC_PlanetPositions!$B$8,{"Aries","Taurus","Gemini","Cancer","Leo","Virgo","Libra","Scorpio","Sagittarius","Capricorn","Aquarius","Pisces"},0),12)+1=(MOD(6-2,12)+1)),AND(CALC_PlanetPositions!$M$13="Malefic",MOD(MATCH(CALC_PlanetPositions!$B$13,{"Aries","Taurus","Gemini","Cancer","Leo","Virgo","Libra","Scorpio","Sagittarius","Capricorn","Aquarius","Pisces"},0)-MATCH(CALC_PlanetPositions!$B$8,{"Aries","Taurus","Gemini","Cancer","Leo","Virgo","Libra","Scorpio","Sagittarius","Capricorn","Aquarius","Pisces"},0),12)+1=(MOD(6-2,12)+1)),AND(TRUE(),MOD(MATCH(CALC_PlanetPositions!$B$14,{"Aries","Taurus","Gemini","Cancer","Leo","Virgo","Libra","Scorpio","Sagittarius","Capricorn","Aquarius","Pisces"},0)-MATCH(CALC_PlanetPositions!$B$8,{"Aries","Taurus","Gemini","Cancer","Leo","Virgo","Libra","Scorpio","Sagittarius","Capricorn","Aquarius","Pisces"},0),12)+1=(MOD(6-2,12)+1)),AND(TRUE(),MOD(MATCH(CALC_PlanetPositions!$B$15,{"Aries","Taurus","Gemini","Cancer","Leo","Virgo","Libra","Scorpio","Sagittarius","Capricorn","Aquarius","Pisces"},0)-MATCH(CALC_PlanetPositions!$B$8,{"Aries","Taurus","Gemini","Cancer","Leo","Virgo","Libra","Scorpio","Sagittarius","Capricorn","Aquarius","Pisces"},0),12)+1=(MOD(6-2,12)+1))),OR(AND(CALC_PlanetPositions!$M$7="Malefic",MOD(MATCH(CALC_PlanetPositions!$B$7,{"Aries","Taurus","Gemini","Cancer","Leo","Virgo","Libra","Scorpio","Sagittarius","Capricorn","Aquarius","Pisces"},0)-MATCH(CALC_PlanetPositions!$B$8,{"Aries","Taurus","Gemini","Cancer","Leo","Virgo","Libra","Scorpio","Sagittarius","Capricorn","Aquarius","Pisces"},0),12)+1=(MOD(6,12)+1)),AND(CALC_PlanetPositions!$M$8="Malefic",MOD(MATCH(CALC_PlanetPositions!$B$8,{"Aries","Taurus","Gemini","Cancer","Leo","Virgo","Libra","Scorpio","Sagittarius","Capricorn","Aquarius","Pisces"},0)-MATCH(CALC_PlanetPositions!$B$8,{"Aries","Taurus","Gemini","Cancer","Leo","Virgo","Libra","Scorpio","Sagittarius","Capricorn","Aquarius","Pisces"},0),12)+1=(MOD(6,12)+1)),AND(CALC_PlanetPositions!$M$9="Malefic",MOD(MATCH(CALC_PlanetPositions!$B$9,{"Aries","Taurus","Gemini","Cancer","Leo","Virgo","Libra","Scorpio","Sagittarius","Capricorn","Aquarius","Pisces"},0)-MATCH(CALC_PlanetPositions!$B$8,{"Aries","Taurus","Gemini","Cancer","Leo","Virgo","Libra","Scorpio","Sagittarius","Capricorn","Aquarius","Pisces"},0),12)+1=(MOD(6,12)+1)),AND(CALC_PlanetPositions!$M$10="Malefic",MOD(MATCH(CALC_PlanetPositions!$B$10,{"Aries","Taurus","Gemini","Cancer","Leo","Virgo","Libra","Scorpio","Sagittarius","Capricorn","Aquarius","Pisces"},0)-MATCH(CALC_PlanetPositions!$B$8,{"Aries","Taurus","Gemini","Cancer","Leo","Virgo","Libra","Scorpio","Sagittarius","Capricorn","Aquarius","Pisces"},0),12)+1=(MOD(6,12)+1)),AND(CALC_PlanetPositions!$M$11="Malefic",MOD(MATCH(CALC_PlanetPositions!$B$11,{"Aries","Taurus","Gemini","Cancer","Leo","Virgo","Libra","Scorpio","Sagittarius","Capricorn","Aquarius","Pisces"},0)-MATCH(CALC_PlanetPositions!$B$8,{"Aries","Taurus","Gemini","Cancer","Leo","Virgo","Libra","Scorpio","Sagittarius","Capricorn","Aquarius","Pisces"},0),12)+1=(MOD(6,12)+1)),AND(CALC_PlanetPositions!$M$12="Malefic",MOD(MATCH(CALC_PlanetPositions!$B$12,{"Aries","Taurus","Gemini","Cancer","Leo","Virgo","Libra","Scorpio","Sagittarius","Capricorn","Aquarius","Pisces"},0)-MATCH(CALC_PlanetPositions!$B$8,{"Aries","Taurus","Gemini","Cancer","Leo","Virgo","Libra","Scorpio","Sagittarius","Capricorn","Aquarius","Pisces"},0),12)+1=(MOD(6,12)+1)),AND(CALC_PlanetPositions!$M$13="Malefic",MOD(MATCH(CALC_PlanetPositions!$B$13,{"Aries","Taurus","Gemini","Cancer","Leo","Virgo","Libra","Scorpio","Sagittarius","Capricorn","Aquarius","Pisces"},0)-MATCH(CALC_PlanetPositions!$B$8,{"Aries","Taurus","Gemini","Cancer","Leo","Virgo","Libra","Scorpio","Sagittarius","Capricorn","Aquarius","Pisces"},0),12)+1=(MOD(6,12)+1)),AND(TRUE(),MOD(MATCH(CALC_PlanetPositions!$B$14,{"Aries","Taurus","Gemini","Cancer","Leo","Virgo","Libra","Scorpio","Sagittarius","Capricorn","Aquarius","Pisces"},0)-MATCH(CALC_PlanetPositions!$B$8,{"Aries","Taurus","Gemini","Cancer","Leo","Virgo","Libra","Scorpio","Sagittarius","Capricorn","Aquarius","Pisces"},0),12)+1=(MOD(6,12)+1)),AND(TRUE(),MOD(MATCH(CALC_PlanetPositions!$B$15,{"Aries","Taurus","Gemini","Cancer","Leo","Virgo","Libra","Scorpio","Sagittarius","Capricorn","Aquarius","Pisces"},0)-MATCH(CALC_PlanetPositions!$B$8,{"Aries","Taurus","Gemini","Cancer","Leo","Virgo","Libra","Scorpio","Sagittarius","Capricorn","Aquarius","Pisces"},0),12)+1=(MOD(6,12)+1)))),1,0),0))*IF(REF_Config!$B$6="KP",-0.75,IF(REF_Config!$B$6="Jaimini",-0.5,-0.75)),0)</f>
        <v>0</v>
      </c>
      <c r="D18" s="403" t="s">
        <v>4629</v>
      </c>
    </row>
    <row r="19" spans="1:7" ht="15.75" customHeight="1" x14ac:dyDescent="0.2">
      <c r="A19" s="1594" t="s">
        <v>3624</v>
      </c>
      <c r="B19" s="1594"/>
      <c r="C19" s="1594"/>
      <c r="D19" s="1594"/>
    </row>
    <row r="20" spans="1:7" ht="27.75" customHeight="1" x14ac:dyDescent="0.2">
      <c r="A20" s="119" t="s">
        <v>4630</v>
      </c>
      <c r="B20" s="357" t="s">
        <v>4555</v>
      </c>
      <c r="C20" s="1117">
        <v>0</v>
      </c>
      <c r="D20" s="400" t="s">
        <v>4631</v>
      </c>
    </row>
    <row r="21" spans="1:7" ht="27.75" customHeight="1" x14ac:dyDescent="0.2">
      <c r="A21" s="119" t="s">
        <v>4632</v>
      </c>
      <c r="B21" s="203" t="s">
        <v>4633</v>
      </c>
      <c r="C21" s="1118">
        <f>IFERROR((IFERROR(IF(OR(AND(CALC_PlanetPositions!$M$7="Malefic",INDEX(REF_Aspects!$D$5:$O$13,1,MOD(CALC_ChandraLagna!$F$9-(MOD(MATCH(CALC_PlanetPositions!$B$7,{"Aries","Taurus","Gemini","Cancer","Leo","Virgo","Libra","Scorpio","Sagittarius","Capricorn","Aquarius","Pisces"},0)-MATCH(CALC_PlanetPositions!$B$8,{"Aries","Taurus","Gemini","Cancer","Leo","Virgo","Libra","Scorpio","Sagittarius","Capricorn","Aquarius","Pisces"},0),12)+1),12)+1)="FULL",NOT(CALC_PlanetPositions!$B$7=CALC_ChandraLagna!$E$9)),AND(CALC_PlanetPositions!$M$8="Malefic",INDEX(REF_Aspects!$D$5:$O$13,2,MOD(CALC_ChandraLagna!$F$9-(MOD(MATCH(CALC_PlanetPositions!$B$8,{"Aries","Taurus","Gemini","Cancer","Leo","Virgo","Libra","Scorpio","Sagittarius","Capricorn","Aquarius","Pisces"},0)-MATCH(CALC_PlanetPositions!$B$8,{"Aries","Taurus","Gemini","Cancer","Leo","Virgo","Libra","Scorpio","Sagittarius","Capricorn","Aquarius","Pisces"},0),12)+1),12)+1)="FULL",NOT(CALC_PlanetPositions!$B$8=CALC_ChandraLagna!$E$9)),AND(CALC_PlanetPositions!$M$9="Malefic",INDEX(REF_Aspects!$D$5:$O$13,3,MOD(CALC_ChandraLagna!$F$9-(MOD(MATCH(CALC_PlanetPositions!$B$9,{"Aries","Taurus","Gemini","Cancer","Leo","Virgo","Libra","Scorpio","Sagittarius","Capricorn","Aquarius","Pisces"},0)-MATCH(CALC_PlanetPositions!$B$8,{"Aries","Taurus","Gemini","Cancer","Leo","Virgo","Libra","Scorpio","Sagittarius","Capricorn","Aquarius","Pisces"},0),12)+1),12)+1)="FULL",NOT(CALC_PlanetPositions!$B$9=CALC_ChandraLagna!$E$9)),AND(CALC_PlanetPositions!$M$10="Malefic",INDEX(REF_Aspects!$D$5:$O$13,4,MOD(CALC_ChandraLagna!$F$9-(MOD(MATCH(CALC_PlanetPositions!$B$10,{"Aries","Taurus","Gemini","Cancer","Leo","Virgo","Libra","Scorpio","Sagittarius","Capricorn","Aquarius","Pisces"},0)-MATCH(CALC_PlanetPositions!$B$8,{"Aries","Taurus","Gemini","Cancer","Leo","Virgo","Libra","Scorpio","Sagittarius","Capricorn","Aquarius","Pisces"},0),12)+1),12)+1)="FULL",NOT(CALC_PlanetPositions!$B$10=CALC_ChandraLagna!$E$9)),AND(CALC_PlanetPositions!$M$11="Malefic",INDEX(REF_Aspects!$D$5:$O$13,5,MOD(CALC_ChandraLagna!$F$9-(MOD(MATCH(CALC_PlanetPositions!$B$11,{"Aries","Taurus","Gemini","Cancer","Leo","Virgo","Libra","Scorpio","Sagittarius","Capricorn","Aquarius","Pisces"},0)-MATCH(CALC_PlanetPositions!$B$8,{"Aries","Taurus","Gemini","Cancer","Leo","Virgo","Libra","Scorpio","Sagittarius","Capricorn","Aquarius","Pisces"},0),12)+1),12)+1)="FULL",NOT(CALC_PlanetPositions!$B$11=CALC_ChandraLagna!$E$9)),AND(CALC_PlanetPositions!$M$12="Malefic",INDEX(REF_Aspects!$D$5:$O$13,6,MOD(CALC_ChandraLagna!$F$9-(MOD(MATCH(CALC_PlanetPositions!$B$12,{"Aries","Taurus","Gemini","Cancer","Leo","Virgo","Libra","Scorpio","Sagittarius","Capricorn","Aquarius","Pisces"},0)-MATCH(CALC_PlanetPositions!$B$8,{"Aries","Taurus","Gemini","Cancer","Leo","Virgo","Libra","Scorpio","Sagittarius","Capricorn","Aquarius","Pisces"},0),12)+1),12)+1)="FULL",NOT(CALC_PlanetPositions!$B$12=CALC_ChandraLagna!$E$9)),AND(CALC_PlanetPositions!$M$13="Malefic",INDEX(REF_Aspects!$D$5:$O$13,7,MOD(CALC_ChandraLagna!$F$9-(MOD(MATCH(CALC_PlanetPositions!$B$13,{"Aries","Taurus","Gemini","Cancer","Leo","Virgo","Libra","Scorpio","Sagittarius","Capricorn","Aquarius","Pisces"},0)-MATCH(CALC_PlanetPositions!$B$8,{"Aries","Taurus","Gemini","Cancer","Leo","Virgo","Libra","Scorpio","Sagittarius","Capricorn","Aquarius","Pisces"},0),12)+1),12)+1)="FULL",NOT(CALC_PlanetPositions!$B$13=CALC_ChandraLagna!$E$9)),AND(TRUE(),INDEX(REF_Aspects!$D$5:$O$13,8,MOD(CALC_ChandraLagna!$F$9-(MOD(MATCH(CALC_PlanetPositions!$B$14,{"Aries","Taurus","Gemini","Cancer","Leo","Virgo","Libra","Scorpio","Sagittarius","Capricorn","Aquarius","Pisces"},0)-MATCH(CALC_PlanetPositions!$B$8,{"Aries","Taurus","Gemini","Cancer","Leo","Virgo","Libra","Scorpio","Sagittarius","Capricorn","Aquarius","Pisces"},0),12)+1),12)+1)="FULL",NOT(CALC_PlanetPositions!$B$14=CALC_ChandraLagna!$E$9)),AND(TRUE(),INDEX(REF_Aspects!$D$5:$O$13,9,MOD(CALC_ChandraLagna!$F$9-(MOD(MATCH(CALC_PlanetPositions!$B$15,{"Aries","Taurus","Gemini","Cancer","Leo","Virgo","Libra","Scorpio","Sagittarius","Capricorn","Aquarius","Pisces"},0)-MATCH(CALC_PlanetPositions!$B$8,{"Aries","Taurus","Gemini","Cancer","Leo","Virgo","Libra","Scorpio","Sagittarius","Capricorn","Aquarius","Pisces"},0),12)+1),12)+1)="FULL",NOT(CALC_PlanetPositions!$B$15=CALC_ChandraLagna!$E$9))),1,0),0))*-0.5,0)</f>
        <v>0</v>
      </c>
      <c r="D21" s="403" t="s">
        <v>4634</v>
      </c>
    </row>
    <row r="22" spans="1:7" ht="27.75" customHeight="1" x14ac:dyDescent="0.2">
      <c r="A22" s="119" t="s">
        <v>4635</v>
      </c>
      <c r="B22" s="357" t="s">
        <v>3042</v>
      </c>
      <c r="C22" s="1117">
        <f>IFERROR((IFERROR(IF(CALC_ChandraLagna!$I$9="Yes",1,0),0))*IF(REF_Config!$B$6="KP",-1.75,IF(REF_Config!$B$6="Jaimini",-2,-2)),0)</f>
        <v>0</v>
      </c>
      <c r="D22" s="400" t="s">
        <v>4636</v>
      </c>
    </row>
    <row r="23" spans="1:7" ht="27.75" customHeight="1" x14ac:dyDescent="0.2">
      <c r="A23" s="119" t="s">
        <v>4637</v>
      </c>
      <c r="B23" s="203" t="s">
        <v>3059</v>
      </c>
      <c r="C23" s="1118">
        <f>IFERROR((IFERROR(IF(OR(AND(CALC_ChandraLagna!$E$9=CALC_ChandraLagna!$E$9,CALC_ChandraLagna!$D$9&lt;&gt;CALC_ChandraLagna!$D$9),AND(CALC_ChandraLagna!$E$11=CALC_ChandraLagna!$E$9,CALC_ChandraLagna!$D$11&lt;&gt;CALC_ChandraLagna!$D$9),AND(CALC_ChandraLagna!$E$15=CALC_ChandraLagna!$E$9,CALC_ChandraLagna!$D$15&lt;&gt;CALC_ChandraLagna!$D$9)),1,0),0))*-1,0)</f>
        <v>0</v>
      </c>
      <c r="D23" s="403" t="s">
        <v>4638</v>
      </c>
    </row>
    <row r="24" spans="1:7" ht="15.75" customHeight="1" x14ac:dyDescent="0.2">
      <c r="A24" s="1484" t="s">
        <v>4639</v>
      </c>
      <c r="B24" s="1484"/>
      <c r="C24" s="1484"/>
      <c r="D24" s="1484"/>
    </row>
    <row r="25" spans="1:7" ht="27.75" customHeight="1" x14ac:dyDescent="0.2">
      <c r="A25" s="119" t="s">
        <v>4640</v>
      </c>
      <c r="B25" s="357" t="s">
        <v>3084</v>
      </c>
      <c r="C25" s="1117">
        <f>IFERROR(IF(CALC_KarakMap!$M$10&gt;0,CALC_KarakMap!$M$10,0),0)</f>
        <v>0</v>
      </c>
      <c r="D25" s="400" t="s">
        <v>4641</v>
      </c>
    </row>
    <row r="26" spans="1:7" ht="27.75" customHeight="1" x14ac:dyDescent="0.2">
      <c r="A26" s="119" t="s">
        <v>4642</v>
      </c>
      <c r="B26" s="203" t="s">
        <v>4564</v>
      </c>
      <c r="C26" s="1118">
        <f>IFERROR(IF(CALC_KarakMap!$M$10&lt;0,CALC_KarakMap!$M$10,0),0)</f>
        <v>0</v>
      </c>
      <c r="D26" s="403" t="s">
        <v>4643</v>
      </c>
    </row>
    <row r="27" spans="1:7" ht="27.75" customHeight="1" x14ac:dyDescent="0.2">
      <c r="A27" s="1119" t="s">
        <v>4644</v>
      </c>
      <c r="B27" s="296" t="s">
        <v>3624</v>
      </c>
      <c r="C27" s="1117">
        <f>IFERROR(IF(OR(CALC_ChandraLagna!$D$9="Sun",CALC_ChandraLagna!$D$9="Rahu",CALC_ChandraLagna!$D$9="Ketu"),0,IF(CALC_ChandraLagna!$D$9="Moon",IF(CALC_CombustionCheck!$G$4="Cazimi ✓",0.5,IF(CALC_CombustionCheck!$F$4="COMBUST ⚠",-1,0)),IF(CALC_ChandraLagna!$D$9="Mars",IF(CALC_CombustionCheck!$G$5="Cazimi ✓",0.5,IF(AND(CALC_CombustionCheck!$F$5="COMBUST ⚠",CALC_RetrogradeFix!$F$6="Rx ✓"),-0.5,IF(CALC_CombustionCheck!$F$5="COMBUST ⚠",-1,0))),IF(CALC_ChandraLagna!$D$9="Mercury",IF(CALC_CombustionCheck!$G$6="Cazimi ✓",0.5,IF(AND(CALC_CombustionCheck!$F$6="COMBUST ⚠",CALC_RetrogradeFix!$F$7="Rx ✓"),-0.5,IF(CALC_CombustionCheck!$F$6="COMBUST ⚠",-1,0))),IF(CALC_ChandraLagna!$D$9="Jupiter",IF(CALC_CombustionCheck!$G$7="Cazimi ✓",0.5,IF(AND(CALC_CombustionCheck!$F$7="COMBUST ⚠",CALC_RetrogradeFix!$F$8="Rx ✓"),-0.5,IF(CALC_CombustionCheck!$F$7="COMBUST ⚠",-1,0))),IF(CALC_ChandraLagna!$D$9="Venus",IF(CALC_CombustionCheck!$G$8="Cazimi ✓",0.5,IF(AND(CALC_CombustionCheck!$F$8="COMBUST ⚠",CALC_RetrogradeFix!$F$9="Rx ✓"),-0.5,IF(CALC_CombustionCheck!$F$8="COMBUST ⚠",-1,0))),IF(CALC_ChandraLagna!$D$9="Saturn",IF(CALC_CombustionCheck!$G$9="Cazimi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ChandraLagna!$D$9="Rahu",CALC_ChandraLagna!$D$9="Ketu"),0,IF(ISNUMBER(MATCH(CALC_ChandraLagna!$D$9,{"Sun","Moon","Mars","Mercury","Jupiter","Venus","Saturn"},0)),IF(INDEX(CALC_DigBala!$F$4:$F$10,MATCH(CALC_ChandraLagna!$D$9,{"Sun","Moon","Mars","Mercury","Jupiter","Venus","Saturn"},0))="Yes",0.5,0),0)),0)</f>
        <v>0</v>
      </c>
      <c r="D28" s="400" t="s">
        <v>4647</v>
      </c>
    </row>
    <row r="29" spans="1:7" ht="27.75" customHeight="1" x14ac:dyDescent="0.2">
      <c r="A29" s="1120" t="s">
        <v>4648</v>
      </c>
      <c r="B29" s="296" t="s">
        <v>3372</v>
      </c>
      <c r="C29" s="1117">
        <f>IFERROR(IF(COUNTIFS(REF_PushkaraNavamsha!$A$4:$A$27,CALC_ChandraLagna!$E$9,REF_PushkaraNavamsha!$B$4:$B$27,INDEX(CALC_PlanetPositions!$G$7:$G$15,MATCH(CALC_ChandraLagna!$D$9,CALC_PlanetPositions!$A$7:$A$15,0)))&gt;0,0.5,0),0)</f>
        <v>0.5</v>
      </c>
      <c r="D29" s="400" t="s">
        <v>4649</v>
      </c>
    </row>
    <row r="30" spans="1:7" ht="25.5" customHeight="1" x14ac:dyDescent="0.2">
      <c r="A30" s="147" t="s">
        <v>4650</v>
      </c>
      <c r="B30" s="1121" t="s">
        <v>4651</v>
      </c>
      <c r="C30" s="1122">
        <f>IFERROR(IF(ISNUMBER(MATCH(CALC_ChandraLagna!$D$9,{"Sun","Moon","Mars","Mercury","Jupiter","Venus","Saturn"},0)),INDEX(CALC_RetrogradeFix!$G$4:$G$10,MATCH(CALC_ChandraLagna!$D$9,{"Sun","Moon","Mars","Mercury","Jupiter","Venus","Saturn"},0)),0),0)</f>
        <v>0</v>
      </c>
      <c r="D30" s="1123" t="s">
        <v>4652</v>
      </c>
    </row>
    <row r="31" spans="1:7" ht="18" customHeight="1" x14ac:dyDescent="0.2">
      <c r="A31" s="1555" t="s">
        <v>4653</v>
      </c>
      <c r="B31" s="1555"/>
      <c r="C31" s="1555"/>
      <c r="D31" s="1555"/>
      <c r="E31" s="1124" t="s">
        <v>4654</v>
      </c>
      <c r="F31" s="1125">
        <f>IFERROR(IF(CALC_Ashtakavarga!G$12&gt;28,0.5,IF(CALC_Ashtakavarga!G$12&lt;22,-0.5,0)),0)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2</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3</v>
      </c>
      <c r="D37" s="1129"/>
    </row>
    <row r="38" spans="1:4" ht="21.75" customHeight="1" x14ac:dyDescent="0.2">
      <c r="A38" s="89" t="s">
        <v>4661</v>
      </c>
      <c r="B38" s="1129"/>
      <c r="C38" s="1131">
        <f>IFERROR(MAX(-10,MIN(10,C37)),0)</f>
        <v>3</v>
      </c>
      <c r="D38" s="1132"/>
    </row>
    <row r="39" spans="1:4" ht="18" customHeight="1" x14ac:dyDescent="0.2">
      <c r="A39" s="517" t="s">
        <v>4662</v>
      </c>
      <c r="B39" s="1129"/>
      <c r="C39" s="1133">
        <f>IFERROR(CALC_LagneshStrength!$I$4,0)</f>
        <v>0</v>
      </c>
      <c r="D39" s="1129"/>
    </row>
    <row r="40" spans="1:4" ht="25.5" customHeight="1" x14ac:dyDescent="0.2">
      <c r="A40" s="1148" t="s">
        <v>4663</v>
      </c>
      <c r="B40" s="1129"/>
      <c r="C40" s="1149">
        <f>IFERROR(MAX(-10,MIN(10,C38+C39+C41)),0)</f>
        <v>3</v>
      </c>
      <c r="D40" s="1150" t="str">
        <f>IFERROR(IF(C40&gt;=7,"Excellent — Conflicts domain very strong",IF(C40&gt;=4,"Good — Conflicts domain strong",IF(C40&gt;=1,"Moderate",IF(C40&gt;=-2,"Mixed — Conflicts has challenges",IF(C40&gt;=-5,"Weak","Very weak — Conflicts heavily afflicted"))))),"—")</f>
        <v>Moderate</v>
      </c>
    </row>
    <row r="41" spans="1:4" ht="18" customHeight="1" x14ac:dyDescent="0.2">
      <c r="A41" s="622" t="s">
        <v>4681</v>
      </c>
      <c r="B41" s="904" t="s">
        <v>4678</v>
      </c>
      <c r="C41" s="1160">
        <v>0</v>
      </c>
      <c r="D41" s="550" t="s">
        <v>4691</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4692</v>
      </c>
      <c r="B1" s="1518"/>
      <c r="C1" s="1518"/>
      <c r="D1" s="1518"/>
      <c r="L1" s="544" t="s">
        <v>2214</v>
      </c>
    </row>
    <row r="2" spans="1:12" ht="19.5" customHeight="1" x14ac:dyDescent="0.2">
      <c r="A2" s="1595" t="str">
        <f>IFERROR("Chandra Lagna: "&amp;CALC_PlanetPositions!$B$8&amp;"  ·  H7 sign: "&amp;CALC_ChandraLagna!$C$10,"—")</f>
        <v>Chandra Lagna: Cancer  ·  H7 sign: Capricorn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51" t="s">
        <v>4605</v>
      </c>
      <c r="B5" s="357" t="s">
        <v>4529</v>
      </c>
      <c r="C5" s="1117">
        <f>IFERROR((IFERROR(IF(INDEX(REF_Zodiac!$D$17:$O$17,MATCH(CALC_ChandraLagna!$C$10,REF_Zodiac!$D$3:$O$3,0))="Gentle",1,0),0))*0.5,0)</f>
        <v>0</v>
      </c>
      <c r="D5" s="400" t="s">
        <v>4606</v>
      </c>
    </row>
    <row r="6" spans="1:12" ht="27.75" customHeight="1" x14ac:dyDescent="0.2">
      <c r="A6" s="1151"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151" t="s">
        <v>4609</v>
      </c>
      <c r="B7" s="357" t="s">
        <v>4534</v>
      </c>
      <c r="C7" s="1117">
        <f>IFERROR((IFERROR(IF(OR(AND(OR(CALC_PlanetPositions!$M$7="Benefic",CALC_PlanetPositions!$M$7="Yogakaraka"),INDEX(REF_Aspects!$D$5:$O$13,1,MOD(7-(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7)),AND(OR(CALC_PlanetPositions!$M$8="Benefic",CALC_PlanetPositions!$M$8="Yogakaraka"),INDEX(REF_Aspects!$D$5:$O$13,2,MOD(7-(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7)),AND(OR(CALC_PlanetPositions!$M$9="Benefic",CALC_PlanetPositions!$M$9="Yogakaraka"),INDEX(REF_Aspects!$D$5:$O$13,3,MOD(7-(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7)),AND(OR(CALC_PlanetPositions!$M$10="Benefic",CALC_PlanetPositions!$M$10="Yogakaraka"),INDEX(REF_Aspects!$D$5:$O$13,4,MOD(7-(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7)),AND(OR(CALC_PlanetPositions!$M$11="Benefic",CALC_PlanetPositions!$M$11="Yogakaraka"),INDEX(REF_Aspects!$D$5:$O$13,5,MOD(7-(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7)),AND(OR(CALC_PlanetPositions!$M$12="Benefic",CALC_PlanetPositions!$M$12="Yogakaraka"),INDEX(REF_Aspects!$D$5:$O$13,6,MOD(7-(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7)),AND(OR(CALC_PlanetPositions!$M$13="Benefic",CALC_PlanetPositions!$M$13="Yogakaraka"),INDEX(REF_Aspects!$D$5:$O$13,7,MOD(7-(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7)),AND(FALSE(),INDEX(REF_Aspects!$D$5:$O$13,8,MOD(7-(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7)),AND(FALSE(),INDEX(REF_Aspects!$D$5:$O$13,9,MOD(7-(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7))),1,0),0))*IF(REF_Config!$B$6="KP",0.5,IF(REF_Config!$B$6="Jaimini",0.75,0.75)),0)</f>
        <v>0.75</v>
      </c>
      <c r="D7" s="400" t="s">
        <v>4610</v>
      </c>
    </row>
    <row r="8" spans="1:12" ht="15.75" customHeight="1" x14ac:dyDescent="0.2">
      <c r="A8" s="1597" t="s">
        <v>3372</v>
      </c>
      <c r="B8" s="1597"/>
      <c r="C8" s="1597"/>
      <c r="D8" s="1597"/>
    </row>
    <row r="9" spans="1:12" ht="27.75" customHeight="1" x14ac:dyDescent="0.2">
      <c r="A9" s="1151" t="s">
        <v>4611</v>
      </c>
      <c r="B9" s="203" t="s">
        <v>4537</v>
      </c>
      <c r="C9" s="1118">
        <f>IFERROR(IF(AND(OR(CALC_ChandraLagna!$G$10="Yes",CALC_ChandraLagna!$H$10="Yes"),NOT(CALC_ChandraLagna!$I$10="Yes")),1,0)*IF(REF_Config!$B$6="KP",1.5,IF(REF_Config!$B$6="Jaimini",1.5,2)),0)</f>
        <v>2</v>
      </c>
      <c r="D9" s="403" t="s">
        <v>4612</v>
      </c>
    </row>
    <row r="10" spans="1:12" ht="27.75" customHeight="1" x14ac:dyDescent="0.2">
      <c r="A10" s="1151" t="s">
        <v>4613</v>
      </c>
      <c r="B10" s="357" t="s">
        <v>3093</v>
      </c>
      <c r="C10" s="1117">
        <f>IFERROR((IFERROR(IF(OR(AND(CALC_ChandraLagna!$E$4=CALC_ChandraLagna!$E$10,CALC_ChandraLagna!$D$4&lt;&gt;CALC_ChandraLagna!$D$10),AND(CALC_ChandraLagna!$E$7=CALC_ChandraLagna!$E$10,CALC_ChandraLagna!$D$7&lt;&gt;CALC_ChandraLagna!$D$10),AND(CALC_ChandraLagna!$E$8=CALC_ChandraLagna!$E$10,CALC_ChandraLagna!$D$8&lt;&gt;CALC_ChandraLagna!$D$10),AND(CALC_ChandraLagna!$E$10=CALC_ChandraLagna!$E$10,CALC_ChandraLagna!$D$10&lt;&gt;CALC_ChandraLagna!$D$10),AND(CALC_ChandraLagna!$E$12=CALC_ChandraLagna!$E$10,CALC_ChandraLagna!$D$12&lt;&gt;CALC_ChandraLagna!$D$10),AND(CALC_ChandraLagna!$E$13=CALC_ChandraLagna!$E$10,CALC_ChandraLagna!$D$13&lt;&gt;CALC_ChandraLagna!$D$10)),1,0),0))*0.5,0)</f>
        <v>0.5</v>
      </c>
      <c r="D10" s="400" t="s">
        <v>4614</v>
      </c>
    </row>
    <row r="11" spans="1:12" ht="27.75" customHeight="1" x14ac:dyDescent="0.2">
      <c r="A11" s="1151" t="s">
        <v>4615</v>
      </c>
      <c r="B11" s="203" t="s">
        <v>4540</v>
      </c>
      <c r="C11" s="1118">
        <f>IFERROR((IFERROR(IF(OR(AND(OR(CALC_PlanetPositions!$M$7="Benefic",CALC_PlanetPositions!$M$7="Yogakaraka"),CALC_PlanetPositions!$B$7=CALC_ChandraLagna!$E$10,CALC_ChandraLagna!$D$10&lt;&gt;"Sun"),AND(OR(CALC_PlanetPositions!$M$8="Benefic",CALC_PlanetPositions!$M$8="Yogakaraka"),CALC_PlanetPositions!$B$8=CALC_ChandraLagna!$E$10,CALC_ChandraLagna!$D$10&lt;&gt;"Moon"),AND(OR(CALC_PlanetPositions!$M$9="Benefic",CALC_PlanetPositions!$M$9="Yogakaraka"),CALC_PlanetPositions!$B$9=CALC_ChandraLagna!$E$10,CALC_ChandraLagna!$D$10&lt;&gt;"Mars"),AND(OR(CALC_PlanetPositions!$M$10="Benefic",CALC_PlanetPositions!$M$10="Yogakaraka"),CALC_PlanetPositions!$B$10=CALC_ChandraLagna!$E$10,CALC_ChandraLagna!$D$10&lt;&gt;"Mercury"),AND(OR(CALC_PlanetPositions!$M$11="Benefic",CALC_PlanetPositions!$M$11="Yogakaraka"),CALC_PlanetPositions!$B$11=CALC_ChandraLagna!$E$10,CALC_ChandraLagna!$D$10&lt;&gt;"Jupiter"),AND(OR(CALC_PlanetPositions!$M$12="Benefic",CALC_PlanetPositions!$M$12="Yogakaraka"),CALC_PlanetPositions!$B$12=CALC_ChandraLagna!$E$10,CALC_ChandraLagna!$D$10&lt;&gt;"Venus"),AND(OR(CALC_PlanetPositions!$M$13="Benefic",CALC_PlanetPositions!$M$13="Yogakaraka"),CALC_PlanetPositions!$B$13=CALC_ChandraLagna!$E$10,CALC_ChandraLagna!$D$10&lt;&gt;"Saturn")),1,0),0))*IF(OR(AND(CALC_PlanetPositions!$M$7="Yogakaraka",CALC_PlanetPositions!$B$7=CALC_ChandraLagna!$E$10,CALC_ChandraLagna!$D$10&lt;&gt;"Sun"),AND(CALC_PlanetPositions!$M$8="Yogakaraka",CALC_PlanetPositions!$B$8=CALC_ChandraLagna!$E$10,CALC_ChandraLagna!$D$10&lt;&gt;"Moon"),AND(CALC_PlanetPositions!$M$9="Yogakaraka",CALC_PlanetPositions!$B$9=CALC_ChandraLagna!$E$10,CALC_ChandraLagna!$D$10&lt;&gt;"Mars"),AND(CALC_PlanetPositions!$M$10="Yogakaraka",CALC_PlanetPositions!$B$10=CALC_ChandraLagna!$E$10,CALC_ChandraLagna!$D$10&lt;&gt;"Mercury"),AND(CALC_PlanetPositions!$M$11="Yogakaraka",CALC_PlanetPositions!$B$11=CALC_ChandraLagna!$E$10,CALC_ChandraLagna!$D$10&lt;&gt;"Jupiter"),AND(CALC_PlanetPositions!$M$12="Yogakaraka",CALC_PlanetPositions!$B$12=CALC_ChandraLagna!$E$10,CALC_ChandraLagna!$D$10&lt;&gt;"Venus"),AND(CALC_PlanetPositions!$M$13="Yogakaraka",CALC_PlanetPositions!$B$13=CALC_ChandraLagna!$E$10,CALC_ChandraLagna!$D$10&lt;&gt;"Saturn")),1.5,1),0)</f>
        <v>1.5</v>
      </c>
      <c r="D11" s="403" t="s">
        <v>4616</v>
      </c>
    </row>
    <row r="12" spans="1:12" ht="27.75" customHeight="1" x14ac:dyDescent="0.2">
      <c r="A12" s="1151" t="s">
        <v>4617</v>
      </c>
      <c r="B12" s="357" t="s">
        <v>4542</v>
      </c>
      <c r="C12" s="1117">
        <f>IFERROR((IFERROR(IF(OR(AND(OR(CALC_PlanetPositions!$M$7="Benefic",CALC_PlanetPositions!$M$7="Yogakaraka"),INDEX(REF_Aspects!$D$5:$O$13,1,MOD(CALC_ChandraLagna!$F$10-(MOD(MATCH(CALC_PlanetPositions!$B$7,{"Aries","Taurus","Gemini","Cancer","Leo","Virgo","Libra","Scorpio","Sagittarius","Capricorn","Aquarius","Pisces"},0)-MATCH(CALC_PlanetPositions!$B$8,{"Aries","Taurus","Gemini","Cancer","Leo","Virgo","Libra","Scorpio","Sagittarius","Capricorn","Aquarius","Pisces"},0),12)+1),12)+1)="FULL",NOT(CALC_PlanetPositions!$B$7=CALC_ChandraLagna!$E$10)),AND(OR(CALC_PlanetPositions!$M$8="Benefic",CALC_PlanetPositions!$M$8="Yogakaraka"),INDEX(REF_Aspects!$D$5:$O$13,2,MOD(CALC_ChandraLagna!$F$10-(MOD(MATCH(CALC_PlanetPositions!$B$8,{"Aries","Taurus","Gemini","Cancer","Leo","Virgo","Libra","Scorpio","Sagittarius","Capricorn","Aquarius","Pisces"},0)-MATCH(CALC_PlanetPositions!$B$8,{"Aries","Taurus","Gemini","Cancer","Leo","Virgo","Libra","Scorpio","Sagittarius","Capricorn","Aquarius","Pisces"},0),12)+1),12)+1)="FULL",NOT(CALC_PlanetPositions!$B$8=CALC_ChandraLagna!$E$10)),AND(OR(CALC_PlanetPositions!$M$9="Benefic",CALC_PlanetPositions!$M$9="Yogakaraka"),INDEX(REF_Aspects!$D$5:$O$13,3,MOD(CALC_ChandraLagna!$F$10-(MOD(MATCH(CALC_PlanetPositions!$B$9,{"Aries","Taurus","Gemini","Cancer","Leo","Virgo","Libra","Scorpio","Sagittarius","Capricorn","Aquarius","Pisces"},0)-MATCH(CALC_PlanetPositions!$B$8,{"Aries","Taurus","Gemini","Cancer","Leo","Virgo","Libra","Scorpio","Sagittarius","Capricorn","Aquarius","Pisces"},0),12)+1),12)+1)="FULL",NOT(CALC_PlanetPositions!$B$9=CALC_ChandraLagna!$E$10)),AND(OR(CALC_PlanetPositions!$M$10="Benefic",CALC_PlanetPositions!$M$10="Yogakaraka"),INDEX(REF_Aspects!$D$5:$O$13,4,MOD(CALC_ChandraLagna!$F$10-(MOD(MATCH(CALC_PlanetPositions!$B$10,{"Aries","Taurus","Gemini","Cancer","Leo","Virgo","Libra","Scorpio","Sagittarius","Capricorn","Aquarius","Pisces"},0)-MATCH(CALC_PlanetPositions!$B$8,{"Aries","Taurus","Gemini","Cancer","Leo","Virgo","Libra","Scorpio","Sagittarius","Capricorn","Aquarius","Pisces"},0),12)+1),12)+1)="FULL",NOT(CALC_PlanetPositions!$B$10=CALC_ChandraLagna!$E$10)),AND(OR(CALC_PlanetPositions!$M$11="Benefic",CALC_PlanetPositions!$M$11="Yogakaraka"),INDEX(REF_Aspects!$D$5:$O$13,5,MOD(CALC_ChandraLagna!$F$10-(MOD(MATCH(CALC_PlanetPositions!$B$11,{"Aries","Taurus","Gemini","Cancer","Leo","Virgo","Libra","Scorpio","Sagittarius","Capricorn","Aquarius","Pisces"},0)-MATCH(CALC_PlanetPositions!$B$8,{"Aries","Taurus","Gemini","Cancer","Leo","Virgo","Libra","Scorpio","Sagittarius","Capricorn","Aquarius","Pisces"},0),12)+1),12)+1)="FULL",NOT(CALC_PlanetPositions!$B$11=CALC_ChandraLagna!$E$10)),AND(OR(CALC_PlanetPositions!$M$12="Benefic",CALC_PlanetPositions!$M$12="Yogakaraka"),INDEX(REF_Aspects!$D$5:$O$13,6,MOD(CALC_ChandraLagna!$F$10-(MOD(MATCH(CALC_PlanetPositions!$B$12,{"Aries","Taurus","Gemini","Cancer","Leo","Virgo","Libra","Scorpio","Sagittarius","Capricorn","Aquarius","Pisces"},0)-MATCH(CALC_PlanetPositions!$B$8,{"Aries","Taurus","Gemini","Cancer","Leo","Virgo","Libra","Scorpio","Sagittarius","Capricorn","Aquarius","Pisces"},0),12)+1),12)+1)="FULL",NOT(CALC_PlanetPositions!$B$12=CALC_ChandraLagna!$E$10)),AND(OR(CALC_PlanetPositions!$M$13="Benefic",CALC_PlanetPositions!$M$13="Yogakaraka"),INDEX(REF_Aspects!$D$5:$O$13,7,MOD(CALC_ChandraLagna!$F$10-(MOD(MATCH(CALC_PlanetPositions!$B$13,{"Aries","Taurus","Gemini","Cancer","Leo","Virgo","Libra","Scorpio","Sagittarius","Capricorn","Aquarius","Pisces"},0)-MATCH(CALC_PlanetPositions!$B$8,{"Aries","Taurus","Gemini","Cancer","Leo","Virgo","Libra","Scorpio","Sagittarius","Capricorn","Aquarius","Pisces"},0),12)+1),12)+1)="FULL",NOT(CALC_PlanetPositions!$B$13=CALC_ChandraLagna!$E$10)),AND(FALSE(),INDEX(REF_Aspects!$D$5:$O$13,8,MOD(CALC_ChandraLagna!$F$10-(MOD(MATCH(CALC_PlanetPositions!$B$14,{"Aries","Taurus","Gemini","Cancer","Leo","Virgo","Libra","Scorpio","Sagittarius","Capricorn","Aquarius","Pisces"},0)-MATCH(CALC_PlanetPositions!$B$8,{"Aries","Taurus","Gemini","Cancer","Leo","Virgo","Libra","Scorpio","Sagittarius","Capricorn","Aquarius","Pisces"},0),12)+1),12)+1)="FULL",NOT(CALC_PlanetPositions!$B$14=CALC_ChandraLagna!$E$10)),AND(FALSE(),INDEX(REF_Aspects!$D$5:$O$13,9,MOD(CALC_ChandraLagna!$F$10-(MOD(MATCH(CALC_PlanetPositions!$B$15,{"Aries","Taurus","Gemini","Cancer","Leo","Virgo","Libra","Scorpio","Sagittarius","Capricorn","Aquarius","Pisces"},0)-MATCH(CALC_PlanetPositions!$B$8,{"Aries","Taurus","Gemini","Cancer","Leo","Virgo","Libra","Scorpio","Sagittarius","Capricorn","Aquarius","Pisces"},0),12)+1),12)+1)="FULL",NOT(CALC_PlanetPositions!$B$15=CALC_ChandraLagna!$E$10))),1,0),0))*0.5,0)</f>
        <v>0</v>
      </c>
      <c r="D12" s="400" t="s">
        <v>4618</v>
      </c>
    </row>
    <row r="13" spans="1:12" ht="27.75" customHeight="1" x14ac:dyDescent="0.2">
      <c r="A13" s="1151"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$10-2,12)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$10-2,12)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$10-2,12)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$10-2,12)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$10-2,12)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$10-2,12)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$10-2,12)+1)),AND(FALSE(),MOD(MATCH(CALC_PlanetPositions!$B$14,{"Aries","Taurus","Gemini","Cancer","Leo","Virgo","Libra","Scorpio","Sagittarius","Capricorn","Aquarius","Pisces"},0)-MATCH(CALC_PlanetPositions!$B$8,{"Aries","Taurus","Gemini","Cancer","Leo","Virgo","Libra","Scorpio","Sagittarius","Capricorn","Aquarius","Pisces"},0),12)+1=(MOD(CALC_ChandraLagna!$F$10-2,12)+1)),AND(FALSE(),MOD(MATCH(CALC_PlanetPositions!$B$15,{"Aries","Taurus","Gemini","Cancer","Leo","Virgo","Libra","Scorpio","Sagittarius","Capricorn","Aquarius","Pisces"},0)-MATCH(CALC_PlanetPositions!$B$8,{"Aries","Taurus","Gemini","Cancer","Leo","Virgo","Libra","Scorpio","Sagittarius","Capricorn","Aquarius","Pisces"},0),12)+1=(MOD(CALC_ChandraLagna!$F$10-2,12)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$10,12)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$10,12)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$10,12)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$10,12)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$10,12)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$10,12)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$10,12)+1)),AND(FALSE(),MOD(MATCH(CALC_PlanetPositions!$B$14,{"Aries","Taurus","Gemini","Cancer","Leo","Virgo","Libra","Scorpio","Sagittarius","Capricorn","Aquarius","Pisces"},0)-MATCH(CALC_PlanetPositions!$B$8,{"Aries","Taurus","Gemini","Cancer","Leo","Virgo","Libra","Scorpio","Sagittarius","Capricorn","Aquarius","Pisces"},0),12)+1=(MOD(CALC_ChandraLagna!$F$10,12)+1)),AND(FALSE(),MOD(MATCH(CALC_PlanetPositions!$B$15,{"Aries","Taurus","Gemini","Cancer","Leo","Virgo","Libra","Scorpio","Sagittarius","Capricorn","Aquarius","Pisces"},0)-MATCH(CALC_PlanetPositions!$B$8,{"Aries","Taurus","Gemini","Cancer","Leo","Virgo","Libra","Scorpio","Sagittarius","Capricorn","Aquarius","Pisces"},0),12)+1=(MOD(CALC_ChandraLagna!$F$10,12)+1)))),1,0),0))*IF(REF_Config!$B$6="KP",0.75,IF(REF_Config!$B$6="Jaimini",0.5,0.75)),0)</f>
        <v>0</v>
      </c>
      <c r="D13" s="403" t="s">
        <v>4620</v>
      </c>
    </row>
    <row r="14" spans="1:12" ht="15.75" customHeight="1" x14ac:dyDescent="0.2">
      <c r="A14" s="1598" t="s">
        <v>4621</v>
      </c>
      <c r="B14" s="1598"/>
      <c r="C14" s="1598"/>
      <c r="D14" s="1598"/>
    </row>
    <row r="15" spans="1:12" ht="27.75" customHeight="1" x14ac:dyDescent="0.2">
      <c r="A15" s="1151"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7),AND(CALC_PlanetPositions!$M$8="Malefic",(MOD(MATCH(CALC_PlanetPositions!$B$8,{"Aries","Taurus","Gemini","Cancer","Leo","Virgo","Libra","Scorpio","Sagittarius","Capricorn","Aquarius","Pisces"},0)-MATCH(CALC_PlanetPositions!$B$8,{"Aries","Taurus","Gemini","Cancer","Leo","Virgo","Libra","Scorpio","Sagittarius","Capricorn","Aquarius","Pisces"},0),12)+1)=7),AND(CALC_PlanetPositions!$M$9="Malefic",(MOD(MATCH(CALC_PlanetPositions!$B$9,{"Aries","Taurus","Gemini","Cancer","Leo","Virgo","Libra","Scorpio","Sagittarius","Capricorn","Aquarius","Pisces"},0)-MATCH(CALC_PlanetPositions!$B$8,{"Aries","Taurus","Gemini","Cancer","Leo","Virgo","Libra","Scorpio","Sagittarius","Capricorn","Aquarius","Pisces"},0),12)+1)=7),AND(CALC_PlanetPositions!$M$10="Malefic",(MOD(MATCH(CALC_PlanetPositions!$B$10,{"Aries","Taurus","Gemini","Cancer","Leo","Virgo","Libra","Scorpio","Sagittarius","Capricorn","Aquarius","Pisces"},0)-MATCH(CALC_PlanetPositions!$B$8,{"Aries","Taurus","Gemini","Cancer","Leo","Virgo","Libra","Scorpio","Sagittarius","Capricorn","Aquarius","Pisces"},0),12)+1)=7),AND(CALC_PlanetPositions!$M$11="Malefic",(MOD(MATCH(CALC_PlanetPositions!$B$11,{"Aries","Taurus","Gemini","Cancer","Leo","Virgo","Libra","Scorpio","Sagittarius","Capricorn","Aquarius","Pisces"},0)-MATCH(CALC_PlanetPositions!$B$8,{"Aries","Taurus","Gemini","Cancer","Leo","Virgo","Libra","Scorpio","Sagittarius","Capricorn","Aquarius","Pisces"},0),12)+1)=7),AND(CALC_PlanetPositions!$M$12="Malefic",(MOD(MATCH(CALC_PlanetPositions!$B$12,{"Aries","Taurus","Gemini","Cancer","Leo","Virgo","Libra","Scorpio","Sagittarius","Capricorn","Aquarius","Pisces"},0)-MATCH(CALC_PlanetPositions!$B$8,{"Aries","Taurus","Gemini","Cancer","Leo","Virgo","Libra","Scorpio","Sagittarius","Capricorn","Aquarius","Pisces"},0),12)+1)=7),AND(CALC_PlanetPositions!$M$13="Malefic",(MOD(MATCH(CALC_PlanetPositions!$B$13,{"Aries","Taurus","Gemini","Cancer","Leo","Virgo","Libra","Scorpio","Sagittarius","Capricorn","Aquarius","Pisces"},0)-MATCH(CALC_PlanetPositions!$B$8,{"Aries","Taurus","Gemini","Cancer","Leo","Virgo","Libra","Scorpio","Sagittarius","Capricorn","Aquarius","Pisces"},0),12)+1)=7),AND(TRUE(),(MOD(MATCH(CALC_PlanetPositions!$B$14,{"Aries","Taurus","Gemini","Cancer","Leo","Virgo","Libra","Scorpio","Sagittarius","Capricorn","Aquarius","Pisces"},0)-MATCH(CALC_PlanetPositions!$B$8,{"Aries","Taurus","Gemini","Cancer","Leo","Virgo","Libra","Scorpio","Sagittarius","Capricorn","Aquarius","Pisces"},0),12)+1)=7),AND(TRUE(),(MOD(MATCH(CALC_PlanetPositions!$B$15,{"Aries","Taurus","Gemini","Cancer","Leo","Virgo","Libra","Scorpio","Sagittarius","Capricorn","Aquarius","Pisces"},0)-MATCH(CALC_PlanetPositions!$B$8,{"Aries","Taurus","Gemini","Cancer","Leo","Virgo","Libra","Scorpio","Sagittarius","Capricorn","Aquarius","Pisces"},0),12)+1)=7)),1,0),0))*-1,0)</f>
        <v>0</v>
      </c>
      <c r="D15" s="400" t="s">
        <v>4623</v>
      </c>
    </row>
    <row r="16" spans="1:12" ht="27.75" customHeight="1" x14ac:dyDescent="0.2">
      <c r="A16" s="1151" t="s">
        <v>4624</v>
      </c>
      <c r="B16" s="203" t="s">
        <v>4548</v>
      </c>
      <c r="C16" s="1118">
        <f>IFERROR((IFERROR(IF(OR(AND(CALC_PlanetPositions!$M$7="Malefic",INDEX(REF_Aspects!$D$5:$O$13,1,MOD(7-(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7)),AND(CALC_PlanetPositions!$M$8="Malefic",INDEX(REF_Aspects!$D$5:$O$13,2,MOD(7-(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7)),AND(CALC_PlanetPositions!$M$9="Malefic",INDEX(REF_Aspects!$D$5:$O$13,3,MOD(7-(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7)),AND(CALC_PlanetPositions!$M$10="Malefic",INDEX(REF_Aspects!$D$5:$O$13,4,MOD(7-(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7)),AND(CALC_PlanetPositions!$M$11="Malefic",INDEX(REF_Aspects!$D$5:$O$13,5,MOD(7-(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7)),AND(CALC_PlanetPositions!$M$12="Malefic",INDEX(REF_Aspects!$D$5:$O$13,6,MOD(7-(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7)),AND(CALC_PlanetPositions!$M$13="Malefic",INDEX(REF_Aspects!$D$5:$O$13,7,MOD(7-(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7)),AND(TRUE(),INDEX(REF_Aspects!$D$5:$O$13,8,MOD(7-(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7)),AND(TRUE(),INDEX(REF_Aspects!$D$5:$O$13,9,MOD(7-(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7))),1,0),0))*-1,0)</f>
        <v>-1</v>
      </c>
      <c r="D16" s="403" t="s">
        <v>4625</v>
      </c>
    </row>
    <row r="17" spans="1:7" ht="27.75" customHeight="1" x14ac:dyDescent="0.2">
      <c r="A17" s="1151" t="s">
        <v>4626</v>
      </c>
      <c r="B17" s="357" t="s">
        <v>3062</v>
      </c>
      <c r="C17" s="1117">
        <v>0</v>
      </c>
      <c r="D17" s="400" t="s">
        <v>4627</v>
      </c>
    </row>
    <row r="18" spans="1:7" ht="27.75" customHeight="1" x14ac:dyDescent="0.2">
      <c r="A18" s="1151"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(7-2,12)+1)),AND(CALC_PlanetPositions!$M$8="Malefic",MOD(MATCH(CALC_PlanetPositions!$B$8,{"Aries","Taurus","Gemini","Cancer","Leo","Virgo","Libra","Scorpio","Sagittarius","Capricorn","Aquarius","Pisces"},0)-MATCH(CALC_PlanetPositions!$B$8,{"Aries","Taurus","Gemini","Cancer","Leo","Virgo","Libra","Scorpio","Sagittarius","Capricorn","Aquarius","Pisces"},0),12)+1=(MOD(7-2,12)+1)),AND(CALC_PlanetPositions!$M$9="Malefic",MOD(MATCH(CALC_PlanetPositions!$B$9,{"Aries","Taurus","Gemini","Cancer","Leo","Virgo","Libra","Scorpio","Sagittarius","Capricorn","Aquarius","Pisces"},0)-MATCH(CALC_PlanetPositions!$B$8,{"Aries","Taurus","Gemini","Cancer","Leo","Virgo","Libra","Scorpio","Sagittarius","Capricorn","Aquarius","Pisces"},0),12)+1=(MOD(7-2,12)+1)),AND(CALC_PlanetPositions!$M$10="Malefic",MOD(MATCH(CALC_PlanetPositions!$B$10,{"Aries","Taurus","Gemini","Cancer","Leo","Virgo","Libra","Scorpio","Sagittarius","Capricorn","Aquarius","Pisces"},0)-MATCH(CALC_PlanetPositions!$B$8,{"Aries","Taurus","Gemini","Cancer","Leo","Virgo","Libra","Scorpio","Sagittarius","Capricorn","Aquarius","Pisces"},0),12)+1=(MOD(7-2,12)+1)),AND(CALC_PlanetPositions!$M$11="Malefic",MOD(MATCH(CALC_PlanetPositions!$B$11,{"Aries","Taurus","Gemini","Cancer","Leo","Virgo","Libra","Scorpio","Sagittarius","Capricorn","Aquarius","Pisces"},0)-MATCH(CALC_PlanetPositions!$B$8,{"Aries","Taurus","Gemini","Cancer","Leo","Virgo","Libra","Scorpio","Sagittarius","Capricorn","Aquarius","Pisces"},0),12)+1=(MOD(7-2,12)+1)),AND(CALC_PlanetPositions!$M$12="Malefic",MOD(MATCH(CALC_PlanetPositions!$B$12,{"Aries","Taurus","Gemini","Cancer","Leo","Virgo","Libra","Scorpio","Sagittarius","Capricorn","Aquarius","Pisces"},0)-MATCH(CALC_PlanetPositions!$B$8,{"Aries","Taurus","Gemini","Cancer","Leo","Virgo","Libra","Scorpio","Sagittarius","Capricorn","Aquarius","Pisces"},0),12)+1=(MOD(7-2,12)+1)),AND(CALC_PlanetPositions!$M$13="Malefic",MOD(MATCH(CALC_PlanetPositions!$B$13,{"Aries","Taurus","Gemini","Cancer","Leo","Virgo","Libra","Scorpio","Sagittarius","Capricorn","Aquarius","Pisces"},0)-MATCH(CALC_PlanetPositions!$B$8,{"Aries","Taurus","Gemini","Cancer","Leo","Virgo","Libra","Scorpio","Sagittarius","Capricorn","Aquarius","Pisces"},0),12)+1=(MOD(7-2,12)+1)),AND(TRUE(),MOD(MATCH(CALC_PlanetPositions!$B$14,{"Aries","Taurus","Gemini","Cancer","Leo","Virgo","Libra","Scorpio","Sagittarius","Capricorn","Aquarius","Pisces"},0)-MATCH(CALC_PlanetPositions!$B$8,{"Aries","Taurus","Gemini","Cancer","Leo","Virgo","Libra","Scorpio","Sagittarius","Capricorn","Aquarius","Pisces"},0),12)+1=(MOD(7-2,12)+1)),AND(TRUE(),MOD(MATCH(CALC_PlanetPositions!$B$15,{"Aries","Taurus","Gemini","Cancer","Leo","Virgo","Libra","Scorpio","Sagittarius","Capricorn","Aquarius","Pisces"},0)-MATCH(CALC_PlanetPositions!$B$8,{"Aries","Taurus","Gemini","Cancer","Leo","Virgo","Libra","Scorpio","Sagittarius","Capricorn","Aquarius","Pisces"},0),12)+1=(MOD(7-2,12)+1))),OR(AND(CALC_PlanetPositions!$M$7="Malefic",MOD(MATCH(CALC_PlanetPositions!$B$7,{"Aries","Taurus","Gemini","Cancer","Leo","Virgo","Libra","Scorpio","Sagittarius","Capricorn","Aquarius","Pisces"},0)-MATCH(CALC_PlanetPositions!$B$8,{"Aries","Taurus","Gemini","Cancer","Leo","Virgo","Libra","Scorpio","Sagittarius","Capricorn","Aquarius","Pisces"},0),12)+1=(MOD(7,12)+1)),AND(CALC_PlanetPositions!$M$8="Malefic",MOD(MATCH(CALC_PlanetPositions!$B$8,{"Aries","Taurus","Gemini","Cancer","Leo","Virgo","Libra","Scorpio","Sagittarius","Capricorn","Aquarius","Pisces"},0)-MATCH(CALC_PlanetPositions!$B$8,{"Aries","Taurus","Gemini","Cancer","Leo","Virgo","Libra","Scorpio","Sagittarius","Capricorn","Aquarius","Pisces"},0),12)+1=(MOD(7,12)+1)),AND(CALC_PlanetPositions!$M$9="Malefic",MOD(MATCH(CALC_PlanetPositions!$B$9,{"Aries","Taurus","Gemini","Cancer","Leo","Virgo","Libra","Scorpio","Sagittarius","Capricorn","Aquarius","Pisces"},0)-MATCH(CALC_PlanetPositions!$B$8,{"Aries","Taurus","Gemini","Cancer","Leo","Virgo","Libra","Scorpio","Sagittarius","Capricorn","Aquarius","Pisces"},0),12)+1=(MOD(7,12)+1)),AND(CALC_PlanetPositions!$M$10="Malefic",MOD(MATCH(CALC_PlanetPositions!$B$10,{"Aries","Taurus","Gemini","Cancer","Leo","Virgo","Libra","Scorpio","Sagittarius","Capricorn","Aquarius","Pisces"},0)-MATCH(CALC_PlanetPositions!$B$8,{"Aries","Taurus","Gemini","Cancer","Leo","Virgo","Libra","Scorpio","Sagittarius","Capricorn","Aquarius","Pisces"},0),12)+1=(MOD(7,12)+1)),AND(CALC_PlanetPositions!$M$11="Malefic",MOD(MATCH(CALC_PlanetPositions!$B$11,{"Aries","Taurus","Gemini","Cancer","Leo","Virgo","Libra","Scorpio","Sagittarius","Capricorn","Aquarius","Pisces"},0)-MATCH(CALC_PlanetPositions!$B$8,{"Aries","Taurus","Gemini","Cancer","Leo","Virgo","Libra","Scorpio","Sagittarius","Capricorn","Aquarius","Pisces"},0),12)+1=(MOD(7,12)+1)),AND(CALC_PlanetPositions!$M$12="Malefic",MOD(MATCH(CALC_PlanetPositions!$B$12,{"Aries","Taurus","Gemini","Cancer","Leo","Virgo","Libra","Scorpio","Sagittarius","Capricorn","Aquarius","Pisces"},0)-MATCH(CALC_PlanetPositions!$B$8,{"Aries","Taurus","Gemini","Cancer","Leo","Virgo","Libra","Scorpio","Sagittarius","Capricorn","Aquarius","Pisces"},0),12)+1=(MOD(7,12)+1)),AND(CALC_PlanetPositions!$M$13="Malefic",MOD(MATCH(CALC_PlanetPositions!$B$13,{"Aries","Taurus","Gemini","Cancer","Leo","Virgo","Libra","Scorpio","Sagittarius","Capricorn","Aquarius","Pisces"},0)-MATCH(CALC_PlanetPositions!$B$8,{"Aries","Taurus","Gemini","Cancer","Leo","Virgo","Libra","Scorpio","Sagittarius","Capricorn","Aquarius","Pisces"},0),12)+1=(MOD(7,12)+1)),AND(TRUE(),MOD(MATCH(CALC_PlanetPositions!$B$14,{"Aries","Taurus","Gemini","Cancer","Leo","Virgo","Libra","Scorpio","Sagittarius","Capricorn","Aquarius","Pisces"},0)-MATCH(CALC_PlanetPositions!$B$8,{"Aries","Taurus","Gemini","Cancer","Leo","Virgo","Libra","Scorpio","Sagittarius","Capricorn","Aquarius","Pisces"},0),12)+1=(MOD(7,12)+1)),AND(TRUE(),MOD(MATCH(CALC_PlanetPositions!$B$15,{"Aries","Taurus","Gemini","Cancer","Leo","Virgo","Libra","Scorpio","Sagittarius","Capricorn","Aquarius","Pisces"},0)-MATCH(CALC_PlanetPositions!$B$8,{"Aries","Taurus","Gemini","Cancer","Leo","Virgo","Libra","Scorpio","Sagittarius","Capricorn","Aquarius","Pisces"},0),12)+1=(MOD(7,12)+1)))),1,0),0))*IF(REF_Config!$B$6="KP",-0.75,IF(REF_Config!$B$6="Jaimini",-0.5,-0.75)),0)</f>
        <v>0</v>
      </c>
      <c r="D18" s="403" t="s">
        <v>4629</v>
      </c>
    </row>
    <row r="19" spans="1:7" ht="15.75" customHeight="1" x14ac:dyDescent="0.2">
      <c r="A19" s="1594" t="s">
        <v>3624</v>
      </c>
      <c r="B19" s="1594"/>
      <c r="C19" s="1594"/>
      <c r="D19" s="1594"/>
    </row>
    <row r="20" spans="1:7" ht="27.75" customHeight="1" x14ac:dyDescent="0.2">
      <c r="A20" s="1151" t="s">
        <v>4630</v>
      </c>
      <c r="B20" s="357" t="s">
        <v>4555</v>
      </c>
      <c r="C20" s="1117">
        <v>0</v>
      </c>
      <c r="D20" s="400" t="s">
        <v>4631</v>
      </c>
    </row>
    <row r="21" spans="1:7" ht="27.75" customHeight="1" x14ac:dyDescent="0.2">
      <c r="A21" s="1151" t="s">
        <v>4632</v>
      </c>
      <c r="B21" s="203" t="s">
        <v>4633</v>
      </c>
      <c r="C21" s="1118">
        <f>IFERROR((IFERROR(IF(OR(AND(CALC_PlanetPositions!$M$7="Malefic",INDEX(REF_Aspects!$D$5:$O$13,1,MOD(CALC_ChandraLagna!$F$10-(MOD(MATCH(CALC_PlanetPositions!$B$7,{"Aries","Taurus","Gemini","Cancer","Leo","Virgo","Libra","Scorpio","Sagittarius","Capricorn","Aquarius","Pisces"},0)-MATCH(CALC_PlanetPositions!$B$8,{"Aries","Taurus","Gemini","Cancer","Leo","Virgo","Libra","Scorpio","Sagittarius","Capricorn","Aquarius","Pisces"},0),12)+1),12)+1)="FULL",NOT(CALC_PlanetPositions!$B$7=CALC_ChandraLagna!$E$10)),AND(CALC_PlanetPositions!$M$8="Malefic",INDEX(REF_Aspects!$D$5:$O$13,2,MOD(CALC_ChandraLagna!$F$10-(MOD(MATCH(CALC_PlanetPositions!$B$8,{"Aries","Taurus","Gemini","Cancer","Leo","Virgo","Libra","Scorpio","Sagittarius","Capricorn","Aquarius","Pisces"},0)-MATCH(CALC_PlanetPositions!$B$8,{"Aries","Taurus","Gemini","Cancer","Leo","Virgo","Libra","Scorpio","Sagittarius","Capricorn","Aquarius","Pisces"},0),12)+1),12)+1)="FULL",NOT(CALC_PlanetPositions!$B$8=CALC_ChandraLagna!$E$10)),AND(CALC_PlanetPositions!$M$9="Malefic",INDEX(REF_Aspects!$D$5:$O$13,3,MOD(CALC_ChandraLagna!$F$10-(MOD(MATCH(CALC_PlanetPositions!$B$9,{"Aries","Taurus","Gemini","Cancer","Leo","Virgo","Libra","Scorpio","Sagittarius","Capricorn","Aquarius","Pisces"},0)-MATCH(CALC_PlanetPositions!$B$8,{"Aries","Taurus","Gemini","Cancer","Leo","Virgo","Libra","Scorpio","Sagittarius","Capricorn","Aquarius","Pisces"},0),12)+1),12)+1)="FULL",NOT(CALC_PlanetPositions!$B$9=CALC_ChandraLagna!$E$10)),AND(CALC_PlanetPositions!$M$10="Malefic",INDEX(REF_Aspects!$D$5:$O$13,4,MOD(CALC_ChandraLagna!$F$10-(MOD(MATCH(CALC_PlanetPositions!$B$10,{"Aries","Taurus","Gemini","Cancer","Leo","Virgo","Libra","Scorpio","Sagittarius","Capricorn","Aquarius","Pisces"},0)-MATCH(CALC_PlanetPositions!$B$8,{"Aries","Taurus","Gemini","Cancer","Leo","Virgo","Libra","Scorpio","Sagittarius","Capricorn","Aquarius","Pisces"},0),12)+1),12)+1)="FULL",NOT(CALC_PlanetPositions!$B$10=CALC_ChandraLagna!$E$10)),AND(CALC_PlanetPositions!$M$11="Malefic",INDEX(REF_Aspects!$D$5:$O$13,5,MOD(CALC_ChandraLagna!$F$10-(MOD(MATCH(CALC_PlanetPositions!$B$11,{"Aries","Taurus","Gemini","Cancer","Leo","Virgo","Libra","Scorpio","Sagittarius","Capricorn","Aquarius","Pisces"},0)-MATCH(CALC_PlanetPositions!$B$8,{"Aries","Taurus","Gemini","Cancer","Leo","Virgo","Libra","Scorpio","Sagittarius","Capricorn","Aquarius","Pisces"},0),12)+1),12)+1)="FULL",NOT(CALC_PlanetPositions!$B$11=CALC_ChandraLagna!$E$10)),AND(CALC_PlanetPositions!$M$12="Malefic",INDEX(REF_Aspects!$D$5:$O$13,6,MOD(CALC_ChandraLagna!$F$10-(MOD(MATCH(CALC_PlanetPositions!$B$12,{"Aries","Taurus","Gemini","Cancer","Leo","Virgo","Libra","Scorpio","Sagittarius","Capricorn","Aquarius","Pisces"},0)-MATCH(CALC_PlanetPositions!$B$8,{"Aries","Taurus","Gemini","Cancer","Leo","Virgo","Libra","Scorpio","Sagittarius","Capricorn","Aquarius","Pisces"},0),12)+1),12)+1)="FULL",NOT(CALC_PlanetPositions!$B$12=CALC_ChandraLagna!$E$10)),AND(CALC_PlanetPositions!$M$13="Malefic",INDEX(REF_Aspects!$D$5:$O$13,7,MOD(CALC_ChandraLagna!$F$10-(MOD(MATCH(CALC_PlanetPositions!$B$13,{"Aries","Taurus","Gemini","Cancer","Leo","Virgo","Libra","Scorpio","Sagittarius","Capricorn","Aquarius","Pisces"},0)-MATCH(CALC_PlanetPositions!$B$8,{"Aries","Taurus","Gemini","Cancer","Leo","Virgo","Libra","Scorpio","Sagittarius","Capricorn","Aquarius","Pisces"},0),12)+1),12)+1)="FULL",NOT(CALC_PlanetPositions!$B$13=CALC_ChandraLagna!$E$10)),AND(TRUE(),INDEX(REF_Aspects!$D$5:$O$13,8,MOD(CALC_ChandraLagna!$F$10-(MOD(MATCH(CALC_PlanetPositions!$B$14,{"Aries","Taurus","Gemini","Cancer","Leo","Virgo","Libra","Scorpio","Sagittarius","Capricorn","Aquarius","Pisces"},0)-MATCH(CALC_PlanetPositions!$B$8,{"Aries","Taurus","Gemini","Cancer","Leo","Virgo","Libra","Scorpio","Sagittarius","Capricorn","Aquarius","Pisces"},0),12)+1),12)+1)="FULL",NOT(CALC_PlanetPositions!$B$14=CALC_ChandraLagna!$E$10)),AND(TRUE(),INDEX(REF_Aspects!$D$5:$O$13,9,MOD(CALC_ChandraLagna!$F$10-(MOD(MATCH(CALC_PlanetPositions!$B$15,{"Aries","Taurus","Gemini","Cancer","Leo","Virgo","Libra","Scorpio","Sagittarius","Capricorn","Aquarius","Pisces"},0)-MATCH(CALC_PlanetPositions!$B$8,{"Aries","Taurus","Gemini","Cancer","Leo","Virgo","Libra","Scorpio","Sagittarius","Capricorn","Aquarius","Pisces"},0),12)+1),12)+1)="FULL",NOT(CALC_PlanetPositions!$B$15=CALC_ChandraLagna!$E$10))),1,0),0))*-0.5,0)</f>
        <v>-0.5</v>
      </c>
      <c r="D21" s="403" t="s">
        <v>4634</v>
      </c>
    </row>
    <row r="22" spans="1:7" ht="27.75" customHeight="1" x14ac:dyDescent="0.2">
      <c r="A22" s="1151" t="s">
        <v>4635</v>
      </c>
      <c r="B22" s="357" t="s">
        <v>3042</v>
      </c>
      <c r="C22" s="1117">
        <f>IFERROR((IFERROR(IF(CALC_ChandraLagna!$I$10="Yes",1,0),0))*IF(REF_Config!$B$6="KP",-1.75,IF(REF_Config!$B$6="Jaimini",-2,-2)),0)</f>
        <v>0</v>
      </c>
      <c r="D22" s="400" t="s">
        <v>4636</v>
      </c>
    </row>
    <row r="23" spans="1:7" ht="27.75" customHeight="1" x14ac:dyDescent="0.2">
      <c r="A23" s="1151" t="s">
        <v>4637</v>
      </c>
      <c r="B23" s="203" t="s">
        <v>3059</v>
      </c>
      <c r="C23" s="1118">
        <f>IFERROR((IFERROR(IF(OR(AND(CALC_ChandraLagna!$E$9=CALC_ChandraLagna!$E$10,CALC_ChandraLagna!$D$9&lt;&gt;CALC_ChandraLagna!$D$10),AND(CALC_ChandraLagna!$E$11=CALC_ChandraLagna!$E$10,CALC_ChandraLagna!$D$11&lt;&gt;CALC_ChandraLagna!$D$10),AND(CALC_ChandraLagna!$E$15=CALC_ChandraLagna!$E$10,CALC_ChandraLagna!$D$15&lt;&gt;CALC_ChandraLagna!$D$10)),1,0),0))*-1,0)</f>
        <v>-1</v>
      </c>
      <c r="D23" s="403" t="s">
        <v>4638</v>
      </c>
    </row>
    <row r="24" spans="1:7" ht="15.75" customHeight="1" x14ac:dyDescent="0.2">
      <c r="A24" s="1484" t="s">
        <v>4639</v>
      </c>
      <c r="B24" s="1484"/>
      <c r="C24" s="1484"/>
      <c r="D24" s="1484"/>
    </row>
    <row r="25" spans="1:7" ht="27.75" customHeight="1" x14ac:dyDescent="0.2">
      <c r="A25" s="1151" t="s">
        <v>4640</v>
      </c>
      <c r="B25" s="357" t="s">
        <v>3084</v>
      </c>
      <c r="C25" s="1117">
        <f>IFERROR(IF(CALC_KarakMap!$M$11&gt;0,CALC_KarakMap!$M$11,0),0)</f>
        <v>0</v>
      </c>
      <c r="D25" s="400" t="s">
        <v>4641</v>
      </c>
    </row>
    <row r="26" spans="1:7" ht="27.75" customHeight="1" x14ac:dyDescent="0.2">
      <c r="A26" s="1151" t="s">
        <v>4642</v>
      </c>
      <c r="B26" s="203" t="s">
        <v>4564</v>
      </c>
      <c r="C26" s="1118">
        <f>IFERROR(IF(CALC_KarakMap!$M$11&lt;0,CALC_KarakMap!$M$11,0),0)</f>
        <v>0</v>
      </c>
      <c r="D26" s="403" t="s">
        <v>4643</v>
      </c>
    </row>
    <row r="27" spans="1:7" ht="27.75" customHeight="1" x14ac:dyDescent="0.2">
      <c r="A27" s="1119" t="s">
        <v>4644</v>
      </c>
      <c r="B27" s="296" t="s">
        <v>3624</v>
      </c>
      <c r="C27" s="1117">
        <f>IFERROR(IF(OR(CALC_ChandraLagna!$D$10="Sun",CALC_ChandraLagna!$D$10="Rahu",CALC_ChandraLagna!$D$10="Ketu"),0,IF(CALC_ChandraLagna!$D$10="Moon",IF(CALC_CombustionCheck!$G$4="Cazimi ✓",0.5,IF(CALC_CombustionCheck!$F$4="COMBUST ⚠",-1,0)),IF(CALC_ChandraLagna!$D$10="Mars",IF(CALC_CombustionCheck!$G$5="Cazimi ✓",0.5,IF(AND(CALC_CombustionCheck!$F$5="COMBUST ⚠",CALC_RetrogradeFix!$F$6="Rx ✓"),-0.5,IF(CALC_CombustionCheck!$F$5="COMBUST ⚠",-1,0))),IF(CALC_ChandraLagna!$D$10="Mercury",IF(CALC_CombustionCheck!$G$6="Cazimi ✓",0.5,IF(AND(CALC_CombustionCheck!$F$6="COMBUST ⚠",CALC_RetrogradeFix!$F$7="Rx ✓"),-0.5,IF(CALC_CombustionCheck!$F$6="COMBUST ⚠",-1,0))),IF(CALC_ChandraLagna!$D$10="Jupiter",IF(CALC_CombustionCheck!$G$7="Cazimi ✓",0.5,IF(AND(CALC_CombustionCheck!$F$7="COMBUST ⚠",CALC_RetrogradeFix!$F$8="Rx ✓"),-0.5,IF(CALC_CombustionCheck!$F$7="COMBUST ⚠",-1,0))),IF(CALC_ChandraLagna!$D$10="Venus",IF(CALC_CombustionCheck!$G$8="Cazimi ✓",0.5,IF(AND(CALC_CombustionCheck!$F$8="COMBUST ⚠",CALC_RetrogradeFix!$F$9="Rx ✓"),-0.5,IF(CALC_CombustionCheck!$F$8="COMBUST ⚠",-1,0))),IF(CALC_ChandraLagna!$D$10="Saturn",IF(CALC_CombustionCheck!$G$9="Cazimi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ChandraLagna!$D$10="Rahu",CALC_ChandraLagna!$D$10="Ketu"),0,IF(ISNUMBER(MATCH(CALC_ChandraLagna!$D$10,{"Sun","Moon","Mars","Mercury","Jupiter","Venus","Saturn"},0)),IF(INDEX(CALC_DigBala!$F$4:$F$10,MATCH(CALC_ChandraLagna!$D$10,{"Sun","Moon","Mars","Mercury","Jupiter","Venus","Saturn"},0))="Yes",0.5,0),0)),0)</f>
        <v>0</v>
      </c>
      <c r="D28" s="400" t="s">
        <v>4647</v>
      </c>
    </row>
    <row r="29" spans="1:7" ht="27.75" customHeight="1" x14ac:dyDescent="0.2">
      <c r="A29" s="1120" t="s">
        <v>4648</v>
      </c>
      <c r="B29" s="296" t="s">
        <v>3372</v>
      </c>
      <c r="C29" s="1117">
        <f>IFERROR(IF(COUNTIFS(REF_PushkaraNavamsha!$A$4:$A$27,CALC_ChandraLagna!$E$10,REF_PushkaraNavamsha!$B$4:$B$27,INDEX(CALC_PlanetPositions!$G$7:$G$15,MATCH(CALC_ChandraLagna!$D$10,CALC_PlanetPositions!$A$7:$A$15,0)))&gt;0,0.5,0),0)</f>
        <v>0</v>
      </c>
      <c r="D29" s="400" t="s">
        <v>4649</v>
      </c>
    </row>
    <row r="30" spans="1:7" ht="25.5" customHeight="1" x14ac:dyDescent="0.2">
      <c r="A30" s="147" t="s">
        <v>4650</v>
      </c>
      <c r="B30" s="1121" t="s">
        <v>4651</v>
      </c>
      <c r="C30" s="1122">
        <f>IFERROR(IF(ISNUMBER(MATCH(CALC_ChandraLagna!$D$10,{"Sun","Moon","Mars","Mercury","Jupiter","Venus","Saturn"},0)),INDEX(CALC_RetrogradeFix!$G$4:$G$10,MATCH(CALC_ChandraLagna!$D$10,{"Sun","Moon","Mars","Mercury","Jupiter","Venus","Saturn"},0)),0),0)</f>
        <v>0</v>
      </c>
      <c r="D30" s="1123" t="s">
        <v>4652</v>
      </c>
    </row>
    <row r="31" spans="1:7" ht="18" customHeight="1" x14ac:dyDescent="0.2">
      <c r="A31" s="1555" t="s">
        <v>4653</v>
      </c>
      <c r="B31" s="1555"/>
      <c r="C31" s="1555"/>
      <c r="D31" s="1555"/>
      <c r="E31" s="1124" t="s">
        <v>4654</v>
      </c>
      <c r="F31" s="1125">
        <f>IFERROR(IF(CALC_Ashtakavarga!H$12&gt;28,0.5,IF(CALC_Ashtakavarga!H$12&lt;22,-0.5,0)),0)</f>
        <v>-0.5</v>
      </c>
      <c r="G31" s="1126" t="s">
        <v>4655</v>
      </c>
    </row>
    <row r="32" spans="1:7" ht="18" customHeight="1" x14ac:dyDescent="0.2">
      <c r="A32" s="189" t="s">
        <v>3367</v>
      </c>
      <c r="B32" s="1127" t="s">
        <v>4656</v>
      </c>
      <c r="C32" s="1128">
        <f>IFERROR(SUM(C5:C7),0)</f>
        <v>2.25</v>
      </c>
      <c r="D32" s="1129"/>
    </row>
    <row r="33" spans="1:4" ht="18" customHeight="1" x14ac:dyDescent="0.2">
      <c r="A33" s="189" t="s">
        <v>3372</v>
      </c>
      <c r="B33" s="1127" t="s">
        <v>4657</v>
      </c>
      <c r="C33" s="1128">
        <f>IFERROR(SUM(C9:C13,C28:C30,F31,0),0)</f>
        <v>3.5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2.25</v>
      </c>
      <c r="D37" s="1129"/>
    </row>
    <row r="38" spans="1:4" ht="21.75" customHeight="1" x14ac:dyDescent="0.2">
      <c r="A38" s="89" t="s">
        <v>4661</v>
      </c>
      <c r="B38" s="1129"/>
      <c r="C38" s="1131">
        <f>IFERROR(MAX(-10,MIN(10,C37)),0)</f>
        <v>2.25</v>
      </c>
      <c r="D38" s="1132"/>
    </row>
    <row r="39" spans="1:4" ht="18" customHeight="1" x14ac:dyDescent="0.2">
      <c r="A39" s="517" t="s">
        <v>4662</v>
      </c>
      <c r="B39" s="1129"/>
      <c r="C39" s="1133">
        <f>IFERROR(CALC_LagneshStrength!$I$4,0)</f>
        <v>0</v>
      </c>
      <c r="D39" s="1129"/>
    </row>
    <row r="40" spans="1:4" ht="25.5" customHeight="1" x14ac:dyDescent="0.2">
      <c r="A40" s="1152" t="s">
        <v>4663</v>
      </c>
      <c r="B40" s="1129"/>
      <c r="C40" s="1153">
        <f>IFERROR(MAX(-10,MIN(10,C38+C39+C41)),0)</f>
        <v>2.35</v>
      </c>
      <c r="D40" s="1154" t="str">
        <f>IFERROR(IF(C40&gt;=7,"Excellent — Partnerships domain very strong",IF(C40&gt;=4,"Good — Partnerships domain strong",IF(C40&gt;=1,"Moderate",IF(C40&gt;=-2,"Mixed — Partnerships has challenges",IF(C40&gt;=-5,"Weak","Very weak — Partnerships heavily afflicted"))))),"—")</f>
        <v>Moderate</v>
      </c>
    </row>
    <row r="41" spans="1:4" ht="18" customHeight="1" x14ac:dyDescent="0.2">
      <c r="A41" s="622" t="s">
        <v>4677</v>
      </c>
      <c r="B41" s="904" t="s">
        <v>4678</v>
      </c>
      <c r="C41" s="1160">
        <v>0.1</v>
      </c>
      <c r="D41" s="550" t="s">
        <v>4693</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4694</v>
      </c>
      <c r="B1" s="1518"/>
      <c r="C1" s="1518"/>
      <c r="D1" s="1518"/>
      <c r="L1" s="544" t="s">
        <v>2214</v>
      </c>
    </row>
    <row r="2" spans="1:12" ht="19.5" customHeight="1" x14ac:dyDescent="0.2">
      <c r="A2" s="1595" t="str">
        <f>IFERROR("Chandra Lagna: "&amp;CALC_PlanetPositions!$B$8&amp;"  ·  H8 sign: "&amp;CALC_ChandraLagna!$C$11,"—")</f>
        <v>Chandra Lagna: Cancer  ·  H8 sign: Aquarius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19" t="s">
        <v>4605</v>
      </c>
      <c r="B5" s="357" t="s">
        <v>4529</v>
      </c>
      <c r="C5" s="1117">
        <f>IFERROR((IFERROR(IF(INDEX(REF_Zodiac!$D$17:$O$17,MATCH(CALC_ChandraLagna!$C$11,REF_Zodiac!$D$3:$O$3,0))="Gentle",1,0),0))*0.5,0)</f>
        <v>0</v>
      </c>
      <c r="D5" s="400" t="s">
        <v>4606</v>
      </c>
    </row>
    <row r="6" spans="1:12" ht="27.75" customHeight="1" x14ac:dyDescent="0.2">
      <c r="A6" s="1119"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119" t="s">
        <v>4609</v>
      </c>
      <c r="B7" s="357" t="s">
        <v>4534</v>
      </c>
      <c r="C7" s="1117">
        <f>IFERROR((IFERROR(IF(OR(AND(OR(CALC_PlanetPositions!$M$7="Benefic",CALC_PlanetPositions!$M$7="Yogakaraka"),INDEX(REF_Aspects!$D$5:$O$13,1,MOD(8-(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8)),AND(OR(CALC_PlanetPositions!$M$8="Benefic",CALC_PlanetPositions!$M$8="Yogakaraka"),INDEX(REF_Aspects!$D$5:$O$13,2,MOD(8-(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8)),AND(OR(CALC_PlanetPositions!$M$9="Benefic",CALC_PlanetPositions!$M$9="Yogakaraka"),INDEX(REF_Aspects!$D$5:$O$13,3,MOD(8-(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8)),AND(OR(CALC_PlanetPositions!$M$10="Benefic",CALC_PlanetPositions!$M$10="Yogakaraka"),INDEX(REF_Aspects!$D$5:$O$13,4,MOD(8-(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8)),AND(OR(CALC_PlanetPositions!$M$11="Benefic",CALC_PlanetPositions!$M$11="Yogakaraka"),INDEX(REF_Aspects!$D$5:$O$13,5,MOD(8-(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8)),AND(OR(CALC_PlanetPositions!$M$12="Benefic",CALC_PlanetPositions!$M$12="Yogakaraka"),INDEX(REF_Aspects!$D$5:$O$13,6,MOD(8-(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8)),AND(OR(CALC_PlanetPositions!$M$13="Benefic",CALC_PlanetPositions!$M$13="Yogakaraka"),INDEX(REF_Aspects!$D$5:$O$13,7,MOD(8-(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8)),AND(FALSE(),INDEX(REF_Aspects!$D$5:$O$13,8,MOD(8-(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8)),AND(FALSE(),INDEX(REF_Aspects!$D$5:$O$13,9,MOD(8-(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8))),1,0),0))*IF(REF_Config!$B$6="KP",0.5,IF(REF_Config!$B$6="Jaimini",0.75,0.75)),0)</f>
        <v>0</v>
      </c>
      <c r="D7" s="400" t="s">
        <v>4610</v>
      </c>
    </row>
    <row r="8" spans="1:12" ht="15.75" customHeight="1" x14ac:dyDescent="0.2">
      <c r="A8" s="1597" t="s">
        <v>3372</v>
      </c>
      <c r="B8" s="1597"/>
      <c r="C8" s="1597"/>
      <c r="D8" s="1597"/>
    </row>
    <row r="9" spans="1:12" ht="27.75" customHeight="1" x14ac:dyDescent="0.2">
      <c r="A9" s="1119" t="s">
        <v>4611</v>
      </c>
      <c r="B9" s="203" t="s">
        <v>4537</v>
      </c>
      <c r="C9" s="1118">
        <f>IFERROR(IF(AND(OR(CALC_ChandraLagna!$G$11="Yes",CALC_ChandraLagna!$H$11="Yes"),NOT(CALC_ChandraLagna!$I$11="Yes")),1,0)*IF(REF_Config!$B$6="KP",1.5,IF(REF_Config!$B$6="Jaimini",1.5,2)),0)</f>
        <v>2</v>
      </c>
      <c r="D9" s="403" t="s">
        <v>4612</v>
      </c>
    </row>
    <row r="10" spans="1:12" ht="27.75" customHeight="1" x14ac:dyDescent="0.2">
      <c r="A10" s="1119" t="s">
        <v>4613</v>
      </c>
      <c r="B10" s="357" t="s">
        <v>3093</v>
      </c>
      <c r="C10" s="1117">
        <f>IFERROR((IFERROR(IF(OR(AND(CALC_ChandraLagna!$E$4=CALC_ChandraLagna!$E$11,CALC_ChandraLagna!$D$4&lt;&gt;CALC_ChandraLagna!$D$11),AND(CALC_ChandraLagna!$E$7=CALC_ChandraLagna!$E$11,CALC_ChandraLagna!$D$7&lt;&gt;CALC_ChandraLagna!$D$11),AND(CALC_ChandraLagna!$E$8=CALC_ChandraLagna!$E$11,CALC_ChandraLagna!$D$8&lt;&gt;CALC_ChandraLagna!$D$11),AND(CALC_ChandraLagna!$E$10=CALC_ChandraLagna!$E$11,CALC_ChandraLagna!$D$10&lt;&gt;CALC_ChandraLagna!$D$11),AND(CALC_ChandraLagna!$E$12=CALC_ChandraLagna!$E$11,CALC_ChandraLagna!$D$12&lt;&gt;CALC_ChandraLagna!$D$11),AND(CALC_ChandraLagna!$E$13=CALC_ChandraLagna!$E$11,CALC_ChandraLagna!$D$13&lt;&gt;CALC_ChandraLagna!$D$11)),1,0),0))*0.5,0)</f>
        <v>0.5</v>
      </c>
      <c r="D10" s="400" t="s">
        <v>4614</v>
      </c>
    </row>
    <row r="11" spans="1:12" ht="27.75" customHeight="1" x14ac:dyDescent="0.2">
      <c r="A11" s="1119" t="s">
        <v>4615</v>
      </c>
      <c r="B11" s="203" t="s">
        <v>4540</v>
      </c>
      <c r="C11" s="1118">
        <f>IFERROR((IFERROR(IF(OR(AND(OR(CALC_PlanetPositions!$M$7="Benefic",CALC_PlanetPositions!$M$7="Yogakaraka"),CALC_PlanetPositions!$B$7=CALC_ChandraLagna!$E$11,CALC_ChandraLagna!$D$11&lt;&gt;"Sun"),AND(OR(CALC_PlanetPositions!$M$8="Benefic",CALC_PlanetPositions!$M$8="Yogakaraka"),CALC_PlanetPositions!$B$8=CALC_ChandraLagna!$E$11,CALC_ChandraLagna!$D$11&lt;&gt;"Moon"),AND(OR(CALC_PlanetPositions!$M$9="Benefic",CALC_PlanetPositions!$M$9="Yogakaraka"),CALC_PlanetPositions!$B$9=CALC_ChandraLagna!$E$11,CALC_ChandraLagna!$D$11&lt;&gt;"Mars"),AND(OR(CALC_PlanetPositions!$M$10="Benefic",CALC_PlanetPositions!$M$10="Yogakaraka"),CALC_PlanetPositions!$B$10=CALC_ChandraLagna!$E$11,CALC_ChandraLagna!$D$11&lt;&gt;"Mercury"),AND(OR(CALC_PlanetPositions!$M$11="Benefic",CALC_PlanetPositions!$M$11="Yogakaraka"),CALC_PlanetPositions!$B$11=CALC_ChandraLagna!$E$11,CALC_ChandraLagna!$D$11&lt;&gt;"Jupiter"),AND(OR(CALC_PlanetPositions!$M$12="Benefic",CALC_PlanetPositions!$M$12="Yogakaraka"),CALC_PlanetPositions!$B$12=CALC_ChandraLagna!$E$11,CALC_ChandraLagna!$D$11&lt;&gt;"Venus"),AND(OR(CALC_PlanetPositions!$M$13="Benefic",CALC_PlanetPositions!$M$13="Yogakaraka"),CALC_PlanetPositions!$B$13=CALC_ChandraLagna!$E$11,CALC_ChandraLagna!$D$11&lt;&gt;"Saturn")),1,0),0))*IF(OR(AND(CALC_PlanetPositions!$M$7="Yogakaraka",CALC_PlanetPositions!$B$7=CALC_ChandraLagna!$E$11,CALC_ChandraLagna!$D$11&lt;&gt;"Sun"),AND(CALC_PlanetPositions!$M$8="Yogakaraka",CALC_PlanetPositions!$B$8=CALC_ChandraLagna!$E$11,CALC_ChandraLagna!$D$11&lt;&gt;"Moon"),AND(CALC_PlanetPositions!$M$9="Yogakaraka",CALC_PlanetPositions!$B$9=CALC_ChandraLagna!$E$11,CALC_ChandraLagna!$D$11&lt;&gt;"Mars"),AND(CALC_PlanetPositions!$M$10="Yogakaraka",CALC_PlanetPositions!$B$10=CALC_ChandraLagna!$E$11,CALC_ChandraLagna!$D$11&lt;&gt;"Mercury"),AND(CALC_PlanetPositions!$M$11="Yogakaraka",CALC_PlanetPositions!$B$11=CALC_ChandraLagna!$E$11,CALC_ChandraLagna!$D$11&lt;&gt;"Jupiter"),AND(CALC_PlanetPositions!$M$12="Yogakaraka",CALC_PlanetPositions!$B$12=CALC_ChandraLagna!$E$11,CALC_ChandraLagna!$D$11&lt;&gt;"Venus"),AND(CALC_PlanetPositions!$M$13="Yogakaraka",CALC_PlanetPositions!$B$13=CALC_ChandraLagna!$E$11,CALC_ChandraLagna!$D$11&lt;&gt;"Saturn")),1.5,1),0)</f>
        <v>1.5</v>
      </c>
      <c r="D11" s="403" t="s">
        <v>4616</v>
      </c>
    </row>
    <row r="12" spans="1:12" ht="27.75" customHeight="1" x14ac:dyDescent="0.2">
      <c r="A12" s="1119" t="s">
        <v>4617</v>
      </c>
      <c r="B12" s="357" t="s">
        <v>4542</v>
      </c>
      <c r="C12" s="1117">
        <f>IFERROR((IFERROR(IF(OR(AND(OR(CALC_PlanetPositions!$M$7="Benefic",CALC_PlanetPositions!$M$7="Yogakaraka"),INDEX(REF_Aspects!$D$5:$O$13,1,MOD(CALC_ChandraLagna!$F$11-(MOD(MATCH(CALC_PlanetPositions!$B$7,{"Aries","Taurus","Gemini","Cancer","Leo","Virgo","Libra","Scorpio","Sagittarius","Capricorn","Aquarius","Pisces"},0)-MATCH(CALC_PlanetPositions!$B$8,{"Aries","Taurus","Gemini","Cancer","Leo","Virgo","Libra","Scorpio","Sagittarius","Capricorn","Aquarius","Pisces"},0),12)+1),12)+1)="FULL",NOT(CALC_PlanetPositions!$B$7=CALC_ChandraLagna!$E$11)),AND(OR(CALC_PlanetPositions!$M$8="Benefic",CALC_PlanetPositions!$M$8="Yogakaraka"),INDEX(REF_Aspects!$D$5:$O$13,2,MOD(CALC_ChandraLagna!$F$11-(MOD(MATCH(CALC_PlanetPositions!$B$8,{"Aries","Taurus","Gemini","Cancer","Leo","Virgo","Libra","Scorpio","Sagittarius","Capricorn","Aquarius","Pisces"},0)-MATCH(CALC_PlanetPositions!$B$8,{"Aries","Taurus","Gemini","Cancer","Leo","Virgo","Libra","Scorpio","Sagittarius","Capricorn","Aquarius","Pisces"},0),12)+1),12)+1)="FULL",NOT(CALC_PlanetPositions!$B$8=CALC_ChandraLagna!$E$11)),AND(OR(CALC_PlanetPositions!$M$9="Benefic",CALC_PlanetPositions!$M$9="Yogakaraka"),INDEX(REF_Aspects!$D$5:$O$13,3,MOD(CALC_ChandraLagna!$F$11-(MOD(MATCH(CALC_PlanetPositions!$B$9,{"Aries","Taurus","Gemini","Cancer","Leo","Virgo","Libra","Scorpio","Sagittarius","Capricorn","Aquarius","Pisces"},0)-MATCH(CALC_PlanetPositions!$B$8,{"Aries","Taurus","Gemini","Cancer","Leo","Virgo","Libra","Scorpio","Sagittarius","Capricorn","Aquarius","Pisces"},0),12)+1),12)+1)="FULL",NOT(CALC_PlanetPositions!$B$9=CALC_ChandraLagna!$E$11)),AND(OR(CALC_PlanetPositions!$M$10="Benefic",CALC_PlanetPositions!$M$10="Yogakaraka"),INDEX(REF_Aspects!$D$5:$O$13,4,MOD(CALC_ChandraLagna!$F$11-(MOD(MATCH(CALC_PlanetPositions!$B$10,{"Aries","Taurus","Gemini","Cancer","Leo","Virgo","Libra","Scorpio","Sagittarius","Capricorn","Aquarius","Pisces"},0)-MATCH(CALC_PlanetPositions!$B$8,{"Aries","Taurus","Gemini","Cancer","Leo","Virgo","Libra","Scorpio","Sagittarius","Capricorn","Aquarius","Pisces"},0),12)+1),12)+1)="FULL",NOT(CALC_PlanetPositions!$B$10=CALC_ChandraLagna!$E$11)),AND(OR(CALC_PlanetPositions!$M$11="Benefic",CALC_PlanetPositions!$M$11="Yogakaraka"),INDEX(REF_Aspects!$D$5:$O$13,5,MOD(CALC_ChandraLagna!$F$11-(MOD(MATCH(CALC_PlanetPositions!$B$11,{"Aries","Taurus","Gemini","Cancer","Leo","Virgo","Libra","Scorpio","Sagittarius","Capricorn","Aquarius","Pisces"},0)-MATCH(CALC_PlanetPositions!$B$8,{"Aries","Taurus","Gemini","Cancer","Leo","Virgo","Libra","Scorpio","Sagittarius","Capricorn","Aquarius","Pisces"},0),12)+1),12)+1)="FULL",NOT(CALC_PlanetPositions!$B$11=CALC_ChandraLagna!$E$11)),AND(OR(CALC_PlanetPositions!$M$12="Benefic",CALC_PlanetPositions!$M$12="Yogakaraka"),INDEX(REF_Aspects!$D$5:$O$13,6,MOD(CALC_ChandraLagna!$F$11-(MOD(MATCH(CALC_PlanetPositions!$B$12,{"Aries","Taurus","Gemini","Cancer","Leo","Virgo","Libra","Scorpio","Sagittarius","Capricorn","Aquarius","Pisces"},0)-MATCH(CALC_PlanetPositions!$B$8,{"Aries","Taurus","Gemini","Cancer","Leo","Virgo","Libra","Scorpio","Sagittarius","Capricorn","Aquarius","Pisces"},0),12)+1),12)+1)="FULL",NOT(CALC_PlanetPositions!$B$12=CALC_ChandraLagna!$E$11)),AND(OR(CALC_PlanetPositions!$M$13="Benefic",CALC_PlanetPositions!$M$13="Yogakaraka"),INDEX(REF_Aspects!$D$5:$O$13,7,MOD(CALC_ChandraLagna!$F$11-(MOD(MATCH(CALC_PlanetPositions!$B$13,{"Aries","Taurus","Gemini","Cancer","Leo","Virgo","Libra","Scorpio","Sagittarius","Capricorn","Aquarius","Pisces"},0)-MATCH(CALC_PlanetPositions!$B$8,{"Aries","Taurus","Gemini","Cancer","Leo","Virgo","Libra","Scorpio","Sagittarius","Capricorn","Aquarius","Pisces"},0),12)+1),12)+1)="FULL",NOT(CALC_PlanetPositions!$B$13=CALC_ChandraLagna!$E$11)),AND(FALSE(),INDEX(REF_Aspects!$D$5:$O$13,8,MOD(CALC_ChandraLagna!$F$11-(MOD(MATCH(CALC_PlanetPositions!$B$14,{"Aries","Taurus","Gemini","Cancer","Leo","Virgo","Libra","Scorpio","Sagittarius","Capricorn","Aquarius","Pisces"},0)-MATCH(CALC_PlanetPositions!$B$8,{"Aries","Taurus","Gemini","Cancer","Leo","Virgo","Libra","Scorpio","Sagittarius","Capricorn","Aquarius","Pisces"},0),12)+1),12)+1)="FULL",NOT(CALC_PlanetPositions!$B$14=CALC_ChandraLagna!$E$11)),AND(FALSE(),INDEX(REF_Aspects!$D$5:$O$13,9,MOD(CALC_ChandraLagna!$F$11-(MOD(MATCH(CALC_PlanetPositions!$B$15,{"Aries","Taurus","Gemini","Cancer","Leo","Virgo","Libra","Scorpio","Sagittarius","Capricorn","Aquarius","Pisces"},0)-MATCH(CALC_PlanetPositions!$B$8,{"Aries","Taurus","Gemini","Cancer","Leo","Virgo","Libra","Scorpio","Sagittarius","Capricorn","Aquarius","Pisces"},0),12)+1),12)+1)="FULL",NOT(CALC_PlanetPositions!$B$15=CALC_ChandraLagna!$E$11))),1,0),0))*0.5,0)</f>
        <v>0</v>
      </c>
      <c r="D12" s="400" t="s">
        <v>4618</v>
      </c>
    </row>
    <row r="13" spans="1:12" ht="27.75" customHeight="1" x14ac:dyDescent="0.2">
      <c r="A13" s="1119"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$11-2,12)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$11-2,12)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$11-2,12)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$11-2,12)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$11-2,12)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$11-2,12)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$11-2,12)+1)),AND(FALSE(),MOD(MATCH(CALC_PlanetPositions!$B$14,{"Aries","Taurus","Gemini","Cancer","Leo","Virgo","Libra","Scorpio","Sagittarius","Capricorn","Aquarius","Pisces"},0)-MATCH(CALC_PlanetPositions!$B$8,{"Aries","Taurus","Gemini","Cancer","Leo","Virgo","Libra","Scorpio","Sagittarius","Capricorn","Aquarius","Pisces"},0),12)+1=(MOD(CALC_ChandraLagna!$F$11-2,12)+1)),AND(FALSE(),MOD(MATCH(CALC_PlanetPositions!$B$15,{"Aries","Taurus","Gemini","Cancer","Leo","Virgo","Libra","Scorpio","Sagittarius","Capricorn","Aquarius","Pisces"},0)-MATCH(CALC_PlanetPositions!$B$8,{"Aries","Taurus","Gemini","Cancer","Leo","Virgo","Libra","Scorpio","Sagittarius","Capricorn","Aquarius","Pisces"},0),12)+1=(MOD(CALC_ChandraLagna!$F$11-2,12)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$11,12)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$11,12)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$11,12)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$11,12)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$11,12)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$11,12)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$11,12)+1)),AND(FALSE(),MOD(MATCH(CALC_PlanetPositions!$B$14,{"Aries","Taurus","Gemini","Cancer","Leo","Virgo","Libra","Scorpio","Sagittarius","Capricorn","Aquarius","Pisces"},0)-MATCH(CALC_PlanetPositions!$B$8,{"Aries","Taurus","Gemini","Cancer","Leo","Virgo","Libra","Scorpio","Sagittarius","Capricorn","Aquarius","Pisces"},0),12)+1=(MOD(CALC_ChandraLagna!$F$11,12)+1)),AND(FALSE(),MOD(MATCH(CALC_PlanetPositions!$B$15,{"Aries","Taurus","Gemini","Cancer","Leo","Virgo","Libra","Scorpio","Sagittarius","Capricorn","Aquarius","Pisces"},0)-MATCH(CALC_PlanetPositions!$B$8,{"Aries","Taurus","Gemini","Cancer","Leo","Virgo","Libra","Scorpio","Sagittarius","Capricorn","Aquarius","Pisces"},0),12)+1=(MOD(CALC_ChandraLagna!$F$11,12)+1)))),1,0),0))*IF(REF_Config!$B$6="KP",0.75,IF(REF_Config!$B$6="Jaimini",0.5,0.75)),0)</f>
        <v>0</v>
      </c>
      <c r="D13" s="403" t="s">
        <v>4620</v>
      </c>
    </row>
    <row r="14" spans="1:12" ht="15.75" customHeight="1" x14ac:dyDescent="0.2">
      <c r="A14" s="1598" t="s">
        <v>4621</v>
      </c>
      <c r="B14" s="1598"/>
      <c r="C14" s="1598"/>
      <c r="D14" s="1598"/>
    </row>
    <row r="15" spans="1:12" ht="27.75" customHeight="1" x14ac:dyDescent="0.2">
      <c r="A15" s="1119"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8),AND(CALC_PlanetPositions!$M$8="Malefic",(MOD(MATCH(CALC_PlanetPositions!$B$8,{"Aries","Taurus","Gemini","Cancer","Leo","Virgo","Libra","Scorpio","Sagittarius","Capricorn","Aquarius","Pisces"},0)-MATCH(CALC_PlanetPositions!$B$8,{"Aries","Taurus","Gemini","Cancer","Leo","Virgo","Libra","Scorpio","Sagittarius","Capricorn","Aquarius","Pisces"},0),12)+1)=8),AND(CALC_PlanetPositions!$M$9="Malefic",(MOD(MATCH(CALC_PlanetPositions!$B$9,{"Aries","Taurus","Gemini","Cancer","Leo","Virgo","Libra","Scorpio","Sagittarius","Capricorn","Aquarius","Pisces"},0)-MATCH(CALC_PlanetPositions!$B$8,{"Aries","Taurus","Gemini","Cancer","Leo","Virgo","Libra","Scorpio","Sagittarius","Capricorn","Aquarius","Pisces"},0),12)+1)=8),AND(CALC_PlanetPositions!$M$10="Malefic",(MOD(MATCH(CALC_PlanetPositions!$B$10,{"Aries","Taurus","Gemini","Cancer","Leo","Virgo","Libra","Scorpio","Sagittarius","Capricorn","Aquarius","Pisces"},0)-MATCH(CALC_PlanetPositions!$B$8,{"Aries","Taurus","Gemini","Cancer","Leo","Virgo","Libra","Scorpio","Sagittarius","Capricorn","Aquarius","Pisces"},0),12)+1)=8),AND(CALC_PlanetPositions!$M$11="Malefic",(MOD(MATCH(CALC_PlanetPositions!$B$11,{"Aries","Taurus","Gemini","Cancer","Leo","Virgo","Libra","Scorpio","Sagittarius","Capricorn","Aquarius","Pisces"},0)-MATCH(CALC_PlanetPositions!$B$8,{"Aries","Taurus","Gemini","Cancer","Leo","Virgo","Libra","Scorpio","Sagittarius","Capricorn","Aquarius","Pisces"},0),12)+1)=8),AND(CALC_PlanetPositions!$M$12="Malefic",(MOD(MATCH(CALC_PlanetPositions!$B$12,{"Aries","Taurus","Gemini","Cancer","Leo","Virgo","Libra","Scorpio","Sagittarius","Capricorn","Aquarius","Pisces"},0)-MATCH(CALC_PlanetPositions!$B$8,{"Aries","Taurus","Gemini","Cancer","Leo","Virgo","Libra","Scorpio","Sagittarius","Capricorn","Aquarius","Pisces"},0),12)+1)=8),AND(CALC_PlanetPositions!$M$13="Malefic",(MOD(MATCH(CALC_PlanetPositions!$B$13,{"Aries","Taurus","Gemini","Cancer","Leo","Virgo","Libra","Scorpio","Sagittarius","Capricorn","Aquarius","Pisces"},0)-MATCH(CALC_PlanetPositions!$B$8,{"Aries","Taurus","Gemini","Cancer","Leo","Virgo","Libra","Scorpio","Sagittarius","Capricorn","Aquarius","Pisces"},0),12)+1)=8),AND(TRUE(),(MOD(MATCH(CALC_PlanetPositions!$B$14,{"Aries","Taurus","Gemini","Cancer","Leo","Virgo","Libra","Scorpio","Sagittarius","Capricorn","Aquarius","Pisces"},0)-MATCH(CALC_PlanetPositions!$B$8,{"Aries","Taurus","Gemini","Cancer","Leo","Virgo","Libra","Scorpio","Sagittarius","Capricorn","Aquarius","Pisces"},0),12)+1)=8),AND(TRUE(),(MOD(MATCH(CALC_PlanetPositions!$B$15,{"Aries","Taurus","Gemini","Cancer","Leo","Virgo","Libra","Scorpio","Sagittarius","Capricorn","Aquarius","Pisces"},0)-MATCH(CALC_PlanetPositions!$B$8,{"Aries","Taurus","Gemini","Cancer","Leo","Virgo","Libra","Scorpio","Sagittarius","Capricorn","Aquarius","Pisces"},0),12)+1)=8)),1,0),0))*-1,0)</f>
        <v>0</v>
      </c>
      <c r="D15" s="400" t="s">
        <v>4623</v>
      </c>
    </row>
    <row r="16" spans="1:12" ht="27.75" customHeight="1" x14ac:dyDescent="0.2">
      <c r="A16" s="1119" t="s">
        <v>4624</v>
      </c>
      <c r="B16" s="203" t="s">
        <v>4548</v>
      </c>
      <c r="C16" s="1118">
        <f>IFERROR((IFERROR(IF(OR(AND(CALC_PlanetPositions!$M$7="Malefic",INDEX(REF_Aspects!$D$5:$O$13,1,MOD(8-(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8)),AND(CALC_PlanetPositions!$M$8="Malefic",INDEX(REF_Aspects!$D$5:$O$13,2,MOD(8-(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8)),AND(CALC_PlanetPositions!$M$9="Malefic",INDEX(REF_Aspects!$D$5:$O$13,3,MOD(8-(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8)),AND(CALC_PlanetPositions!$M$10="Malefic",INDEX(REF_Aspects!$D$5:$O$13,4,MOD(8-(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8)),AND(CALC_PlanetPositions!$M$11="Malefic",INDEX(REF_Aspects!$D$5:$O$13,5,MOD(8-(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8)),AND(CALC_PlanetPositions!$M$12="Malefic",INDEX(REF_Aspects!$D$5:$O$13,6,MOD(8-(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8)),AND(CALC_PlanetPositions!$M$13="Malefic",INDEX(REF_Aspects!$D$5:$O$13,7,MOD(8-(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8)),AND(TRUE(),INDEX(REF_Aspects!$D$5:$O$13,8,MOD(8-(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8)),AND(TRUE(),INDEX(REF_Aspects!$D$5:$O$13,9,MOD(8-(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8))),1,0),0))*-1,0)</f>
        <v>-1</v>
      </c>
      <c r="D16" s="403" t="s">
        <v>4625</v>
      </c>
    </row>
    <row r="17" spans="1:7" ht="27.75" customHeight="1" x14ac:dyDescent="0.2">
      <c r="A17" s="1119" t="s">
        <v>4626</v>
      </c>
      <c r="B17" s="357" t="s">
        <v>3062</v>
      </c>
      <c r="C17" s="1117">
        <v>0</v>
      </c>
      <c r="D17" s="400" t="s">
        <v>4627</v>
      </c>
    </row>
    <row r="18" spans="1:7" ht="27.75" customHeight="1" x14ac:dyDescent="0.2">
      <c r="A18" s="1119"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(8-2,12)+1)),AND(CALC_PlanetPositions!$M$8="Malefic",MOD(MATCH(CALC_PlanetPositions!$B$8,{"Aries","Taurus","Gemini","Cancer","Leo","Virgo","Libra","Scorpio","Sagittarius","Capricorn","Aquarius","Pisces"},0)-MATCH(CALC_PlanetPositions!$B$8,{"Aries","Taurus","Gemini","Cancer","Leo","Virgo","Libra","Scorpio","Sagittarius","Capricorn","Aquarius","Pisces"},0),12)+1=(MOD(8-2,12)+1)),AND(CALC_PlanetPositions!$M$9="Malefic",MOD(MATCH(CALC_PlanetPositions!$B$9,{"Aries","Taurus","Gemini","Cancer","Leo","Virgo","Libra","Scorpio","Sagittarius","Capricorn","Aquarius","Pisces"},0)-MATCH(CALC_PlanetPositions!$B$8,{"Aries","Taurus","Gemini","Cancer","Leo","Virgo","Libra","Scorpio","Sagittarius","Capricorn","Aquarius","Pisces"},0),12)+1=(MOD(8-2,12)+1)),AND(CALC_PlanetPositions!$M$10="Malefic",MOD(MATCH(CALC_PlanetPositions!$B$10,{"Aries","Taurus","Gemini","Cancer","Leo","Virgo","Libra","Scorpio","Sagittarius","Capricorn","Aquarius","Pisces"},0)-MATCH(CALC_PlanetPositions!$B$8,{"Aries","Taurus","Gemini","Cancer","Leo","Virgo","Libra","Scorpio","Sagittarius","Capricorn","Aquarius","Pisces"},0),12)+1=(MOD(8-2,12)+1)),AND(CALC_PlanetPositions!$M$11="Malefic",MOD(MATCH(CALC_PlanetPositions!$B$11,{"Aries","Taurus","Gemini","Cancer","Leo","Virgo","Libra","Scorpio","Sagittarius","Capricorn","Aquarius","Pisces"},0)-MATCH(CALC_PlanetPositions!$B$8,{"Aries","Taurus","Gemini","Cancer","Leo","Virgo","Libra","Scorpio","Sagittarius","Capricorn","Aquarius","Pisces"},0),12)+1=(MOD(8-2,12)+1)),AND(CALC_PlanetPositions!$M$12="Malefic",MOD(MATCH(CALC_PlanetPositions!$B$12,{"Aries","Taurus","Gemini","Cancer","Leo","Virgo","Libra","Scorpio","Sagittarius","Capricorn","Aquarius","Pisces"},0)-MATCH(CALC_PlanetPositions!$B$8,{"Aries","Taurus","Gemini","Cancer","Leo","Virgo","Libra","Scorpio","Sagittarius","Capricorn","Aquarius","Pisces"},0),12)+1=(MOD(8-2,12)+1)),AND(CALC_PlanetPositions!$M$13="Malefic",MOD(MATCH(CALC_PlanetPositions!$B$13,{"Aries","Taurus","Gemini","Cancer","Leo","Virgo","Libra","Scorpio","Sagittarius","Capricorn","Aquarius","Pisces"},0)-MATCH(CALC_PlanetPositions!$B$8,{"Aries","Taurus","Gemini","Cancer","Leo","Virgo","Libra","Scorpio","Sagittarius","Capricorn","Aquarius","Pisces"},0),12)+1=(MOD(8-2,12)+1)),AND(TRUE(),MOD(MATCH(CALC_PlanetPositions!$B$14,{"Aries","Taurus","Gemini","Cancer","Leo","Virgo","Libra","Scorpio","Sagittarius","Capricorn","Aquarius","Pisces"},0)-MATCH(CALC_PlanetPositions!$B$8,{"Aries","Taurus","Gemini","Cancer","Leo","Virgo","Libra","Scorpio","Sagittarius","Capricorn","Aquarius","Pisces"},0),12)+1=(MOD(8-2,12)+1)),AND(TRUE(),MOD(MATCH(CALC_PlanetPositions!$B$15,{"Aries","Taurus","Gemini","Cancer","Leo","Virgo","Libra","Scorpio","Sagittarius","Capricorn","Aquarius","Pisces"},0)-MATCH(CALC_PlanetPositions!$B$8,{"Aries","Taurus","Gemini","Cancer","Leo","Virgo","Libra","Scorpio","Sagittarius","Capricorn","Aquarius","Pisces"},0),12)+1=(MOD(8-2,12)+1))),OR(AND(CALC_PlanetPositions!$M$7="Malefic",MOD(MATCH(CALC_PlanetPositions!$B$7,{"Aries","Taurus","Gemini","Cancer","Leo","Virgo","Libra","Scorpio","Sagittarius","Capricorn","Aquarius","Pisces"},0)-MATCH(CALC_PlanetPositions!$B$8,{"Aries","Taurus","Gemini","Cancer","Leo","Virgo","Libra","Scorpio","Sagittarius","Capricorn","Aquarius","Pisces"},0),12)+1=(MOD(8,12)+1)),AND(CALC_PlanetPositions!$M$8="Malefic",MOD(MATCH(CALC_PlanetPositions!$B$8,{"Aries","Taurus","Gemini","Cancer","Leo","Virgo","Libra","Scorpio","Sagittarius","Capricorn","Aquarius","Pisces"},0)-MATCH(CALC_PlanetPositions!$B$8,{"Aries","Taurus","Gemini","Cancer","Leo","Virgo","Libra","Scorpio","Sagittarius","Capricorn","Aquarius","Pisces"},0),12)+1=(MOD(8,12)+1)),AND(CALC_PlanetPositions!$M$9="Malefic",MOD(MATCH(CALC_PlanetPositions!$B$9,{"Aries","Taurus","Gemini","Cancer","Leo","Virgo","Libra","Scorpio","Sagittarius","Capricorn","Aquarius","Pisces"},0)-MATCH(CALC_PlanetPositions!$B$8,{"Aries","Taurus","Gemini","Cancer","Leo","Virgo","Libra","Scorpio","Sagittarius","Capricorn","Aquarius","Pisces"},0),12)+1=(MOD(8,12)+1)),AND(CALC_PlanetPositions!$M$10="Malefic",MOD(MATCH(CALC_PlanetPositions!$B$10,{"Aries","Taurus","Gemini","Cancer","Leo","Virgo","Libra","Scorpio","Sagittarius","Capricorn","Aquarius","Pisces"},0)-MATCH(CALC_PlanetPositions!$B$8,{"Aries","Taurus","Gemini","Cancer","Leo","Virgo","Libra","Scorpio","Sagittarius","Capricorn","Aquarius","Pisces"},0),12)+1=(MOD(8,12)+1)),AND(CALC_PlanetPositions!$M$11="Malefic",MOD(MATCH(CALC_PlanetPositions!$B$11,{"Aries","Taurus","Gemini","Cancer","Leo","Virgo","Libra","Scorpio","Sagittarius","Capricorn","Aquarius","Pisces"},0)-MATCH(CALC_PlanetPositions!$B$8,{"Aries","Taurus","Gemini","Cancer","Leo","Virgo","Libra","Scorpio","Sagittarius","Capricorn","Aquarius","Pisces"},0),12)+1=(MOD(8,12)+1)),AND(CALC_PlanetPositions!$M$12="Malefic",MOD(MATCH(CALC_PlanetPositions!$B$12,{"Aries","Taurus","Gemini","Cancer","Leo","Virgo","Libra","Scorpio","Sagittarius","Capricorn","Aquarius","Pisces"},0)-MATCH(CALC_PlanetPositions!$B$8,{"Aries","Taurus","Gemini","Cancer","Leo","Virgo","Libra","Scorpio","Sagittarius","Capricorn","Aquarius","Pisces"},0),12)+1=(MOD(8,12)+1)),AND(CALC_PlanetPositions!$M$13="Malefic",MOD(MATCH(CALC_PlanetPositions!$B$13,{"Aries","Taurus","Gemini","Cancer","Leo","Virgo","Libra","Scorpio","Sagittarius","Capricorn","Aquarius","Pisces"},0)-MATCH(CALC_PlanetPositions!$B$8,{"Aries","Taurus","Gemini","Cancer","Leo","Virgo","Libra","Scorpio","Sagittarius","Capricorn","Aquarius","Pisces"},0),12)+1=(MOD(8,12)+1)),AND(TRUE(),MOD(MATCH(CALC_PlanetPositions!$B$14,{"Aries","Taurus","Gemini","Cancer","Leo","Virgo","Libra","Scorpio","Sagittarius","Capricorn","Aquarius","Pisces"},0)-MATCH(CALC_PlanetPositions!$B$8,{"Aries","Taurus","Gemini","Cancer","Leo","Virgo","Libra","Scorpio","Sagittarius","Capricorn","Aquarius","Pisces"},0),12)+1=(MOD(8,12)+1)),AND(TRUE(),MOD(MATCH(CALC_PlanetPositions!$B$15,{"Aries","Taurus","Gemini","Cancer","Leo","Virgo","Libra","Scorpio","Sagittarius","Capricorn","Aquarius","Pisces"},0)-MATCH(CALC_PlanetPositions!$B$8,{"Aries","Taurus","Gemini","Cancer","Leo","Virgo","Libra","Scorpio","Sagittarius","Capricorn","Aquarius","Pisces"},0),12)+1=(MOD(8,12)+1)))),1,0),0))*IF(REF_Config!$B$6="KP",-0.75,IF(REF_Config!$B$6="Jaimini",-0.5,-0.75)),0)</f>
        <v>0</v>
      </c>
      <c r="D18" s="403" t="s">
        <v>4629</v>
      </c>
    </row>
    <row r="19" spans="1:7" ht="15.75" customHeight="1" x14ac:dyDescent="0.2">
      <c r="A19" s="1594" t="s">
        <v>3624</v>
      </c>
      <c r="B19" s="1594"/>
      <c r="C19" s="1594"/>
      <c r="D19" s="1594"/>
    </row>
    <row r="20" spans="1:7" ht="27.75" customHeight="1" x14ac:dyDescent="0.2">
      <c r="A20" s="1119" t="s">
        <v>4630</v>
      </c>
      <c r="B20" s="357" t="s">
        <v>4555</v>
      </c>
      <c r="C20" s="1117">
        <v>0</v>
      </c>
      <c r="D20" s="400" t="s">
        <v>4631</v>
      </c>
    </row>
    <row r="21" spans="1:7" ht="27.75" customHeight="1" x14ac:dyDescent="0.2">
      <c r="A21" s="1119" t="s">
        <v>4632</v>
      </c>
      <c r="B21" s="203" t="s">
        <v>4633</v>
      </c>
      <c r="C21" s="1118">
        <f>IFERROR((IFERROR(IF(OR(AND(CALC_PlanetPositions!$M$7="Malefic",INDEX(REF_Aspects!$D$5:$O$13,1,MOD(CALC_ChandraLagna!$F$11-(MOD(MATCH(CALC_PlanetPositions!$B$7,{"Aries","Taurus","Gemini","Cancer","Leo","Virgo","Libra","Scorpio","Sagittarius","Capricorn","Aquarius","Pisces"},0)-MATCH(CALC_PlanetPositions!$B$8,{"Aries","Taurus","Gemini","Cancer","Leo","Virgo","Libra","Scorpio","Sagittarius","Capricorn","Aquarius","Pisces"},0),12)+1),12)+1)="FULL",NOT(CALC_PlanetPositions!$B$7=CALC_ChandraLagna!$E$11)),AND(CALC_PlanetPositions!$M$8="Malefic",INDEX(REF_Aspects!$D$5:$O$13,2,MOD(CALC_ChandraLagna!$F$11-(MOD(MATCH(CALC_PlanetPositions!$B$8,{"Aries","Taurus","Gemini","Cancer","Leo","Virgo","Libra","Scorpio","Sagittarius","Capricorn","Aquarius","Pisces"},0)-MATCH(CALC_PlanetPositions!$B$8,{"Aries","Taurus","Gemini","Cancer","Leo","Virgo","Libra","Scorpio","Sagittarius","Capricorn","Aquarius","Pisces"},0),12)+1),12)+1)="FULL",NOT(CALC_PlanetPositions!$B$8=CALC_ChandraLagna!$E$11)),AND(CALC_PlanetPositions!$M$9="Malefic",INDEX(REF_Aspects!$D$5:$O$13,3,MOD(CALC_ChandraLagna!$F$11-(MOD(MATCH(CALC_PlanetPositions!$B$9,{"Aries","Taurus","Gemini","Cancer","Leo","Virgo","Libra","Scorpio","Sagittarius","Capricorn","Aquarius","Pisces"},0)-MATCH(CALC_PlanetPositions!$B$8,{"Aries","Taurus","Gemini","Cancer","Leo","Virgo","Libra","Scorpio","Sagittarius","Capricorn","Aquarius","Pisces"},0),12)+1),12)+1)="FULL",NOT(CALC_PlanetPositions!$B$9=CALC_ChandraLagna!$E$11)),AND(CALC_PlanetPositions!$M$10="Malefic",INDEX(REF_Aspects!$D$5:$O$13,4,MOD(CALC_ChandraLagna!$F$11-(MOD(MATCH(CALC_PlanetPositions!$B$10,{"Aries","Taurus","Gemini","Cancer","Leo","Virgo","Libra","Scorpio","Sagittarius","Capricorn","Aquarius","Pisces"},0)-MATCH(CALC_PlanetPositions!$B$8,{"Aries","Taurus","Gemini","Cancer","Leo","Virgo","Libra","Scorpio","Sagittarius","Capricorn","Aquarius","Pisces"},0),12)+1),12)+1)="FULL",NOT(CALC_PlanetPositions!$B$10=CALC_ChandraLagna!$E$11)),AND(CALC_PlanetPositions!$M$11="Malefic",INDEX(REF_Aspects!$D$5:$O$13,5,MOD(CALC_ChandraLagna!$F$11-(MOD(MATCH(CALC_PlanetPositions!$B$11,{"Aries","Taurus","Gemini","Cancer","Leo","Virgo","Libra","Scorpio","Sagittarius","Capricorn","Aquarius","Pisces"},0)-MATCH(CALC_PlanetPositions!$B$8,{"Aries","Taurus","Gemini","Cancer","Leo","Virgo","Libra","Scorpio","Sagittarius","Capricorn","Aquarius","Pisces"},0),12)+1),12)+1)="FULL",NOT(CALC_PlanetPositions!$B$11=CALC_ChandraLagna!$E$11)),AND(CALC_PlanetPositions!$M$12="Malefic",INDEX(REF_Aspects!$D$5:$O$13,6,MOD(CALC_ChandraLagna!$F$11-(MOD(MATCH(CALC_PlanetPositions!$B$12,{"Aries","Taurus","Gemini","Cancer","Leo","Virgo","Libra","Scorpio","Sagittarius","Capricorn","Aquarius","Pisces"},0)-MATCH(CALC_PlanetPositions!$B$8,{"Aries","Taurus","Gemini","Cancer","Leo","Virgo","Libra","Scorpio","Sagittarius","Capricorn","Aquarius","Pisces"},0),12)+1),12)+1)="FULL",NOT(CALC_PlanetPositions!$B$12=CALC_ChandraLagna!$E$11)),AND(CALC_PlanetPositions!$M$13="Malefic",INDEX(REF_Aspects!$D$5:$O$13,7,MOD(CALC_ChandraLagna!$F$11-(MOD(MATCH(CALC_PlanetPositions!$B$13,{"Aries","Taurus","Gemini","Cancer","Leo","Virgo","Libra","Scorpio","Sagittarius","Capricorn","Aquarius","Pisces"},0)-MATCH(CALC_PlanetPositions!$B$8,{"Aries","Taurus","Gemini","Cancer","Leo","Virgo","Libra","Scorpio","Sagittarius","Capricorn","Aquarius","Pisces"},0),12)+1),12)+1)="FULL",NOT(CALC_PlanetPositions!$B$13=CALC_ChandraLagna!$E$11)),AND(TRUE(),INDEX(REF_Aspects!$D$5:$O$13,8,MOD(CALC_ChandraLagna!$F$11-(MOD(MATCH(CALC_PlanetPositions!$B$14,{"Aries","Taurus","Gemini","Cancer","Leo","Virgo","Libra","Scorpio","Sagittarius","Capricorn","Aquarius","Pisces"},0)-MATCH(CALC_PlanetPositions!$B$8,{"Aries","Taurus","Gemini","Cancer","Leo","Virgo","Libra","Scorpio","Sagittarius","Capricorn","Aquarius","Pisces"},0),12)+1),12)+1)="FULL",NOT(CALC_PlanetPositions!$B$14=CALC_ChandraLagna!$E$11)),AND(TRUE(),INDEX(REF_Aspects!$D$5:$O$13,9,MOD(CALC_ChandraLagna!$F$11-(MOD(MATCH(CALC_PlanetPositions!$B$15,{"Aries","Taurus","Gemini","Cancer","Leo","Virgo","Libra","Scorpio","Sagittarius","Capricorn","Aquarius","Pisces"},0)-MATCH(CALC_PlanetPositions!$B$8,{"Aries","Taurus","Gemini","Cancer","Leo","Virgo","Libra","Scorpio","Sagittarius","Capricorn","Aquarius","Pisces"},0),12)+1),12)+1)="FULL",NOT(CALC_PlanetPositions!$B$15=CALC_ChandraLagna!$E$11))),1,0),0))*-0.5,0)</f>
        <v>-0.5</v>
      </c>
      <c r="D21" s="403" t="s">
        <v>4634</v>
      </c>
    </row>
    <row r="22" spans="1:7" ht="27.75" customHeight="1" x14ac:dyDescent="0.2">
      <c r="A22" s="1119" t="s">
        <v>4635</v>
      </c>
      <c r="B22" s="357" t="s">
        <v>3042</v>
      </c>
      <c r="C22" s="1117">
        <f>IFERROR((IFERROR(IF(CALC_ChandraLagna!$I$11="Yes",1,0),0))*IF(REF_Config!$B$6="KP",-1.75,IF(REF_Config!$B$6="Jaimini",-2,-2)),0)</f>
        <v>0</v>
      </c>
      <c r="D22" s="400" t="s">
        <v>4636</v>
      </c>
    </row>
    <row r="23" spans="1:7" ht="27.75" customHeight="1" x14ac:dyDescent="0.2">
      <c r="A23" s="1119" t="s">
        <v>4637</v>
      </c>
      <c r="B23" s="203" t="s">
        <v>3059</v>
      </c>
      <c r="C23" s="1118">
        <f>IFERROR((IFERROR(IF(OR(AND(CALC_ChandraLagna!$E$9=CALC_ChandraLagna!$E$11,CALC_ChandraLagna!$D$9&lt;&gt;CALC_ChandraLagna!$D$11),AND(CALC_ChandraLagna!$E$11=CALC_ChandraLagna!$E$11,CALC_ChandraLagna!$D$11&lt;&gt;CALC_ChandraLagna!$D$11),AND(CALC_ChandraLagna!$E$15=CALC_ChandraLagna!$E$11,CALC_ChandraLagna!$D$15&lt;&gt;CALC_ChandraLagna!$D$11)),1,0),0))*-1,0)</f>
        <v>-1</v>
      </c>
      <c r="D23" s="403" t="s">
        <v>4638</v>
      </c>
    </row>
    <row r="24" spans="1:7" ht="15.75" customHeight="1" x14ac:dyDescent="0.2">
      <c r="A24" s="1484" t="s">
        <v>4639</v>
      </c>
      <c r="B24" s="1484"/>
      <c r="C24" s="1484"/>
      <c r="D24" s="1484"/>
    </row>
    <row r="25" spans="1:7" ht="27.75" customHeight="1" x14ac:dyDescent="0.2">
      <c r="A25" s="1119" t="s">
        <v>4640</v>
      </c>
      <c r="B25" s="357" t="s">
        <v>3084</v>
      </c>
      <c r="C25" s="1117">
        <f>IFERROR(IF(CALC_KarakMap!$M$12&gt;0,CALC_KarakMap!$M$12,0),0)</f>
        <v>0</v>
      </c>
      <c r="D25" s="400" t="s">
        <v>4641</v>
      </c>
    </row>
    <row r="26" spans="1:7" ht="27.75" customHeight="1" x14ac:dyDescent="0.2">
      <c r="A26" s="1119" t="s">
        <v>4642</v>
      </c>
      <c r="B26" s="203" t="s">
        <v>4564</v>
      </c>
      <c r="C26" s="1118">
        <f>IFERROR(IF(CALC_KarakMap!$M$12&lt;0,CALC_KarakMap!$M$12,0),0)</f>
        <v>0</v>
      </c>
      <c r="D26" s="403" t="s">
        <v>4643</v>
      </c>
    </row>
    <row r="27" spans="1:7" ht="27.75" customHeight="1" x14ac:dyDescent="0.2">
      <c r="A27" s="1119" t="s">
        <v>4644</v>
      </c>
      <c r="B27" s="296" t="s">
        <v>3624</v>
      </c>
      <c r="C27" s="1117">
        <f>IFERROR(IF(OR(CALC_ChandraLagna!$D$11="Sun",CALC_ChandraLagna!$D$11="Rahu",CALC_ChandraLagna!$D$11="Ketu"),0,IF(CALC_ChandraLagna!$D$11="Moon",IF(CALC_CombustionCheck!$G$4="Cazimi ✓",0.5,IF(CALC_CombustionCheck!$F$4="COMBUST ⚠",-1,0)),IF(CALC_ChandraLagna!$D$11="Mars",IF(CALC_CombustionCheck!$G$5="Cazimi ✓",0.5,IF(AND(CALC_CombustionCheck!$F$5="COMBUST ⚠",CALC_RetrogradeFix!$F$6="Rx ✓"),-0.5,IF(CALC_CombustionCheck!$F$5="COMBUST ⚠",-1,0))),IF(CALC_ChandraLagna!$D$11="Mercury",IF(CALC_CombustionCheck!$G$6="Cazimi ✓",0.5,IF(AND(CALC_CombustionCheck!$F$6="COMBUST ⚠",CALC_RetrogradeFix!$F$7="Rx ✓"),-0.5,IF(CALC_CombustionCheck!$F$6="COMBUST ⚠",-1,0))),IF(CALC_ChandraLagna!$D$11="Jupiter",IF(CALC_CombustionCheck!$G$7="Cazimi ✓",0.5,IF(AND(CALC_CombustionCheck!$F$7="COMBUST ⚠",CALC_RetrogradeFix!$F$8="Rx ✓"),-0.5,IF(CALC_CombustionCheck!$F$7="COMBUST ⚠",-1,0))),IF(CALC_ChandraLagna!$D$11="Venus",IF(CALC_CombustionCheck!$G$8="Cazimi ✓",0.5,IF(AND(CALC_CombustionCheck!$F$8="COMBUST ⚠",CALC_RetrogradeFix!$F$9="Rx ✓"),-0.5,IF(CALC_CombustionCheck!$F$8="COMBUST ⚠",-1,0))),IF(CALC_ChandraLagna!$D$11="Saturn",IF(CALC_CombustionCheck!$G$9="Cazimi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ChandraLagna!$D$11="Rahu",CALC_ChandraLagna!$D$11="Ketu"),0,IF(ISNUMBER(MATCH(CALC_ChandraLagna!$D$11,{"Sun","Moon","Mars","Mercury","Jupiter","Venus","Saturn"},0)),IF(INDEX(CALC_DigBala!$F$4:$F$10,MATCH(CALC_ChandraLagna!$D$11,{"Sun","Moon","Mars","Mercury","Jupiter","Venus","Saturn"},0))="Yes",0.5,0),0)),0)</f>
        <v>0</v>
      </c>
      <c r="D28" s="400" t="s">
        <v>4647</v>
      </c>
    </row>
    <row r="29" spans="1:7" ht="27.75" customHeight="1" x14ac:dyDescent="0.2">
      <c r="A29" s="1120" t="s">
        <v>4648</v>
      </c>
      <c r="B29" s="296" t="s">
        <v>3372</v>
      </c>
      <c r="C29" s="1117">
        <f>IFERROR(IF(COUNTIFS(REF_PushkaraNavamsha!$A$4:$A$27,CALC_ChandraLagna!$E$11,REF_PushkaraNavamsha!$B$4:$B$27,INDEX(CALC_PlanetPositions!$G$7:$G$15,MATCH(CALC_ChandraLagna!$D$11,CALC_PlanetPositions!$A$7:$A$15,0)))&gt;0,0.5,0),0)</f>
        <v>0</v>
      </c>
      <c r="D29" s="400" t="s">
        <v>4649</v>
      </c>
    </row>
    <row r="30" spans="1:7" ht="25.5" customHeight="1" x14ac:dyDescent="0.2">
      <c r="A30" s="147" t="s">
        <v>4650</v>
      </c>
      <c r="B30" s="1121" t="s">
        <v>4651</v>
      </c>
      <c r="C30" s="1122">
        <f>IFERROR(IF(ISNUMBER(MATCH(CALC_ChandraLagna!$D$11,{"Sun","Moon","Mars","Mercury","Jupiter","Venus","Saturn"},0)),INDEX(CALC_RetrogradeFix!$G$4:$G$10,MATCH(CALC_ChandraLagna!$D$11,{"Sun","Moon","Mars","Mercury","Jupiter","Venus","Saturn"},0)),0),0)</f>
        <v>0</v>
      </c>
      <c r="D30" s="1123" t="s">
        <v>4652</v>
      </c>
    </row>
    <row r="31" spans="1:7" ht="18" customHeight="1" x14ac:dyDescent="0.2">
      <c r="A31" s="1555" t="s">
        <v>4653</v>
      </c>
      <c r="B31" s="1555"/>
      <c r="C31" s="1555"/>
      <c r="D31" s="1555"/>
      <c r="E31" s="1124" t="s">
        <v>4654</v>
      </c>
      <c r="F31" s="1125">
        <f>IFERROR(IF(CALC_Ashtakavarga!I$12&gt;28,0.5,IF(CALC_Ashtakavarga!I$12&lt;22,-0.5,0)),0)</f>
        <v>-0.5</v>
      </c>
      <c r="G31" s="1126" t="s">
        <v>4655</v>
      </c>
    </row>
    <row r="32" spans="1:7" ht="18" customHeight="1" x14ac:dyDescent="0.2">
      <c r="A32" s="189" t="s">
        <v>3367</v>
      </c>
      <c r="B32" s="1127" t="s">
        <v>4656</v>
      </c>
      <c r="C32" s="1128">
        <f>IFERROR(SUM(C5:C7),0)</f>
        <v>1.5</v>
      </c>
      <c r="D32" s="1129"/>
    </row>
    <row r="33" spans="1:4" ht="18" customHeight="1" x14ac:dyDescent="0.2">
      <c r="A33" s="189" t="s">
        <v>3372</v>
      </c>
      <c r="B33" s="1127" t="s">
        <v>4657</v>
      </c>
      <c r="C33" s="1128">
        <f>IFERROR(SUM(C9:C13,C28:C30,F31,0),0)</f>
        <v>3.5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1.5</v>
      </c>
      <c r="D37" s="1129"/>
    </row>
    <row r="38" spans="1:4" ht="21.75" customHeight="1" x14ac:dyDescent="0.2">
      <c r="A38" s="89" t="s">
        <v>4661</v>
      </c>
      <c r="B38" s="1129"/>
      <c r="C38" s="1131">
        <f>IFERROR(MAX(-10,MIN(10,C37)),0)</f>
        <v>1.5</v>
      </c>
      <c r="D38" s="1132"/>
    </row>
    <row r="39" spans="1:4" ht="18" customHeight="1" x14ac:dyDescent="0.2">
      <c r="A39" s="517" t="s">
        <v>4662</v>
      </c>
      <c r="B39" s="1129"/>
      <c r="C39" s="1133">
        <f>IFERROR(CALC_LagneshStrength!$I$4,0)</f>
        <v>0</v>
      </c>
      <c r="D39" s="1129"/>
    </row>
    <row r="40" spans="1:4" ht="25.5" customHeight="1" x14ac:dyDescent="0.2">
      <c r="A40" s="1145" t="s">
        <v>4663</v>
      </c>
      <c r="B40" s="1129"/>
      <c r="C40" s="1146">
        <f>IFERROR(MAX(-10,MIN(10,C38+C39+C41)),0)</f>
        <v>1.5</v>
      </c>
      <c r="D40" s="1147" t="str">
        <f>IFERROR(IF(C40&gt;=7,"Excellent — Longevity domain very strong",IF(C40&gt;=4,"Good — Longevity domain strong",IF(C40&gt;=1,"Moderate",IF(C40&gt;=-2,"Mixed — Longevity has challenges",IF(C40&gt;=-5,"Weak","Very weak — Longevity heavily afflicted"))))),"—")</f>
        <v>Moderate</v>
      </c>
    </row>
    <row r="41" spans="1:4" ht="18" customHeight="1" x14ac:dyDescent="0.2">
      <c r="A41" s="622" t="s">
        <v>4681</v>
      </c>
      <c r="B41" s="904" t="s">
        <v>4678</v>
      </c>
      <c r="C41" s="1160">
        <v>0</v>
      </c>
      <c r="D41" s="550" t="s">
        <v>4695</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4696</v>
      </c>
      <c r="B1" s="1518"/>
      <c r="C1" s="1518"/>
      <c r="D1" s="1518"/>
      <c r="L1" s="544" t="s">
        <v>2214</v>
      </c>
    </row>
    <row r="2" spans="1:12" ht="19.5" customHeight="1" x14ac:dyDescent="0.2">
      <c r="A2" s="1595" t="str">
        <f>IFERROR("Chandra Lagna: "&amp;CALC_PlanetPositions!$B$8&amp;"  ·  H9 sign: "&amp;CALC_ChandraLagna!$C$12,"—")</f>
        <v>Chandra Lagna: Cancer  ·  H9 sign: Pisces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7" t="s">
        <v>4605</v>
      </c>
      <c r="B5" s="357" t="s">
        <v>4529</v>
      </c>
      <c r="C5" s="1117">
        <f>IFERROR((IFERROR(IF(INDEX(REF_Zodiac!$D$17:$O$17,MATCH(CALC_ChandraLagna!$C$12,REF_Zodiac!$D$3:$O$3,0))="Gentle",1,0),0))*0.5,0)</f>
        <v>0.5</v>
      </c>
      <c r="D5" s="400" t="s">
        <v>4606</v>
      </c>
    </row>
    <row r="6" spans="1:12" ht="27.75" customHeight="1" x14ac:dyDescent="0.2">
      <c r="A6" s="127"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27" t="s">
        <v>4609</v>
      </c>
      <c r="B7" s="357" t="s">
        <v>4534</v>
      </c>
      <c r="C7" s="1117">
        <f>IFERROR((IFERROR(IF(OR(AND(OR(CALC_PlanetPositions!$M$7="Benefic",CALC_PlanetPositions!$M$7="Yogakaraka"),INDEX(REF_Aspects!$D$5:$O$13,1,MOD(9-(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9)),AND(OR(CALC_PlanetPositions!$M$8="Benefic",CALC_PlanetPositions!$M$8="Yogakaraka"),INDEX(REF_Aspects!$D$5:$O$13,2,MOD(9-(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9)),AND(OR(CALC_PlanetPositions!$M$9="Benefic",CALC_PlanetPositions!$M$9="Yogakaraka"),INDEX(REF_Aspects!$D$5:$O$13,3,MOD(9-(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9)),AND(OR(CALC_PlanetPositions!$M$10="Benefic",CALC_PlanetPositions!$M$10="Yogakaraka"),INDEX(REF_Aspects!$D$5:$O$13,4,MOD(9-(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9)),AND(OR(CALC_PlanetPositions!$M$11="Benefic",CALC_PlanetPositions!$M$11="Yogakaraka"),INDEX(REF_Aspects!$D$5:$O$13,5,MOD(9-(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9)),AND(OR(CALC_PlanetPositions!$M$12="Benefic",CALC_PlanetPositions!$M$12="Yogakaraka"),INDEX(REF_Aspects!$D$5:$O$13,6,MOD(9-(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9)),AND(OR(CALC_PlanetPositions!$M$13="Benefic",CALC_PlanetPositions!$M$13="Yogakaraka"),INDEX(REF_Aspects!$D$5:$O$13,7,MOD(9-(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9)),AND(FALSE(),INDEX(REF_Aspects!$D$5:$O$13,8,MOD(9-(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9)),AND(FALSE(),INDEX(REF_Aspects!$D$5:$O$13,9,MOD(9-(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9))),1,0),0))*IF(REF_Config!$B$6="KP",0.5,IF(REF_Config!$B$6="Jaimini",0.75,0.75)),0)</f>
        <v>0</v>
      </c>
      <c r="D7" s="400" t="s">
        <v>4610</v>
      </c>
    </row>
    <row r="8" spans="1:12" ht="15.75" customHeight="1" x14ac:dyDescent="0.2">
      <c r="A8" s="1597" t="s">
        <v>3372</v>
      </c>
      <c r="B8" s="1597"/>
      <c r="C8" s="1597"/>
      <c r="D8" s="1597"/>
    </row>
    <row r="9" spans="1:12" ht="27.75" customHeight="1" x14ac:dyDescent="0.2">
      <c r="A9" s="127" t="s">
        <v>4611</v>
      </c>
      <c r="B9" s="203" t="s">
        <v>4537</v>
      </c>
      <c r="C9" s="1118">
        <f>IFERROR(IF(AND(OR(CALC_ChandraLagna!$G$12="Yes",CALC_ChandraLagna!$H$12="Yes"),NOT(CALC_ChandraLagna!$I$12="Yes")),1,0)*IF(REF_Config!$B$6="KP",1.5,IF(REF_Config!$B$6="Jaimini",1.5,2)),0)</f>
        <v>2</v>
      </c>
      <c r="D9" s="403" t="s">
        <v>4612</v>
      </c>
    </row>
    <row r="10" spans="1:12" ht="27.75" customHeight="1" x14ac:dyDescent="0.2">
      <c r="A10" s="127" t="s">
        <v>4613</v>
      </c>
      <c r="B10" s="357" t="s">
        <v>3093</v>
      </c>
      <c r="C10" s="1117">
        <f>IFERROR((IFERROR(IF(OR(AND(CALC_ChandraLagna!$E$4=CALC_ChandraLagna!$E$12,CALC_ChandraLagna!$D$4&lt;&gt;CALC_ChandraLagna!$D$12),AND(CALC_ChandraLagna!$E$7=CALC_ChandraLagna!$E$12,CALC_ChandraLagna!$D$7&lt;&gt;CALC_ChandraLagna!$D$12),AND(CALC_ChandraLagna!$E$8=CALC_ChandraLagna!$E$12,CALC_ChandraLagna!$D$8&lt;&gt;CALC_ChandraLagna!$D$12),AND(CALC_ChandraLagna!$E$10=CALC_ChandraLagna!$E$12,CALC_ChandraLagna!$D$10&lt;&gt;CALC_ChandraLagna!$D$12),AND(CALC_ChandraLagna!$E$12=CALC_ChandraLagna!$E$12,CALC_ChandraLagna!$D$12&lt;&gt;CALC_ChandraLagna!$D$12),AND(CALC_ChandraLagna!$E$13=CALC_ChandraLagna!$E$12,CALC_ChandraLagna!$D$13&lt;&gt;CALC_ChandraLagna!$D$12)),1,0),0))*0.5,0)</f>
        <v>0</v>
      </c>
      <c r="D10" s="400" t="s">
        <v>4614</v>
      </c>
    </row>
    <row r="11" spans="1:12" ht="27.75" customHeight="1" x14ac:dyDescent="0.2">
      <c r="A11" s="127" t="s">
        <v>4615</v>
      </c>
      <c r="B11" s="203" t="s">
        <v>4540</v>
      </c>
      <c r="C11" s="1118">
        <f>IFERROR((IFERROR(IF(OR(AND(OR(CALC_PlanetPositions!$M$7="Benefic",CALC_PlanetPositions!$M$7="Yogakaraka"),CALC_PlanetPositions!$B$7=CALC_ChandraLagna!$E$12,CALC_ChandraLagna!$D$12&lt;&gt;"Sun"),AND(OR(CALC_PlanetPositions!$M$8="Benefic",CALC_PlanetPositions!$M$8="Yogakaraka"),CALC_PlanetPositions!$B$8=CALC_ChandraLagna!$E$12,CALC_ChandraLagna!$D$12&lt;&gt;"Moon"),AND(OR(CALC_PlanetPositions!$M$9="Benefic",CALC_PlanetPositions!$M$9="Yogakaraka"),CALC_PlanetPositions!$B$9=CALC_ChandraLagna!$E$12,CALC_ChandraLagna!$D$12&lt;&gt;"Mars"),AND(OR(CALC_PlanetPositions!$M$10="Benefic",CALC_PlanetPositions!$M$10="Yogakaraka"),CALC_PlanetPositions!$B$10=CALC_ChandraLagna!$E$12,CALC_ChandraLagna!$D$12&lt;&gt;"Mercury"),AND(OR(CALC_PlanetPositions!$M$11="Benefic",CALC_PlanetPositions!$M$11="Yogakaraka"),CALC_PlanetPositions!$B$11=CALC_ChandraLagna!$E$12,CALC_ChandraLagna!$D$12&lt;&gt;"Jupiter"),AND(OR(CALC_PlanetPositions!$M$12="Benefic",CALC_PlanetPositions!$M$12="Yogakaraka"),CALC_PlanetPositions!$B$12=CALC_ChandraLagna!$E$12,CALC_ChandraLagna!$D$12&lt;&gt;"Venus"),AND(OR(CALC_PlanetPositions!$M$13="Benefic",CALC_PlanetPositions!$M$13="Yogakaraka"),CALC_PlanetPositions!$B$13=CALC_ChandraLagna!$E$12,CALC_ChandraLagna!$D$12&lt;&gt;"Saturn")),1,0),0))*IF(OR(AND(CALC_PlanetPositions!$M$7="Yogakaraka",CALC_PlanetPositions!$B$7=CALC_ChandraLagna!$E$12,CALC_ChandraLagna!$D$12&lt;&gt;"Sun"),AND(CALC_PlanetPositions!$M$8="Yogakaraka",CALC_PlanetPositions!$B$8=CALC_ChandraLagna!$E$12,CALC_ChandraLagna!$D$12&lt;&gt;"Moon"),AND(CALC_PlanetPositions!$M$9="Yogakaraka",CALC_PlanetPositions!$B$9=CALC_ChandraLagna!$E$12,CALC_ChandraLagna!$D$12&lt;&gt;"Mars"),AND(CALC_PlanetPositions!$M$10="Yogakaraka",CALC_PlanetPositions!$B$10=CALC_ChandraLagna!$E$12,CALC_ChandraLagna!$D$12&lt;&gt;"Mercury"),AND(CALC_PlanetPositions!$M$11="Yogakaraka",CALC_PlanetPositions!$B$11=CALC_ChandraLagna!$E$12,CALC_ChandraLagna!$D$12&lt;&gt;"Jupiter"),AND(CALC_PlanetPositions!$M$12="Yogakaraka",CALC_PlanetPositions!$B$12=CALC_ChandraLagna!$E$12,CALC_ChandraLagna!$D$12&lt;&gt;"Venus"),AND(CALC_PlanetPositions!$M$13="Yogakaraka",CALC_PlanetPositions!$B$13=CALC_ChandraLagna!$E$12,CALC_ChandraLagna!$D$12&lt;&gt;"Saturn")),1.5,1),0)</f>
        <v>0</v>
      </c>
      <c r="D11" s="403" t="s">
        <v>4616</v>
      </c>
    </row>
    <row r="12" spans="1:12" ht="27.75" customHeight="1" x14ac:dyDescent="0.2">
      <c r="A12" s="127" t="s">
        <v>4617</v>
      </c>
      <c r="B12" s="357" t="s">
        <v>4542</v>
      </c>
      <c r="C12" s="1117">
        <f>IFERROR((IFERROR(IF(OR(AND(OR(CALC_PlanetPositions!$M$7="Benefic",CALC_PlanetPositions!$M$7="Yogakaraka"),INDEX(REF_Aspects!$D$5:$O$13,1,MOD(CALC_ChandraLagna!$F$12-(MOD(MATCH(CALC_PlanetPositions!$B$7,{"Aries","Taurus","Gemini","Cancer","Leo","Virgo","Libra","Scorpio","Sagittarius","Capricorn","Aquarius","Pisces"},0)-MATCH(CALC_PlanetPositions!$B$8,{"Aries","Taurus","Gemini","Cancer","Leo","Virgo","Libra","Scorpio","Sagittarius","Capricorn","Aquarius","Pisces"},0),12)+1),12)+1)="FULL",NOT(CALC_PlanetPositions!$B$7=CALC_ChandraLagna!$E$12)),AND(OR(CALC_PlanetPositions!$M$8="Benefic",CALC_PlanetPositions!$M$8="Yogakaraka"),INDEX(REF_Aspects!$D$5:$O$13,2,MOD(CALC_ChandraLagna!$F$12-(MOD(MATCH(CALC_PlanetPositions!$B$8,{"Aries","Taurus","Gemini","Cancer","Leo","Virgo","Libra","Scorpio","Sagittarius","Capricorn","Aquarius","Pisces"},0)-MATCH(CALC_PlanetPositions!$B$8,{"Aries","Taurus","Gemini","Cancer","Leo","Virgo","Libra","Scorpio","Sagittarius","Capricorn","Aquarius","Pisces"},0),12)+1),12)+1)="FULL",NOT(CALC_PlanetPositions!$B$8=CALC_ChandraLagna!$E$12)),AND(OR(CALC_PlanetPositions!$M$9="Benefic",CALC_PlanetPositions!$M$9="Yogakaraka"),INDEX(REF_Aspects!$D$5:$O$13,3,MOD(CALC_ChandraLagna!$F$12-(MOD(MATCH(CALC_PlanetPositions!$B$9,{"Aries","Taurus","Gemini","Cancer","Leo","Virgo","Libra","Scorpio","Sagittarius","Capricorn","Aquarius","Pisces"},0)-MATCH(CALC_PlanetPositions!$B$8,{"Aries","Taurus","Gemini","Cancer","Leo","Virgo","Libra","Scorpio","Sagittarius","Capricorn","Aquarius","Pisces"},0),12)+1),12)+1)="FULL",NOT(CALC_PlanetPositions!$B$9=CALC_ChandraLagna!$E$12)),AND(OR(CALC_PlanetPositions!$M$10="Benefic",CALC_PlanetPositions!$M$10="Yogakaraka"),INDEX(REF_Aspects!$D$5:$O$13,4,MOD(CALC_ChandraLagna!$F$12-(MOD(MATCH(CALC_PlanetPositions!$B$10,{"Aries","Taurus","Gemini","Cancer","Leo","Virgo","Libra","Scorpio","Sagittarius","Capricorn","Aquarius","Pisces"},0)-MATCH(CALC_PlanetPositions!$B$8,{"Aries","Taurus","Gemini","Cancer","Leo","Virgo","Libra","Scorpio","Sagittarius","Capricorn","Aquarius","Pisces"},0),12)+1),12)+1)="FULL",NOT(CALC_PlanetPositions!$B$10=CALC_ChandraLagna!$E$12)),AND(OR(CALC_PlanetPositions!$M$11="Benefic",CALC_PlanetPositions!$M$11="Yogakaraka"),INDEX(REF_Aspects!$D$5:$O$13,5,MOD(CALC_ChandraLagna!$F$12-(MOD(MATCH(CALC_PlanetPositions!$B$11,{"Aries","Taurus","Gemini","Cancer","Leo","Virgo","Libra","Scorpio","Sagittarius","Capricorn","Aquarius","Pisces"},0)-MATCH(CALC_PlanetPositions!$B$8,{"Aries","Taurus","Gemini","Cancer","Leo","Virgo","Libra","Scorpio","Sagittarius","Capricorn","Aquarius","Pisces"},0),12)+1),12)+1)="FULL",NOT(CALC_PlanetPositions!$B$11=CALC_ChandraLagna!$E$12)),AND(OR(CALC_PlanetPositions!$M$12="Benefic",CALC_PlanetPositions!$M$12="Yogakaraka"),INDEX(REF_Aspects!$D$5:$O$13,6,MOD(CALC_ChandraLagna!$F$12-(MOD(MATCH(CALC_PlanetPositions!$B$12,{"Aries","Taurus","Gemini","Cancer","Leo","Virgo","Libra","Scorpio","Sagittarius","Capricorn","Aquarius","Pisces"},0)-MATCH(CALC_PlanetPositions!$B$8,{"Aries","Taurus","Gemini","Cancer","Leo","Virgo","Libra","Scorpio","Sagittarius","Capricorn","Aquarius","Pisces"},0),12)+1),12)+1)="FULL",NOT(CALC_PlanetPositions!$B$12=CALC_ChandraLagna!$E$12)),AND(OR(CALC_PlanetPositions!$M$13="Benefic",CALC_PlanetPositions!$M$13="Yogakaraka"),INDEX(REF_Aspects!$D$5:$O$13,7,MOD(CALC_ChandraLagna!$F$12-(MOD(MATCH(CALC_PlanetPositions!$B$13,{"Aries","Taurus","Gemini","Cancer","Leo","Virgo","Libra","Scorpio","Sagittarius","Capricorn","Aquarius","Pisces"},0)-MATCH(CALC_PlanetPositions!$B$8,{"Aries","Taurus","Gemini","Cancer","Leo","Virgo","Libra","Scorpio","Sagittarius","Capricorn","Aquarius","Pisces"},0),12)+1),12)+1)="FULL",NOT(CALC_PlanetPositions!$B$13=CALC_ChandraLagna!$E$12)),AND(FALSE(),INDEX(REF_Aspects!$D$5:$O$13,8,MOD(CALC_ChandraLagna!$F$12-(MOD(MATCH(CALC_PlanetPositions!$B$14,{"Aries","Taurus","Gemini","Cancer","Leo","Virgo","Libra","Scorpio","Sagittarius","Capricorn","Aquarius","Pisces"},0)-MATCH(CALC_PlanetPositions!$B$8,{"Aries","Taurus","Gemini","Cancer","Leo","Virgo","Libra","Scorpio","Sagittarius","Capricorn","Aquarius","Pisces"},0),12)+1),12)+1)="FULL",NOT(CALC_PlanetPositions!$B$14=CALC_ChandraLagna!$E$12)),AND(FALSE(),INDEX(REF_Aspects!$D$5:$O$13,9,MOD(CALC_ChandraLagna!$F$12-(MOD(MATCH(CALC_PlanetPositions!$B$15,{"Aries","Taurus","Gemini","Cancer","Leo","Virgo","Libra","Scorpio","Sagittarius","Capricorn","Aquarius","Pisces"},0)-MATCH(CALC_PlanetPositions!$B$8,{"Aries","Taurus","Gemini","Cancer","Leo","Virgo","Libra","Scorpio","Sagittarius","Capricorn","Aquarius","Pisces"},0),12)+1),12)+1)="FULL",NOT(CALC_PlanetPositions!$B$15=CALC_ChandraLagna!$E$12))),1,0),0))*0.5,0)</f>
        <v>0</v>
      </c>
      <c r="D12" s="400" t="s">
        <v>4618</v>
      </c>
    </row>
    <row r="13" spans="1:12" ht="27.75" customHeight="1" x14ac:dyDescent="0.2">
      <c r="A13" s="127"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$12-2,12)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$12-2,12)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$12-2,12)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$12-2,12)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$12-2,12)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$12-2,12)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$12-2,12)+1)),AND(FALSE(),MOD(MATCH(CALC_PlanetPositions!$B$14,{"Aries","Taurus","Gemini","Cancer","Leo","Virgo","Libra","Scorpio","Sagittarius","Capricorn","Aquarius","Pisces"},0)-MATCH(CALC_PlanetPositions!$B$8,{"Aries","Taurus","Gemini","Cancer","Leo","Virgo","Libra","Scorpio","Sagittarius","Capricorn","Aquarius","Pisces"},0),12)+1=(MOD(CALC_ChandraLagna!$F$12-2,12)+1)),AND(FALSE(),MOD(MATCH(CALC_PlanetPositions!$B$15,{"Aries","Taurus","Gemini","Cancer","Leo","Virgo","Libra","Scorpio","Sagittarius","Capricorn","Aquarius","Pisces"},0)-MATCH(CALC_PlanetPositions!$B$8,{"Aries","Taurus","Gemini","Cancer","Leo","Virgo","Libra","Scorpio","Sagittarius","Capricorn","Aquarius","Pisces"},0),12)+1=(MOD(CALC_ChandraLagna!$F$12-2,12)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$12,12)+1)),AND(FALSE(),MOD(MATCH(CALC_PlanetPositions!$B$14,{"Aries","Taurus","Gemini","Cancer","Leo","Virgo","Libra","Scorpio","Sagittarius","Capricorn","Aquarius","Pisces"},0)-MATCH(CALC_PlanetPositions!$B$8,{"Aries","Taurus","Gemini","Cancer","Leo","Virgo","Libra","Scorpio","Sagittarius","Capricorn","Aquarius","Pisces"},0),12)+1=(MOD(CALC_ChandraLagna!$F$12,12)+1)),AND(FALSE(),MOD(MATCH(CALC_PlanetPositions!$B$15,{"Aries","Taurus","Gemini","Cancer","Leo","Virgo","Libra","Scorpio","Sagittarius","Capricorn","Aquarius","Pisces"},0)-MATCH(CALC_PlanetPositions!$B$8,{"Aries","Taurus","Gemini","Cancer","Leo","Virgo","Libra","Scorpio","Sagittarius","Capricorn","Aquarius","Pisces"},0),12)+1=(MOD(CALC_ChandraLagna!$F$12,12)+1)))),1,0),0))*IF(REF_Config!$B$6="KP",0.75,IF(REF_Config!$B$6="Jaimini",0.5,0.75)),0)</f>
        <v>0</v>
      </c>
      <c r="D13" s="403" t="s">
        <v>4620</v>
      </c>
    </row>
    <row r="14" spans="1:12" ht="15.75" customHeight="1" x14ac:dyDescent="0.2">
      <c r="A14" s="1598" t="s">
        <v>4621</v>
      </c>
      <c r="B14" s="1598"/>
      <c r="C14" s="1598"/>
      <c r="D14" s="1598"/>
    </row>
    <row r="15" spans="1:12" ht="27.75" customHeight="1" x14ac:dyDescent="0.2">
      <c r="A15" s="127"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9),AND(CALC_PlanetPositions!$M$8="Malefic",(MOD(MATCH(CALC_PlanetPositions!$B$8,{"Aries","Taurus","Gemini","Cancer","Leo","Virgo","Libra","Scorpio","Sagittarius","Capricorn","Aquarius","Pisces"},0)-MATCH(CALC_PlanetPositions!$B$8,{"Aries","Taurus","Gemini","Cancer","Leo","Virgo","Libra","Scorpio","Sagittarius","Capricorn","Aquarius","Pisces"},0),12)+1)=9),AND(CALC_PlanetPositions!$M$9="Malefic",(MOD(MATCH(CALC_PlanetPositions!$B$9,{"Aries","Taurus","Gemini","Cancer","Leo","Virgo","Libra","Scorpio","Sagittarius","Capricorn","Aquarius","Pisces"},0)-MATCH(CALC_PlanetPositions!$B$8,{"Aries","Taurus","Gemini","Cancer","Leo","Virgo","Libra","Scorpio","Sagittarius","Capricorn","Aquarius","Pisces"},0),12)+1)=9),AND(CALC_PlanetPositions!$M$10="Malefic",(MOD(MATCH(CALC_PlanetPositions!$B$10,{"Aries","Taurus","Gemini","Cancer","Leo","Virgo","Libra","Scorpio","Sagittarius","Capricorn","Aquarius","Pisces"},0)-MATCH(CALC_PlanetPositions!$B$8,{"Aries","Taurus","Gemini","Cancer","Leo","Virgo","Libra","Scorpio","Sagittarius","Capricorn","Aquarius","Pisces"},0),12)+1)=9),AND(CALC_PlanetPositions!$M$11="Malefic",(MOD(MATCH(CALC_PlanetPositions!$B$11,{"Aries","Taurus","Gemini","Cancer","Leo","Virgo","Libra","Scorpio","Sagittarius","Capricorn","Aquarius","Pisces"},0)-MATCH(CALC_PlanetPositions!$B$8,{"Aries","Taurus","Gemini","Cancer","Leo","Virgo","Libra","Scorpio","Sagittarius","Capricorn","Aquarius","Pisces"},0),12)+1)=9),AND(CALC_PlanetPositions!$M$12="Malefic",(MOD(MATCH(CALC_PlanetPositions!$B$12,{"Aries","Taurus","Gemini","Cancer","Leo","Virgo","Libra","Scorpio","Sagittarius","Capricorn","Aquarius","Pisces"},0)-MATCH(CALC_PlanetPositions!$B$8,{"Aries","Taurus","Gemini","Cancer","Leo","Virgo","Libra","Scorpio","Sagittarius","Capricorn","Aquarius","Pisces"},0),12)+1)=9),AND(CALC_PlanetPositions!$M$13="Malefic",(MOD(MATCH(CALC_PlanetPositions!$B$13,{"Aries","Taurus","Gemini","Cancer","Leo","Virgo","Libra","Scorpio","Sagittarius","Capricorn","Aquarius","Pisces"},0)-MATCH(CALC_PlanetPositions!$B$8,{"Aries","Taurus","Gemini","Cancer","Leo","Virgo","Libra","Scorpio","Sagittarius","Capricorn","Aquarius","Pisces"},0),12)+1)=9),AND(TRUE(),(MOD(MATCH(CALC_PlanetPositions!$B$14,{"Aries","Taurus","Gemini","Cancer","Leo","Virgo","Libra","Scorpio","Sagittarius","Capricorn","Aquarius","Pisces"},0)-MATCH(CALC_PlanetPositions!$B$8,{"Aries","Taurus","Gemini","Cancer","Leo","Virgo","Libra","Scorpio","Sagittarius","Capricorn","Aquarius","Pisces"},0),12)+1)=9),AND(TRUE(),(MOD(MATCH(CALC_PlanetPositions!$B$15,{"Aries","Taurus","Gemini","Cancer","Leo","Virgo","Libra","Scorpio","Sagittarius","Capricorn","Aquarius","Pisces"},0)-MATCH(CALC_PlanetPositions!$B$8,{"Aries","Taurus","Gemini","Cancer","Leo","Virgo","Libra","Scorpio","Sagittarius","Capricorn","Aquarius","Pisces"},0),12)+1)=9)),1,0),0))*-1,0)</f>
        <v>0</v>
      </c>
      <c r="D15" s="400" t="s">
        <v>4623</v>
      </c>
    </row>
    <row r="16" spans="1:12" ht="27.75" customHeight="1" x14ac:dyDescent="0.2">
      <c r="A16" s="127" t="s">
        <v>4624</v>
      </c>
      <c r="B16" s="203" t="s">
        <v>4548</v>
      </c>
      <c r="C16" s="1118">
        <f>IFERROR((IFERROR(IF(OR(AND(CALC_PlanetPositions!$M$7="Malefic",INDEX(REF_Aspects!$D$5:$O$13,1,MOD(9-(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9)),AND(CALC_PlanetPositions!$M$8="Malefic",INDEX(REF_Aspects!$D$5:$O$13,2,MOD(9-(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9)),AND(CALC_PlanetPositions!$M$9="Malefic",INDEX(REF_Aspects!$D$5:$O$13,3,MOD(9-(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9)),AND(CALC_PlanetPositions!$M$10="Malefic",INDEX(REF_Aspects!$D$5:$O$13,4,MOD(9-(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9)),AND(CALC_PlanetPositions!$M$11="Malefic",INDEX(REF_Aspects!$D$5:$O$13,5,MOD(9-(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9)),AND(CALC_PlanetPositions!$M$12="Malefic",INDEX(REF_Aspects!$D$5:$O$13,6,MOD(9-(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9)),AND(CALC_PlanetPositions!$M$13="Malefic",INDEX(REF_Aspects!$D$5:$O$13,7,MOD(9-(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9)),AND(TRUE(),INDEX(REF_Aspects!$D$5:$O$13,8,MOD(9-(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9)),AND(TRUE(),INDEX(REF_Aspects!$D$5:$O$13,9,MOD(9-(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9))),1,0),0))*-1,0)</f>
        <v>-1</v>
      </c>
      <c r="D16" s="403" t="s">
        <v>4625</v>
      </c>
    </row>
    <row r="17" spans="1:7" ht="27.75" customHeight="1" x14ac:dyDescent="0.2">
      <c r="A17" s="127" t="s">
        <v>4626</v>
      </c>
      <c r="B17" s="357" t="s">
        <v>3062</v>
      </c>
      <c r="C17" s="1117">
        <v>0</v>
      </c>
      <c r="D17" s="400" t="s">
        <v>4627</v>
      </c>
    </row>
    <row r="18" spans="1:7" ht="27.75" customHeight="1" x14ac:dyDescent="0.2">
      <c r="A18" s="127"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(9-2,12)+1)),AND(CALC_PlanetPositions!$M$8="Malefic",MOD(MATCH(CALC_PlanetPositions!$B$8,{"Aries","Taurus","Gemini","Cancer","Leo","Virgo","Libra","Scorpio","Sagittarius","Capricorn","Aquarius","Pisces"},0)-MATCH(CALC_PlanetPositions!$B$8,{"Aries","Taurus","Gemini","Cancer","Leo","Virgo","Libra","Scorpio","Sagittarius","Capricorn","Aquarius","Pisces"},0),12)+1=(MOD(9-2,12)+1)),AND(CALC_PlanetPositions!$M$9="Malefic",MOD(MATCH(CALC_PlanetPositions!$B$9,{"Aries","Taurus","Gemini","Cancer","Leo","Virgo","Libra","Scorpio","Sagittarius","Capricorn","Aquarius","Pisces"},0)-MATCH(CALC_PlanetPositions!$B$8,{"Aries","Taurus","Gemini","Cancer","Leo","Virgo","Libra","Scorpio","Sagittarius","Capricorn","Aquarius","Pisces"},0),12)+1=(MOD(9-2,12)+1)),AND(CALC_PlanetPositions!$M$10="Malefic",MOD(MATCH(CALC_PlanetPositions!$B$10,{"Aries","Taurus","Gemini","Cancer","Leo","Virgo","Libra","Scorpio","Sagittarius","Capricorn","Aquarius","Pisces"},0)-MATCH(CALC_PlanetPositions!$B$8,{"Aries","Taurus","Gemini","Cancer","Leo","Virgo","Libra","Scorpio","Sagittarius","Capricorn","Aquarius","Pisces"},0),12)+1=(MOD(9-2,12)+1)),AND(CALC_PlanetPositions!$M$11="Malefic",MOD(MATCH(CALC_PlanetPositions!$B$11,{"Aries","Taurus","Gemini","Cancer","Leo","Virgo","Libra","Scorpio","Sagittarius","Capricorn","Aquarius","Pisces"},0)-MATCH(CALC_PlanetPositions!$B$8,{"Aries","Taurus","Gemini","Cancer","Leo","Virgo","Libra","Scorpio","Sagittarius","Capricorn","Aquarius","Pisces"},0),12)+1=(MOD(9-2,12)+1)),AND(CALC_PlanetPositions!$M$12="Malefic",MOD(MATCH(CALC_PlanetPositions!$B$12,{"Aries","Taurus","Gemini","Cancer","Leo","Virgo","Libra","Scorpio","Sagittarius","Capricorn","Aquarius","Pisces"},0)-MATCH(CALC_PlanetPositions!$B$8,{"Aries","Taurus","Gemini","Cancer","Leo","Virgo","Libra","Scorpio","Sagittarius","Capricorn","Aquarius","Pisces"},0),12)+1=(MOD(9-2,12)+1)),AND(CALC_PlanetPositions!$M$13="Malefic",MOD(MATCH(CALC_PlanetPositions!$B$13,{"Aries","Taurus","Gemini","Cancer","Leo","Virgo","Libra","Scorpio","Sagittarius","Capricorn","Aquarius","Pisces"},0)-MATCH(CALC_PlanetPositions!$B$8,{"Aries","Taurus","Gemini","Cancer","Leo","Virgo","Libra","Scorpio","Sagittarius","Capricorn","Aquarius","Pisces"},0),12)+1=(MOD(9-2,12)+1)),AND(TRUE(),MOD(MATCH(CALC_PlanetPositions!$B$14,{"Aries","Taurus","Gemini","Cancer","Leo","Virgo","Libra","Scorpio","Sagittarius","Capricorn","Aquarius","Pisces"},0)-MATCH(CALC_PlanetPositions!$B$8,{"Aries","Taurus","Gemini","Cancer","Leo","Virgo","Libra","Scorpio","Sagittarius","Capricorn","Aquarius","Pisces"},0),12)+1=(MOD(9-2,12)+1)),AND(TRUE(),MOD(MATCH(CALC_PlanetPositions!$B$15,{"Aries","Taurus","Gemini","Cancer","Leo","Virgo","Libra","Scorpio","Sagittarius","Capricorn","Aquarius","Pisces"},0)-MATCH(CALC_PlanetPositions!$B$8,{"Aries","Taurus","Gemini","Cancer","Leo","Virgo","Libra","Scorpio","Sagittarius","Capricorn","Aquarius","Pisces"},0),12)+1=(MOD(9-2,12)+1))),OR(AND(CALC_PlanetPositions!$M$7="Malefic",MOD(MATCH(CALC_PlanetPositions!$B$7,{"Aries","Taurus","Gemini","Cancer","Leo","Virgo","Libra","Scorpio","Sagittarius","Capricorn","Aquarius","Pisces"},0)-MATCH(CALC_PlanetPositions!$B$8,{"Aries","Taurus","Gemini","Cancer","Leo","Virgo","Libra","Scorpio","Sagittarius","Capricorn","Aquarius","Pisces"},0),12)+1=(MOD(9,12)+1)),AND(CALC_PlanetPositions!$M$8="Malefic",MOD(MATCH(CALC_PlanetPositions!$B$8,{"Aries","Taurus","Gemini","Cancer","Leo","Virgo","Libra","Scorpio","Sagittarius","Capricorn","Aquarius","Pisces"},0)-MATCH(CALC_PlanetPositions!$B$8,{"Aries","Taurus","Gemini","Cancer","Leo","Virgo","Libra","Scorpio","Sagittarius","Capricorn","Aquarius","Pisces"},0),12)+1=(MOD(9,12)+1)),AND(CALC_PlanetPositions!$M$9="Malefic",MOD(MATCH(CALC_PlanetPositions!$B$9,{"Aries","Taurus","Gemini","Cancer","Leo","Virgo","Libra","Scorpio","Sagittarius","Capricorn","Aquarius","Pisces"},0)-MATCH(CALC_PlanetPositions!$B$8,{"Aries","Taurus","Gemini","Cancer","Leo","Virgo","Libra","Scorpio","Sagittarius","Capricorn","Aquarius","Pisces"},0),12)+1=(MOD(9,12)+1)),AND(CALC_PlanetPositions!$M$10="Malefic",MOD(MATCH(CALC_PlanetPositions!$B$10,{"Aries","Taurus","Gemini","Cancer","Leo","Virgo","Libra","Scorpio","Sagittarius","Capricorn","Aquarius","Pisces"},0)-MATCH(CALC_PlanetPositions!$B$8,{"Aries","Taurus","Gemini","Cancer","Leo","Virgo","Libra","Scorpio","Sagittarius","Capricorn","Aquarius","Pisces"},0),12)+1=(MOD(9,12)+1)),AND(CALC_PlanetPositions!$M$11="Malefic",MOD(MATCH(CALC_PlanetPositions!$B$11,{"Aries","Taurus","Gemini","Cancer","Leo","Virgo","Libra","Scorpio","Sagittarius","Capricorn","Aquarius","Pisces"},0)-MATCH(CALC_PlanetPositions!$B$8,{"Aries","Taurus","Gemini","Cancer","Leo","Virgo","Libra","Scorpio","Sagittarius","Capricorn","Aquarius","Pisces"},0),12)+1=(MOD(9,12)+1)),AND(CALC_PlanetPositions!$M$12="Malefic",MOD(MATCH(CALC_PlanetPositions!$B$12,{"Aries","Taurus","Gemini","Cancer","Leo","Virgo","Libra","Scorpio","Sagittarius","Capricorn","Aquarius","Pisces"},0)-MATCH(CALC_PlanetPositions!$B$8,{"Aries","Taurus","Gemini","Cancer","Leo","Virgo","Libra","Scorpio","Sagittarius","Capricorn","Aquarius","Pisces"},0),12)+1=(MOD(9,12)+1)),AND(CALC_PlanetPositions!$M$13="Malefic",MOD(MATCH(CALC_PlanetPositions!$B$13,{"Aries","Taurus","Gemini","Cancer","Leo","Virgo","Libra","Scorpio","Sagittarius","Capricorn","Aquarius","Pisces"},0)-MATCH(CALC_PlanetPositions!$B$8,{"Aries","Taurus","Gemini","Cancer","Leo","Virgo","Libra","Scorpio","Sagittarius","Capricorn","Aquarius","Pisces"},0),12)+1=(MOD(9,12)+1)),AND(TRUE(),MOD(MATCH(CALC_PlanetPositions!$B$14,{"Aries","Taurus","Gemini","Cancer","Leo","Virgo","Libra","Scorpio","Sagittarius","Capricorn","Aquarius","Pisces"},0)-MATCH(CALC_PlanetPositions!$B$8,{"Aries","Taurus","Gemini","Cancer","Leo","Virgo","Libra","Scorpio","Sagittarius","Capricorn","Aquarius","Pisces"},0),12)+1=(MOD(9,12)+1)),AND(TRUE(),MOD(MATCH(CALC_PlanetPositions!$B$15,{"Aries","Taurus","Gemini","Cancer","Leo","Virgo","Libra","Scorpio","Sagittarius","Capricorn","Aquarius","Pisces"},0)-MATCH(CALC_PlanetPositions!$B$8,{"Aries","Taurus","Gemini","Cancer","Leo","Virgo","Libra","Scorpio","Sagittarius","Capricorn","Aquarius","Pisces"},0),12)+1=(MOD(9,12)+1)))),1,0),0))*IF(REF_Config!$B$6="KP",-0.75,IF(REF_Config!$B$6="Jaimini",-0.5,-0.75)),0)</f>
        <v>0</v>
      </c>
      <c r="D18" s="403" t="s">
        <v>4629</v>
      </c>
    </row>
    <row r="19" spans="1:7" ht="15.75" customHeight="1" x14ac:dyDescent="0.2">
      <c r="A19" s="1594" t="s">
        <v>3624</v>
      </c>
      <c r="B19" s="1594"/>
      <c r="C19" s="1594"/>
      <c r="D19" s="1594"/>
    </row>
    <row r="20" spans="1:7" ht="27.75" customHeight="1" x14ac:dyDescent="0.2">
      <c r="A20" s="127" t="s">
        <v>4630</v>
      </c>
      <c r="B20" s="357" t="s">
        <v>4555</v>
      </c>
      <c r="C20" s="1117">
        <v>0</v>
      </c>
      <c r="D20" s="400" t="s">
        <v>4631</v>
      </c>
    </row>
    <row r="21" spans="1:7" ht="27.75" customHeight="1" x14ac:dyDescent="0.2">
      <c r="A21" s="127" t="s">
        <v>4632</v>
      </c>
      <c r="B21" s="203" t="s">
        <v>4633</v>
      </c>
      <c r="C21" s="1118">
        <f>IFERROR((IFERROR(IF(OR(AND(CALC_PlanetPositions!$M$7="Malefic",INDEX(REF_Aspects!$D$5:$O$13,1,MOD(CALC_ChandraLagna!$F$12-(MOD(MATCH(CALC_PlanetPositions!$B$7,{"Aries","Taurus","Gemini","Cancer","Leo","Virgo","Libra","Scorpio","Sagittarius","Capricorn","Aquarius","Pisces"},0)-MATCH(CALC_PlanetPositions!$B$8,{"Aries","Taurus","Gemini","Cancer","Leo","Virgo","Libra","Scorpio","Sagittarius","Capricorn","Aquarius","Pisces"},0),12)+1),12)+1)="FULL",NOT(CALC_PlanetPositions!$B$7=CALC_ChandraLagna!$E$12)),AND(CALC_PlanetPositions!$M$8="Malefic",INDEX(REF_Aspects!$D$5:$O$13,2,MOD(CALC_ChandraLagna!$F$12-(MOD(MATCH(CALC_PlanetPositions!$B$8,{"Aries","Taurus","Gemini","Cancer","Leo","Virgo","Libra","Scorpio","Sagittarius","Capricorn","Aquarius","Pisces"},0)-MATCH(CALC_PlanetPositions!$B$8,{"Aries","Taurus","Gemini","Cancer","Leo","Virgo","Libra","Scorpio","Sagittarius","Capricorn","Aquarius","Pisces"},0),12)+1),12)+1)="FULL",NOT(CALC_PlanetPositions!$B$8=CALC_ChandraLagna!$E$12)),AND(CALC_PlanetPositions!$M$9="Malefic",INDEX(REF_Aspects!$D$5:$O$13,3,MOD(CALC_ChandraLagna!$F$12-(MOD(MATCH(CALC_PlanetPositions!$B$9,{"Aries","Taurus","Gemini","Cancer","Leo","Virgo","Libra","Scorpio","Sagittarius","Capricorn","Aquarius","Pisces"},0)-MATCH(CALC_PlanetPositions!$B$8,{"Aries","Taurus","Gemini","Cancer","Leo","Virgo","Libra","Scorpio","Sagittarius","Capricorn","Aquarius","Pisces"},0),12)+1),12)+1)="FULL",NOT(CALC_PlanetPositions!$B$9=CALC_ChandraLagna!$E$12)),AND(CALC_PlanetPositions!$M$10="Malefic",INDEX(REF_Aspects!$D$5:$O$13,4,MOD(CALC_ChandraLagna!$F$12-(MOD(MATCH(CALC_PlanetPositions!$B$10,{"Aries","Taurus","Gemini","Cancer","Leo","Virgo","Libra","Scorpio","Sagittarius","Capricorn","Aquarius","Pisces"},0)-MATCH(CALC_PlanetPositions!$B$8,{"Aries","Taurus","Gemini","Cancer","Leo","Virgo","Libra","Scorpio","Sagittarius","Capricorn","Aquarius","Pisces"},0),12)+1),12)+1)="FULL",NOT(CALC_PlanetPositions!$B$10=CALC_ChandraLagna!$E$12)),AND(CALC_PlanetPositions!$M$11="Malefic",INDEX(REF_Aspects!$D$5:$O$13,5,MOD(CALC_ChandraLagna!$F$12-(MOD(MATCH(CALC_PlanetPositions!$B$11,{"Aries","Taurus","Gemini","Cancer","Leo","Virgo","Libra","Scorpio","Sagittarius","Capricorn","Aquarius","Pisces"},0)-MATCH(CALC_PlanetPositions!$B$8,{"Aries","Taurus","Gemini","Cancer","Leo","Virgo","Libra","Scorpio","Sagittarius","Capricorn","Aquarius","Pisces"},0),12)+1),12)+1)="FULL",NOT(CALC_PlanetPositions!$B$11=CALC_ChandraLagna!$E$12)),AND(CALC_PlanetPositions!$M$12="Malefic",INDEX(REF_Aspects!$D$5:$O$13,6,MOD(CALC_ChandraLagna!$F$12-(MOD(MATCH(CALC_PlanetPositions!$B$12,{"Aries","Taurus","Gemini","Cancer","Leo","Virgo","Libra","Scorpio","Sagittarius","Capricorn","Aquarius","Pisces"},0)-MATCH(CALC_PlanetPositions!$B$8,{"Aries","Taurus","Gemini","Cancer","Leo","Virgo","Libra","Scorpio","Sagittarius","Capricorn","Aquarius","Pisces"},0),12)+1),12)+1)="FULL",NOT(CALC_PlanetPositions!$B$12=CALC_ChandraLagna!$E$12)),AND(CALC_PlanetPositions!$M$13="Malefic",INDEX(REF_Aspects!$D$5:$O$13,7,MOD(CALC_ChandraLagna!$F$12-(MOD(MATCH(CALC_PlanetPositions!$B$13,{"Aries","Taurus","Gemini","Cancer","Leo","Virgo","Libra","Scorpio","Sagittarius","Capricorn","Aquarius","Pisces"},0)-MATCH(CALC_PlanetPositions!$B$8,{"Aries","Taurus","Gemini","Cancer","Leo","Virgo","Libra","Scorpio","Sagittarius","Capricorn","Aquarius","Pisces"},0),12)+1),12)+1)="FULL",NOT(CALC_PlanetPositions!$B$13=CALC_ChandraLagna!$E$12)),AND(TRUE(),INDEX(REF_Aspects!$D$5:$O$13,8,MOD(CALC_ChandraLagna!$F$12-(MOD(MATCH(CALC_PlanetPositions!$B$14,{"Aries","Taurus","Gemini","Cancer","Leo","Virgo","Libra","Scorpio","Sagittarius","Capricorn","Aquarius","Pisces"},0)-MATCH(CALC_PlanetPositions!$B$8,{"Aries","Taurus","Gemini","Cancer","Leo","Virgo","Libra","Scorpio","Sagittarius","Capricorn","Aquarius","Pisces"},0),12)+1),12)+1)="FULL",NOT(CALC_PlanetPositions!$B$14=CALC_ChandraLagna!$E$12)),AND(TRUE(),INDEX(REF_Aspects!$D$5:$O$13,9,MOD(CALC_ChandraLagna!$F$12-(MOD(MATCH(CALC_PlanetPositions!$B$15,{"Aries","Taurus","Gemini","Cancer","Leo","Virgo","Libra","Scorpio","Sagittarius","Capricorn","Aquarius","Pisces"},0)-MATCH(CALC_PlanetPositions!$B$8,{"Aries","Taurus","Gemini","Cancer","Leo","Virgo","Libra","Scorpio","Sagittarius","Capricorn","Aquarius","Pisces"},0),12)+1),12)+1)="FULL",NOT(CALC_PlanetPositions!$B$15=CALC_ChandraLagna!$E$12))),1,0),0))*-0.5,0)</f>
        <v>0</v>
      </c>
      <c r="D21" s="403" t="s">
        <v>4634</v>
      </c>
    </row>
    <row r="22" spans="1:7" ht="27.75" customHeight="1" x14ac:dyDescent="0.2">
      <c r="A22" s="127" t="s">
        <v>4635</v>
      </c>
      <c r="B22" s="357" t="s">
        <v>3042</v>
      </c>
      <c r="C22" s="1117">
        <f>IFERROR((IFERROR(IF(CALC_ChandraLagna!$I$12="Yes",1,0),0))*IF(REF_Config!$B$6="KP",-1.75,IF(REF_Config!$B$6="Jaimini",-2,-2)),0)</f>
        <v>0</v>
      </c>
      <c r="D22" s="400" t="s">
        <v>4636</v>
      </c>
    </row>
    <row r="23" spans="1:7" ht="27.75" customHeight="1" x14ac:dyDescent="0.2">
      <c r="A23" s="127" t="s">
        <v>4637</v>
      </c>
      <c r="B23" s="203" t="s">
        <v>3059</v>
      </c>
      <c r="C23" s="1118">
        <f>IFERROR((IFERROR(IF(OR(AND(CALC_ChandraLagna!$E$9=CALC_ChandraLagna!$E$12,CALC_ChandraLagna!$D$9&lt;&gt;CALC_ChandraLagna!$D$12),AND(CALC_ChandraLagna!$E$11=CALC_ChandraLagna!$E$12,CALC_ChandraLagna!$D$11&lt;&gt;CALC_ChandraLagna!$D$12),AND(CALC_ChandraLagna!$E$15=CALC_ChandraLagna!$E$12,CALC_ChandraLagna!$D$15&lt;&gt;CALC_ChandraLagna!$D$12)),1,0),0))*-1,0)</f>
        <v>0</v>
      </c>
      <c r="D23" s="403" t="s">
        <v>4638</v>
      </c>
    </row>
    <row r="24" spans="1:7" ht="15.75" customHeight="1" x14ac:dyDescent="0.2">
      <c r="A24" s="1484" t="s">
        <v>4639</v>
      </c>
      <c r="B24" s="1484"/>
      <c r="C24" s="1484"/>
      <c r="D24" s="1484"/>
    </row>
    <row r="25" spans="1:7" ht="27.75" customHeight="1" x14ac:dyDescent="0.2">
      <c r="A25" s="127" t="s">
        <v>4640</v>
      </c>
      <c r="B25" s="357" t="s">
        <v>3084</v>
      </c>
      <c r="C25" s="1117">
        <f>IFERROR(IF(CALC_KarakMap!$M$13&gt;0,CALC_KarakMap!$M$13,0),0)</f>
        <v>0</v>
      </c>
      <c r="D25" s="400" t="s">
        <v>4641</v>
      </c>
    </row>
    <row r="26" spans="1:7" ht="27.75" customHeight="1" x14ac:dyDescent="0.2">
      <c r="A26" s="127" t="s">
        <v>4642</v>
      </c>
      <c r="B26" s="203" t="s">
        <v>4564</v>
      </c>
      <c r="C26" s="1118">
        <f>IFERROR(IF(CALC_KarakMap!$M$13&lt;0,CALC_KarakMap!$M$13,0),0)</f>
        <v>-0.5</v>
      </c>
      <c r="D26" s="403" t="s">
        <v>4643</v>
      </c>
    </row>
    <row r="27" spans="1:7" ht="27.75" customHeight="1" x14ac:dyDescent="0.2">
      <c r="A27" s="1119" t="s">
        <v>4644</v>
      </c>
      <c r="B27" s="296" t="s">
        <v>3624</v>
      </c>
      <c r="C27" s="1117">
        <f>IFERROR(IF(OR(CALC_ChandraLagna!$D$12="Sun",CALC_ChandraLagna!$D$12="Rahu",CALC_ChandraLagna!$D$12="Ketu"),0,IF(CALC_ChandraLagna!$D$12="Moon",IF(CALC_CombustionCheck!$G$4="Cazimi ✓",0.5,IF(CALC_CombustionCheck!$F$4="COMBUST ⚠",-1,0)),IF(CALC_ChandraLagna!$D$12="Mars",IF(CALC_CombustionCheck!$G$5="Cazimi ✓",0.5,IF(AND(CALC_CombustionCheck!$F$5="COMBUST ⚠",CALC_RetrogradeFix!$F$6="Rx ✓"),-0.5,IF(CALC_CombustionCheck!$F$5="COMBUST ⚠",-1,0))),IF(CALC_ChandraLagna!$D$12="Mercury",IF(CALC_CombustionCheck!$G$6="Cazimi ✓",0.5,IF(AND(CALC_CombustionCheck!$F$6="COMBUST ⚠",CALC_RetrogradeFix!$F$7="Rx ✓"),-0.5,IF(CALC_CombustionCheck!$F$6="COMBUST ⚠",-1,0))),IF(CALC_ChandraLagna!$D$12="Jupiter",IF(CALC_CombustionCheck!$G$7="Cazimi ✓",0.5,IF(AND(CALC_CombustionCheck!$F$7="COMBUST ⚠",CALC_RetrogradeFix!$F$8="Rx ✓"),-0.5,IF(CALC_CombustionCheck!$F$7="COMBUST ⚠",-1,0))),IF(CALC_ChandraLagna!$D$12="Venus",IF(CALC_CombustionCheck!$G$8="Cazimi ✓",0.5,IF(AND(CALC_CombustionCheck!$F$8="COMBUST ⚠",CALC_RetrogradeFix!$F$9="Rx ✓"),-0.5,IF(CALC_CombustionCheck!$F$8="COMBUST ⚠",-1,0))),IF(CALC_ChandraLagna!$D$12="Saturn",IF(CALC_CombustionCheck!$G$9="Cazimi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ChandraLagna!$D$12="Rahu",CALC_ChandraLagna!$D$12="Ketu"),0,IF(ISNUMBER(MATCH(CALC_ChandraLagna!$D$12,{"Sun","Moon","Mars","Mercury","Jupiter","Venus","Saturn"},0)),IF(INDEX(CALC_DigBala!$F$4:$F$10,MATCH(CALC_ChandraLagna!$D$12,{"Sun","Moon","Mars","Mercury","Jupiter","Venus","Saturn"},0))="Yes",0.5,0),0)),0)</f>
        <v>0</v>
      </c>
      <c r="D28" s="400" t="s">
        <v>4647</v>
      </c>
    </row>
    <row r="29" spans="1:7" ht="27.75" customHeight="1" x14ac:dyDescent="0.2">
      <c r="A29" s="1120" t="s">
        <v>4648</v>
      </c>
      <c r="B29" s="296" t="s">
        <v>3372</v>
      </c>
      <c r="C29" s="1117">
        <f>IFERROR(IF(COUNTIFS(REF_PushkaraNavamsha!$A$4:$A$27,CALC_ChandraLagna!$E$12,REF_PushkaraNavamsha!$B$4:$B$27,INDEX(CALC_PlanetPositions!$G$7:$G$15,MATCH(CALC_ChandraLagna!$D$12,CALC_PlanetPositions!$A$7:$A$15,0)))&gt;0,0.5,0),0)</f>
        <v>0.5</v>
      </c>
      <c r="D29" s="400" t="s">
        <v>4649</v>
      </c>
    </row>
    <row r="30" spans="1:7" ht="25.5" customHeight="1" x14ac:dyDescent="0.2">
      <c r="A30" s="147" t="s">
        <v>4650</v>
      </c>
      <c r="B30" s="1121" t="s">
        <v>4651</v>
      </c>
      <c r="C30" s="1122">
        <f>IFERROR(IF(ISNUMBER(MATCH(CALC_ChandraLagna!$D$12,{"Sun","Moon","Mars","Mercury","Jupiter","Venus","Saturn"},0)),INDEX(CALC_RetrogradeFix!$G$4:$G$10,MATCH(CALC_ChandraLagna!$D$12,{"Sun","Moon","Mars","Mercury","Jupiter","Venus","Saturn"},0)),0),0)</f>
        <v>0</v>
      </c>
      <c r="D30" s="1123" t="s">
        <v>4652</v>
      </c>
    </row>
    <row r="31" spans="1:7" ht="18" customHeight="1" x14ac:dyDescent="0.2">
      <c r="A31" s="1555" t="s">
        <v>4653</v>
      </c>
      <c r="B31" s="1555"/>
      <c r="C31" s="1555"/>
      <c r="D31" s="1555"/>
      <c r="E31" s="1124" t="s">
        <v>4654</v>
      </c>
      <c r="F31" s="1125">
        <f>IFERROR(IF(CALC_Ashtakavarga!J$12&gt;28,0.5,IF(CALC_Ashtakavarga!J$12&lt;22,-0.5,0)),0)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2</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0</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2.5</v>
      </c>
      <c r="D37" s="1129"/>
    </row>
    <row r="38" spans="1:4" ht="21.75" customHeight="1" x14ac:dyDescent="0.2">
      <c r="A38" s="89" t="s">
        <v>4661</v>
      </c>
      <c r="B38" s="1129"/>
      <c r="C38" s="1131">
        <f>IFERROR(MAX(-10,MIN(10,C37)),0)</f>
        <v>2.5</v>
      </c>
      <c r="D38" s="1132"/>
    </row>
    <row r="39" spans="1:4" ht="18" customHeight="1" x14ac:dyDescent="0.2">
      <c r="A39" s="517" t="s">
        <v>4662</v>
      </c>
      <c r="B39" s="1129"/>
      <c r="C39" s="1133">
        <f>IFERROR(CALC_LagneshStrength!$I$4,0)</f>
        <v>0</v>
      </c>
      <c r="D39" s="1129"/>
    </row>
    <row r="40" spans="1:4" ht="25.5" customHeight="1" x14ac:dyDescent="0.2">
      <c r="A40" s="1" t="s">
        <v>4663</v>
      </c>
      <c r="B40" s="1129"/>
      <c r="C40" s="1140">
        <f>IFERROR(MAX(-10,MIN(10,C38+C39+C41)),0)</f>
        <v>2.5</v>
      </c>
      <c r="D40" s="1141" t="str">
        <f>IFERROR(IF(C40&gt;=7,"Excellent — Fortune domain very strong",IF(C40&gt;=4,"Good — Fortune domain strong",IF(C40&gt;=1,"Moderate",IF(C40&gt;=-2,"Mixed — Fortune has challenges",IF(C40&gt;=-5,"Weak","Very weak — Fortune heavily afflicted"))))),"—")</f>
        <v>Moderate</v>
      </c>
    </row>
    <row r="41" spans="1:4" ht="18" customHeight="1" x14ac:dyDescent="0.2">
      <c r="A41" s="622" t="s">
        <v>4681</v>
      </c>
      <c r="B41" s="904" t="s">
        <v>4678</v>
      </c>
      <c r="C41" s="1160">
        <v>0</v>
      </c>
      <c r="D41" s="550" t="s">
        <v>4697</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4698</v>
      </c>
      <c r="B1" s="1518"/>
      <c r="C1" s="1518"/>
      <c r="D1" s="1518"/>
      <c r="L1" s="544" t="s">
        <v>2214</v>
      </c>
    </row>
    <row r="2" spans="1:12" ht="19.5" customHeight="1" x14ac:dyDescent="0.2">
      <c r="A2" s="1595" t="str">
        <f>IFERROR("Chandra Lagna: "&amp;CALC_PlanetPositions!$B$8&amp;"  ·  H10 sign: "&amp;CALC_ChandraLagna!$C$13,"—")</f>
        <v>Chandra Lagna: Cancer  ·  H10 sign: Aries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4" t="s">
        <v>4605</v>
      </c>
      <c r="B5" s="357" t="s">
        <v>4529</v>
      </c>
      <c r="C5" s="1117">
        <f>IFERROR((IFERROR(IF(INDEX(REF_Zodiac!$D$17:$O$17,MATCH(CALC_ChandraLagna!$C$13,REF_Zodiac!$D$3:$O$3,0))="Gentle",1,0),0))*0.5,0)</f>
        <v>0</v>
      </c>
      <c r="D5" s="400" t="s">
        <v>4606</v>
      </c>
    </row>
    <row r="6" spans="1:12" ht="27.75" customHeight="1" x14ac:dyDescent="0.2">
      <c r="A6" s="124"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24" t="s">
        <v>4609</v>
      </c>
      <c r="B7" s="357" t="s">
        <v>4534</v>
      </c>
      <c r="C7" s="1117">
        <f>IFERROR((IFERROR(IF(OR(AND(OR(CALC_PlanetPositions!$M$7="Benefic",CALC_PlanetPositions!$M$7="Yogakaraka"),INDEX(REF_Aspects!$D$5:$O$13,1,MOD(10-(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10)),AND(OR(CALC_PlanetPositions!$M$8="Benefic",CALC_PlanetPositions!$M$8="Yogakaraka"),INDEX(REF_Aspects!$D$5:$O$13,2,MOD(10-(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10)),AND(OR(CALC_PlanetPositions!$M$9="Benefic",CALC_PlanetPositions!$M$9="Yogakaraka"),INDEX(REF_Aspects!$D$5:$O$13,3,MOD(10-(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10)),AND(OR(CALC_PlanetPositions!$M$10="Benefic",CALC_PlanetPositions!$M$10="Yogakaraka"),INDEX(REF_Aspects!$D$5:$O$13,4,MOD(10-(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10)),AND(OR(CALC_PlanetPositions!$M$11="Benefic",CALC_PlanetPositions!$M$11="Yogakaraka"),INDEX(REF_Aspects!$D$5:$O$13,5,MOD(10-(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10)),AND(OR(CALC_PlanetPositions!$M$12="Benefic",CALC_PlanetPositions!$M$12="Yogakaraka"),INDEX(REF_Aspects!$D$5:$O$13,6,MOD(10-(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10)),AND(OR(CALC_PlanetPositions!$M$13="Benefic",CALC_PlanetPositions!$M$13="Yogakaraka"),INDEX(REF_Aspects!$D$5:$O$13,7,MOD(10-(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10)),AND(FALSE(),INDEX(REF_Aspects!$D$5:$O$13,8,MOD(10-(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10)),AND(FALSE(),INDEX(REF_Aspects!$D$5:$O$13,9,MOD(10-(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10))),1,0),0))*IF(REF_Config!$B$6="KP",0.5,IF(REF_Config!$B$6="Jaimini",0.75,0.75)),0)</f>
        <v>0.75</v>
      </c>
      <c r="D7" s="400" t="s">
        <v>4610</v>
      </c>
    </row>
    <row r="8" spans="1:12" ht="15.75" customHeight="1" x14ac:dyDescent="0.2">
      <c r="A8" s="1597" t="s">
        <v>3372</v>
      </c>
      <c r="B8" s="1597"/>
      <c r="C8" s="1597"/>
      <c r="D8" s="1597"/>
    </row>
    <row r="9" spans="1:12" ht="27.75" customHeight="1" x14ac:dyDescent="0.2">
      <c r="A9" s="124" t="s">
        <v>4611</v>
      </c>
      <c r="B9" s="203" t="s">
        <v>4537</v>
      </c>
      <c r="C9" s="1118">
        <f>IFERROR(IF(AND(OR(CALC_ChandraLagna!$G$13="Yes",CALC_ChandraLagna!$H$13="Yes"),NOT(CALC_ChandraLagna!$I$13="Yes")),1,0)*IF(REF_Config!$B$6="KP",1.5,IF(REF_Config!$B$6="Jaimini",1.5,2)),0)</f>
        <v>0</v>
      </c>
      <c r="D9" s="403" t="s">
        <v>4612</v>
      </c>
    </row>
    <row r="10" spans="1:12" ht="27.75" customHeight="1" x14ac:dyDescent="0.2">
      <c r="A10" s="124" t="s">
        <v>4613</v>
      </c>
      <c r="B10" s="357" t="s">
        <v>3093</v>
      </c>
      <c r="C10" s="1117">
        <f>IFERROR((IFERROR(IF(OR(AND(CALC_ChandraLagna!$E$4=CALC_ChandraLagna!$E$13,CALC_ChandraLagna!$D$4&lt;&gt;CALC_ChandraLagna!$D$13),AND(CALC_ChandraLagna!$E$7=CALC_ChandraLagna!$E$13,CALC_ChandraLagna!$D$7&lt;&gt;CALC_ChandraLagna!$D$13),AND(CALC_ChandraLagna!$E$8=CALC_ChandraLagna!$E$13,CALC_ChandraLagna!$D$8&lt;&gt;CALC_ChandraLagna!$D$13),AND(CALC_ChandraLagna!$E$10=CALC_ChandraLagna!$E$13,CALC_ChandraLagna!$D$10&lt;&gt;CALC_ChandraLagna!$D$13),AND(CALC_ChandraLagna!$E$12=CALC_ChandraLagna!$E$13,CALC_ChandraLagna!$D$12&lt;&gt;CALC_ChandraLagna!$D$13),AND(CALC_ChandraLagna!$E$13=CALC_ChandraLagna!$E$13,CALC_ChandraLagna!$D$13&lt;&gt;CALC_ChandraLagna!$D$13)),1,0),0))*0.5,0)</f>
        <v>0</v>
      </c>
      <c r="D10" s="400" t="s">
        <v>4614</v>
      </c>
    </row>
    <row r="11" spans="1:12" ht="27.75" customHeight="1" x14ac:dyDescent="0.2">
      <c r="A11" s="124" t="s">
        <v>4615</v>
      </c>
      <c r="B11" s="203" t="s">
        <v>4540</v>
      </c>
      <c r="C11" s="1118">
        <f>IFERROR((IFERROR(IF(OR(AND(OR(CALC_PlanetPositions!$M$7="Benefic",CALC_PlanetPositions!$M$7="Yogakaraka"),CALC_PlanetPositions!$B$7=CALC_ChandraLagna!$E$13,CALC_ChandraLagna!$D$13&lt;&gt;"Sun"),AND(OR(CALC_PlanetPositions!$M$8="Benefic",CALC_PlanetPositions!$M$8="Yogakaraka"),CALC_PlanetPositions!$B$8=CALC_ChandraLagna!$E$13,CALC_ChandraLagna!$D$13&lt;&gt;"Moon"),AND(OR(CALC_PlanetPositions!$M$9="Benefic",CALC_PlanetPositions!$M$9="Yogakaraka"),CALC_PlanetPositions!$B$9=CALC_ChandraLagna!$E$13,CALC_ChandraLagna!$D$13&lt;&gt;"Mars"),AND(OR(CALC_PlanetPositions!$M$10="Benefic",CALC_PlanetPositions!$M$10="Yogakaraka"),CALC_PlanetPositions!$B$10=CALC_ChandraLagna!$E$13,CALC_ChandraLagna!$D$13&lt;&gt;"Mercury"),AND(OR(CALC_PlanetPositions!$M$11="Benefic",CALC_PlanetPositions!$M$11="Yogakaraka"),CALC_PlanetPositions!$B$11=CALC_ChandraLagna!$E$13,CALC_ChandraLagna!$D$13&lt;&gt;"Jupiter"),AND(OR(CALC_PlanetPositions!$M$12="Benefic",CALC_PlanetPositions!$M$12="Yogakaraka"),CALC_PlanetPositions!$B$12=CALC_ChandraLagna!$E$13,CALC_ChandraLagna!$D$13&lt;&gt;"Venus"),AND(OR(CALC_PlanetPositions!$M$13="Benefic",CALC_PlanetPositions!$M$13="Yogakaraka"),CALC_PlanetPositions!$B$13=CALC_ChandraLagna!$E$13,CALC_ChandraLagna!$D$13&lt;&gt;"Saturn")),1,0),0))*IF(OR(AND(CALC_PlanetPositions!$M$7="Yogakaraka",CALC_PlanetPositions!$B$7=CALC_ChandraLagna!$E$13,CALC_ChandraLagna!$D$13&lt;&gt;"Sun"),AND(CALC_PlanetPositions!$M$8="Yogakaraka",CALC_PlanetPositions!$B$8=CALC_ChandraLagna!$E$13,CALC_ChandraLagna!$D$13&lt;&gt;"Moon"),AND(CALC_PlanetPositions!$M$9="Yogakaraka",CALC_PlanetPositions!$B$9=CALC_ChandraLagna!$E$13,CALC_ChandraLagna!$D$13&lt;&gt;"Mars"),AND(CALC_PlanetPositions!$M$10="Yogakaraka",CALC_PlanetPositions!$B$10=CALC_ChandraLagna!$E$13,CALC_ChandraLagna!$D$13&lt;&gt;"Mercury"),AND(CALC_PlanetPositions!$M$11="Yogakaraka",CALC_PlanetPositions!$B$11=CALC_ChandraLagna!$E$13,CALC_ChandraLagna!$D$13&lt;&gt;"Jupiter"),AND(CALC_PlanetPositions!$M$12="Yogakaraka",CALC_PlanetPositions!$B$12=CALC_ChandraLagna!$E$13,CALC_ChandraLagna!$D$13&lt;&gt;"Venus"),AND(CALC_PlanetPositions!$M$13="Yogakaraka",CALC_PlanetPositions!$B$13=CALC_ChandraLagna!$E$13,CALC_ChandraLagna!$D$13&lt;&gt;"Saturn")),1.5,1),0)</f>
        <v>0</v>
      </c>
      <c r="D11" s="403" t="s">
        <v>4616</v>
      </c>
    </row>
    <row r="12" spans="1:12" ht="27.75" customHeight="1" x14ac:dyDescent="0.2">
      <c r="A12" s="124" t="s">
        <v>4617</v>
      </c>
      <c r="B12" s="357" t="s">
        <v>4542</v>
      </c>
      <c r="C12" s="1117">
        <f>IFERROR((IFERROR(IF(OR(AND(OR(CALC_PlanetPositions!$M$7="Benefic",CALC_PlanetPositions!$M$7="Yogakaraka"),INDEX(REF_Aspects!$D$5:$O$13,1,MOD(CALC_ChandraLagna!$F$13-(MOD(MATCH(CALC_PlanetPositions!$B$7,{"Aries","Taurus","Gemini","Cancer","Leo","Virgo","Libra","Scorpio","Sagittarius","Capricorn","Aquarius","Pisces"},0)-MATCH(CALC_PlanetPositions!$B$8,{"Aries","Taurus","Gemini","Cancer","Leo","Virgo","Libra","Scorpio","Sagittarius","Capricorn","Aquarius","Pisces"},0),12)+1),12)+1)="FULL",NOT(CALC_PlanetPositions!$B$7=CALC_ChandraLagna!$E$13)),AND(OR(CALC_PlanetPositions!$M$8="Benefic",CALC_PlanetPositions!$M$8="Yogakaraka"),INDEX(REF_Aspects!$D$5:$O$13,2,MOD(CALC_ChandraLagna!$F$13-(MOD(MATCH(CALC_PlanetPositions!$B$8,{"Aries","Taurus","Gemini","Cancer","Leo","Virgo","Libra","Scorpio","Sagittarius","Capricorn","Aquarius","Pisces"},0)-MATCH(CALC_PlanetPositions!$B$8,{"Aries","Taurus","Gemini","Cancer","Leo","Virgo","Libra","Scorpio","Sagittarius","Capricorn","Aquarius","Pisces"},0),12)+1),12)+1)="FULL",NOT(CALC_PlanetPositions!$B$8=CALC_ChandraLagna!$E$13)),AND(OR(CALC_PlanetPositions!$M$9="Benefic",CALC_PlanetPositions!$M$9="Yogakaraka"),INDEX(REF_Aspects!$D$5:$O$13,3,MOD(CALC_ChandraLagna!$F$13-(MOD(MATCH(CALC_PlanetPositions!$B$9,{"Aries","Taurus","Gemini","Cancer","Leo","Virgo","Libra","Scorpio","Sagittarius","Capricorn","Aquarius","Pisces"},0)-MATCH(CALC_PlanetPositions!$B$8,{"Aries","Taurus","Gemini","Cancer","Leo","Virgo","Libra","Scorpio","Sagittarius","Capricorn","Aquarius","Pisces"},0),12)+1),12)+1)="FULL",NOT(CALC_PlanetPositions!$B$9=CALC_ChandraLagna!$E$13)),AND(OR(CALC_PlanetPositions!$M$10="Benefic",CALC_PlanetPositions!$M$10="Yogakaraka"),INDEX(REF_Aspects!$D$5:$O$13,4,MOD(CALC_ChandraLagna!$F$13-(MOD(MATCH(CALC_PlanetPositions!$B$10,{"Aries","Taurus","Gemini","Cancer","Leo","Virgo","Libra","Scorpio","Sagittarius","Capricorn","Aquarius","Pisces"},0)-MATCH(CALC_PlanetPositions!$B$8,{"Aries","Taurus","Gemini","Cancer","Leo","Virgo","Libra","Scorpio","Sagittarius","Capricorn","Aquarius","Pisces"},0),12)+1),12)+1)="FULL",NOT(CALC_PlanetPositions!$B$10=CALC_ChandraLagna!$E$13)),AND(OR(CALC_PlanetPositions!$M$11="Benefic",CALC_PlanetPositions!$M$11="Yogakaraka"),INDEX(REF_Aspects!$D$5:$O$13,5,MOD(CALC_ChandraLagna!$F$13-(MOD(MATCH(CALC_PlanetPositions!$B$11,{"Aries","Taurus","Gemini","Cancer","Leo","Virgo","Libra","Scorpio","Sagittarius","Capricorn","Aquarius","Pisces"},0)-MATCH(CALC_PlanetPositions!$B$8,{"Aries","Taurus","Gemini","Cancer","Leo","Virgo","Libra","Scorpio","Sagittarius","Capricorn","Aquarius","Pisces"},0),12)+1),12)+1)="FULL",NOT(CALC_PlanetPositions!$B$11=CALC_ChandraLagna!$E$13)),AND(OR(CALC_PlanetPositions!$M$12="Benefic",CALC_PlanetPositions!$M$12="Yogakaraka"),INDEX(REF_Aspects!$D$5:$O$13,6,MOD(CALC_ChandraLagna!$F$13-(MOD(MATCH(CALC_PlanetPositions!$B$12,{"Aries","Taurus","Gemini","Cancer","Leo","Virgo","Libra","Scorpio","Sagittarius","Capricorn","Aquarius","Pisces"},0)-MATCH(CALC_PlanetPositions!$B$8,{"Aries","Taurus","Gemini","Cancer","Leo","Virgo","Libra","Scorpio","Sagittarius","Capricorn","Aquarius","Pisces"},0),12)+1),12)+1)="FULL",NOT(CALC_PlanetPositions!$B$12=CALC_ChandraLagna!$E$13)),AND(OR(CALC_PlanetPositions!$M$13="Benefic",CALC_PlanetPositions!$M$13="Yogakaraka"),INDEX(REF_Aspects!$D$5:$O$13,7,MOD(CALC_ChandraLagna!$F$13-(MOD(MATCH(CALC_PlanetPositions!$B$13,{"Aries","Taurus","Gemini","Cancer","Leo","Virgo","Libra","Scorpio","Sagittarius","Capricorn","Aquarius","Pisces"},0)-MATCH(CALC_PlanetPositions!$B$8,{"Aries","Taurus","Gemini","Cancer","Leo","Virgo","Libra","Scorpio","Sagittarius","Capricorn","Aquarius","Pisces"},0),12)+1),12)+1)="FULL",NOT(CALC_PlanetPositions!$B$13=CALC_ChandraLagna!$E$13)),AND(FALSE(),INDEX(REF_Aspects!$D$5:$O$13,8,MOD(CALC_ChandraLagna!$F$13-(MOD(MATCH(CALC_PlanetPositions!$B$14,{"Aries","Taurus","Gemini","Cancer","Leo","Virgo","Libra","Scorpio","Sagittarius","Capricorn","Aquarius","Pisces"},0)-MATCH(CALC_PlanetPositions!$B$8,{"Aries","Taurus","Gemini","Cancer","Leo","Virgo","Libra","Scorpio","Sagittarius","Capricorn","Aquarius","Pisces"},0),12)+1),12)+1)="FULL",NOT(CALC_PlanetPositions!$B$14=CALC_ChandraLagna!$E$13)),AND(FALSE(),INDEX(REF_Aspects!$D$5:$O$13,9,MOD(CALC_ChandraLagna!$F$13-(MOD(MATCH(CALC_PlanetPositions!$B$15,{"Aries","Taurus","Gemini","Cancer","Leo","Virgo","Libra","Scorpio","Sagittarius","Capricorn","Aquarius","Pisces"},0)-MATCH(CALC_PlanetPositions!$B$8,{"Aries","Taurus","Gemini","Cancer","Leo","Virgo","Libra","Scorpio","Sagittarius","Capricorn","Aquarius","Pisces"},0),12)+1),12)+1)="FULL",NOT(CALC_PlanetPositions!$B$15=CALC_ChandraLagna!$E$13))),1,0),0))*0.5,0)</f>
        <v>0</v>
      </c>
      <c r="D12" s="400" t="s">
        <v>4618</v>
      </c>
    </row>
    <row r="13" spans="1:12" ht="27.75" customHeight="1" x14ac:dyDescent="0.2">
      <c r="A13" s="124"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$13-2,12)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$13-2,12)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$13-2,12)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$13-2,12)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$13-2,12)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$13-2,12)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$13-2,12)+1)),AND(FALSE(),MOD(MATCH(CALC_PlanetPositions!$B$14,{"Aries","Taurus","Gemini","Cancer","Leo","Virgo","Libra","Scorpio","Sagittarius","Capricorn","Aquarius","Pisces"},0)-MATCH(CALC_PlanetPositions!$B$8,{"Aries","Taurus","Gemini","Cancer","Leo","Virgo","Libra","Scorpio","Sagittarius","Capricorn","Aquarius","Pisces"},0),12)+1=(MOD(CALC_ChandraLagna!$F$13-2,12)+1)),AND(FALSE(),MOD(MATCH(CALC_PlanetPositions!$B$15,{"Aries","Taurus","Gemini","Cancer","Leo","Virgo","Libra","Scorpio","Sagittarius","Capricorn","Aquarius","Pisces"},0)-MATCH(CALC_PlanetPositions!$B$8,{"Aries","Taurus","Gemini","Cancer","Leo","Virgo","Libra","Scorpio","Sagittarius","Capricorn","Aquarius","Pisces"},0),12)+1=(MOD(CALC_ChandraLagna!$F$13-2,12)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$13,12)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$13,12)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$13,12)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$13,12)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$13,12)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$13,12)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$13,12)+1)),AND(FALSE(),MOD(MATCH(CALC_PlanetPositions!$B$14,{"Aries","Taurus","Gemini","Cancer","Leo","Virgo","Libra","Scorpio","Sagittarius","Capricorn","Aquarius","Pisces"},0)-MATCH(CALC_PlanetPositions!$B$8,{"Aries","Taurus","Gemini","Cancer","Leo","Virgo","Libra","Scorpio","Sagittarius","Capricorn","Aquarius","Pisces"},0),12)+1=(MOD(CALC_ChandraLagna!$F$13,12)+1)),AND(FALSE(),MOD(MATCH(CALC_PlanetPositions!$B$15,{"Aries","Taurus","Gemini","Cancer","Leo","Virgo","Libra","Scorpio","Sagittarius","Capricorn","Aquarius","Pisces"},0)-MATCH(CALC_PlanetPositions!$B$8,{"Aries","Taurus","Gemini","Cancer","Leo","Virgo","Libra","Scorpio","Sagittarius","Capricorn","Aquarius","Pisces"},0),12)+1=(MOD(CALC_ChandraLagna!$F$13,12)+1)))),1,0),0))*IF(REF_Config!$B$6="KP",0.75,IF(REF_Config!$B$6="Jaimini",0.5,0.75)),0)</f>
        <v>0</v>
      </c>
      <c r="D13" s="403" t="s">
        <v>4620</v>
      </c>
    </row>
    <row r="14" spans="1:12" ht="15.75" customHeight="1" x14ac:dyDescent="0.2">
      <c r="A14" s="1598" t="s">
        <v>4621</v>
      </c>
      <c r="B14" s="1598"/>
      <c r="C14" s="1598"/>
      <c r="D14" s="1598"/>
    </row>
    <row r="15" spans="1:12" ht="27.75" customHeight="1" x14ac:dyDescent="0.2">
      <c r="A15" s="124"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10),AND(CALC_PlanetPositions!$M$8="Malefic",(MOD(MATCH(CALC_PlanetPositions!$B$8,{"Aries","Taurus","Gemini","Cancer","Leo","Virgo","Libra","Scorpio","Sagittarius","Capricorn","Aquarius","Pisces"},0)-MATCH(CALC_PlanetPositions!$B$8,{"Aries","Taurus","Gemini","Cancer","Leo","Virgo","Libra","Scorpio","Sagittarius","Capricorn","Aquarius","Pisces"},0),12)+1)=10),AND(CALC_PlanetPositions!$M$9="Malefic",(MOD(MATCH(CALC_PlanetPositions!$B$9,{"Aries","Taurus","Gemini","Cancer","Leo","Virgo","Libra","Scorpio","Sagittarius","Capricorn","Aquarius","Pisces"},0)-MATCH(CALC_PlanetPositions!$B$8,{"Aries","Taurus","Gemini","Cancer","Leo","Virgo","Libra","Scorpio","Sagittarius","Capricorn","Aquarius","Pisces"},0),12)+1)=10),AND(CALC_PlanetPositions!$M$10="Malefic",(MOD(MATCH(CALC_PlanetPositions!$B$10,{"Aries","Taurus","Gemini","Cancer","Leo","Virgo","Libra","Scorpio","Sagittarius","Capricorn","Aquarius","Pisces"},0)-MATCH(CALC_PlanetPositions!$B$8,{"Aries","Taurus","Gemini","Cancer","Leo","Virgo","Libra","Scorpio","Sagittarius","Capricorn","Aquarius","Pisces"},0),12)+1)=10),AND(CALC_PlanetPositions!$M$11="Malefic",(MOD(MATCH(CALC_PlanetPositions!$B$11,{"Aries","Taurus","Gemini","Cancer","Leo","Virgo","Libra","Scorpio","Sagittarius","Capricorn","Aquarius","Pisces"},0)-MATCH(CALC_PlanetPositions!$B$8,{"Aries","Taurus","Gemini","Cancer","Leo","Virgo","Libra","Scorpio","Sagittarius","Capricorn","Aquarius","Pisces"},0),12)+1)=10),AND(CALC_PlanetPositions!$M$12="Malefic",(MOD(MATCH(CALC_PlanetPositions!$B$12,{"Aries","Taurus","Gemini","Cancer","Leo","Virgo","Libra","Scorpio","Sagittarius","Capricorn","Aquarius","Pisces"},0)-MATCH(CALC_PlanetPositions!$B$8,{"Aries","Taurus","Gemini","Cancer","Leo","Virgo","Libra","Scorpio","Sagittarius","Capricorn","Aquarius","Pisces"},0),12)+1)=10),AND(CALC_PlanetPositions!$M$13="Malefic",(MOD(MATCH(CALC_PlanetPositions!$B$13,{"Aries","Taurus","Gemini","Cancer","Leo","Virgo","Libra","Scorpio","Sagittarius","Capricorn","Aquarius","Pisces"},0)-MATCH(CALC_PlanetPositions!$B$8,{"Aries","Taurus","Gemini","Cancer","Leo","Virgo","Libra","Scorpio","Sagittarius","Capricorn","Aquarius","Pisces"},0),12)+1)=10),AND(TRUE(),(MOD(MATCH(CALC_PlanetPositions!$B$14,{"Aries","Taurus","Gemini","Cancer","Leo","Virgo","Libra","Scorpio","Sagittarius","Capricorn","Aquarius","Pisces"},0)-MATCH(CALC_PlanetPositions!$B$8,{"Aries","Taurus","Gemini","Cancer","Leo","Virgo","Libra","Scorpio","Sagittarius","Capricorn","Aquarius","Pisces"},0),12)+1)=10),AND(TRUE(),(MOD(MATCH(CALC_PlanetPositions!$B$15,{"Aries","Taurus","Gemini","Cancer","Leo","Virgo","Libra","Scorpio","Sagittarius","Capricorn","Aquarius","Pisces"},0)-MATCH(CALC_PlanetPositions!$B$8,{"Aries","Taurus","Gemini","Cancer","Leo","Virgo","Libra","Scorpio","Sagittarius","Capricorn","Aquarius","Pisces"},0),12)+1)=10)),1,0),0))*-1,0)</f>
        <v>0</v>
      </c>
      <c r="D15" s="400" t="s">
        <v>4623</v>
      </c>
    </row>
    <row r="16" spans="1:12" ht="27.75" customHeight="1" x14ac:dyDescent="0.2">
      <c r="A16" s="124" t="s">
        <v>4624</v>
      </c>
      <c r="B16" s="203" t="s">
        <v>4548</v>
      </c>
      <c r="C16" s="1118">
        <f>IFERROR((IFERROR(IF(OR(AND(CALC_PlanetPositions!$M$7="Malefic",INDEX(REF_Aspects!$D$5:$O$13,1,MOD(10-(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10)),AND(CALC_PlanetPositions!$M$8="Malefic",INDEX(REF_Aspects!$D$5:$O$13,2,MOD(10-(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10)),AND(CALC_PlanetPositions!$M$9="Malefic",INDEX(REF_Aspects!$D$5:$O$13,3,MOD(10-(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10)),AND(CALC_PlanetPositions!$M$10="Malefic",INDEX(REF_Aspects!$D$5:$O$13,4,MOD(10-(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10)),AND(CALC_PlanetPositions!$M$11="Malefic",INDEX(REF_Aspects!$D$5:$O$13,5,MOD(10-(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10)),AND(CALC_PlanetPositions!$M$12="Malefic",INDEX(REF_Aspects!$D$5:$O$13,6,MOD(10-(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10)),AND(CALC_PlanetPositions!$M$13="Malefic",INDEX(REF_Aspects!$D$5:$O$13,7,MOD(10-(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10)),AND(TRUE(),INDEX(REF_Aspects!$D$5:$O$13,8,MOD(10-(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10)),AND(TRUE(),INDEX(REF_Aspects!$D$5:$O$13,9,MOD(10-(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10))),1,0),0))*-1,0)</f>
        <v>-1</v>
      </c>
      <c r="D16" s="403" t="s">
        <v>4625</v>
      </c>
    </row>
    <row r="17" spans="1:7" ht="27.75" customHeight="1" x14ac:dyDescent="0.2">
      <c r="A17" s="124" t="s">
        <v>4626</v>
      </c>
      <c r="B17" s="357" t="s">
        <v>3062</v>
      </c>
      <c r="C17" s="1117">
        <v>0</v>
      </c>
      <c r="D17" s="400" t="s">
        <v>4627</v>
      </c>
    </row>
    <row r="18" spans="1:7" ht="27.75" customHeight="1" x14ac:dyDescent="0.2">
      <c r="A18" s="124"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(10-2,12)+1)),AND(CALC_PlanetPositions!$M$8="Malefic",MOD(MATCH(CALC_PlanetPositions!$B$8,{"Aries","Taurus","Gemini","Cancer","Leo","Virgo","Libra","Scorpio","Sagittarius","Capricorn","Aquarius","Pisces"},0)-MATCH(CALC_PlanetPositions!$B$8,{"Aries","Taurus","Gemini","Cancer","Leo","Virgo","Libra","Scorpio","Sagittarius","Capricorn","Aquarius","Pisces"},0),12)+1=(MOD(10-2,12)+1)),AND(CALC_PlanetPositions!$M$9="Malefic",MOD(MATCH(CALC_PlanetPositions!$B$9,{"Aries","Taurus","Gemini","Cancer","Leo","Virgo","Libra","Scorpio","Sagittarius","Capricorn","Aquarius","Pisces"},0)-MATCH(CALC_PlanetPositions!$B$8,{"Aries","Taurus","Gemini","Cancer","Leo","Virgo","Libra","Scorpio","Sagittarius","Capricorn","Aquarius","Pisces"},0),12)+1=(MOD(10-2,12)+1)),AND(CALC_PlanetPositions!$M$10="Malefic",MOD(MATCH(CALC_PlanetPositions!$B$10,{"Aries","Taurus","Gemini","Cancer","Leo","Virgo","Libra","Scorpio","Sagittarius","Capricorn","Aquarius","Pisces"},0)-MATCH(CALC_PlanetPositions!$B$8,{"Aries","Taurus","Gemini","Cancer","Leo","Virgo","Libra","Scorpio","Sagittarius","Capricorn","Aquarius","Pisces"},0),12)+1=(MOD(10-2,12)+1)),AND(CALC_PlanetPositions!$M$11="Malefic",MOD(MATCH(CALC_PlanetPositions!$B$11,{"Aries","Taurus","Gemini","Cancer","Leo","Virgo","Libra","Scorpio","Sagittarius","Capricorn","Aquarius","Pisces"},0)-MATCH(CALC_PlanetPositions!$B$8,{"Aries","Taurus","Gemini","Cancer","Leo","Virgo","Libra","Scorpio","Sagittarius","Capricorn","Aquarius","Pisces"},0),12)+1=(MOD(10-2,12)+1)),AND(CALC_PlanetPositions!$M$12="Malefic",MOD(MATCH(CALC_PlanetPositions!$B$12,{"Aries","Taurus","Gemini","Cancer","Leo","Virgo","Libra","Scorpio","Sagittarius","Capricorn","Aquarius","Pisces"},0)-MATCH(CALC_PlanetPositions!$B$8,{"Aries","Taurus","Gemini","Cancer","Leo","Virgo","Libra","Scorpio","Sagittarius","Capricorn","Aquarius","Pisces"},0),12)+1=(MOD(10-2,12)+1)),AND(CALC_PlanetPositions!$M$13="Malefic",MOD(MATCH(CALC_PlanetPositions!$B$13,{"Aries","Taurus","Gemini","Cancer","Leo","Virgo","Libra","Scorpio","Sagittarius","Capricorn","Aquarius","Pisces"},0)-MATCH(CALC_PlanetPositions!$B$8,{"Aries","Taurus","Gemini","Cancer","Leo","Virgo","Libra","Scorpio","Sagittarius","Capricorn","Aquarius","Pisces"},0),12)+1=(MOD(10-2,12)+1)),AND(TRUE(),MOD(MATCH(CALC_PlanetPositions!$B$14,{"Aries","Taurus","Gemini","Cancer","Leo","Virgo","Libra","Scorpio","Sagittarius","Capricorn","Aquarius","Pisces"},0)-MATCH(CALC_PlanetPositions!$B$8,{"Aries","Taurus","Gemini","Cancer","Leo","Virgo","Libra","Scorpio","Sagittarius","Capricorn","Aquarius","Pisces"},0),12)+1=(MOD(10-2,12)+1)),AND(TRUE(),MOD(MATCH(CALC_PlanetPositions!$B$15,{"Aries","Taurus","Gemini","Cancer","Leo","Virgo","Libra","Scorpio","Sagittarius","Capricorn","Aquarius","Pisces"},0)-MATCH(CALC_PlanetPositions!$B$8,{"Aries","Taurus","Gemini","Cancer","Leo","Virgo","Libra","Scorpio","Sagittarius","Capricorn","Aquarius","Pisces"},0),12)+1=(MOD(10-2,12)+1))),OR(AND(CALC_PlanetPositions!$M$7="Malefic",MOD(MATCH(CALC_PlanetPositions!$B$7,{"Aries","Taurus","Gemini","Cancer","Leo","Virgo","Libra","Scorpio","Sagittarius","Capricorn","Aquarius","Pisces"},0)-MATCH(CALC_PlanetPositions!$B$8,{"Aries","Taurus","Gemini","Cancer","Leo","Virgo","Libra","Scorpio","Sagittarius","Capricorn","Aquarius","Pisces"},0),12)+1=(MOD(10,12)+1)),AND(CALC_PlanetPositions!$M$8="Malefic",MOD(MATCH(CALC_PlanetPositions!$B$8,{"Aries","Taurus","Gemini","Cancer","Leo","Virgo","Libra","Scorpio","Sagittarius","Capricorn","Aquarius","Pisces"},0)-MATCH(CALC_PlanetPositions!$B$8,{"Aries","Taurus","Gemini","Cancer","Leo","Virgo","Libra","Scorpio","Sagittarius","Capricorn","Aquarius","Pisces"},0),12)+1=(MOD(10,12)+1)),AND(CALC_PlanetPositions!$M$9="Malefic",MOD(MATCH(CALC_PlanetPositions!$B$9,{"Aries","Taurus","Gemini","Cancer","Leo","Virgo","Libra","Scorpio","Sagittarius","Capricorn","Aquarius","Pisces"},0)-MATCH(CALC_PlanetPositions!$B$8,{"Aries","Taurus","Gemini","Cancer","Leo","Virgo","Libra","Scorpio","Sagittarius","Capricorn","Aquarius","Pisces"},0),12)+1=(MOD(10,12)+1)),AND(CALC_PlanetPositions!$M$10="Malefic",MOD(MATCH(CALC_PlanetPositions!$B$10,{"Aries","Taurus","Gemini","Cancer","Leo","Virgo","Libra","Scorpio","Sagittarius","Capricorn","Aquarius","Pisces"},0)-MATCH(CALC_PlanetPositions!$B$8,{"Aries","Taurus","Gemini","Cancer","Leo","Virgo","Libra","Scorpio","Sagittarius","Capricorn","Aquarius","Pisces"},0),12)+1=(MOD(10,12)+1)),AND(CALC_PlanetPositions!$M$11="Malefic",MOD(MATCH(CALC_PlanetPositions!$B$11,{"Aries","Taurus","Gemini","Cancer","Leo","Virgo","Libra","Scorpio","Sagittarius","Capricorn","Aquarius","Pisces"},0)-MATCH(CALC_PlanetPositions!$B$8,{"Aries","Taurus","Gemini","Cancer","Leo","Virgo","Libra","Scorpio","Sagittarius","Capricorn","Aquarius","Pisces"},0),12)+1=(MOD(10,12)+1)),AND(CALC_PlanetPositions!$M$12="Malefic",MOD(MATCH(CALC_PlanetPositions!$B$12,{"Aries","Taurus","Gemini","Cancer","Leo","Virgo","Libra","Scorpio","Sagittarius","Capricorn","Aquarius","Pisces"},0)-MATCH(CALC_PlanetPositions!$B$8,{"Aries","Taurus","Gemini","Cancer","Leo","Virgo","Libra","Scorpio","Sagittarius","Capricorn","Aquarius","Pisces"},0),12)+1=(MOD(10,12)+1)),AND(CALC_PlanetPositions!$M$13="Malefic",MOD(MATCH(CALC_PlanetPositions!$B$13,{"Aries","Taurus","Gemini","Cancer","Leo","Virgo","Libra","Scorpio","Sagittarius","Capricorn","Aquarius","Pisces"},0)-MATCH(CALC_PlanetPositions!$B$8,{"Aries","Taurus","Gemini","Cancer","Leo","Virgo","Libra","Scorpio","Sagittarius","Capricorn","Aquarius","Pisces"},0),12)+1=(MOD(10,12)+1)),AND(TRUE(),MOD(MATCH(CALC_PlanetPositions!$B$14,{"Aries","Taurus","Gemini","Cancer","Leo","Virgo","Libra","Scorpio","Sagittarius","Capricorn","Aquarius","Pisces"},0)-MATCH(CALC_PlanetPositions!$B$8,{"Aries","Taurus","Gemini","Cancer","Leo","Virgo","Libra","Scorpio","Sagittarius","Capricorn","Aquarius","Pisces"},0),12)+1=(MOD(10,12)+1)),AND(TRUE(),MOD(MATCH(CALC_PlanetPositions!$B$15,{"Aries","Taurus","Gemini","Cancer","Leo","Virgo","Libra","Scorpio","Sagittarius","Capricorn","Aquarius","Pisces"},0)-MATCH(CALC_PlanetPositions!$B$8,{"Aries","Taurus","Gemini","Cancer","Leo","Virgo","Libra","Scorpio","Sagittarius","Capricorn","Aquarius","Pisces"},0),12)+1=(MOD(10,12)+1)))),1,0),0))*IF(REF_Config!$B$6="KP",-0.75,IF(REF_Config!$B$6="Jaimini",-0.5,-0.75)),0)</f>
        <v>0</v>
      </c>
      <c r="D18" s="403" t="s">
        <v>4629</v>
      </c>
    </row>
    <row r="19" spans="1:7" ht="15.75" customHeight="1" x14ac:dyDescent="0.2">
      <c r="A19" s="1594" t="s">
        <v>3624</v>
      </c>
      <c r="B19" s="1594"/>
      <c r="C19" s="1594"/>
      <c r="D19" s="1594"/>
    </row>
    <row r="20" spans="1:7" ht="27.75" customHeight="1" x14ac:dyDescent="0.2">
      <c r="A20" s="124" t="s">
        <v>4630</v>
      </c>
      <c r="B20" s="357" t="s">
        <v>4555</v>
      </c>
      <c r="C20" s="1117">
        <v>0</v>
      </c>
      <c r="D20" s="400" t="s">
        <v>4631</v>
      </c>
    </row>
    <row r="21" spans="1:7" ht="27.75" customHeight="1" x14ac:dyDescent="0.2">
      <c r="A21" s="124" t="s">
        <v>4632</v>
      </c>
      <c r="B21" s="203" t="s">
        <v>4633</v>
      </c>
      <c r="C21" s="1118">
        <f>IFERROR((IFERROR(IF(OR(AND(CALC_PlanetPositions!$M$7="Malefic",INDEX(REF_Aspects!$D$5:$O$13,1,MOD(CALC_ChandraLagna!$F$13-(MOD(MATCH(CALC_PlanetPositions!$B$7,{"Aries","Taurus","Gemini","Cancer","Leo","Virgo","Libra","Scorpio","Sagittarius","Capricorn","Aquarius","Pisces"},0)-MATCH(CALC_PlanetPositions!$B$8,{"Aries","Taurus","Gemini","Cancer","Leo","Virgo","Libra","Scorpio","Sagittarius","Capricorn","Aquarius","Pisces"},0),12)+1),12)+1)="FULL",NOT(CALC_PlanetPositions!$B$7=CALC_ChandraLagna!$E$13)),AND(CALC_PlanetPositions!$M$8="Malefic",INDEX(REF_Aspects!$D$5:$O$13,2,MOD(CALC_ChandraLagna!$F$13-(MOD(MATCH(CALC_PlanetPositions!$B$8,{"Aries","Taurus","Gemini","Cancer","Leo","Virgo","Libra","Scorpio","Sagittarius","Capricorn","Aquarius","Pisces"},0)-MATCH(CALC_PlanetPositions!$B$8,{"Aries","Taurus","Gemini","Cancer","Leo","Virgo","Libra","Scorpio","Sagittarius","Capricorn","Aquarius","Pisces"},0),12)+1),12)+1)="FULL",NOT(CALC_PlanetPositions!$B$8=CALC_ChandraLagna!$E$13)),AND(CALC_PlanetPositions!$M$9="Malefic",INDEX(REF_Aspects!$D$5:$O$13,3,MOD(CALC_ChandraLagna!$F$13-(MOD(MATCH(CALC_PlanetPositions!$B$9,{"Aries","Taurus","Gemini","Cancer","Leo","Virgo","Libra","Scorpio","Sagittarius","Capricorn","Aquarius","Pisces"},0)-MATCH(CALC_PlanetPositions!$B$8,{"Aries","Taurus","Gemini","Cancer","Leo","Virgo","Libra","Scorpio","Sagittarius","Capricorn","Aquarius","Pisces"},0),12)+1),12)+1)="FULL",NOT(CALC_PlanetPositions!$B$9=CALC_ChandraLagna!$E$13)),AND(CALC_PlanetPositions!$M$10="Malefic",INDEX(REF_Aspects!$D$5:$O$13,4,MOD(CALC_ChandraLagna!$F$13-(MOD(MATCH(CALC_PlanetPositions!$B$10,{"Aries","Taurus","Gemini","Cancer","Leo","Virgo","Libra","Scorpio","Sagittarius","Capricorn","Aquarius","Pisces"},0)-MATCH(CALC_PlanetPositions!$B$8,{"Aries","Taurus","Gemini","Cancer","Leo","Virgo","Libra","Scorpio","Sagittarius","Capricorn","Aquarius","Pisces"},0),12)+1),12)+1)="FULL",NOT(CALC_PlanetPositions!$B$10=CALC_ChandraLagna!$E$13)),AND(CALC_PlanetPositions!$M$11="Malefic",INDEX(REF_Aspects!$D$5:$O$13,5,MOD(CALC_ChandraLagna!$F$13-(MOD(MATCH(CALC_PlanetPositions!$B$11,{"Aries","Taurus","Gemini","Cancer","Leo","Virgo","Libra","Scorpio","Sagittarius","Capricorn","Aquarius","Pisces"},0)-MATCH(CALC_PlanetPositions!$B$8,{"Aries","Taurus","Gemini","Cancer","Leo","Virgo","Libra","Scorpio","Sagittarius","Capricorn","Aquarius","Pisces"},0),12)+1),12)+1)="FULL",NOT(CALC_PlanetPositions!$B$11=CALC_ChandraLagna!$E$13)),AND(CALC_PlanetPositions!$M$12="Malefic",INDEX(REF_Aspects!$D$5:$O$13,6,MOD(CALC_ChandraLagna!$F$13-(MOD(MATCH(CALC_PlanetPositions!$B$12,{"Aries","Taurus","Gemini","Cancer","Leo","Virgo","Libra","Scorpio","Sagittarius","Capricorn","Aquarius","Pisces"},0)-MATCH(CALC_PlanetPositions!$B$8,{"Aries","Taurus","Gemini","Cancer","Leo","Virgo","Libra","Scorpio","Sagittarius","Capricorn","Aquarius","Pisces"},0),12)+1),12)+1)="FULL",NOT(CALC_PlanetPositions!$B$12=CALC_ChandraLagna!$E$13)),AND(CALC_PlanetPositions!$M$13="Malefic",INDEX(REF_Aspects!$D$5:$O$13,7,MOD(CALC_ChandraLagna!$F$13-(MOD(MATCH(CALC_PlanetPositions!$B$13,{"Aries","Taurus","Gemini","Cancer","Leo","Virgo","Libra","Scorpio","Sagittarius","Capricorn","Aquarius","Pisces"},0)-MATCH(CALC_PlanetPositions!$B$8,{"Aries","Taurus","Gemini","Cancer","Leo","Virgo","Libra","Scorpio","Sagittarius","Capricorn","Aquarius","Pisces"},0),12)+1),12)+1)="FULL",NOT(CALC_PlanetPositions!$B$13=CALC_ChandraLagna!$E$13)),AND(TRUE(),INDEX(REF_Aspects!$D$5:$O$13,8,MOD(CALC_ChandraLagna!$F$13-(MOD(MATCH(CALC_PlanetPositions!$B$14,{"Aries","Taurus","Gemini","Cancer","Leo","Virgo","Libra","Scorpio","Sagittarius","Capricorn","Aquarius","Pisces"},0)-MATCH(CALC_PlanetPositions!$B$8,{"Aries","Taurus","Gemini","Cancer","Leo","Virgo","Libra","Scorpio","Sagittarius","Capricorn","Aquarius","Pisces"},0),12)+1),12)+1)="FULL",NOT(CALC_PlanetPositions!$B$14=CALC_ChandraLagna!$E$13)),AND(TRUE(),INDEX(REF_Aspects!$D$5:$O$13,9,MOD(CALC_ChandraLagna!$F$13-(MOD(MATCH(CALC_PlanetPositions!$B$15,{"Aries","Taurus","Gemini","Cancer","Leo","Virgo","Libra","Scorpio","Sagittarius","Capricorn","Aquarius","Pisces"},0)-MATCH(CALC_PlanetPositions!$B$8,{"Aries","Taurus","Gemini","Cancer","Leo","Virgo","Libra","Scorpio","Sagittarius","Capricorn","Aquarius","Pisces"},0),12)+1),12)+1)="FULL",NOT(CALC_PlanetPositions!$B$15=CALC_ChandraLagna!$E$13))),1,0),0))*-0.5,0)</f>
        <v>-0.5</v>
      </c>
      <c r="D21" s="403" t="s">
        <v>4634</v>
      </c>
    </row>
    <row r="22" spans="1:7" ht="27.75" customHeight="1" x14ac:dyDescent="0.2">
      <c r="A22" s="124" t="s">
        <v>4635</v>
      </c>
      <c r="B22" s="357" t="s">
        <v>3042</v>
      </c>
      <c r="C22" s="1117">
        <f>IFERROR((IFERROR(IF(CALC_ChandraLagna!$I$13="Yes",1,0),0))*IF(REF_Config!$B$6="KP",-1.75,IF(REF_Config!$B$6="Jaimini",-2,-2)),0)</f>
        <v>-2</v>
      </c>
      <c r="D22" s="400" t="s">
        <v>4636</v>
      </c>
    </row>
    <row r="23" spans="1:7" ht="27.75" customHeight="1" x14ac:dyDescent="0.2">
      <c r="A23" s="124" t="s">
        <v>4637</v>
      </c>
      <c r="B23" s="203" t="s">
        <v>3059</v>
      </c>
      <c r="C23" s="1118">
        <f>IFERROR((IFERROR(IF(OR(AND(CALC_ChandraLagna!$E$9=CALC_ChandraLagna!$E$13,CALC_ChandraLagna!$D$9&lt;&gt;CALC_ChandraLagna!$D$13),AND(CALC_ChandraLagna!$E$11=CALC_ChandraLagna!$E$13,CALC_ChandraLagna!$D$11&lt;&gt;CALC_ChandraLagna!$D$13),AND(CALC_ChandraLagna!$E$15=CALC_ChandraLagna!$E$13,CALC_ChandraLagna!$D$15&lt;&gt;CALC_ChandraLagna!$D$13)),1,0),0))*-1,0)</f>
        <v>0</v>
      </c>
      <c r="D23" s="403" t="s">
        <v>4638</v>
      </c>
    </row>
    <row r="24" spans="1:7" ht="15.75" customHeight="1" x14ac:dyDescent="0.2">
      <c r="A24" s="1484" t="s">
        <v>4639</v>
      </c>
      <c r="B24" s="1484"/>
      <c r="C24" s="1484"/>
      <c r="D24" s="1484"/>
    </row>
    <row r="25" spans="1:7" ht="27.75" customHeight="1" x14ac:dyDescent="0.2">
      <c r="A25" s="124" t="s">
        <v>4640</v>
      </c>
      <c r="B25" s="357" t="s">
        <v>3084</v>
      </c>
      <c r="C25" s="1117">
        <f>IFERROR(IF(CALC_KarakMap!$M$14&gt;0,CALC_KarakMap!$M$14,0),0)</f>
        <v>0</v>
      </c>
      <c r="D25" s="400" t="s">
        <v>4641</v>
      </c>
    </row>
    <row r="26" spans="1:7" ht="27.75" customHeight="1" x14ac:dyDescent="0.2">
      <c r="A26" s="124" t="s">
        <v>4642</v>
      </c>
      <c r="B26" s="203" t="s">
        <v>4564</v>
      </c>
      <c r="C26" s="1118">
        <f>IFERROR(IF(CALC_KarakMap!$M$14&lt;0,CALC_KarakMap!$M$14,0),0)</f>
        <v>0</v>
      </c>
      <c r="D26" s="403" t="s">
        <v>4643</v>
      </c>
    </row>
    <row r="27" spans="1:7" ht="27.75" customHeight="1" x14ac:dyDescent="0.2">
      <c r="A27" s="1119" t="s">
        <v>4644</v>
      </c>
      <c r="B27" s="296" t="s">
        <v>3624</v>
      </c>
      <c r="C27" s="1117">
        <f>IFERROR(IF(OR(CALC_ChandraLagna!$D$13="Sun",CALC_ChandraLagna!$D$13="Rahu",CALC_ChandraLagna!$D$13="Ketu"),0,IF(CALC_ChandraLagna!$D$13="Moon",IF(CALC_CombustionCheck!$G$4="Cazimi ✓",0.5,IF(CALC_CombustionCheck!$F$4="COMBUST ⚠",-1,0)),IF(CALC_ChandraLagna!$D$13="Mars",IF(CALC_CombustionCheck!$G$5="Cazimi ✓",0.5,IF(AND(CALC_CombustionCheck!$F$5="COMBUST ⚠",CALC_RetrogradeFix!$F$6="Rx ✓"),-0.5,IF(CALC_CombustionCheck!$F$5="COMBUST ⚠",-1,0))),IF(CALC_ChandraLagna!$D$13="Mercury",IF(CALC_CombustionCheck!$G$6="Cazimi ✓",0.5,IF(AND(CALC_CombustionCheck!$F$6="COMBUST ⚠",CALC_RetrogradeFix!$F$7="Rx ✓"),-0.5,IF(CALC_CombustionCheck!$F$6="COMBUST ⚠",-1,0))),IF(CALC_ChandraLagna!$D$13="Jupiter",IF(CALC_CombustionCheck!$G$7="Cazimi ✓",0.5,IF(AND(CALC_CombustionCheck!$F$7="COMBUST ⚠",CALC_RetrogradeFix!$F$8="Rx ✓"),-0.5,IF(CALC_CombustionCheck!$F$7="COMBUST ⚠",-1,0))),IF(CALC_ChandraLagna!$D$13="Venus",IF(CALC_CombustionCheck!$G$8="Cazimi ✓",0.5,IF(AND(CALC_CombustionCheck!$F$8="COMBUST ⚠",CALC_RetrogradeFix!$F$9="Rx ✓"),-0.5,IF(CALC_CombustionCheck!$F$8="COMBUST ⚠",-1,0))),IF(CALC_ChandraLagna!$D$13="Saturn",IF(CALC_CombustionCheck!$G$9="Cazimi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ChandraLagna!$D$13="Rahu",CALC_ChandraLagna!$D$13="Ketu"),0,IF(ISNUMBER(MATCH(CALC_ChandraLagna!$D$13,{"Sun","Moon","Mars","Mercury","Jupiter","Venus","Saturn"},0)),IF(INDEX(CALC_DigBala!$F$4:$F$10,MATCH(CALC_ChandraLagna!$D$13,{"Sun","Moon","Mars","Mercury","Jupiter","Venus","Saturn"},0))="Yes",0.5,0),0)),0)</f>
        <v>0</v>
      </c>
      <c r="D28" s="400" t="s">
        <v>4647</v>
      </c>
    </row>
    <row r="29" spans="1:7" ht="27.75" customHeight="1" x14ac:dyDescent="0.2">
      <c r="A29" s="1120" t="s">
        <v>4648</v>
      </c>
      <c r="B29" s="296" t="s">
        <v>3372</v>
      </c>
      <c r="C29" s="1117">
        <f>IFERROR(IF(COUNTIFS(REF_PushkaraNavamsha!$A$4:$A$27,CALC_ChandraLagna!$E$13,REF_PushkaraNavamsha!$B$4:$B$27,INDEX(CALC_PlanetPositions!$G$7:$G$15,MATCH(CALC_ChandraLagna!$D$13,CALC_PlanetPositions!$A$7:$A$15,0)))&gt;0,0.5,0),0)</f>
        <v>0</v>
      </c>
      <c r="D29" s="400" t="s">
        <v>4649</v>
      </c>
    </row>
    <row r="30" spans="1:7" ht="25.5" customHeight="1" x14ac:dyDescent="0.2">
      <c r="A30" s="147" t="s">
        <v>4650</v>
      </c>
      <c r="B30" s="1121" t="s">
        <v>4651</v>
      </c>
      <c r="C30" s="1122">
        <f>IFERROR(IF(ISNUMBER(MATCH(CALC_ChandraLagna!$D$13,{"Sun","Moon","Mars","Mercury","Jupiter","Venus","Saturn"},0)),INDEX(CALC_RetrogradeFix!$G$4:$G$10,MATCH(CALC_ChandraLagna!$D$13,{"Sun","Moon","Mars","Mercury","Jupiter","Venus","Saturn"},0)),0),0)</f>
        <v>0</v>
      </c>
      <c r="D30" s="1123" t="s">
        <v>4652</v>
      </c>
    </row>
    <row r="31" spans="1:7" ht="18" customHeight="1" x14ac:dyDescent="0.2">
      <c r="A31" s="1555" t="s">
        <v>4653</v>
      </c>
      <c r="B31" s="1555"/>
      <c r="C31" s="1555"/>
      <c r="D31" s="1555"/>
      <c r="E31" s="1124" t="s">
        <v>4654</v>
      </c>
      <c r="F31" s="1125">
        <f>IFERROR(IF(CALC_Ashtakavarga!K$12&gt;28,0.5,IF(CALC_Ashtakavarga!K$12&lt;22,-0.5,0)),0)</f>
        <v>-0.5</v>
      </c>
      <c r="G31" s="1126" t="s">
        <v>4655</v>
      </c>
    </row>
    <row r="32" spans="1:7" ht="18" customHeight="1" x14ac:dyDescent="0.2">
      <c r="A32" s="189" t="s">
        <v>3367</v>
      </c>
      <c r="B32" s="1127" t="s">
        <v>4656</v>
      </c>
      <c r="C32" s="1128">
        <f>IFERROR(SUM(C5:C7),0)</f>
        <v>2.25</v>
      </c>
      <c r="D32" s="1129"/>
    </row>
    <row r="33" spans="1:4" ht="18" customHeight="1" x14ac:dyDescent="0.2">
      <c r="A33" s="189" t="s">
        <v>3372</v>
      </c>
      <c r="B33" s="1127" t="s">
        <v>4657</v>
      </c>
      <c r="C33" s="1128">
        <f>IFERROR(SUM(C9:C13,C28:C30,F31,0),0)</f>
        <v>-0.5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-1.75</v>
      </c>
      <c r="D37" s="1129"/>
    </row>
    <row r="38" spans="1:4" ht="21.75" customHeight="1" x14ac:dyDescent="0.2">
      <c r="A38" s="89" t="s">
        <v>4661</v>
      </c>
      <c r="B38" s="1129"/>
      <c r="C38" s="1131">
        <f>IFERROR(MAX(-10,MIN(10,C37)),0)</f>
        <v>-1.75</v>
      </c>
      <c r="D38" s="1132"/>
    </row>
    <row r="39" spans="1:4" ht="18" customHeight="1" x14ac:dyDescent="0.2">
      <c r="A39" s="517" t="s">
        <v>4662</v>
      </c>
      <c r="B39" s="1129"/>
      <c r="C39" s="1133">
        <f>IFERROR(CALC_LagneshStrength!$I$4,0)</f>
        <v>0</v>
      </c>
      <c r="D39" s="1129"/>
    </row>
    <row r="40" spans="1:4" ht="25.5" customHeight="1" x14ac:dyDescent="0.2">
      <c r="A40" s="1137" t="s">
        <v>4663</v>
      </c>
      <c r="B40" s="1129"/>
      <c r="C40" s="1138">
        <f>IFERROR(MAX(-10,MIN(10,C38+C39+C41)),0)</f>
        <v>-1.75</v>
      </c>
      <c r="D40" s="1139" t="str">
        <f>IFERROR(IF(C40&gt;=7,"Excellent — Career domain very strong",IF(C40&gt;=4,"Good — Career domain strong",IF(C40&gt;=1,"Moderate",IF(C40&gt;=-2,"Mixed — Career has challenges",IF(C40&gt;=-5,"Weak","Very weak — Career heavily afflicted"))))),"—")</f>
        <v>Mixed — Career has challenges</v>
      </c>
    </row>
    <row r="41" spans="1:4" ht="18" customHeight="1" x14ac:dyDescent="0.2">
      <c r="A41" s="622" t="s">
        <v>4681</v>
      </c>
      <c r="B41" s="904" t="s">
        <v>4678</v>
      </c>
      <c r="C41" s="1160">
        <v>0</v>
      </c>
      <c r="D41" s="550" t="s">
        <v>4699</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4700</v>
      </c>
      <c r="B1" s="1518"/>
      <c r="C1" s="1518"/>
      <c r="D1" s="1518"/>
      <c r="L1" s="544" t="s">
        <v>2214</v>
      </c>
    </row>
    <row r="2" spans="1:12" ht="19.5" customHeight="1" x14ac:dyDescent="0.2">
      <c r="A2" s="1595" t="str">
        <f>IFERROR("Chandra Lagna: "&amp;CALC_PlanetPositions!$B$8&amp;"  ·  H11 sign: "&amp;CALC_ChandraLagna!$C$14,"—")</f>
        <v>Chandra Lagna: Cancer  ·  H11 sign: Taurus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55" t="s">
        <v>4605</v>
      </c>
      <c r="B5" s="357" t="s">
        <v>4529</v>
      </c>
      <c r="C5" s="1117">
        <f>IFERROR((IFERROR(IF(INDEX(REF_Zodiac!$D$17:$O$17,MATCH(CALC_ChandraLagna!$C$14,REF_Zodiac!$D$3:$O$3,0))="Gentle",1,0),0))*0.5,0)</f>
        <v>0.5</v>
      </c>
      <c r="D5" s="400" t="s">
        <v>4606</v>
      </c>
    </row>
    <row r="6" spans="1:12" ht="27.75" customHeight="1" x14ac:dyDescent="0.2">
      <c r="A6" s="1155"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155" t="s">
        <v>4609</v>
      </c>
      <c r="B7" s="357" t="s">
        <v>4534</v>
      </c>
      <c r="C7" s="1117">
        <f>IFERROR((IFERROR(IF(OR(AND(OR(CALC_PlanetPositions!$M$7="Benefic",CALC_PlanetPositions!$M$7="Yogakaraka"),INDEX(REF_Aspects!$D$5:$O$13,1,MOD(11-(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11)),AND(OR(CALC_PlanetPositions!$M$8="Benefic",CALC_PlanetPositions!$M$8="Yogakaraka"),INDEX(REF_Aspects!$D$5:$O$13,2,MOD(11-(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11)),AND(OR(CALC_PlanetPositions!$M$9="Benefic",CALC_PlanetPositions!$M$9="Yogakaraka"),INDEX(REF_Aspects!$D$5:$O$13,3,MOD(11-(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11)),AND(OR(CALC_PlanetPositions!$M$10="Benefic",CALC_PlanetPositions!$M$10="Yogakaraka"),INDEX(REF_Aspects!$D$5:$O$13,4,MOD(11-(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11)),AND(OR(CALC_PlanetPositions!$M$11="Benefic",CALC_PlanetPositions!$M$11="Yogakaraka"),INDEX(REF_Aspects!$D$5:$O$13,5,MOD(11-(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11)),AND(OR(CALC_PlanetPositions!$M$12="Benefic",CALC_PlanetPositions!$M$12="Yogakaraka"),INDEX(REF_Aspects!$D$5:$O$13,6,MOD(11-(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11)),AND(OR(CALC_PlanetPositions!$M$13="Benefic",CALC_PlanetPositions!$M$13="Yogakaraka"),INDEX(REF_Aspects!$D$5:$O$13,7,MOD(11-(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11)),AND(FALSE(),INDEX(REF_Aspects!$D$5:$O$13,8,MOD(11-(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11)),AND(FALSE(),INDEX(REF_Aspects!$D$5:$O$13,9,MOD(11-(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11))),1,0),0))*IF(REF_Config!$B$6="KP",0.5,IF(REF_Config!$B$6="Jaimini",0.75,0.75)),0)</f>
        <v>0</v>
      </c>
      <c r="D7" s="400" t="s">
        <v>4610</v>
      </c>
    </row>
    <row r="8" spans="1:12" ht="15.75" customHeight="1" x14ac:dyDescent="0.2">
      <c r="A8" s="1597" t="s">
        <v>3372</v>
      </c>
      <c r="B8" s="1597"/>
      <c r="C8" s="1597"/>
      <c r="D8" s="1597"/>
    </row>
    <row r="9" spans="1:12" ht="27.75" customHeight="1" x14ac:dyDescent="0.2">
      <c r="A9" s="1155" t="s">
        <v>4611</v>
      </c>
      <c r="B9" s="203" t="s">
        <v>4537</v>
      </c>
      <c r="C9" s="1118">
        <f>IFERROR(IF(AND(OR(CALC_ChandraLagna!$G$14="Yes",CALC_ChandraLagna!$H$14="Yes"),NOT(CALC_ChandraLagna!$I$14="Yes")),1,0)*IF(REF_Config!$B$6="KP",1.5,IF(REF_Config!$B$6="Jaimini",1.5,2)),0)</f>
        <v>2</v>
      </c>
      <c r="D9" s="403" t="s">
        <v>4612</v>
      </c>
    </row>
    <row r="10" spans="1:12" ht="27.75" customHeight="1" x14ac:dyDescent="0.2">
      <c r="A10" s="1155" t="s">
        <v>4613</v>
      </c>
      <c r="B10" s="357" t="s">
        <v>3093</v>
      </c>
      <c r="C10" s="1117">
        <f>IFERROR((IFERROR(IF(OR(AND(CALC_ChandraLagna!$E$4=CALC_ChandraLagna!$E$14,CALC_ChandraLagna!$D$4&lt;&gt;CALC_ChandraLagna!$D$14),AND(CALC_ChandraLagna!$E$7=CALC_ChandraLagna!$E$14,CALC_ChandraLagna!$D$7&lt;&gt;CALC_ChandraLagna!$D$14),AND(CALC_ChandraLagna!$E$8=CALC_ChandraLagna!$E$14,CALC_ChandraLagna!$D$8&lt;&gt;CALC_ChandraLagna!$D$14),AND(CALC_ChandraLagna!$E$10=CALC_ChandraLagna!$E$14,CALC_ChandraLagna!$D$10&lt;&gt;CALC_ChandraLagna!$D$14),AND(CALC_ChandraLagna!$E$12=CALC_ChandraLagna!$E$14,CALC_ChandraLagna!$D$12&lt;&gt;CALC_ChandraLagna!$D$14),AND(CALC_ChandraLagna!$E$13=CALC_ChandraLagna!$E$14,CALC_ChandraLagna!$D$13&lt;&gt;CALC_ChandraLagna!$D$14)),1,0),0))*0.5,0)</f>
        <v>0.5</v>
      </c>
      <c r="D10" s="400" t="s">
        <v>4614</v>
      </c>
    </row>
    <row r="11" spans="1:12" ht="27.75" customHeight="1" x14ac:dyDescent="0.2">
      <c r="A11" s="1155" t="s">
        <v>4615</v>
      </c>
      <c r="B11" s="203" t="s">
        <v>4540</v>
      </c>
      <c r="C11" s="1118">
        <f>IFERROR((IFERROR(IF(OR(AND(OR(CALC_PlanetPositions!$M$7="Benefic",CALC_PlanetPositions!$M$7="Yogakaraka"),CALC_PlanetPositions!$B$7=CALC_ChandraLagna!$E$14,CALC_ChandraLagna!$D$14&lt;&gt;"Sun"),AND(OR(CALC_PlanetPositions!$M$8="Benefic",CALC_PlanetPositions!$M$8="Yogakaraka"),CALC_PlanetPositions!$B$8=CALC_ChandraLagna!$E$14,CALC_ChandraLagna!$D$14&lt;&gt;"Moon"),AND(OR(CALC_PlanetPositions!$M$9="Benefic",CALC_PlanetPositions!$M$9="Yogakaraka"),CALC_PlanetPositions!$B$9=CALC_ChandraLagna!$E$14,CALC_ChandraLagna!$D$14&lt;&gt;"Mars"),AND(OR(CALC_PlanetPositions!$M$10="Benefic",CALC_PlanetPositions!$M$10="Yogakaraka"),CALC_PlanetPositions!$B$10=CALC_ChandraLagna!$E$14,CALC_ChandraLagna!$D$14&lt;&gt;"Mercury"),AND(OR(CALC_PlanetPositions!$M$11="Benefic",CALC_PlanetPositions!$M$11="Yogakaraka"),CALC_PlanetPositions!$B$11=CALC_ChandraLagna!$E$14,CALC_ChandraLagna!$D$14&lt;&gt;"Jupiter"),AND(OR(CALC_PlanetPositions!$M$12="Benefic",CALC_PlanetPositions!$M$12="Yogakaraka"),CALC_PlanetPositions!$B$12=CALC_ChandraLagna!$E$14,CALC_ChandraLagna!$D$14&lt;&gt;"Venus"),AND(OR(CALC_PlanetPositions!$M$13="Benefic",CALC_PlanetPositions!$M$13="Yogakaraka"),CALC_PlanetPositions!$B$13=CALC_ChandraLagna!$E$14,CALC_ChandraLagna!$D$14&lt;&gt;"Saturn")),1,0),0))*IF(OR(AND(CALC_PlanetPositions!$M$7="Yogakaraka",CALC_PlanetPositions!$B$7=CALC_ChandraLagna!$E$14,CALC_ChandraLagna!$D$14&lt;&gt;"Sun"),AND(CALC_PlanetPositions!$M$8="Yogakaraka",CALC_PlanetPositions!$B$8=CALC_ChandraLagna!$E$14,CALC_ChandraLagna!$D$14&lt;&gt;"Moon"),AND(CALC_PlanetPositions!$M$9="Yogakaraka",CALC_PlanetPositions!$B$9=CALC_ChandraLagna!$E$14,CALC_ChandraLagna!$D$14&lt;&gt;"Mars"),AND(CALC_PlanetPositions!$M$10="Yogakaraka",CALC_PlanetPositions!$B$10=CALC_ChandraLagna!$E$14,CALC_ChandraLagna!$D$14&lt;&gt;"Mercury"),AND(CALC_PlanetPositions!$M$11="Yogakaraka",CALC_PlanetPositions!$B$11=CALC_ChandraLagna!$E$14,CALC_ChandraLagna!$D$14&lt;&gt;"Jupiter"),AND(CALC_PlanetPositions!$M$12="Yogakaraka",CALC_PlanetPositions!$B$12=CALC_ChandraLagna!$E$14,CALC_ChandraLagna!$D$14&lt;&gt;"Venus"),AND(CALC_PlanetPositions!$M$13="Yogakaraka",CALC_PlanetPositions!$B$13=CALC_ChandraLagna!$E$14,CALC_ChandraLagna!$D$14&lt;&gt;"Saturn")),1.5,1),0)</f>
        <v>1.5</v>
      </c>
      <c r="D11" s="403" t="s">
        <v>4616</v>
      </c>
    </row>
    <row r="12" spans="1:12" ht="27.75" customHeight="1" x14ac:dyDescent="0.2">
      <c r="A12" s="1155" t="s">
        <v>4617</v>
      </c>
      <c r="B12" s="357" t="s">
        <v>4542</v>
      </c>
      <c r="C12" s="1117">
        <f>IFERROR((IFERROR(IF(OR(AND(OR(CALC_PlanetPositions!$M$7="Benefic",CALC_PlanetPositions!$M$7="Yogakaraka"),INDEX(REF_Aspects!$D$5:$O$13,1,MOD(CALC_ChandraLagna!$F$14-(MOD(MATCH(CALC_PlanetPositions!$B$7,{"Aries","Taurus","Gemini","Cancer","Leo","Virgo","Libra","Scorpio","Sagittarius","Capricorn","Aquarius","Pisces"},0)-MATCH(CALC_PlanetPositions!$B$8,{"Aries","Taurus","Gemini","Cancer","Leo","Virgo","Libra","Scorpio","Sagittarius","Capricorn","Aquarius","Pisces"},0),12)+1),12)+1)="FULL",NOT(CALC_PlanetPositions!$B$7=CALC_ChandraLagna!$E$14)),AND(OR(CALC_PlanetPositions!$M$8="Benefic",CALC_PlanetPositions!$M$8="Yogakaraka"),INDEX(REF_Aspects!$D$5:$O$13,2,MOD(CALC_ChandraLagna!$F$14-(MOD(MATCH(CALC_PlanetPositions!$B$8,{"Aries","Taurus","Gemini","Cancer","Leo","Virgo","Libra","Scorpio","Sagittarius","Capricorn","Aquarius","Pisces"},0)-MATCH(CALC_PlanetPositions!$B$8,{"Aries","Taurus","Gemini","Cancer","Leo","Virgo","Libra","Scorpio","Sagittarius","Capricorn","Aquarius","Pisces"},0),12)+1),12)+1)="FULL",NOT(CALC_PlanetPositions!$B$8=CALC_ChandraLagna!$E$14)),AND(OR(CALC_PlanetPositions!$M$9="Benefic",CALC_PlanetPositions!$M$9="Yogakaraka"),INDEX(REF_Aspects!$D$5:$O$13,3,MOD(CALC_ChandraLagna!$F$14-(MOD(MATCH(CALC_PlanetPositions!$B$9,{"Aries","Taurus","Gemini","Cancer","Leo","Virgo","Libra","Scorpio","Sagittarius","Capricorn","Aquarius","Pisces"},0)-MATCH(CALC_PlanetPositions!$B$8,{"Aries","Taurus","Gemini","Cancer","Leo","Virgo","Libra","Scorpio","Sagittarius","Capricorn","Aquarius","Pisces"},0),12)+1),12)+1)="FULL",NOT(CALC_PlanetPositions!$B$9=CALC_ChandraLagna!$E$14)),AND(OR(CALC_PlanetPositions!$M$10="Benefic",CALC_PlanetPositions!$M$10="Yogakaraka"),INDEX(REF_Aspects!$D$5:$O$13,4,MOD(CALC_ChandraLagna!$F$14-(MOD(MATCH(CALC_PlanetPositions!$B$10,{"Aries","Taurus","Gemini","Cancer","Leo","Virgo","Libra","Scorpio","Sagittarius","Capricorn","Aquarius","Pisces"},0)-MATCH(CALC_PlanetPositions!$B$8,{"Aries","Taurus","Gemini","Cancer","Leo","Virgo","Libra","Scorpio","Sagittarius","Capricorn","Aquarius","Pisces"},0),12)+1),12)+1)="FULL",NOT(CALC_PlanetPositions!$B$10=CALC_ChandraLagna!$E$14)),AND(OR(CALC_PlanetPositions!$M$11="Benefic",CALC_PlanetPositions!$M$11="Yogakaraka"),INDEX(REF_Aspects!$D$5:$O$13,5,MOD(CALC_ChandraLagna!$F$14-(MOD(MATCH(CALC_PlanetPositions!$B$11,{"Aries","Taurus","Gemini","Cancer","Leo","Virgo","Libra","Scorpio","Sagittarius","Capricorn","Aquarius","Pisces"},0)-MATCH(CALC_PlanetPositions!$B$8,{"Aries","Taurus","Gemini","Cancer","Leo","Virgo","Libra","Scorpio","Sagittarius","Capricorn","Aquarius","Pisces"},0),12)+1),12)+1)="FULL",NOT(CALC_PlanetPositions!$B$11=CALC_ChandraLagna!$E$14)),AND(OR(CALC_PlanetPositions!$M$12="Benefic",CALC_PlanetPositions!$M$12="Yogakaraka"),INDEX(REF_Aspects!$D$5:$O$13,6,MOD(CALC_ChandraLagna!$F$14-(MOD(MATCH(CALC_PlanetPositions!$B$12,{"Aries","Taurus","Gemini","Cancer","Leo","Virgo","Libra","Scorpio","Sagittarius","Capricorn","Aquarius","Pisces"},0)-MATCH(CALC_PlanetPositions!$B$8,{"Aries","Taurus","Gemini","Cancer","Leo","Virgo","Libra","Scorpio","Sagittarius","Capricorn","Aquarius","Pisces"},0),12)+1),12)+1)="FULL",NOT(CALC_PlanetPositions!$B$12=CALC_ChandraLagna!$E$14)),AND(OR(CALC_PlanetPositions!$M$13="Benefic",CALC_PlanetPositions!$M$13="Yogakaraka"),INDEX(REF_Aspects!$D$5:$O$13,7,MOD(CALC_ChandraLagna!$F$14-(MOD(MATCH(CALC_PlanetPositions!$B$13,{"Aries","Taurus","Gemini","Cancer","Leo","Virgo","Libra","Scorpio","Sagittarius","Capricorn","Aquarius","Pisces"},0)-MATCH(CALC_PlanetPositions!$B$8,{"Aries","Taurus","Gemini","Cancer","Leo","Virgo","Libra","Scorpio","Sagittarius","Capricorn","Aquarius","Pisces"},0),12)+1),12)+1)="FULL",NOT(CALC_PlanetPositions!$B$13=CALC_ChandraLagna!$E$14)),AND(FALSE(),INDEX(REF_Aspects!$D$5:$O$13,8,MOD(CALC_ChandraLagna!$F$14-(MOD(MATCH(CALC_PlanetPositions!$B$14,{"Aries","Taurus","Gemini","Cancer","Leo","Virgo","Libra","Scorpio","Sagittarius","Capricorn","Aquarius","Pisces"},0)-MATCH(CALC_PlanetPositions!$B$8,{"Aries","Taurus","Gemini","Cancer","Leo","Virgo","Libra","Scorpio","Sagittarius","Capricorn","Aquarius","Pisces"},0),12)+1),12)+1)="FULL",NOT(CALC_PlanetPositions!$B$14=CALC_ChandraLagna!$E$14)),AND(FALSE(),INDEX(REF_Aspects!$D$5:$O$13,9,MOD(CALC_ChandraLagna!$F$14-(MOD(MATCH(CALC_PlanetPositions!$B$15,{"Aries","Taurus","Gemini","Cancer","Leo","Virgo","Libra","Scorpio","Sagittarius","Capricorn","Aquarius","Pisces"},0)-MATCH(CALC_PlanetPositions!$B$8,{"Aries","Taurus","Gemini","Cancer","Leo","Virgo","Libra","Scorpio","Sagittarius","Capricorn","Aquarius","Pisces"},0),12)+1),12)+1)="FULL",NOT(CALC_PlanetPositions!$B$15=CALC_ChandraLagna!$E$14))),1,0),0))*0.5,0)</f>
        <v>0</v>
      </c>
      <c r="D12" s="400" t="s">
        <v>4618</v>
      </c>
    </row>
    <row r="13" spans="1:12" ht="27.75" customHeight="1" x14ac:dyDescent="0.2">
      <c r="A13" s="1155"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$14-2,12)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$14-2,12)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$14-2,12)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$14-2,12)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$14-2,12)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$14-2,12)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$14-2,12)+1)),AND(FALSE(),MOD(MATCH(CALC_PlanetPositions!$B$14,{"Aries","Taurus","Gemini","Cancer","Leo","Virgo","Libra","Scorpio","Sagittarius","Capricorn","Aquarius","Pisces"},0)-MATCH(CALC_PlanetPositions!$B$8,{"Aries","Taurus","Gemini","Cancer","Leo","Virgo","Libra","Scorpio","Sagittarius","Capricorn","Aquarius","Pisces"},0),12)+1=(MOD(CALC_ChandraLagna!$F$14-2,12)+1)),AND(FALSE(),MOD(MATCH(CALC_PlanetPositions!$B$15,{"Aries","Taurus","Gemini","Cancer","Leo","Virgo","Libra","Scorpio","Sagittarius","Capricorn","Aquarius","Pisces"},0)-MATCH(CALC_PlanetPositions!$B$8,{"Aries","Taurus","Gemini","Cancer","Leo","Virgo","Libra","Scorpio","Sagittarius","Capricorn","Aquarius","Pisces"},0),12)+1=(MOD(CALC_ChandraLagna!$F$14-2,12)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$14,12)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$14,12)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$14,12)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$14,12)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$14,12)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$14,12)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$14,12)+1)),AND(FALSE(),MOD(MATCH(CALC_PlanetPositions!$B$14,{"Aries","Taurus","Gemini","Cancer","Leo","Virgo","Libra","Scorpio","Sagittarius","Capricorn","Aquarius","Pisces"},0)-MATCH(CALC_PlanetPositions!$B$8,{"Aries","Taurus","Gemini","Cancer","Leo","Virgo","Libra","Scorpio","Sagittarius","Capricorn","Aquarius","Pisces"},0),12)+1=(MOD(CALC_ChandraLagna!$F$14,12)+1)),AND(FALSE(),MOD(MATCH(CALC_PlanetPositions!$B$15,{"Aries","Taurus","Gemini","Cancer","Leo","Virgo","Libra","Scorpio","Sagittarius","Capricorn","Aquarius","Pisces"},0)-MATCH(CALC_PlanetPositions!$B$8,{"Aries","Taurus","Gemini","Cancer","Leo","Virgo","Libra","Scorpio","Sagittarius","Capricorn","Aquarius","Pisces"},0),12)+1=(MOD(CALC_ChandraLagna!$F$14,12)+1)))),1,0),0))*IF(REF_Config!$B$6="KP",0.75,IF(REF_Config!$B$6="Jaimini",0.5,0.75)),0)</f>
        <v>0</v>
      </c>
      <c r="D13" s="403" t="s">
        <v>4620</v>
      </c>
    </row>
    <row r="14" spans="1:12" ht="15.75" customHeight="1" x14ac:dyDescent="0.2">
      <c r="A14" s="1598" t="s">
        <v>4621</v>
      </c>
      <c r="B14" s="1598"/>
      <c r="C14" s="1598"/>
      <c r="D14" s="1598"/>
    </row>
    <row r="15" spans="1:12" ht="27.75" customHeight="1" x14ac:dyDescent="0.2">
      <c r="A15" s="1155"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11),AND(CALC_PlanetPositions!$M$8="Malefic",(MOD(MATCH(CALC_PlanetPositions!$B$8,{"Aries","Taurus","Gemini","Cancer","Leo","Virgo","Libra","Scorpio","Sagittarius","Capricorn","Aquarius","Pisces"},0)-MATCH(CALC_PlanetPositions!$B$8,{"Aries","Taurus","Gemini","Cancer","Leo","Virgo","Libra","Scorpio","Sagittarius","Capricorn","Aquarius","Pisces"},0),12)+1)=11),AND(CALC_PlanetPositions!$M$9="Malefic",(MOD(MATCH(CALC_PlanetPositions!$B$9,{"Aries","Taurus","Gemini","Cancer","Leo","Virgo","Libra","Scorpio","Sagittarius","Capricorn","Aquarius","Pisces"},0)-MATCH(CALC_PlanetPositions!$B$8,{"Aries","Taurus","Gemini","Cancer","Leo","Virgo","Libra","Scorpio","Sagittarius","Capricorn","Aquarius","Pisces"},0),12)+1)=11),AND(CALC_PlanetPositions!$M$10="Malefic",(MOD(MATCH(CALC_PlanetPositions!$B$10,{"Aries","Taurus","Gemini","Cancer","Leo","Virgo","Libra","Scorpio","Sagittarius","Capricorn","Aquarius","Pisces"},0)-MATCH(CALC_PlanetPositions!$B$8,{"Aries","Taurus","Gemini","Cancer","Leo","Virgo","Libra","Scorpio","Sagittarius","Capricorn","Aquarius","Pisces"},0),12)+1)=11),AND(CALC_PlanetPositions!$M$11="Malefic",(MOD(MATCH(CALC_PlanetPositions!$B$11,{"Aries","Taurus","Gemini","Cancer","Leo","Virgo","Libra","Scorpio","Sagittarius","Capricorn","Aquarius","Pisces"},0)-MATCH(CALC_PlanetPositions!$B$8,{"Aries","Taurus","Gemini","Cancer","Leo","Virgo","Libra","Scorpio","Sagittarius","Capricorn","Aquarius","Pisces"},0),12)+1)=11),AND(CALC_PlanetPositions!$M$12="Malefic",(MOD(MATCH(CALC_PlanetPositions!$B$12,{"Aries","Taurus","Gemini","Cancer","Leo","Virgo","Libra","Scorpio","Sagittarius","Capricorn","Aquarius","Pisces"},0)-MATCH(CALC_PlanetPositions!$B$8,{"Aries","Taurus","Gemini","Cancer","Leo","Virgo","Libra","Scorpio","Sagittarius","Capricorn","Aquarius","Pisces"},0),12)+1)=11),AND(CALC_PlanetPositions!$M$13="Malefic",(MOD(MATCH(CALC_PlanetPositions!$B$13,{"Aries","Taurus","Gemini","Cancer","Leo","Virgo","Libra","Scorpio","Sagittarius","Capricorn","Aquarius","Pisces"},0)-MATCH(CALC_PlanetPositions!$B$8,{"Aries","Taurus","Gemini","Cancer","Leo","Virgo","Libra","Scorpio","Sagittarius","Capricorn","Aquarius","Pisces"},0),12)+1)=11),AND(TRUE(),(MOD(MATCH(CALC_PlanetPositions!$B$14,{"Aries","Taurus","Gemini","Cancer","Leo","Virgo","Libra","Scorpio","Sagittarius","Capricorn","Aquarius","Pisces"},0)-MATCH(CALC_PlanetPositions!$B$8,{"Aries","Taurus","Gemini","Cancer","Leo","Virgo","Libra","Scorpio","Sagittarius","Capricorn","Aquarius","Pisces"},0),12)+1)=11),AND(TRUE(),(MOD(MATCH(CALC_PlanetPositions!$B$15,{"Aries","Taurus","Gemini","Cancer","Leo","Virgo","Libra","Scorpio","Sagittarius","Capricorn","Aquarius","Pisces"},0)-MATCH(CALC_PlanetPositions!$B$8,{"Aries","Taurus","Gemini","Cancer","Leo","Virgo","Libra","Scorpio","Sagittarius","Capricorn","Aquarius","Pisces"},0),12)+1)=11)),1,0),0))*-1,0)</f>
        <v>-1</v>
      </c>
      <c r="D15" s="400" t="s">
        <v>4623</v>
      </c>
    </row>
    <row r="16" spans="1:12" ht="27.75" customHeight="1" x14ac:dyDescent="0.2">
      <c r="A16" s="1155" t="s">
        <v>4624</v>
      </c>
      <c r="B16" s="203" t="s">
        <v>4548</v>
      </c>
      <c r="C16" s="1118">
        <f>IFERROR((IFERROR(IF(OR(AND(CALC_PlanetPositions!$M$7="Malefic",INDEX(REF_Aspects!$D$5:$O$13,1,MOD(11-(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11)),AND(CALC_PlanetPositions!$M$8="Malefic",INDEX(REF_Aspects!$D$5:$O$13,2,MOD(11-(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11)),AND(CALC_PlanetPositions!$M$9="Malefic",INDEX(REF_Aspects!$D$5:$O$13,3,MOD(11-(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11)),AND(CALC_PlanetPositions!$M$10="Malefic",INDEX(REF_Aspects!$D$5:$O$13,4,MOD(11-(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11)),AND(CALC_PlanetPositions!$M$11="Malefic",INDEX(REF_Aspects!$D$5:$O$13,5,MOD(11-(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11)),AND(CALC_PlanetPositions!$M$12="Malefic",INDEX(REF_Aspects!$D$5:$O$13,6,MOD(11-(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11)),AND(CALC_PlanetPositions!$M$13="Malefic",INDEX(REF_Aspects!$D$5:$O$13,7,MOD(11-(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11)),AND(TRUE(),INDEX(REF_Aspects!$D$5:$O$13,8,MOD(11-(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11)),AND(TRUE(),INDEX(REF_Aspects!$D$5:$O$13,9,MOD(11-(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11))),1,0),0))*-1,0)</f>
        <v>-1</v>
      </c>
      <c r="D16" s="403" t="s">
        <v>4625</v>
      </c>
    </row>
    <row r="17" spans="1:7" ht="27.75" customHeight="1" x14ac:dyDescent="0.2">
      <c r="A17" s="1155" t="s">
        <v>4626</v>
      </c>
      <c r="B17" s="357" t="s">
        <v>3062</v>
      </c>
      <c r="C17" s="1117">
        <v>0</v>
      </c>
      <c r="D17" s="400" t="s">
        <v>4627</v>
      </c>
    </row>
    <row r="18" spans="1:7" ht="27.75" customHeight="1" x14ac:dyDescent="0.2">
      <c r="A18" s="1155"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(11-2,12)+1)),AND(CALC_PlanetPositions!$M$8="Malefic",MOD(MATCH(CALC_PlanetPositions!$B$8,{"Aries","Taurus","Gemini","Cancer","Leo","Virgo","Libra","Scorpio","Sagittarius","Capricorn","Aquarius","Pisces"},0)-MATCH(CALC_PlanetPositions!$B$8,{"Aries","Taurus","Gemini","Cancer","Leo","Virgo","Libra","Scorpio","Sagittarius","Capricorn","Aquarius","Pisces"},0),12)+1=(MOD(11-2,12)+1)),AND(CALC_PlanetPositions!$M$9="Malefic",MOD(MATCH(CALC_PlanetPositions!$B$9,{"Aries","Taurus","Gemini","Cancer","Leo","Virgo","Libra","Scorpio","Sagittarius","Capricorn","Aquarius","Pisces"},0)-MATCH(CALC_PlanetPositions!$B$8,{"Aries","Taurus","Gemini","Cancer","Leo","Virgo","Libra","Scorpio","Sagittarius","Capricorn","Aquarius","Pisces"},0),12)+1=(MOD(11-2,12)+1)),AND(CALC_PlanetPositions!$M$10="Malefic",MOD(MATCH(CALC_PlanetPositions!$B$10,{"Aries","Taurus","Gemini","Cancer","Leo","Virgo","Libra","Scorpio","Sagittarius","Capricorn","Aquarius","Pisces"},0)-MATCH(CALC_PlanetPositions!$B$8,{"Aries","Taurus","Gemini","Cancer","Leo","Virgo","Libra","Scorpio","Sagittarius","Capricorn","Aquarius","Pisces"},0),12)+1=(MOD(11-2,12)+1)),AND(CALC_PlanetPositions!$M$11="Malefic",MOD(MATCH(CALC_PlanetPositions!$B$11,{"Aries","Taurus","Gemini","Cancer","Leo","Virgo","Libra","Scorpio","Sagittarius","Capricorn","Aquarius","Pisces"},0)-MATCH(CALC_PlanetPositions!$B$8,{"Aries","Taurus","Gemini","Cancer","Leo","Virgo","Libra","Scorpio","Sagittarius","Capricorn","Aquarius","Pisces"},0),12)+1=(MOD(11-2,12)+1)),AND(CALC_PlanetPositions!$M$12="Malefic",MOD(MATCH(CALC_PlanetPositions!$B$12,{"Aries","Taurus","Gemini","Cancer","Leo","Virgo","Libra","Scorpio","Sagittarius","Capricorn","Aquarius","Pisces"},0)-MATCH(CALC_PlanetPositions!$B$8,{"Aries","Taurus","Gemini","Cancer","Leo","Virgo","Libra","Scorpio","Sagittarius","Capricorn","Aquarius","Pisces"},0),12)+1=(MOD(11-2,12)+1)),AND(CALC_PlanetPositions!$M$13="Malefic",MOD(MATCH(CALC_PlanetPositions!$B$13,{"Aries","Taurus","Gemini","Cancer","Leo","Virgo","Libra","Scorpio","Sagittarius","Capricorn","Aquarius","Pisces"},0)-MATCH(CALC_PlanetPositions!$B$8,{"Aries","Taurus","Gemini","Cancer","Leo","Virgo","Libra","Scorpio","Sagittarius","Capricorn","Aquarius","Pisces"},0),12)+1=(MOD(11-2,12)+1)),AND(TRUE(),MOD(MATCH(CALC_PlanetPositions!$B$14,{"Aries","Taurus","Gemini","Cancer","Leo","Virgo","Libra","Scorpio","Sagittarius","Capricorn","Aquarius","Pisces"},0)-MATCH(CALC_PlanetPositions!$B$8,{"Aries","Taurus","Gemini","Cancer","Leo","Virgo","Libra","Scorpio","Sagittarius","Capricorn","Aquarius","Pisces"},0),12)+1=(MOD(11-2,12)+1)),AND(TRUE(),MOD(MATCH(CALC_PlanetPositions!$B$15,{"Aries","Taurus","Gemini","Cancer","Leo","Virgo","Libra","Scorpio","Sagittarius","Capricorn","Aquarius","Pisces"},0)-MATCH(CALC_PlanetPositions!$B$8,{"Aries","Taurus","Gemini","Cancer","Leo","Virgo","Libra","Scorpio","Sagittarius","Capricorn","Aquarius","Pisces"},0),12)+1=(MOD(11-2,12)+1))),OR(AND(CALC_PlanetPositions!$M$7="Malefic",MOD(MATCH(CALC_PlanetPositions!$B$7,{"Aries","Taurus","Gemini","Cancer","Leo","Virgo","Libra","Scorpio","Sagittarius","Capricorn","Aquarius","Pisces"},0)-MATCH(CALC_PlanetPositions!$B$8,{"Aries","Taurus","Gemini","Cancer","Leo","Virgo","Libra","Scorpio","Sagittarius","Capricorn","Aquarius","Pisces"},0),12)+1=(MOD(11,12)+1)),AND(CALC_PlanetPositions!$M$8="Malefic",MOD(MATCH(CALC_PlanetPositions!$B$8,{"Aries","Taurus","Gemini","Cancer","Leo","Virgo","Libra","Scorpio","Sagittarius","Capricorn","Aquarius","Pisces"},0)-MATCH(CALC_PlanetPositions!$B$8,{"Aries","Taurus","Gemini","Cancer","Leo","Virgo","Libra","Scorpio","Sagittarius","Capricorn","Aquarius","Pisces"},0),12)+1=(MOD(11,12)+1)),AND(CALC_PlanetPositions!$M$9="Malefic",MOD(MATCH(CALC_PlanetPositions!$B$9,{"Aries","Taurus","Gemini","Cancer","Leo","Virgo","Libra","Scorpio","Sagittarius","Capricorn","Aquarius","Pisces"},0)-MATCH(CALC_PlanetPositions!$B$8,{"Aries","Taurus","Gemini","Cancer","Leo","Virgo","Libra","Scorpio","Sagittarius","Capricorn","Aquarius","Pisces"},0),12)+1=(MOD(11,12)+1)),AND(CALC_PlanetPositions!$M$10="Malefic",MOD(MATCH(CALC_PlanetPositions!$B$10,{"Aries","Taurus","Gemini","Cancer","Leo","Virgo","Libra","Scorpio","Sagittarius","Capricorn","Aquarius","Pisces"},0)-MATCH(CALC_PlanetPositions!$B$8,{"Aries","Taurus","Gemini","Cancer","Leo","Virgo","Libra","Scorpio","Sagittarius","Capricorn","Aquarius","Pisces"},0),12)+1=(MOD(11,12)+1)),AND(CALC_PlanetPositions!$M$11="Malefic",MOD(MATCH(CALC_PlanetPositions!$B$11,{"Aries","Taurus","Gemini","Cancer","Leo","Virgo","Libra","Scorpio","Sagittarius","Capricorn","Aquarius","Pisces"},0)-MATCH(CALC_PlanetPositions!$B$8,{"Aries","Taurus","Gemini","Cancer","Leo","Virgo","Libra","Scorpio","Sagittarius","Capricorn","Aquarius","Pisces"},0),12)+1=(MOD(11,12)+1)),AND(CALC_PlanetPositions!$M$12="Malefic",MOD(MATCH(CALC_PlanetPositions!$B$12,{"Aries","Taurus","Gemini","Cancer","Leo","Virgo","Libra","Scorpio","Sagittarius","Capricorn","Aquarius","Pisces"},0)-MATCH(CALC_PlanetPositions!$B$8,{"Aries","Taurus","Gemini","Cancer","Leo","Virgo","Libra","Scorpio","Sagittarius","Capricorn","Aquarius","Pisces"},0),12)+1=(MOD(11,12)+1)),AND(CALC_PlanetPositions!$M$13="Malefic",MOD(MATCH(CALC_PlanetPositions!$B$13,{"Aries","Taurus","Gemini","Cancer","Leo","Virgo","Libra","Scorpio","Sagittarius","Capricorn","Aquarius","Pisces"},0)-MATCH(CALC_PlanetPositions!$B$8,{"Aries","Taurus","Gemini","Cancer","Leo","Virgo","Libra","Scorpio","Sagittarius","Capricorn","Aquarius","Pisces"},0),12)+1=(MOD(11,12)+1)),AND(TRUE(),MOD(MATCH(CALC_PlanetPositions!$B$14,{"Aries","Taurus","Gemini","Cancer","Leo","Virgo","Libra","Scorpio","Sagittarius","Capricorn","Aquarius","Pisces"},0)-MATCH(CALC_PlanetPositions!$B$8,{"Aries","Taurus","Gemini","Cancer","Leo","Virgo","Libra","Scorpio","Sagittarius","Capricorn","Aquarius","Pisces"},0),12)+1=(MOD(11,12)+1)),AND(TRUE(),MOD(MATCH(CALC_PlanetPositions!$B$15,{"Aries","Taurus","Gemini","Cancer","Leo","Virgo","Libra","Scorpio","Sagittarius","Capricorn","Aquarius","Pisces"},0)-MATCH(CALC_PlanetPositions!$B$8,{"Aries","Taurus","Gemini","Cancer","Leo","Virgo","Libra","Scorpio","Sagittarius","Capricorn","Aquarius","Pisces"},0),12)+1=(MOD(11,12)+1)))),1,0),0))*IF(REF_Config!$B$6="KP",-0.75,IF(REF_Config!$B$6="Jaimini",-0.5,-0.75)),0)</f>
        <v>0</v>
      </c>
      <c r="D18" s="403" t="s">
        <v>4629</v>
      </c>
    </row>
    <row r="19" spans="1:7" ht="15.75" customHeight="1" x14ac:dyDescent="0.2">
      <c r="A19" s="1594" t="s">
        <v>3624</v>
      </c>
      <c r="B19" s="1594"/>
      <c r="C19" s="1594"/>
      <c r="D19" s="1594"/>
    </row>
    <row r="20" spans="1:7" ht="27.75" customHeight="1" x14ac:dyDescent="0.2">
      <c r="A20" s="1155" t="s">
        <v>4630</v>
      </c>
      <c r="B20" s="357" t="s">
        <v>4555</v>
      </c>
      <c r="C20" s="1117">
        <v>0</v>
      </c>
      <c r="D20" s="400" t="s">
        <v>4631</v>
      </c>
    </row>
    <row r="21" spans="1:7" ht="27.75" customHeight="1" x14ac:dyDescent="0.2">
      <c r="A21" s="1155" t="s">
        <v>4632</v>
      </c>
      <c r="B21" s="203" t="s">
        <v>4633</v>
      </c>
      <c r="C21" s="1118">
        <f>IFERROR((IFERROR(IF(OR(AND(CALC_PlanetPositions!$M$7="Malefic",INDEX(REF_Aspects!$D$5:$O$13,1,MOD(CALC_ChandraLagna!$F$14-(MOD(MATCH(CALC_PlanetPositions!$B$7,{"Aries","Taurus","Gemini","Cancer","Leo","Virgo","Libra","Scorpio","Sagittarius","Capricorn","Aquarius","Pisces"},0)-MATCH(CALC_PlanetPositions!$B$8,{"Aries","Taurus","Gemini","Cancer","Leo","Virgo","Libra","Scorpio","Sagittarius","Capricorn","Aquarius","Pisces"},0),12)+1),12)+1)="FULL",NOT(CALC_PlanetPositions!$B$7=CALC_ChandraLagna!$E$14)),AND(CALC_PlanetPositions!$M$8="Malefic",INDEX(REF_Aspects!$D$5:$O$13,2,MOD(CALC_ChandraLagna!$F$14-(MOD(MATCH(CALC_PlanetPositions!$B$8,{"Aries","Taurus","Gemini","Cancer","Leo","Virgo","Libra","Scorpio","Sagittarius","Capricorn","Aquarius","Pisces"},0)-MATCH(CALC_PlanetPositions!$B$8,{"Aries","Taurus","Gemini","Cancer","Leo","Virgo","Libra","Scorpio","Sagittarius","Capricorn","Aquarius","Pisces"},0),12)+1),12)+1)="FULL",NOT(CALC_PlanetPositions!$B$8=CALC_ChandraLagna!$E$14)),AND(CALC_PlanetPositions!$M$9="Malefic",INDEX(REF_Aspects!$D$5:$O$13,3,MOD(CALC_ChandraLagna!$F$14-(MOD(MATCH(CALC_PlanetPositions!$B$9,{"Aries","Taurus","Gemini","Cancer","Leo","Virgo","Libra","Scorpio","Sagittarius","Capricorn","Aquarius","Pisces"},0)-MATCH(CALC_PlanetPositions!$B$8,{"Aries","Taurus","Gemini","Cancer","Leo","Virgo","Libra","Scorpio","Sagittarius","Capricorn","Aquarius","Pisces"},0),12)+1),12)+1)="FULL",NOT(CALC_PlanetPositions!$B$9=CALC_ChandraLagna!$E$14)),AND(CALC_PlanetPositions!$M$10="Malefic",INDEX(REF_Aspects!$D$5:$O$13,4,MOD(CALC_ChandraLagna!$F$14-(MOD(MATCH(CALC_PlanetPositions!$B$10,{"Aries","Taurus","Gemini","Cancer","Leo","Virgo","Libra","Scorpio","Sagittarius","Capricorn","Aquarius","Pisces"},0)-MATCH(CALC_PlanetPositions!$B$8,{"Aries","Taurus","Gemini","Cancer","Leo","Virgo","Libra","Scorpio","Sagittarius","Capricorn","Aquarius","Pisces"},0),12)+1),12)+1)="FULL",NOT(CALC_PlanetPositions!$B$10=CALC_ChandraLagna!$E$14)),AND(CALC_PlanetPositions!$M$11="Malefic",INDEX(REF_Aspects!$D$5:$O$13,5,MOD(CALC_ChandraLagna!$F$14-(MOD(MATCH(CALC_PlanetPositions!$B$11,{"Aries","Taurus","Gemini","Cancer","Leo","Virgo","Libra","Scorpio","Sagittarius","Capricorn","Aquarius","Pisces"},0)-MATCH(CALC_PlanetPositions!$B$8,{"Aries","Taurus","Gemini","Cancer","Leo","Virgo","Libra","Scorpio","Sagittarius","Capricorn","Aquarius","Pisces"},0),12)+1),12)+1)="FULL",NOT(CALC_PlanetPositions!$B$11=CALC_ChandraLagna!$E$14)),AND(CALC_PlanetPositions!$M$12="Malefic",INDEX(REF_Aspects!$D$5:$O$13,6,MOD(CALC_ChandraLagna!$F$14-(MOD(MATCH(CALC_PlanetPositions!$B$12,{"Aries","Taurus","Gemini","Cancer","Leo","Virgo","Libra","Scorpio","Sagittarius","Capricorn","Aquarius","Pisces"},0)-MATCH(CALC_PlanetPositions!$B$8,{"Aries","Taurus","Gemini","Cancer","Leo","Virgo","Libra","Scorpio","Sagittarius","Capricorn","Aquarius","Pisces"},0),12)+1),12)+1)="FULL",NOT(CALC_PlanetPositions!$B$12=CALC_ChandraLagna!$E$14)),AND(CALC_PlanetPositions!$M$13="Malefic",INDEX(REF_Aspects!$D$5:$O$13,7,MOD(CALC_ChandraLagna!$F$14-(MOD(MATCH(CALC_PlanetPositions!$B$13,{"Aries","Taurus","Gemini","Cancer","Leo","Virgo","Libra","Scorpio","Sagittarius","Capricorn","Aquarius","Pisces"},0)-MATCH(CALC_PlanetPositions!$B$8,{"Aries","Taurus","Gemini","Cancer","Leo","Virgo","Libra","Scorpio","Sagittarius","Capricorn","Aquarius","Pisces"},0),12)+1),12)+1)="FULL",NOT(CALC_PlanetPositions!$B$13=CALC_ChandraLagna!$E$14)),AND(TRUE(),INDEX(REF_Aspects!$D$5:$O$13,8,MOD(CALC_ChandraLagna!$F$14-(MOD(MATCH(CALC_PlanetPositions!$B$14,{"Aries","Taurus","Gemini","Cancer","Leo","Virgo","Libra","Scorpio","Sagittarius","Capricorn","Aquarius","Pisces"},0)-MATCH(CALC_PlanetPositions!$B$8,{"Aries","Taurus","Gemini","Cancer","Leo","Virgo","Libra","Scorpio","Sagittarius","Capricorn","Aquarius","Pisces"},0),12)+1),12)+1)="FULL",NOT(CALC_PlanetPositions!$B$14=CALC_ChandraLagna!$E$14)),AND(TRUE(),INDEX(REF_Aspects!$D$5:$O$13,9,MOD(CALC_ChandraLagna!$F$14-(MOD(MATCH(CALC_PlanetPositions!$B$15,{"Aries","Taurus","Gemini","Cancer","Leo","Virgo","Libra","Scorpio","Sagittarius","Capricorn","Aquarius","Pisces"},0)-MATCH(CALC_PlanetPositions!$B$8,{"Aries","Taurus","Gemini","Cancer","Leo","Virgo","Libra","Scorpio","Sagittarius","Capricorn","Aquarius","Pisces"},0),12)+1),12)+1)="FULL",NOT(CALC_PlanetPositions!$B$15=CALC_ChandraLagna!$E$14))),1,0),0))*-0.5,0)</f>
        <v>-0.5</v>
      </c>
      <c r="D21" s="403" t="s">
        <v>4634</v>
      </c>
    </row>
    <row r="22" spans="1:7" ht="27.75" customHeight="1" x14ac:dyDescent="0.2">
      <c r="A22" s="1155" t="s">
        <v>4635</v>
      </c>
      <c r="B22" s="357" t="s">
        <v>3042</v>
      </c>
      <c r="C22" s="1117">
        <f>IFERROR((IFERROR(IF(CALC_ChandraLagna!$I$14="Yes",1,0),0))*IF(REF_Config!$B$6="KP",-1.75,IF(REF_Config!$B$6="Jaimini",-2,-2)),0)</f>
        <v>0</v>
      </c>
      <c r="D22" s="400" t="s">
        <v>4636</v>
      </c>
    </row>
    <row r="23" spans="1:7" ht="27.75" customHeight="1" x14ac:dyDescent="0.2">
      <c r="A23" s="1155" t="s">
        <v>4637</v>
      </c>
      <c r="B23" s="203" t="s">
        <v>3059</v>
      </c>
      <c r="C23" s="1118">
        <f>IFERROR((IFERROR(IF(OR(AND(CALC_ChandraLagna!$E$9=CALC_ChandraLagna!$E$14,CALC_ChandraLagna!$D$9&lt;&gt;CALC_ChandraLagna!$D$14),AND(CALC_ChandraLagna!$E$11=CALC_ChandraLagna!$E$14,CALC_ChandraLagna!$D$11&lt;&gt;CALC_ChandraLagna!$D$14),AND(CALC_ChandraLagna!$E$15=CALC_ChandraLagna!$E$14,CALC_ChandraLagna!$D$15&lt;&gt;CALC_ChandraLagna!$D$14)),1,0),0))*-1,0)</f>
        <v>-1</v>
      </c>
      <c r="D23" s="403" t="s">
        <v>4638</v>
      </c>
    </row>
    <row r="24" spans="1:7" ht="15.75" customHeight="1" x14ac:dyDescent="0.2">
      <c r="A24" s="1484" t="s">
        <v>4639</v>
      </c>
      <c r="B24" s="1484"/>
      <c r="C24" s="1484"/>
      <c r="D24" s="1484"/>
    </row>
    <row r="25" spans="1:7" ht="27.75" customHeight="1" x14ac:dyDescent="0.2">
      <c r="A25" s="1155" t="s">
        <v>4640</v>
      </c>
      <c r="B25" s="357" t="s">
        <v>3084</v>
      </c>
      <c r="C25" s="1117">
        <f>IFERROR(IF(CALC_KarakMap!$M$15&gt;0,CALC_KarakMap!$M$15,0),0)</f>
        <v>0</v>
      </c>
      <c r="D25" s="400" t="s">
        <v>4641</v>
      </c>
    </row>
    <row r="26" spans="1:7" ht="27.75" customHeight="1" x14ac:dyDescent="0.2">
      <c r="A26" s="1155" t="s">
        <v>4642</v>
      </c>
      <c r="B26" s="203" t="s">
        <v>4564</v>
      </c>
      <c r="C26" s="1118">
        <f>IFERROR(IF(CALC_KarakMap!$M$15&lt;0,CALC_KarakMap!$M$15,0),0)</f>
        <v>-0.5</v>
      </c>
      <c r="D26" s="403" t="s">
        <v>4643</v>
      </c>
    </row>
    <row r="27" spans="1:7" ht="27.75" customHeight="1" x14ac:dyDescent="0.2">
      <c r="A27" s="1119" t="s">
        <v>4644</v>
      </c>
      <c r="B27" s="296" t="s">
        <v>3624</v>
      </c>
      <c r="C27" s="1117">
        <f>IFERROR(IF(OR(CALC_ChandraLagna!$D$14="Sun",CALC_ChandraLagna!$D$14="Rahu",CALC_ChandraLagna!$D$14="Ketu"),0,IF(CALC_ChandraLagna!$D$14="Moon",IF(CALC_CombustionCheck!$G$4="Cazimi ✓",0.5,IF(CALC_CombustionCheck!$F$4="COMBUST ⚠",-1,0)),IF(CALC_ChandraLagna!$D$14="Mars",IF(CALC_CombustionCheck!$G$5="Cazimi ✓",0.5,IF(AND(CALC_CombustionCheck!$F$5="COMBUST ⚠",CALC_RetrogradeFix!$F$6="Rx ✓"),-0.5,IF(CALC_CombustionCheck!$F$5="COMBUST ⚠",-1,0))),IF(CALC_ChandraLagna!$D$14="Mercury",IF(CALC_CombustionCheck!$G$6="Cazimi ✓",0.5,IF(AND(CALC_CombustionCheck!$F$6="COMBUST ⚠",CALC_RetrogradeFix!$F$7="Rx ✓"),-0.5,IF(CALC_CombustionCheck!$F$6="COMBUST ⚠",-1,0))),IF(CALC_ChandraLagna!$D$14="Jupiter",IF(CALC_CombustionCheck!$G$7="Cazimi ✓",0.5,IF(AND(CALC_CombustionCheck!$F$7="COMBUST ⚠",CALC_RetrogradeFix!$F$8="Rx ✓"),-0.5,IF(CALC_CombustionCheck!$F$7="COMBUST ⚠",-1,0))),IF(CALC_ChandraLagna!$D$14="Venus",IF(CALC_CombustionCheck!$G$8="Cazimi ✓",0.5,IF(AND(CALC_CombustionCheck!$F$8="COMBUST ⚠",CALC_RetrogradeFix!$F$9="Rx ✓"),-0.5,IF(CALC_CombustionCheck!$F$8="COMBUST ⚠",-1,0))),IF(CALC_ChandraLagna!$D$14="Saturn",IF(CALC_CombustionCheck!$G$9="Cazimi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ChandraLagna!$D$14="Rahu",CALC_ChandraLagna!$D$14="Ketu"),0,IF(ISNUMBER(MATCH(CALC_ChandraLagna!$D$14,{"Sun","Moon","Mars","Mercury","Jupiter","Venus","Saturn"},0)),IF(INDEX(CALC_DigBala!$F$4:$F$10,MATCH(CALC_ChandraLagna!$D$14,{"Sun","Moon","Mars","Mercury","Jupiter","Venus","Saturn"},0))="Yes",0.5,0),0)),0)</f>
        <v>0</v>
      </c>
      <c r="D28" s="400" t="s">
        <v>4647</v>
      </c>
    </row>
    <row r="29" spans="1:7" ht="27.75" customHeight="1" x14ac:dyDescent="0.2">
      <c r="A29" s="1120" t="s">
        <v>4648</v>
      </c>
      <c r="B29" s="296" t="s">
        <v>3372</v>
      </c>
      <c r="C29" s="1117">
        <f>IFERROR(IF(COUNTIFS(REF_PushkaraNavamsha!$A$4:$A$27,CALC_ChandraLagna!$E$14,REF_PushkaraNavamsha!$B$4:$B$27,INDEX(CALC_PlanetPositions!$G$7:$G$15,MATCH(CALC_ChandraLagna!$D$14,CALC_PlanetPositions!$A$7:$A$15,0)))&gt;0,0.5,0),0)</f>
        <v>0</v>
      </c>
      <c r="D29" s="400" t="s">
        <v>4649</v>
      </c>
    </row>
    <row r="30" spans="1:7" ht="25.5" customHeight="1" x14ac:dyDescent="0.2">
      <c r="A30" s="147" t="s">
        <v>4650</v>
      </c>
      <c r="B30" s="1121" t="s">
        <v>4651</v>
      </c>
      <c r="C30" s="1122">
        <f>IFERROR(IF(ISNUMBER(MATCH(CALC_ChandraLagna!$D$14,{"Sun","Moon","Mars","Mercury","Jupiter","Venus","Saturn"},0)),INDEX(CALC_RetrogradeFix!$G$4:$G$10,MATCH(CALC_ChandraLagna!$D$14,{"Sun","Moon","Mars","Mercury","Jupiter","Venus","Saturn"},0)),0),0)</f>
        <v>0</v>
      </c>
      <c r="D30" s="1123" t="s">
        <v>4652</v>
      </c>
    </row>
    <row r="31" spans="1:7" ht="18" customHeight="1" x14ac:dyDescent="0.2">
      <c r="A31" s="1555" t="s">
        <v>4653</v>
      </c>
      <c r="B31" s="1555"/>
      <c r="C31" s="1555"/>
      <c r="D31" s="1555"/>
      <c r="E31" s="1124" t="s">
        <v>4654</v>
      </c>
      <c r="F31" s="1125">
        <f>IFERROR(IF(CALC_Ashtakavarga!L$12&gt;28,0.5,IF(CALC_Ashtakavarga!L$12&lt;22,-0.5,0)),0)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3.5</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0.5</v>
      </c>
      <c r="D37" s="1129"/>
    </row>
    <row r="38" spans="1:4" ht="21.75" customHeight="1" x14ac:dyDescent="0.2">
      <c r="A38" s="89" t="s">
        <v>4661</v>
      </c>
      <c r="B38" s="1129"/>
      <c r="C38" s="1131">
        <f>IFERROR(MAX(-10,MIN(10,C37)),0)</f>
        <v>0.5</v>
      </c>
      <c r="D38" s="1132"/>
    </row>
    <row r="39" spans="1:4" ht="18" customHeight="1" x14ac:dyDescent="0.2">
      <c r="A39" s="517" t="s">
        <v>4662</v>
      </c>
      <c r="B39" s="1129"/>
      <c r="C39" s="1133">
        <f>IFERROR(CALC_LagneshStrength!$I$4,0)</f>
        <v>0</v>
      </c>
      <c r="D39" s="1129"/>
    </row>
    <row r="40" spans="1:4" ht="25.5" customHeight="1" x14ac:dyDescent="0.2">
      <c r="A40" s="1137" t="s">
        <v>4663</v>
      </c>
      <c r="B40" s="1129"/>
      <c r="C40" s="1138">
        <f>IFERROR(MAX(-10,MIN(10,C38+C39+C41)),0)</f>
        <v>0.5</v>
      </c>
      <c r="D40" s="1139" t="str">
        <f>IFERROR(IF(C40&gt;=7,"Excellent — Gains domain very strong",IF(C40&gt;=4,"Good — Gains domain strong",IF(C40&gt;=1,"Moderate",IF(C40&gt;=-2,"Mixed — Gains has challenges",IF(C40&gt;=-5,"Weak","Very weak — Gains heavily afflicted"))))),"—")</f>
        <v>Mixed — Gains has challenges</v>
      </c>
    </row>
    <row r="41" spans="1:4" ht="18" customHeight="1" x14ac:dyDescent="0.2">
      <c r="A41" s="622" t="s">
        <v>4681</v>
      </c>
      <c r="B41" s="904" t="s">
        <v>4678</v>
      </c>
      <c r="C41" s="1160">
        <v>0</v>
      </c>
      <c r="D41" s="550" t="s">
        <v>4701</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4702</v>
      </c>
      <c r="B1" s="1518"/>
      <c r="C1" s="1518"/>
      <c r="D1" s="1518"/>
      <c r="L1" s="544" t="s">
        <v>2214</v>
      </c>
    </row>
    <row r="2" spans="1:12" ht="19.5" customHeight="1" x14ac:dyDescent="0.2">
      <c r="A2" s="1595" t="str">
        <f>IFERROR("Chandra Lagna: "&amp;CALC_PlanetPositions!$B$8&amp;"  ·  H12 sign: "&amp;CALC_ChandraLagna!$C$15,"—")</f>
        <v>Chandra Lagna: Cancer  ·  H12 sign: Gemini</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56" t="s">
        <v>4605</v>
      </c>
      <c r="B5" s="357" t="s">
        <v>4529</v>
      </c>
      <c r="C5" s="1117">
        <f>IFERROR((IFERROR(IF(INDEX(REF_Zodiac!$D$17:$O$17,MATCH(CALC_ChandraLagna!$C$15,REF_Zodiac!$D$3:$O$3,0))="Gentle",1,0),0))*0.5,0)</f>
        <v>0.5</v>
      </c>
      <c r="D5" s="400" t="s">
        <v>4606</v>
      </c>
    </row>
    <row r="6" spans="1:12" ht="27.75" customHeight="1" x14ac:dyDescent="0.2">
      <c r="A6" s="1156" t="s">
        <v>4607</v>
      </c>
      <c r="B6" s="203" t="s">
        <v>4531</v>
      </c>
      <c r="C6" s="1118">
        <f>IFERROR((IFERROR(IF(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1)),1,0),0))*IF(OR(AND(CALC_PlanetPositions!$M$7="Yogakaraka",(MOD(MATCH(CALC_PlanetPositions!$B$7,{"Aries","Taurus","Gemini","Cancer","Leo","Virgo","Libra","Scorpio","Sagittarius","Capricorn","Aquarius","Pisces"},0)-MATCH(CALC_PlanetPositions!$B$8,{"Aries","Taurus","Gemini","Cancer","Leo","Virgo","Libra","Scorpio","Sagittarius","Capricorn","Aquarius","Pisces"},0),12)+1)=1),AND(CALC_PlanetPositions!$M$8="Yogakaraka",(MOD(MATCH(CALC_PlanetPositions!$B$8,{"Aries","Taurus","Gemini","Cancer","Leo","Virgo","Libra","Scorpio","Sagittarius","Capricorn","Aquarius","Pisces"},0)-MATCH(CALC_PlanetPositions!$B$8,{"Aries","Taurus","Gemini","Cancer","Leo","Virgo","Libra","Scorpio","Sagittarius","Capricorn","Aquarius","Pisces"},0),12)+1)=1),AND(CALC_PlanetPositions!$M$9="Yogakaraka",(MOD(MATCH(CALC_PlanetPositions!$B$9,{"Aries","Taurus","Gemini","Cancer","Leo","Virgo","Libra","Scorpio","Sagittarius","Capricorn","Aquarius","Pisces"},0)-MATCH(CALC_PlanetPositions!$B$8,{"Aries","Taurus","Gemini","Cancer","Leo","Virgo","Libra","Scorpio","Sagittarius","Capricorn","Aquarius","Pisces"},0),12)+1)=1),AND(CALC_PlanetPositions!$M$10="Yogakaraka",(MOD(MATCH(CALC_PlanetPositions!$B$10,{"Aries","Taurus","Gemini","Cancer","Leo","Virgo","Libra","Scorpio","Sagittarius","Capricorn","Aquarius","Pisces"},0)-MATCH(CALC_PlanetPositions!$B$8,{"Aries","Taurus","Gemini","Cancer","Leo","Virgo","Libra","Scorpio","Sagittarius","Capricorn","Aquarius","Pisces"},0),12)+1)=1),AND(CALC_PlanetPositions!$M$11="Yogakaraka",(MOD(MATCH(CALC_PlanetPositions!$B$11,{"Aries","Taurus","Gemini","Cancer","Leo","Virgo","Libra","Scorpio","Sagittarius","Capricorn","Aquarius","Pisces"},0)-MATCH(CALC_PlanetPositions!$B$8,{"Aries","Taurus","Gemini","Cancer","Leo","Virgo","Libra","Scorpio","Sagittarius","Capricorn","Aquarius","Pisces"},0),12)+1)=1),AND(CALC_PlanetPositions!$M$12="Yogakaraka",(MOD(MATCH(CALC_PlanetPositions!$B$12,{"Aries","Taurus","Gemini","Cancer","Leo","Virgo","Libra","Scorpio","Sagittarius","Capricorn","Aquarius","Pisces"},0)-MATCH(CALC_PlanetPositions!$B$8,{"Aries","Taurus","Gemini","Cancer","Leo","Virgo","Libra","Scorpio","Sagittarius","Capricorn","Aquarius","Pisces"},0),12)+1)=1),AND(CALC_PlanetPositions!$M$13="Yogakaraka",(MOD(MATCH(CALC_PlanetPositions!$B$13,{"Aries","Taurus","Gemini","Cancer","Leo","Virgo","Libra","Scorpio","Sagittarius","Capricorn","Aquarius","Pisces"},0)-MATCH(CALC_PlanetPositions!$B$8,{"Aries","Taurus","Gemini","Cancer","Leo","Virgo","Libra","Scorpio","Sagittarius","Capricorn","Aquarius","Pisces"},0),12)+1)=1)),1.5,1),0)</f>
        <v>1.5</v>
      </c>
      <c r="D6" s="403" t="s">
        <v>4608</v>
      </c>
    </row>
    <row r="7" spans="1:12" ht="27.75" customHeight="1" x14ac:dyDescent="0.2">
      <c r="A7" s="1156" t="s">
        <v>4609</v>
      </c>
      <c r="B7" s="357" t="s">
        <v>4534</v>
      </c>
      <c r="C7" s="1117">
        <f>IFERROR((IFERROR(IF(OR(AND(OR(CALC_PlanetPositions!$M$7="Benefic",CALC_PlanetPositions!$M$7="Yogakaraka"),INDEX(REF_Aspects!$D$5:$O$13,1,MOD(12-(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12)),AND(OR(CALC_PlanetPositions!$M$8="Benefic",CALC_PlanetPositions!$M$8="Yogakaraka"),INDEX(REF_Aspects!$D$5:$O$13,2,MOD(12-(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12)),AND(OR(CALC_PlanetPositions!$M$9="Benefic",CALC_PlanetPositions!$M$9="Yogakaraka"),INDEX(REF_Aspects!$D$5:$O$13,3,MOD(12-(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12)),AND(OR(CALC_PlanetPositions!$M$10="Benefic",CALC_PlanetPositions!$M$10="Yogakaraka"),INDEX(REF_Aspects!$D$5:$O$13,4,MOD(12-(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12)),AND(OR(CALC_PlanetPositions!$M$11="Benefic",CALC_PlanetPositions!$M$11="Yogakaraka"),INDEX(REF_Aspects!$D$5:$O$13,5,MOD(12-(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12)),AND(OR(CALC_PlanetPositions!$M$12="Benefic",CALC_PlanetPositions!$M$12="Yogakaraka"),INDEX(REF_Aspects!$D$5:$O$13,6,MOD(12-(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12)),AND(OR(CALC_PlanetPositions!$M$13="Benefic",CALC_PlanetPositions!$M$13="Yogakaraka"),INDEX(REF_Aspects!$D$5:$O$13,7,MOD(12-(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12)),AND(FALSE(),INDEX(REF_Aspects!$D$5:$O$13,8,MOD(12-(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12)),AND(FALSE(),INDEX(REF_Aspects!$D$5:$O$13,9,MOD(12-(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12))),1,0),0))*IF(REF_Config!$B$6="KP",0.5,IF(REF_Config!$B$6="Jaimini",0.75,0.75)),0)</f>
        <v>0</v>
      </c>
      <c r="D7" s="400" t="s">
        <v>4610</v>
      </c>
    </row>
    <row r="8" spans="1:12" ht="15.75" customHeight="1" x14ac:dyDescent="0.2">
      <c r="A8" s="1597" t="s">
        <v>3372</v>
      </c>
      <c r="B8" s="1597"/>
      <c r="C8" s="1597"/>
      <c r="D8" s="1597"/>
    </row>
    <row r="9" spans="1:12" ht="27.75" customHeight="1" x14ac:dyDescent="0.2">
      <c r="A9" s="1156" t="s">
        <v>4611</v>
      </c>
      <c r="B9" s="203" t="s">
        <v>4537</v>
      </c>
      <c r="C9" s="1118">
        <f>IFERROR(IF(AND(OR(CALC_ChandraLagna!$G$15="Yes",CALC_ChandraLagna!$H$15="Yes"),NOT(CALC_ChandraLagna!$I$15="Yes")),1,0)*IF(REF_Config!$B$6="KP",1.5,IF(REF_Config!$B$6="Jaimini",1.5,2)),0)</f>
        <v>2</v>
      </c>
      <c r="D9" s="403" t="s">
        <v>4612</v>
      </c>
    </row>
    <row r="10" spans="1:12" ht="27.75" customHeight="1" x14ac:dyDescent="0.2">
      <c r="A10" s="1156" t="s">
        <v>4613</v>
      </c>
      <c r="B10" s="357" t="s">
        <v>3093</v>
      </c>
      <c r="C10" s="1117">
        <f>IFERROR((IFERROR(IF(OR(AND(CALC_ChandraLagna!$E$4=CALC_ChandraLagna!$E$15,CALC_ChandraLagna!$D$4&lt;&gt;CALC_ChandraLagna!$D$15),AND(CALC_ChandraLagna!$E$7=CALC_ChandraLagna!$E$15,CALC_ChandraLagna!$D$7&lt;&gt;CALC_ChandraLagna!$D$15),AND(CALC_ChandraLagna!$E$8=CALC_ChandraLagna!$E$15,CALC_ChandraLagna!$D$8&lt;&gt;CALC_ChandraLagna!$D$15),AND(CALC_ChandraLagna!$E$10=CALC_ChandraLagna!$E$15,CALC_ChandraLagna!$D$10&lt;&gt;CALC_ChandraLagna!$D$15),AND(CALC_ChandraLagna!$E$12=CALC_ChandraLagna!$E$15,CALC_ChandraLagna!$D$12&lt;&gt;CALC_ChandraLagna!$D$15),AND(CALC_ChandraLagna!$E$13=CALC_ChandraLagna!$E$15,CALC_ChandraLagna!$D$13&lt;&gt;CALC_ChandraLagna!$D$15)),1,0),0))*0.5,0)</f>
        <v>0.5</v>
      </c>
      <c r="D10" s="400" t="s">
        <v>4614</v>
      </c>
    </row>
    <row r="11" spans="1:12" ht="27.75" customHeight="1" x14ac:dyDescent="0.2">
      <c r="A11" s="1156" t="s">
        <v>4615</v>
      </c>
      <c r="B11" s="203" t="s">
        <v>4540</v>
      </c>
      <c r="C11" s="1118">
        <f>IFERROR((IFERROR(IF(OR(AND(OR(CALC_PlanetPositions!$M$7="Benefic",CALC_PlanetPositions!$M$7="Yogakaraka"),CALC_PlanetPositions!$B$7=CALC_ChandraLagna!$E$15,CALC_ChandraLagna!$D$15&lt;&gt;"Sun"),AND(OR(CALC_PlanetPositions!$M$8="Benefic",CALC_PlanetPositions!$M$8="Yogakaraka"),CALC_PlanetPositions!$B$8=CALC_ChandraLagna!$E$15,CALC_ChandraLagna!$D$15&lt;&gt;"Moon"),AND(OR(CALC_PlanetPositions!$M$9="Benefic",CALC_PlanetPositions!$M$9="Yogakaraka"),CALC_PlanetPositions!$B$9=CALC_ChandraLagna!$E$15,CALC_ChandraLagna!$D$15&lt;&gt;"Mars"),AND(OR(CALC_PlanetPositions!$M$10="Benefic",CALC_PlanetPositions!$M$10="Yogakaraka"),CALC_PlanetPositions!$B$10=CALC_ChandraLagna!$E$15,CALC_ChandraLagna!$D$15&lt;&gt;"Mercury"),AND(OR(CALC_PlanetPositions!$M$11="Benefic",CALC_PlanetPositions!$M$11="Yogakaraka"),CALC_PlanetPositions!$B$11=CALC_ChandraLagna!$E$15,CALC_ChandraLagna!$D$15&lt;&gt;"Jupiter"),AND(OR(CALC_PlanetPositions!$M$12="Benefic",CALC_PlanetPositions!$M$12="Yogakaraka"),CALC_PlanetPositions!$B$12=CALC_ChandraLagna!$E$15,CALC_ChandraLagna!$D$15&lt;&gt;"Venus"),AND(OR(CALC_PlanetPositions!$M$13="Benefic",CALC_PlanetPositions!$M$13="Yogakaraka"),CALC_PlanetPositions!$B$13=CALC_ChandraLagna!$E$15,CALC_ChandraLagna!$D$15&lt;&gt;"Saturn")),1,0),0))*IF(OR(AND(CALC_PlanetPositions!$M$7="Yogakaraka",CALC_PlanetPositions!$B$7=CALC_ChandraLagna!$E$15,CALC_ChandraLagna!$D$15&lt;&gt;"Sun"),AND(CALC_PlanetPositions!$M$8="Yogakaraka",CALC_PlanetPositions!$B$8=CALC_ChandraLagna!$E$15,CALC_ChandraLagna!$D$15&lt;&gt;"Moon"),AND(CALC_PlanetPositions!$M$9="Yogakaraka",CALC_PlanetPositions!$B$9=CALC_ChandraLagna!$E$15,CALC_ChandraLagna!$D$15&lt;&gt;"Mars"),AND(CALC_PlanetPositions!$M$10="Yogakaraka",CALC_PlanetPositions!$B$10=CALC_ChandraLagna!$E$15,CALC_ChandraLagna!$D$15&lt;&gt;"Mercury"),AND(CALC_PlanetPositions!$M$11="Yogakaraka",CALC_PlanetPositions!$B$11=CALC_ChandraLagna!$E$15,CALC_ChandraLagna!$D$15&lt;&gt;"Jupiter"),AND(CALC_PlanetPositions!$M$12="Yogakaraka",CALC_PlanetPositions!$B$12=CALC_ChandraLagna!$E$15,CALC_ChandraLagna!$D$15&lt;&gt;"Venus"),AND(CALC_PlanetPositions!$M$13="Yogakaraka",CALC_PlanetPositions!$B$13=CALC_ChandraLagna!$E$15,CALC_ChandraLagna!$D$15&lt;&gt;"Saturn")),1.5,1),0)</f>
        <v>1.5</v>
      </c>
      <c r="D11" s="403" t="s">
        <v>4616</v>
      </c>
    </row>
    <row r="12" spans="1:12" ht="27.75" customHeight="1" x14ac:dyDescent="0.2">
      <c r="A12" s="1156" t="s">
        <v>4617</v>
      </c>
      <c r="B12" s="357" t="s">
        <v>4542</v>
      </c>
      <c r="C12" s="1117">
        <f>IFERROR((IFERROR(IF(OR(AND(OR(CALC_PlanetPositions!$M$7="Benefic",CALC_PlanetPositions!$M$7="Yogakaraka"),INDEX(REF_Aspects!$D$5:$O$13,1,MOD(CALC_ChandraLagna!$F$15-(MOD(MATCH(CALC_PlanetPositions!$B$7,{"Aries","Taurus","Gemini","Cancer","Leo","Virgo","Libra","Scorpio","Sagittarius","Capricorn","Aquarius","Pisces"},0)-MATCH(CALC_PlanetPositions!$B$8,{"Aries","Taurus","Gemini","Cancer","Leo","Virgo","Libra","Scorpio","Sagittarius","Capricorn","Aquarius","Pisces"},0),12)+1),12)+1)="FULL",NOT(CALC_PlanetPositions!$B$7=CALC_ChandraLagna!$E$15)),AND(OR(CALC_PlanetPositions!$M$8="Benefic",CALC_PlanetPositions!$M$8="Yogakaraka"),INDEX(REF_Aspects!$D$5:$O$13,2,MOD(CALC_ChandraLagna!$F$15-(MOD(MATCH(CALC_PlanetPositions!$B$8,{"Aries","Taurus","Gemini","Cancer","Leo","Virgo","Libra","Scorpio","Sagittarius","Capricorn","Aquarius","Pisces"},0)-MATCH(CALC_PlanetPositions!$B$8,{"Aries","Taurus","Gemini","Cancer","Leo","Virgo","Libra","Scorpio","Sagittarius","Capricorn","Aquarius","Pisces"},0),12)+1),12)+1)="FULL",NOT(CALC_PlanetPositions!$B$8=CALC_ChandraLagna!$E$15)),AND(OR(CALC_PlanetPositions!$M$9="Benefic",CALC_PlanetPositions!$M$9="Yogakaraka"),INDEX(REF_Aspects!$D$5:$O$13,3,MOD(CALC_ChandraLagna!$F$15-(MOD(MATCH(CALC_PlanetPositions!$B$9,{"Aries","Taurus","Gemini","Cancer","Leo","Virgo","Libra","Scorpio","Sagittarius","Capricorn","Aquarius","Pisces"},0)-MATCH(CALC_PlanetPositions!$B$8,{"Aries","Taurus","Gemini","Cancer","Leo","Virgo","Libra","Scorpio","Sagittarius","Capricorn","Aquarius","Pisces"},0),12)+1),12)+1)="FULL",NOT(CALC_PlanetPositions!$B$9=CALC_ChandraLagna!$E$15)),AND(OR(CALC_PlanetPositions!$M$10="Benefic",CALC_PlanetPositions!$M$10="Yogakaraka"),INDEX(REF_Aspects!$D$5:$O$13,4,MOD(CALC_ChandraLagna!$F$15-(MOD(MATCH(CALC_PlanetPositions!$B$10,{"Aries","Taurus","Gemini","Cancer","Leo","Virgo","Libra","Scorpio","Sagittarius","Capricorn","Aquarius","Pisces"},0)-MATCH(CALC_PlanetPositions!$B$8,{"Aries","Taurus","Gemini","Cancer","Leo","Virgo","Libra","Scorpio","Sagittarius","Capricorn","Aquarius","Pisces"},0),12)+1),12)+1)="FULL",NOT(CALC_PlanetPositions!$B$10=CALC_ChandraLagna!$E$15)),AND(OR(CALC_PlanetPositions!$M$11="Benefic",CALC_PlanetPositions!$M$11="Yogakaraka"),INDEX(REF_Aspects!$D$5:$O$13,5,MOD(CALC_ChandraLagna!$F$15-(MOD(MATCH(CALC_PlanetPositions!$B$11,{"Aries","Taurus","Gemini","Cancer","Leo","Virgo","Libra","Scorpio","Sagittarius","Capricorn","Aquarius","Pisces"},0)-MATCH(CALC_PlanetPositions!$B$8,{"Aries","Taurus","Gemini","Cancer","Leo","Virgo","Libra","Scorpio","Sagittarius","Capricorn","Aquarius","Pisces"},0),12)+1),12)+1)="FULL",NOT(CALC_PlanetPositions!$B$11=CALC_ChandraLagna!$E$15)),AND(OR(CALC_PlanetPositions!$M$12="Benefic",CALC_PlanetPositions!$M$12="Yogakaraka"),INDEX(REF_Aspects!$D$5:$O$13,6,MOD(CALC_ChandraLagna!$F$15-(MOD(MATCH(CALC_PlanetPositions!$B$12,{"Aries","Taurus","Gemini","Cancer","Leo","Virgo","Libra","Scorpio","Sagittarius","Capricorn","Aquarius","Pisces"},0)-MATCH(CALC_PlanetPositions!$B$8,{"Aries","Taurus","Gemini","Cancer","Leo","Virgo","Libra","Scorpio","Sagittarius","Capricorn","Aquarius","Pisces"},0),12)+1),12)+1)="FULL",NOT(CALC_PlanetPositions!$B$12=CALC_ChandraLagna!$E$15)),AND(OR(CALC_PlanetPositions!$M$13="Benefic",CALC_PlanetPositions!$M$13="Yogakaraka"),INDEX(REF_Aspects!$D$5:$O$13,7,MOD(CALC_ChandraLagna!$F$15-(MOD(MATCH(CALC_PlanetPositions!$B$13,{"Aries","Taurus","Gemini","Cancer","Leo","Virgo","Libra","Scorpio","Sagittarius","Capricorn","Aquarius","Pisces"},0)-MATCH(CALC_PlanetPositions!$B$8,{"Aries","Taurus","Gemini","Cancer","Leo","Virgo","Libra","Scorpio","Sagittarius","Capricorn","Aquarius","Pisces"},0),12)+1),12)+1)="FULL",NOT(CALC_PlanetPositions!$B$13=CALC_ChandraLagna!$E$15)),AND(FALSE(),INDEX(REF_Aspects!$D$5:$O$13,8,MOD(CALC_ChandraLagna!$F$15-(MOD(MATCH(CALC_PlanetPositions!$B$14,{"Aries","Taurus","Gemini","Cancer","Leo","Virgo","Libra","Scorpio","Sagittarius","Capricorn","Aquarius","Pisces"},0)-MATCH(CALC_PlanetPositions!$B$8,{"Aries","Taurus","Gemini","Cancer","Leo","Virgo","Libra","Scorpio","Sagittarius","Capricorn","Aquarius","Pisces"},0),12)+1),12)+1)="FULL",NOT(CALC_PlanetPositions!$B$14=CALC_ChandraLagna!$E$15)),AND(FALSE(),INDEX(REF_Aspects!$D$5:$O$13,9,MOD(CALC_ChandraLagna!$F$15-(MOD(MATCH(CALC_PlanetPositions!$B$15,{"Aries","Taurus","Gemini","Cancer","Leo","Virgo","Libra","Scorpio","Sagittarius","Capricorn","Aquarius","Pisces"},0)-MATCH(CALC_PlanetPositions!$B$8,{"Aries","Taurus","Gemini","Cancer","Leo","Virgo","Libra","Scorpio","Sagittarius","Capricorn","Aquarius","Pisces"},0),12)+1),12)+1)="FULL",NOT(CALC_PlanetPositions!$B$15=CALC_ChandraLagna!$E$15))),1,0),0))*0.5,0)</f>
        <v>0</v>
      </c>
      <c r="D12" s="400" t="s">
        <v>4618</v>
      </c>
    </row>
    <row r="13" spans="1:12" ht="27.75" customHeight="1" x14ac:dyDescent="0.2">
      <c r="A13" s="1156" t="s">
        <v>4619</v>
      </c>
      <c r="B13" s="203" t="s">
        <v>3034</v>
      </c>
      <c r="C13" s="1118">
        <f>IFERROR((IFERROR(IF(AND(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$15-2,12)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$15-2,12)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$15-2,12)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$15-2,12)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$15-2,12)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$15-2,12)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$15-2,12)+1)),AND(FALSE(),MOD(MATCH(CALC_PlanetPositions!$B$14,{"Aries","Taurus","Gemini","Cancer","Leo","Virgo","Libra","Scorpio","Sagittarius","Capricorn","Aquarius","Pisces"},0)-MATCH(CALC_PlanetPositions!$B$8,{"Aries","Taurus","Gemini","Cancer","Leo","Virgo","Libra","Scorpio","Sagittarius","Capricorn","Aquarius","Pisces"},0),12)+1=(MOD(CALC_ChandraLagna!$F$15-2,12)+1)),AND(FALSE(),MOD(MATCH(CALC_PlanetPositions!$B$15,{"Aries","Taurus","Gemini","Cancer","Leo","Virgo","Libra","Scorpio","Sagittarius","Capricorn","Aquarius","Pisces"},0)-MATCH(CALC_PlanetPositions!$B$8,{"Aries","Taurus","Gemini","Cancer","Leo","Virgo","Libra","Scorpio","Sagittarius","Capricorn","Aquarius","Pisces"},0),12)+1=(MOD(CALC_ChandraLagna!$F$15-2,12)+1))),OR(AND(OR(CALC_PlanetPositions!$M$7="Benefic",CALC_PlanetPositions!$M$7="Yogakaraka"),MOD(MATCH(CALC_PlanetPositions!$B$7,{"Aries","Taurus","Gemini","Cancer","Leo","Virgo","Libra","Scorpio","Sagittarius","Capricorn","Aquarius","Pisces"},0)-MATCH(CALC_PlanetPositions!$B$8,{"Aries","Taurus","Gemini","Cancer","Leo","Virgo","Libra","Scorpio","Sagittarius","Capricorn","Aquarius","Pisces"},0),12)+1=(MOD(CALC_ChandraLagna!$F$15,12)+1)),AND(OR(CALC_PlanetPositions!$M$8="Benefic",CALC_PlanetPositions!$M$8="Yogakaraka"),MOD(MATCH(CALC_PlanetPositions!$B$8,{"Aries","Taurus","Gemini","Cancer","Leo","Virgo","Libra","Scorpio","Sagittarius","Capricorn","Aquarius","Pisces"},0)-MATCH(CALC_PlanetPositions!$B$8,{"Aries","Taurus","Gemini","Cancer","Leo","Virgo","Libra","Scorpio","Sagittarius","Capricorn","Aquarius","Pisces"},0),12)+1=(MOD(CALC_ChandraLagna!$F$15,12)+1)),AND(OR(CALC_PlanetPositions!$M$9="Benefic",CALC_PlanetPositions!$M$9="Yogakaraka"),MOD(MATCH(CALC_PlanetPositions!$B$9,{"Aries","Taurus","Gemini","Cancer","Leo","Virgo","Libra","Scorpio","Sagittarius","Capricorn","Aquarius","Pisces"},0)-MATCH(CALC_PlanetPositions!$B$8,{"Aries","Taurus","Gemini","Cancer","Leo","Virgo","Libra","Scorpio","Sagittarius","Capricorn","Aquarius","Pisces"},0),12)+1=(MOD(CALC_ChandraLagna!$F$15,12)+1)),AND(OR(CALC_PlanetPositions!$M$10="Benefic",CALC_PlanetPositions!$M$10="Yogakaraka"),MOD(MATCH(CALC_PlanetPositions!$B$10,{"Aries","Taurus","Gemini","Cancer","Leo","Virgo","Libra","Scorpio","Sagittarius","Capricorn","Aquarius","Pisces"},0)-MATCH(CALC_PlanetPositions!$B$8,{"Aries","Taurus","Gemini","Cancer","Leo","Virgo","Libra","Scorpio","Sagittarius","Capricorn","Aquarius","Pisces"},0),12)+1=(MOD(CALC_ChandraLagna!$F$15,12)+1)),AND(OR(CALC_PlanetPositions!$M$11="Benefic",CALC_PlanetPositions!$M$11="Yogakaraka"),MOD(MATCH(CALC_PlanetPositions!$B$11,{"Aries","Taurus","Gemini","Cancer","Leo","Virgo","Libra","Scorpio","Sagittarius","Capricorn","Aquarius","Pisces"},0)-MATCH(CALC_PlanetPositions!$B$8,{"Aries","Taurus","Gemini","Cancer","Leo","Virgo","Libra","Scorpio","Sagittarius","Capricorn","Aquarius","Pisces"},0),12)+1=(MOD(CALC_ChandraLagna!$F$15,12)+1)),AND(OR(CALC_PlanetPositions!$M$12="Benefic",CALC_PlanetPositions!$M$12="Yogakaraka"),MOD(MATCH(CALC_PlanetPositions!$B$12,{"Aries","Taurus","Gemini","Cancer","Leo","Virgo","Libra","Scorpio","Sagittarius","Capricorn","Aquarius","Pisces"},0)-MATCH(CALC_PlanetPositions!$B$8,{"Aries","Taurus","Gemini","Cancer","Leo","Virgo","Libra","Scorpio","Sagittarius","Capricorn","Aquarius","Pisces"},0),12)+1=(MOD(CALC_ChandraLagna!$F$15,12)+1)),AND(OR(CALC_PlanetPositions!$M$13="Benefic",CALC_PlanetPositions!$M$13="Yogakaraka"),MOD(MATCH(CALC_PlanetPositions!$B$13,{"Aries","Taurus","Gemini","Cancer","Leo","Virgo","Libra","Scorpio","Sagittarius","Capricorn","Aquarius","Pisces"},0)-MATCH(CALC_PlanetPositions!$B$8,{"Aries","Taurus","Gemini","Cancer","Leo","Virgo","Libra","Scorpio","Sagittarius","Capricorn","Aquarius","Pisces"},0),12)+1=(MOD(CALC_ChandraLagna!$F$15,12)+1)),AND(FALSE(),MOD(MATCH(CALC_PlanetPositions!$B$14,{"Aries","Taurus","Gemini","Cancer","Leo","Virgo","Libra","Scorpio","Sagittarius","Capricorn","Aquarius","Pisces"},0)-MATCH(CALC_PlanetPositions!$B$8,{"Aries","Taurus","Gemini","Cancer","Leo","Virgo","Libra","Scorpio","Sagittarius","Capricorn","Aquarius","Pisces"},0),12)+1=(MOD(CALC_ChandraLagna!$F$15,12)+1)),AND(FALSE(),MOD(MATCH(CALC_PlanetPositions!$B$15,{"Aries","Taurus","Gemini","Cancer","Leo","Virgo","Libra","Scorpio","Sagittarius","Capricorn","Aquarius","Pisces"},0)-MATCH(CALC_PlanetPositions!$B$8,{"Aries","Taurus","Gemini","Cancer","Leo","Virgo","Libra","Scorpio","Sagittarius","Capricorn","Aquarius","Pisces"},0),12)+1=(MOD(CALC_ChandraLagna!$F$15,12)+1)))),1,0),0))*IF(REF_Config!$B$6="KP",0.75,IF(REF_Config!$B$6="Jaimini",0.5,0.75)),0)</f>
        <v>0</v>
      </c>
      <c r="D13" s="403" t="s">
        <v>4620</v>
      </c>
    </row>
    <row r="14" spans="1:12" ht="15.75" customHeight="1" x14ac:dyDescent="0.2">
      <c r="A14" s="1598" t="s">
        <v>4621</v>
      </c>
      <c r="B14" s="1598"/>
      <c r="C14" s="1598"/>
      <c r="D14" s="1598"/>
    </row>
    <row r="15" spans="1:12" ht="27.75" customHeight="1" x14ac:dyDescent="0.2">
      <c r="A15" s="1156" t="s">
        <v>4622</v>
      </c>
      <c r="B15" s="357" t="s">
        <v>4546</v>
      </c>
      <c r="C15" s="1117">
        <f>IFERROR((IFERROR(IF(OR(AND(CALC_PlanetPositions!$M$7="Malefic",(MOD(MATCH(CALC_PlanetPositions!$B$7,{"Aries","Taurus","Gemini","Cancer","Leo","Virgo","Libra","Scorpio","Sagittarius","Capricorn","Aquarius","Pisces"},0)-MATCH(CALC_PlanetPositions!$B$8,{"Aries","Taurus","Gemini","Cancer","Leo","Virgo","Libra","Scorpio","Sagittarius","Capricorn","Aquarius","Pisces"},0),12)+1)=12),AND(CALC_PlanetPositions!$M$8="Malefic",(MOD(MATCH(CALC_PlanetPositions!$B$8,{"Aries","Taurus","Gemini","Cancer","Leo","Virgo","Libra","Scorpio","Sagittarius","Capricorn","Aquarius","Pisces"},0)-MATCH(CALC_PlanetPositions!$B$8,{"Aries","Taurus","Gemini","Cancer","Leo","Virgo","Libra","Scorpio","Sagittarius","Capricorn","Aquarius","Pisces"},0),12)+1)=12),AND(CALC_PlanetPositions!$M$9="Malefic",(MOD(MATCH(CALC_PlanetPositions!$B$9,{"Aries","Taurus","Gemini","Cancer","Leo","Virgo","Libra","Scorpio","Sagittarius","Capricorn","Aquarius","Pisces"},0)-MATCH(CALC_PlanetPositions!$B$8,{"Aries","Taurus","Gemini","Cancer","Leo","Virgo","Libra","Scorpio","Sagittarius","Capricorn","Aquarius","Pisces"},0),12)+1)=12),AND(CALC_PlanetPositions!$M$10="Malefic",(MOD(MATCH(CALC_PlanetPositions!$B$10,{"Aries","Taurus","Gemini","Cancer","Leo","Virgo","Libra","Scorpio","Sagittarius","Capricorn","Aquarius","Pisces"},0)-MATCH(CALC_PlanetPositions!$B$8,{"Aries","Taurus","Gemini","Cancer","Leo","Virgo","Libra","Scorpio","Sagittarius","Capricorn","Aquarius","Pisces"},0),12)+1)=12),AND(CALC_PlanetPositions!$M$11="Malefic",(MOD(MATCH(CALC_PlanetPositions!$B$11,{"Aries","Taurus","Gemini","Cancer","Leo","Virgo","Libra","Scorpio","Sagittarius","Capricorn","Aquarius","Pisces"},0)-MATCH(CALC_PlanetPositions!$B$8,{"Aries","Taurus","Gemini","Cancer","Leo","Virgo","Libra","Scorpio","Sagittarius","Capricorn","Aquarius","Pisces"},0),12)+1)=12),AND(CALC_PlanetPositions!$M$12="Malefic",(MOD(MATCH(CALC_PlanetPositions!$B$12,{"Aries","Taurus","Gemini","Cancer","Leo","Virgo","Libra","Scorpio","Sagittarius","Capricorn","Aquarius","Pisces"},0)-MATCH(CALC_PlanetPositions!$B$8,{"Aries","Taurus","Gemini","Cancer","Leo","Virgo","Libra","Scorpio","Sagittarius","Capricorn","Aquarius","Pisces"},0),12)+1)=12),AND(CALC_PlanetPositions!$M$13="Malefic",(MOD(MATCH(CALC_PlanetPositions!$B$13,{"Aries","Taurus","Gemini","Cancer","Leo","Virgo","Libra","Scorpio","Sagittarius","Capricorn","Aquarius","Pisces"},0)-MATCH(CALC_PlanetPositions!$B$8,{"Aries","Taurus","Gemini","Cancer","Leo","Virgo","Libra","Scorpio","Sagittarius","Capricorn","Aquarius","Pisces"},0),12)+1)=12),AND(TRUE(),(MOD(MATCH(CALC_PlanetPositions!$B$14,{"Aries","Taurus","Gemini","Cancer","Leo","Virgo","Libra","Scorpio","Sagittarius","Capricorn","Aquarius","Pisces"},0)-MATCH(CALC_PlanetPositions!$B$8,{"Aries","Taurus","Gemini","Cancer","Leo","Virgo","Libra","Scorpio","Sagittarius","Capricorn","Aquarius","Pisces"},0),12)+1)=12),AND(TRUE(),(MOD(MATCH(CALC_PlanetPositions!$B$15,{"Aries","Taurus","Gemini","Cancer","Leo","Virgo","Libra","Scorpio","Sagittarius","Capricorn","Aquarius","Pisces"},0)-MATCH(CALC_PlanetPositions!$B$8,{"Aries","Taurus","Gemini","Cancer","Leo","Virgo","Libra","Scorpio","Sagittarius","Capricorn","Aquarius","Pisces"},0),12)+1)=12)),1,0),0))*-1,0)</f>
        <v>-1</v>
      </c>
      <c r="D15" s="400" t="s">
        <v>4623</v>
      </c>
    </row>
    <row r="16" spans="1:12" ht="27.75" customHeight="1" x14ac:dyDescent="0.2">
      <c r="A16" s="1156" t="s">
        <v>4624</v>
      </c>
      <c r="B16" s="203" t="s">
        <v>4548</v>
      </c>
      <c r="C16" s="1118">
        <f>IFERROR((IFERROR(IF(OR(AND(CALC_PlanetPositions!$M$7="Malefic",INDEX(REF_Aspects!$D$5:$O$13,1,MOD(12-(MOD(MATCH(CALC_PlanetPositions!$B$7,{"Aries","Taurus","Gemini","Cancer","Leo","Virgo","Libra","Scorpio","Sagittarius","Capricorn","Aquarius","Pisces"},0)-MATCH(CALC_PlanetPositions!$B$8,{"Aries","Taurus","Gemini","Cancer","Leo","Virgo","Libra","Scorpio","Sagittarius","Capricorn","Aquarius","Pisces"},0),12)+1),12)+1)="FULL",NOT((MOD(MATCH(CALC_PlanetPositions!$B$7,{"Aries","Taurus","Gemini","Cancer","Leo","Virgo","Libra","Scorpio","Sagittarius","Capricorn","Aquarius","Pisces"},0)-MATCH(CALC_PlanetPositions!$B$8,{"Aries","Taurus","Gemini","Cancer","Leo","Virgo","Libra","Scorpio","Sagittarius","Capricorn","Aquarius","Pisces"},0),12)+1)=12)),AND(CALC_PlanetPositions!$M$8="Malefic",INDEX(REF_Aspects!$D$5:$O$13,2,MOD(12-(MOD(MATCH(CALC_PlanetPositions!$B$8,{"Aries","Taurus","Gemini","Cancer","Leo","Virgo","Libra","Scorpio","Sagittarius","Capricorn","Aquarius","Pisces"},0)-MATCH(CALC_PlanetPositions!$B$8,{"Aries","Taurus","Gemini","Cancer","Leo","Virgo","Libra","Scorpio","Sagittarius","Capricorn","Aquarius","Pisces"},0),12)+1),12)+1)="FULL",NOT((MOD(MATCH(CALC_PlanetPositions!$B$8,{"Aries","Taurus","Gemini","Cancer","Leo","Virgo","Libra","Scorpio","Sagittarius","Capricorn","Aquarius","Pisces"},0)-MATCH(CALC_PlanetPositions!$B$8,{"Aries","Taurus","Gemini","Cancer","Leo","Virgo","Libra","Scorpio","Sagittarius","Capricorn","Aquarius","Pisces"},0),12)+1)=12)),AND(CALC_PlanetPositions!$M$9="Malefic",INDEX(REF_Aspects!$D$5:$O$13,3,MOD(12-(MOD(MATCH(CALC_PlanetPositions!$B$9,{"Aries","Taurus","Gemini","Cancer","Leo","Virgo","Libra","Scorpio","Sagittarius","Capricorn","Aquarius","Pisces"},0)-MATCH(CALC_PlanetPositions!$B$8,{"Aries","Taurus","Gemini","Cancer","Leo","Virgo","Libra","Scorpio","Sagittarius","Capricorn","Aquarius","Pisces"},0),12)+1),12)+1)="FULL",NOT((MOD(MATCH(CALC_PlanetPositions!$B$9,{"Aries","Taurus","Gemini","Cancer","Leo","Virgo","Libra","Scorpio","Sagittarius","Capricorn","Aquarius","Pisces"},0)-MATCH(CALC_PlanetPositions!$B$8,{"Aries","Taurus","Gemini","Cancer","Leo","Virgo","Libra","Scorpio","Sagittarius","Capricorn","Aquarius","Pisces"},0),12)+1)=12)),AND(CALC_PlanetPositions!$M$10="Malefic",INDEX(REF_Aspects!$D$5:$O$13,4,MOD(12-(MOD(MATCH(CALC_PlanetPositions!$B$10,{"Aries","Taurus","Gemini","Cancer","Leo","Virgo","Libra","Scorpio","Sagittarius","Capricorn","Aquarius","Pisces"},0)-MATCH(CALC_PlanetPositions!$B$8,{"Aries","Taurus","Gemini","Cancer","Leo","Virgo","Libra","Scorpio","Sagittarius","Capricorn","Aquarius","Pisces"},0),12)+1),12)+1)="FULL",NOT((MOD(MATCH(CALC_PlanetPositions!$B$10,{"Aries","Taurus","Gemini","Cancer","Leo","Virgo","Libra","Scorpio","Sagittarius","Capricorn","Aquarius","Pisces"},0)-MATCH(CALC_PlanetPositions!$B$8,{"Aries","Taurus","Gemini","Cancer","Leo","Virgo","Libra","Scorpio","Sagittarius","Capricorn","Aquarius","Pisces"},0),12)+1)=12)),AND(CALC_PlanetPositions!$M$11="Malefic",INDEX(REF_Aspects!$D$5:$O$13,5,MOD(12-(MOD(MATCH(CALC_PlanetPositions!$B$11,{"Aries","Taurus","Gemini","Cancer","Leo","Virgo","Libra","Scorpio","Sagittarius","Capricorn","Aquarius","Pisces"},0)-MATCH(CALC_PlanetPositions!$B$8,{"Aries","Taurus","Gemini","Cancer","Leo","Virgo","Libra","Scorpio","Sagittarius","Capricorn","Aquarius","Pisces"},0),12)+1),12)+1)="FULL",NOT((MOD(MATCH(CALC_PlanetPositions!$B$11,{"Aries","Taurus","Gemini","Cancer","Leo","Virgo","Libra","Scorpio","Sagittarius","Capricorn","Aquarius","Pisces"},0)-MATCH(CALC_PlanetPositions!$B$8,{"Aries","Taurus","Gemini","Cancer","Leo","Virgo","Libra","Scorpio","Sagittarius","Capricorn","Aquarius","Pisces"},0),12)+1)=12)),AND(CALC_PlanetPositions!$M$12="Malefic",INDEX(REF_Aspects!$D$5:$O$13,6,MOD(12-(MOD(MATCH(CALC_PlanetPositions!$B$12,{"Aries","Taurus","Gemini","Cancer","Leo","Virgo","Libra","Scorpio","Sagittarius","Capricorn","Aquarius","Pisces"},0)-MATCH(CALC_PlanetPositions!$B$8,{"Aries","Taurus","Gemini","Cancer","Leo","Virgo","Libra","Scorpio","Sagittarius","Capricorn","Aquarius","Pisces"},0),12)+1),12)+1)="FULL",NOT((MOD(MATCH(CALC_PlanetPositions!$B$12,{"Aries","Taurus","Gemini","Cancer","Leo","Virgo","Libra","Scorpio","Sagittarius","Capricorn","Aquarius","Pisces"},0)-MATCH(CALC_PlanetPositions!$B$8,{"Aries","Taurus","Gemini","Cancer","Leo","Virgo","Libra","Scorpio","Sagittarius","Capricorn","Aquarius","Pisces"},0),12)+1)=12)),AND(CALC_PlanetPositions!$M$13="Malefic",INDEX(REF_Aspects!$D$5:$O$13,7,MOD(12-(MOD(MATCH(CALC_PlanetPositions!$B$13,{"Aries","Taurus","Gemini","Cancer","Leo","Virgo","Libra","Scorpio","Sagittarius","Capricorn","Aquarius","Pisces"},0)-MATCH(CALC_PlanetPositions!$B$8,{"Aries","Taurus","Gemini","Cancer","Leo","Virgo","Libra","Scorpio","Sagittarius","Capricorn","Aquarius","Pisces"},0),12)+1),12)+1)="FULL",NOT((MOD(MATCH(CALC_PlanetPositions!$B$13,{"Aries","Taurus","Gemini","Cancer","Leo","Virgo","Libra","Scorpio","Sagittarius","Capricorn","Aquarius","Pisces"},0)-MATCH(CALC_PlanetPositions!$B$8,{"Aries","Taurus","Gemini","Cancer","Leo","Virgo","Libra","Scorpio","Sagittarius","Capricorn","Aquarius","Pisces"},0),12)+1)=12)),AND(TRUE(),INDEX(REF_Aspects!$D$5:$O$13,8,MOD(12-(MOD(MATCH(CALC_PlanetPositions!$B$14,{"Aries","Taurus","Gemini","Cancer","Leo","Virgo","Libra","Scorpio","Sagittarius","Capricorn","Aquarius","Pisces"},0)-MATCH(CALC_PlanetPositions!$B$8,{"Aries","Taurus","Gemini","Cancer","Leo","Virgo","Libra","Scorpio","Sagittarius","Capricorn","Aquarius","Pisces"},0),12)+1),12)+1)="FULL",NOT((MOD(MATCH(CALC_PlanetPositions!$B$14,{"Aries","Taurus","Gemini","Cancer","Leo","Virgo","Libra","Scorpio","Sagittarius","Capricorn","Aquarius","Pisces"},0)-MATCH(CALC_PlanetPositions!$B$8,{"Aries","Taurus","Gemini","Cancer","Leo","Virgo","Libra","Scorpio","Sagittarius","Capricorn","Aquarius","Pisces"},0),12)+1)=12)),AND(TRUE(),INDEX(REF_Aspects!$D$5:$O$13,9,MOD(12-(MOD(MATCH(CALC_PlanetPositions!$B$15,{"Aries","Taurus","Gemini","Cancer","Leo","Virgo","Libra","Scorpio","Sagittarius","Capricorn","Aquarius","Pisces"},0)-MATCH(CALC_PlanetPositions!$B$8,{"Aries","Taurus","Gemini","Cancer","Leo","Virgo","Libra","Scorpio","Sagittarius","Capricorn","Aquarius","Pisces"},0),12)+1),12)+1)="FULL",NOT((MOD(MATCH(CALC_PlanetPositions!$B$15,{"Aries","Taurus","Gemini","Cancer","Leo","Virgo","Libra","Scorpio","Sagittarius","Capricorn","Aquarius","Pisces"},0)-MATCH(CALC_PlanetPositions!$B$8,{"Aries","Taurus","Gemini","Cancer","Leo","Virgo","Libra","Scorpio","Sagittarius","Capricorn","Aquarius","Pisces"},0),12)+1)=12))),1,0),0))*-1,0)</f>
        <v>-1</v>
      </c>
      <c r="D16" s="403" t="s">
        <v>4625</v>
      </c>
    </row>
    <row r="17" spans="1:7" ht="27.75" customHeight="1" x14ac:dyDescent="0.2">
      <c r="A17" s="1156" t="s">
        <v>4626</v>
      </c>
      <c r="B17" s="357" t="s">
        <v>3062</v>
      </c>
      <c r="C17" s="1117">
        <v>0</v>
      </c>
      <c r="D17" s="400" t="s">
        <v>4627</v>
      </c>
    </row>
    <row r="18" spans="1:7" ht="27.75" customHeight="1" x14ac:dyDescent="0.2">
      <c r="A18" s="1156" t="s">
        <v>4628</v>
      </c>
      <c r="B18" s="203" t="s">
        <v>4552</v>
      </c>
      <c r="C18" s="1118">
        <f>IFERROR((IFERROR(IF(AND(OR(AND(CALC_PlanetPositions!$M$7="Malefic",MOD(MATCH(CALC_PlanetPositions!$B$7,{"Aries","Taurus","Gemini","Cancer","Leo","Virgo","Libra","Scorpio","Sagittarius","Capricorn","Aquarius","Pisces"},0)-MATCH(CALC_PlanetPositions!$B$8,{"Aries","Taurus","Gemini","Cancer","Leo","Virgo","Libra","Scorpio","Sagittarius","Capricorn","Aquarius","Pisces"},0),12)+1=(MOD(12-2,12)+1)),AND(CALC_PlanetPositions!$M$8="Malefic",MOD(MATCH(CALC_PlanetPositions!$B$8,{"Aries","Taurus","Gemini","Cancer","Leo","Virgo","Libra","Scorpio","Sagittarius","Capricorn","Aquarius","Pisces"},0)-MATCH(CALC_PlanetPositions!$B$8,{"Aries","Taurus","Gemini","Cancer","Leo","Virgo","Libra","Scorpio","Sagittarius","Capricorn","Aquarius","Pisces"},0),12)+1=(MOD(12-2,12)+1)),AND(CALC_PlanetPositions!$M$9="Malefic",MOD(MATCH(CALC_PlanetPositions!$B$9,{"Aries","Taurus","Gemini","Cancer","Leo","Virgo","Libra","Scorpio","Sagittarius","Capricorn","Aquarius","Pisces"},0)-MATCH(CALC_PlanetPositions!$B$8,{"Aries","Taurus","Gemini","Cancer","Leo","Virgo","Libra","Scorpio","Sagittarius","Capricorn","Aquarius","Pisces"},0),12)+1=(MOD(12-2,12)+1)),AND(CALC_PlanetPositions!$M$10="Malefic",MOD(MATCH(CALC_PlanetPositions!$B$10,{"Aries","Taurus","Gemini","Cancer","Leo","Virgo","Libra","Scorpio","Sagittarius","Capricorn","Aquarius","Pisces"},0)-MATCH(CALC_PlanetPositions!$B$8,{"Aries","Taurus","Gemini","Cancer","Leo","Virgo","Libra","Scorpio","Sagittarius","Capricorn","Aquarius","Pisces"},0),12)+1=(MOD(12-2,12)+1)),AND(CALC_PlanetPositions!$M$11="Malefic",MOD(MATCH(CALC_PlanetPositions!$B$11,{"Aries","Taurus","Gemini","Cancer","Leo","Virgo","Libra","Scorpio","Sagittarius","Capricorn","Aquarius","Pisces"},0)-MATCH(CALC_PlanetPositions!$B$8,{"Aries","Taurus","Gemini","Cancer","Leo","Virgo","Libra","Scorpio","Sagittarius","Capricorn","Aquarius","Pisces"},0),12)+1=(MOD(12-2,12)+1)),AND(CALC_PlanetPositions!$M$12="Malefic",MOD(MATCH(CALC_PlanetPositions!$B$12,{"Aries","Taurus","Gemini","Cancer","Leo","Virgo","Libra","Scorpio","Sagittarius","Capricorn","Aquarius","Pisces"},0)-MATCH(CALC_PlanetPositions!$B$8,{"Aries","Taurus","Gemini","Cancer","Leo","Virgo","Libra","Scorpio","Sagittarius","Capricorn","Aquarius","Pisces"},0),12)+1=(MOD(12-2,12)+1)),AND(CALC_PlanetPositions!$M$13="Malefic",MOD(MATCH(CALC_PlanetPositions!$B$13,{"Aries","Taurus","Gemini","Cancer","Leo","Virgo","Libra","Scorpio","Sagittarius","Capricorn","Aquarius","Pisces"},0)-MATCH(CALC_PlanetPositions!$B$8,{"Aries","Taurus","Gemini","Cancer","Leo","Virgo","Libra","Scorpio","Sagittarius","Capricorn","Aquarius","Pisces"},0),12)+1=(MOD(12-2,12)+1)),AND(TRUE(),MOD(MATCH(CALC_PlanetPositions!$B$14,{"Aries","Taurus","Gemini","Cancer","Leo","Virgo","Libra","Scorpio","Sagittarius","Capricorn","Aquarius","Pisces"},0)-MATCH(CALC_PlanetPositions!$B$8,{"Aries","Taurus","Gemini","Cancer","Leo","Virgo","Libra","Scorpio","Sagittarius","Capricorn","Aquarius","Pisces"},0),12)+1=(MOD(12-2,12)+1)),AND(TRUE(),MOD(MATCH(CALC_PlanetPositions!$B$15,{"Aries","Taurus","Gemini","Cancer","Leo","Virgo","Libra","Scorpio","Sagittarius","Capricorn","Aquarius","Pisces"},0)-MATCH(CALC_PlanetPositions!$B$8,{"Aries","Taurus","Gemini","Cancer","Leo","Virgo","Libra","Scorpio","Sagittarius","Capricorn","Aquarius","Pisces"},0),12)+1=(MOD(12-2,12)+1))),OR(AND(CALC_PlanetPositions!$M$7="Malefic",MOD(MATCH(CALC_PlanetPositions!$B$7,{"Aries","Taurus","Gemini","Cancer","Leo","Virgo","Libra","Scorpio","Sagittarius","Capricorn","Aquarius","Pisces"},0)-MATCH(CALC_PlanetPositions!$B$8,{"Aries","Taurus","Gemini","Cancer","Leo","Virgo","Libra","Scorpio","Sagittarius","Capricorn","Aquarius","Pisces"},0),12)+1=(1)),AND(CALC_PlanetPositions!$M$8="Malefic",MOD(MATCH(CALC_PlanetPositions!$B$8,{"Aries","Taurus","Gemini","Cancer","Leo","Virgo","Libra","Scorpio","Sagittarius","Capricorn","Aquarius","Pisces"},0)-MATCH(CALC_PlanetPositions!$B$8,{"Aries","Taurus","Gemini","Cancer","Leo","Virgo","Libra","Scorpio","Sagittarius","Capricorn","Aquarius","Pisces"},0),12)+1=(1)),AND(CALC_PlanetPositions!$M$9="Malefic",MOD(MATCH(CALC_PlanetPositions!$B$9,{"Aries","Taurus","Gemini","Cancer","Leo","Virgo","Libra","Scorpio","Sagittarius","Capricorn","Aquarius","Pisces"},0)-MATCH(CALC_PlanetPositions!$B$8,{"Aries","Taurus","Gemini","Cancer","Leo","Virgo","Libra","Scorpio","Sagittarius","Capricorn","Aquarius","Pisces"},0),12)+1=(1)),AND(CALC_PlanetPositions!$M$10="Malefic",MOD(MATCH(CALC_PlanetPositions!$B$10,{"Aries","Taurus","Gemini","Cancer","Leo","Virgo","Libra","Scorpio","Sagittarius","Capricorn","Aquarius","Pisces"},0)-MATCH(CALC_PlanetPositions!$B$8,{"Aries","Taurus","Gemini","Cancer","Leo","Virgo","Libra","Scorpio","Sagittarius","Capricorn","Aquarius","Pisces"},0),12)+1=(1)),AND(CALC_PlanetPositions!$M$11="Malefic",MOD(MATCH(CALC_PlanetPositions!$B$11,{"Aries","Taurus","Gemini","Cancer","Leo","Virgo","Libra","Scorpio","Sagittarius","Capricorn","Aquarius","Pisces"},0)-MATCH(CALC_PlanetPositions!$B$8,{"Aries","Taurus","Gemini","Cancer","Leo","Virgo","Libra","Scorpio","Sagittarius","Capricorn","Aquarius","Pisces"},0),12)+1=(1)),AND(CALC_PlanetPositions!$M$12="Malefic",MOD(MATCH(CALC_PlanetPositions!$B$12,{"Aries","Taurus","Gemini","Cancer","Leo","Virgo","Libra","Scorpio","Sagittarius","Capricorn","Aquarius","Pisces"},0)-MATCH(CALC_PlanetPositions!$B$8,{"Aries","Taurus","Gemini","Cancer","Leo","Virgo","Libra","Scorpio","Sagittarius","Capricorn","Aquarius","Pisces"},0),12)+1=(1)),AND(CALC_PlanetPositions!$M$13="Malefic",MOD(MATCH(CALC_PlanetPositions!$B$13,{"Aries","Taurus","Gemini","Cancer","Leo","Virgo","Libra","Scorpio","Sagittarius","Capricorn","Aquarius","Pisces"},0)-MATCH(CALC_PlanetPositions!$B$8,{"Aries","Taurus","Gemini","Cancer","Leo","Virgo","Libra","Scorpio","Sagittarius","Capricorn","Aquarius","Pisces"},0),12)+1=(1)),AND(TRUE(),MOD(MATCH(CALC_PlanetPositions!$B$14,{"Aries","Taurus","Gemini","Cancer","Leo","Virgo","Libra","Scorpio","Sagittarius","Capricorn","Aquarius","Pisces"},0)-MATCH(CALC_PlanetPositions!$B$8,{"Aries","Taurus","Gemini","Cancer","Leo","Virgo","Libra","Scorpio","Sagittarius","Capricorn","Aquarius","Pisces"},0),12)+1=(1)),AND(TRUE(),MOD(MATCH(CALC_PlanetPositions!$B$15,{"Aries","Taurus","Gemini","Cancer","Leo","Virgo","Libra","Scorpio","Sagittarius","Capricorn","Aquarius","Pisces"},0)-MATCH(CALC_PlanetPositions!$B$8,{"Aries","Taurus","Gemini","Cancer","Leo","Virgo","Libra","Scorpio","Sagittarius","Capricorn","Aquarius","Pisces"},0),12)+1=(1)))),1,0),0))*IF(REF_Config!$B$6="KP",-0.75,IF(REF_Config!$B$6="Jaimini",-0.5,-0.75)),0)</f>
        <v>-0.75</v>
      </c>
      <c r="D18" s="403" t="s">
        <v>4629</v>
      </c>
    </row>
    <row r="19" spans="1:7" ht="15.75" customHeight="1" x14ac:dyDescent="0.2">
      <c r="A19" s="1594" t="s">
        <v>3624</v>
      </c>
      <c r="B19" s="1594"/>
      <c r="C19" s="1594"/>
      <c r="D19" s="1594"/>
    </row>
    <row r="20" spans="1:7" ht="27.75" customHeight="1" x14ac:dyDescent="0.2">
      <c r="A20" s="1156" t="s">
        <v>4630</v>
      </c>
      <c r="B20" s="357" t="s">
        <v>4555</v>
      </c>
      <c r="C20" s="1117">
        <v>0</v>
      </c>
      <c r="D20" s="400" t="s">
        <v>4631</v>
      </c>
    </row>
    <row r="21" spans="1:7" ht="27.75" customHeight="1" x14ac:dyDescent="0.2">
      <c r="A21" s="1156" t="s">
        <v>4632</v>
      </c>
      <c r="B21" s="203" t="s">
        <v>4633</v>
      </c>
      <c r="C21" s="1118">
        <f>IFERROR((IFERROR(IF(OR(AND(CALC_PlanetPositions!$M$7="Malefic",INDEX(REF_Aspects!$D$5:$O$13,1,MOD(CALC_ChandraLagna!$F$15-(MOD(MATCH(CALC_PlanetPositions!$B$7,{"Aries","Taurus","Gemini","Cancer","Leo","Virgo","Libra","Scorpio","Sagittarius","Capricorn","Aquarius","Pisces"},0)-MATCH(CALC_PlanetPositions!$B$8,{"Aries","Taurus","Gemini","Cancer","Leo","Virgo","Libra","Scorpio","Sagittarius","Capricorn","Aquarius","Pisces"},0),12)+1),12)+1)="FULL",NOT(CALC_PlanetPositions!$B$7=CALC_ChandraLagna!$E$15)),AND(CALC_PlanetPositions!$M$8="Malefic",INDEX(REF_Aspects!$D$5:$O$13,2,MOD(CALC_ChandraLagna!$F$15-(MOD(MATCH(CALC_PlanetPositions!$B$8,{"Aries","Taurus","Gemini","Cancer","Leo","Virgo","Libra","Scorpio","Sagittarius","Capricorn","Aquarius","Pisces"},0)-MATCH(CALC_PlanetPositions!$B$8,{"Aries","Taurus","Gemini","Cancer","Leo","Virgo","Libra","Scorpio","Sagittarius","Capricorn","Aquarius","Pisces"},0),12)+1),12)+1)="FULL",NOT(CALC_PlanetPositions!$B$8=CALC_ChandraLagna!$E$15)),AND(CALC_PlanetPositions!$M$9="Malefic",INDEX(REF_Aspects!$D$5:$O$13,3,MOD(CALC_ChandraLagna!$F$15-(MOD(MATCH(CALC_PlanetPositions!$B$9,{"Aries","Taurus","Gemini","Cancer","Leo","Virgo","Libra","Scorpio","Sagittarius","Capricorn","Aquarius","Pisces"},0)-MATCH(CALC_PlanetPositions!$B$8,{"Aries","Taurus","Gemini","Cancer","Leo","Virgo","Libra","Scorpio","Sagittarius","Capricorn","Aquarius","Pisces"},0),12)+1),12)+1)="FULL",NOT(CALC_PlanetPositions!$B$9=CALC_ChandraLagna!$E$15)),AND(CALC_PlanetPositions!$M$10="Malefic",INDEX(REF_Aspects!$D$5:$O$13,4,MOD(CALC_ChandraLagna!$F$15-(MOD(MATCH(CALC_PlanetPositions!$B$10,{"Aries","Taurus","Gemini","Cancer","Leo","Virgo","Libra","Scorpio","Sagittarius","Capricorn","Aquarius","Pisces"},0)-MATCH(CALC_PlanetPositions!$B$8,{"Aries","Taurus","Gemini","Cancer","Leo","Virgo","Libra","Scorpio","Sagittarius","Capricorn","Aquarius","Pisces"},0),12)+1),12)+1)="FULL",NOT(CALC_PlanetPositions!$B$10=CALC_ChandraLagna!$E$15)),AND(CALC_PlanetPositions!$M$11="Malefic",INDEX(REF_Aspects!$D$5:$O$13,5,MOD(CALC_ChandraLagna!$F$15-(MOD(MATCH(CALC_PlanetPositions!$B$11,{"Aries","Taurus","Gemini","Cancer","Leo","Virgo","Libra","Scorpio","Sagittarius","Capricorn","Aquarius","Pisces"},0)-MATCH(CALC_PlanetPositions!$B$8,{"Aries","Taurus","Gemini","Cancer","Leo","Virgo","Libra","Scorpio","Sagittarius","Capricorn","Aquarius","Pisces"},0),12)+1),12)+1)="FULL",NOT(CALC_PlanetPositions!$B$11=CALC_ChandraLagna!$E$15)),AND(CALC_PlanetPositions!$M$12="Malefic",INDEX(REF_Aspects!$D$5:$O$13,6,MOD(CALC_ChandraLagna!$F$15-(MOD(MATCH(CALC_PlanetPositions!$B$12,{"Aries","Taurus","Gemini","Cancer","Leo","Virgo","Libra","Scorpio","Sagittarius","Capricorn","Aquarius","Pisces"},0)-MATCH(CALC_PlanetPositions!$B$8,{"Aries","Taurus","Gemini","Cancer","Leo","Virgo","Libra","Scorpio","Sagittarius","Capricorn","Aquarius","Pisces"},0),12)+1),12)+1)="FULL",NOT(CALC_PlanetPositions!$B$12=CALC_ChandraLagna!$E$15)),AND(CALC_PlanetPositions!$M$13="Malefic",INDEX(REF_Aspects!$D$5:$O$13,7,MOD(CALC_ChandraLagna!$F$15-(MOD(MATCH(CALC_PlanetPositions!$B$13,{"Aries","Taurus","Gemini","Cancer","Leo","Virgo","Libra","Scorpio","Sagittarius","Capricorn","Aquarius","Pisces"},0)-MATCH(CALC_PlanetPositions!$B$8,{"Aries","Taurus","Gemini","Cancer","Leo","Virgo","Libra","Scorpio","Sagittarius","Capricorn","Aquarius","Pisces"},0),12)+1),12)+1)="FULL",NOT(CALC_PlanetPositions!$B$13=CALC_ChandraLagna!$E$15)),AND(TRUE(),INDEX(REF_Aspects!$D$5:$O$13,8,MOD(CALC_ChandraLagna!$F$15-(MOD(MATCH(CALC_PlanetPositions!$B$14,{"Aries","Taurus","Gemini","Cancer","Leo","Virgo","Libra","Scorpio","Sagittarius","Capricorn","Aquarius","Pisces"},0)-MATCH(CALC_PlanetPositions!$B$8,{"Aries","Taurus","Gemini","Cancer","Leo","Virgo","Libra","Scorpio","Sagittarius","Capricorn","Aquarius","Pisces"},0),12)+1),12)+1)="FULL",NOT(CALC_PlanetPositions!$B$14=CALC_ChandraLagna!$E$15)),AND(TRUE(),INDEX(REF_Aspects!$D$5:$O$13,9,MOD(CALC_ChandraLagna!$F$15-(MOD(MATCH(CALC_PlanetPositions!$B$15,{"Aries","Taurus","Gemini","Cancer","Leo","Virgo","Libra","Scorpio","Sagittarius","Capricorn","Aquarius","Pisces"},0)-MATCH(CALC_PlanetPositions!$B$8,{"Aries","Taurus","Gemini","Cancer","Leo","Virgo","Libra","Scorpio","Sagittarius","Capricorn","Aquarius","Pisces"},0),12)+1),12)+1)="FULL",NOT(CALC_PlanetPositions!$B$15=CALC_ChandraLagna!$E$15))),1,0),0))*-0.5,0)</f>
        <v>-0.5</v>
      </c>
      <c r="D21" s="403" t="s">
        <v>4634</v>
      </c>
    </row>
    <row r="22" spans="1:7" ht="27.75" customHeight="1" x14ac:dyDescent="0.2">
      <c r="A22" s="1156" t="s">
        <v>4635</v>
      </c>
      <c r="B22" s="357" t="s">
        <v>3042</v>
      </c>
      <c r="C22" s="1117">
        <f>IFERROR((IFERROR(IF(CALC_ChandraLagna!$I$15="Yes",1,0),0))*IF(REF_Config!$B$6="KP",-1.75,IF(REF_Config!$B$6="Jaimini",-2,-2)),0)</f>
        <v>0</v>
      </c>
      <c r="D22" s="400" t="s">
        <v>4636</v>
      </c>
    </row>
    <row r="23" spans="1:7" ht="27.75" customHeight="1" x14ac:dyDescent="0.2">
      <c r="A23" s="1156" t="s">
        <v>4637</v>
      </c>
      <c r="B23" s="203" t="s">
        <v>3059</v>
      </c>
      <c r="C23" s="1118">
        <f>IFERROR((IFERROR(IF(OR(AND(CALC_ChandraLagna!$E$9=CALC_ChandraLagna!$E$15,CALC_ChandraLagna!$D$9&lt;&gt;CALC_ChandraLagna!$D$15),AND(CALC_ChandraLagna!$E$11=CALC_ChandraLagna!$E$15,CALC_ChandraLagna!$D$11&lt;&gt;CALC_ChandraLagna!$D$15),AND(CALC_ChandraLagna!$E$15=CALC_ChandraLagna!$E$15,CALC_ChandraLagna!$D$15&lt;&gt;CALC_ChandraLagna!$D$15)),1,0),0))*-1,0)</f>
        <v>-1</v>
      </c>
      <c r="D23" s="403" t="s">
        <v>4638</v>
      </c>
    </row>
    <row r="24" spans="1:7" ht="15.75" customHeight="1" x14ac:dyDescent="0.2">
      <c r="A24" s="1484" t="s">
        <v>4639</v>
      </c>
      <c r="B24" s="1484"/>
      <c r="C24" s="1484"/>
      <c r="D24" s="1484"/>
    </row>
    <row r="25" spans="1:7" ht="27.75" customHeight="1" x14ac:dyDescent="0.2">
      <c r="A25" s="1156" t="s">
        <v>4640</v>
      </c>
      <c r="B25" s="357" t="s">
        <v>3084</v>
      </c>
      <c r="C25" s="1117">
        <f>IFERROR(IF(CALC_KarakMap!$M$16&gt;0,CALC_KarakMap!$M$16,0),0)</f>
        <v>0</v>
      </c>
      <c r="D25" s="400" t="s">
        <v>4641</v>
      </c>
    </row>
    <row r="26" spans="1:7" ht="27.75" customHeight="1" x14ac:dyDescent="0.2">
      <c r="A26" s="1156" t="s">
        <v>4642</v>
      </c>
      <c r="B26" s="203" t="s">
        <v>4564</v>
      </c>
      <c r="C26" s="1118">
        <f>IFERROR(IF(CALC_KarakMap!$M$16&lt;0,CALC_KarakMap!$M$16,0),0)</f>
        <v>0</v>
      </c>
      <c r="D26" s="403" t="s">
        <v>4643</v>
      </c>
    </row>
    <row r="27" spans="1:7" ht="27.75" customHeight="1" x14ac:dyDescent="0.2">
      <c r="A27" s="1119" t="s">
        <v>4644</v>
      </c>
      <c r="B27" s="296" t="s">
        <v>3624</v>
      </c>
      <c r="C27" s="1117">
        <f>IFERROR(IF(OR(CALC_ChandraLagna!$D$15="Sun",CALC_ChandraLagna!$D$15="Rahu",CALC_ChandraLagna!$D$15="Ketu"),0,IF(CALC_ChandraLagna!$D$15="Moon",IF(CALC_CombustionCheck!$G$4="Cazimi ✓",0.5,IF(CALC_CombustionCheck!$F$4="COMBUST ⚠",-1,0)),IF(CALC_ChandraLagna!$D$15="Mars",IF(CALC_CombustionCheck!$G$5="Cazimi ✓",0.5,IF(AND(CALC_CombustionCheck!$F$5="COMBUST ⚠",CALC_RetrogradeFix!$F$6="Rx ✓"),-0.5,IF(CALC_CombustionCheck!$F$5="COMBUST ⚠",-1,0))),IF(CALC_ChandraLagna!$D$15="Mercury",IF(CALC_CombustionCheck!$G$6="Cazimi ✓",0.5,IF(AND(CALC_CombustionCheck!$F$6="COMBUST ⚠",CALC_RetrogradeFix!$F$7="Rx ✓"),-0.5,IF(CALC_CombustionCheck!$F$6="COMBUST ⚠",-1,0))),IF(CALC_ChandraLagna!$D$15="Jupiter",IF(CALC_CombustionCheck!$G$7="Cazimi ✓",0.5,IF(AND(CALC_CombustionCheck!$F$7="COMBUST ⚠",CALC_RetrogradeFix!$F$8="Rx ✓"),-0.5,IF(CALC_CombustionCheck!$F$7="COMBUST ⚠",-1,0))),IF(CALC_ChandraLagna!$D$15="Venus",IF(CALC_CombustionCheck!$G$8="Cazimi ✓",0.5,IF(AND(CALC_CombustionCheck!$F$8="COMBUST ⚠",CALC_RetrogradeFix!$F$9="Rx ✓"),-0.5,IF(CALC_CombustionCheck!$F$8="COMBUST ⚠",-1,0))),IF(CALC_ChandraLagna!$D$15="Saturn",IF(CALC_CombustionCheck!$G$9="Cazimi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ChandraLagna!$D$15="Rahu",CALC_ChandraLagna!$D$15="Ketu"),0,IF(ISNUMBER(MATCH(CALC_ChandraLagna!$D$15,{"Sun","Moon","Mars","Mercury","Jupiter","Venus","Saturn"},0)),IF(INDEX(CALC_DigBala!$F$4:$F$10,MATCH(CALC_ChandraLagna!$D$15,{"Sun","Moon","Mars","Mercury","Jupiter","Venus","Saturn"},0))="Yes",0.5,0),0)),0)</f>
        <v>0</v>
      </c>
      <c r="D28" s="400" t="s">
        <v>4647</v>
      </c>
    </row>
    <row r="29" spans="1:7" ht="27.75" customHeight="1" x14ac:dyDescent="0.2">
      <c r="A29" s="1120" t="s">
        <v>4648</v>
      </c>
      <c r="B29" s="296" t="s">
        <v>3372</v>
      </c>
      <c r="C29" s="1117">
        <f>IFERROR(IF(COUNTIFS(REF_PushkaraNavamsha!$A$4:$A$27,CALC_ChandraLagna!$E$15,REF_PushkaraNavamsha!$B$4:$B$27,INDEX(CALC_PlanetPositions!$G$7:$G$15,MATCH(CALC_ChandraLagna!$D$15,CALC_PlanetPositions!$A$7:$A$15,0)))&gt;0,0.5,0),0)</f>
        <v>0.5</v>
      </c>
      <c r="D29" s="400" t="s">
        <v>4649</v>
      </c>
    </row>
    <row r="30" spans="1:7" ht="25.5" customHeight="1" x14ac:dyDescent="0.2">
      <c r="A30" s="147" t="s">
        <v>4650</v>
      </c>
      <c r="B30" s="1121" t="s">
        <v>4651</v>
      </c>
      <c r="C30" s="1122">
        <f>IFERROR(IF(ISNUMBER(MATCH(CALC_ChandraLagna!$D$15,{"Sun","Moon","Mars","Mercury","Jupiter","Venus","Saturn"},0)),INDEX(CALC_RetrogradeFix!$G$4:$G$10,MATCH(CALC_ChandraLagna!$D$15,{"Sun","Moon","Mars","Mercury","Jupiter","Venus","Saturn"},0)),0),0)</f>
        <v>0</v>
      </c>
      <c r="D30" s="1123" t="s">
        <v>4652</v>
      </c>
    </row>
    <row r="31" spans="1:7" ht="18" customHeight="1" x14ac:dyDescent="0.2">
      <c r="A31" s="1555" t="s">
        <v>4653</v>
      </c>
      <c r="B31" s="1555"/>
      <c r="C31" s="1555"/>
      <c r="D31" s="1555"/>
      <c r="E31" s="1124" t="s">
        <v>4654</v>
      </c>
      <c r="F31" s="1125">
        <f>IFERROR(IF(CALC_Ashtakavarga!M$12&gt;28,0.5,IF(CALC_Ashtakavarga!M$12&lt;22,-0.5,0)),0)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4</v>
      </c>
      <c r="D33" s="1129"/>
    </row>
    <row r="34" spans="1:4" ht="18" customHeight="1" x14ac:dyDescent="0.2">
      <c r="A34" s="189" t="s">
        <v>4621</v>
      </c>
      <c r="B34" s="1127" t="s">
        <v>4658</v>
      </c>
      <c r="C34" s="1128">
        <f>IFERROR(SUM(C15:C18),0)</f>
        <v>-2.75</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1.75</v>
      </c>
      <c r="D37" s="1129"/>
    </row>
    <row r="38" spans="1:4" ht="21.75" customHeight="1" x14ac:dyDescent="0.2">
      <c r="A38" s="89" t="s">
        <v>4661</v>
      </c>
      <c r="B38" s="1129"/>
      <c r="C38" s="1131">
        <f>IFERROR(MAX(-10,MIN(10,C37)),0)</f>
        <v>1.75</v>
      </c>
      <c r="D38" s="1132"/>
    </row>
    <row r="39" spans="1:4" ht="18" customHeight="1" x14ac:dyDescent="0.2">
      <c r="A39" s="517" t="s">
        <v>4662</v>
      </c>
      <c r="B39" s="1129"/>
      <c r="C39" s="1133">
        <f>IFERROR(CALC_LagneshStrength!$I$4,0)</f>
        <v>0</v>
      </c>
      <c r="D39" s="1129"/>
    </row>
    <row r="40" spans="1:4" ht="25.5" customHeight="1" x14ac:dyDescent="0.2">
      <c r="A40" s="1157" t="s">
        <v>4663</v>
      </c>
      <c r="B40" s="1129"/>
      <c r="C40" s="1158">
        <f>IFERROR(MAX(-10,MIN(10,C38+C39+C41)),0)</f>
        <v>1.75</v>
      </c>
      <c r="D40" s="1159" t="str">
        <f>IFERROR(IF(C40&gt;=7,"Excellent — Liberation domain very strong",IF(C40&gt;=4,"Good — Liberation domain strong",IF(C40&gt;=1,"Moderate",IF(C40&gt;=-2,"Mixed — Liberation has challenges",IF(C40&gt;=-5,"Weak","Very weak — Liberation heavily afflicted"))))),"—")</f>
        <v>Moderate</v>
      </c>
    </row>
    <row r="41" spans="1:4" ht="18" customHeight="1" x14ac:dyDescent="0.2">
      <c r="A41" s="622" t="s">
        <v>4681</v>
      </c>
      <c r="B41" s="904" t="s">
        <v>4678</v>
      </c>
      <c r="C41" s="1160">
        <v>0</v>
      </c>
      <c r="D41" s="550" t="s">
        <v>4703</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4704</v>
      </c>
      <c r="B1" s="1518"/>
      <c r="C1" s="1518"/>
      <c r="D1" s="1518"/>
      <c r="L1" s="544" t="s">
        <v>2214</v>
      </c>
    </row>
    <row r="2" spans="1:12" ht="19.5" customHeight="1" x14ac:dyDescent="0.2">
      <c r="A2" s="1595" t="str">
        <f>IFERROR("Surya Lagna: "&amp;CALC_PlanetPositions!$B$7&amp;"  ·  H1 sign: "&amp;CALC_SuryaLagna!$C$4,"—")</f>
        <v>Surya Lagna: Cancer  ·  H1 sign: Cancer</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IFERROR((IFERROR(IF(INDEX(REF_Zodiac!$D$17:$O$17,MATCH(CALC_SuryaLagna!$C$4,REF_Zodiac!$D$3:$O$3,0))="Gentle",1,0),0))*0.5,0)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1)),AND(FALSE(),INDEX(REF_Aspects!$D$5:$O$13,8,MOD(1-(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1)),AND(FALSE(),INDEX(REF_Aspects!$D$5:$O$13,9,MOD(1-(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IFERROR(IF(AND(OR(CALC_SuryaLagna!$G$4="Yes",CALC_SuryaLagna!$H$4="Yes"),NOT(CALC_SuryaLagna!$I$4="Yes")),1,0)*IF(REF_Config!$B$6="KP",1.5,IF(REF_Config!$B$6="Jaimini",1.5,2)),0)</f>
        <v>2</v>
      </c>
      <c r="D9" s="403" t="s">
        <v>4612</v>
      </c>
    </row>
    <row r="10" spans="1:12" ht="27.75" customHeight="1" x14ac:dyDescent="0.2">
      <c r="A10" s="121" t="s">
        <v>4613</v>
      </c>
      <c r="B10" s="357" t="s">
        <v>3093</v>
      </c>
      <c r="C10" s="1117">
        <f>IFERROR((IFERROR(IF(OR(AND(CALC_SuryaLagna!$E$4=CALC_SuryaLagna!$E$4,CALC_SuryaLagna!$D$4&lt;&gt;CALC_SuryaLagna!$D$4),AND(CALC_SuryaLagna!$E$7=CALC_SuryaLagna!$E$4,CALC_SuryaLagna!$D$7&lt;&gt;CALC_SuryaLagna!$D$4),AND(CALC_SuryaLagna!$E$8=CALC_SuryaLagna!$E$4,CALC_SuryaLagna!$D$8&lt;&gt;CALC_SuryaLagna!$D$4),AND(CALC_SuryaLagna!$E$10=CALC_SuryaLagna!$E$4,CALC_SuryaLagna!$D$10&lt;&gt;CALC_SuryaLagna!$D$4),AND(CALC_SuryaLagna!$E$12=CALC_SuryaLagna!$E$4,CALC_SuryaLagna!$D$12&lt;&gt;CALC_SuryaLagna!$D$4),AND(CALC_SuryaLagna!$E$13=CALC_SuryaLagna!$E$4,CALC_SuryaLagna!$D$13&lt;&gt;CALC_SuryaLagna!$D$4)),1,0),0))*0.5,0)</f>
        <v>0.5</v>
      </c>
      <c r="D10" s="400" t="s">
        <v>4614</v>
      </c>
    </row>
    <row r="11" spans="1:12" ht="27.75" customHeight="1" x14ac:dyDescent="0.2">
      <c r="A11" s="121" t="s">
        <v>4615</v>
      </c>
      <c r="B11" s="203" t="s">
        <v>4540</v>
      </c>
      <c r="C11" s="1118">
        <f>IFERROR((IFERROR(IF(OR(AND(OR(CALC_PlanetPositions!$M$7="Benefic",CALC_PlanetPositions!$M$7="Yogakaraka"),CALC_PlanetPositions!$B$7=CALC_SuryaLagna!$E$4,CALC_SuryaLagna!$D$4&lt;&gt;"Sun"),AND(OR(CALC_PlanetPositions!$M$8="Benefic",CALC_PlanetPositions!$M$8="Yogakaraka"),CALC_PlanetPositions!$B$8=CALC_SuryaLagna!$E$4,CALC_SuryaLagna!$D$4&lt;&gt;"Moon"),AND(OR(CALC_PlanetPositions!$M$9="Benefic",CALC_PlanetPositions!$M$9="Yogakaraka"),CALC_PlanetPositions!$B$9=CALC_SuryaLagna!$E$4,CALC_SuryaLagna!$D$4&lt;&gt;"Mars"),AND(OR(CALC_PlanetPositions!$M$10="Benefic",CALC_PlanetPositions!$M$10="Yogakaraka"),CALC_PlanetPositions!$B$10=CALC_SuryaLagna!$E$4,CALC_SuryaLagna!$D$4&lt;&gt;"Mercury"),AND(OR(CALC_PlanetPositions!$M$11="Benefic",CALC_PlanetPositions!$M$11="Yogakaraka"),CALC_PlanetPositions!$B$11=CALC_SuryaLagna!$E$4,CALC_SuryaLagna!$D$4&lt;&gt;"Jupiter"),AND(OR(CALC_PlanetPositions!$M$12="Benefic",CALC_PlanetPositions!$M$12="Yogakaraka"),CALC_PlanetPositions!$B$12=CALC_SuryaLagna!$E$4,CALC_SuryaLagna!$D$4&lt;&gt;"Venus"),AND(OR(CALC_PlanetPositions!$M$13="Benefic",CALC_PlanetPositions!$M$13="Yogakaraka"),CALC_PlanetPositions!$B$13=CALC_SuryaLagna!$E$4,CALC_SuryaLagna!$D$4&lt;&gt;"Saturn")),1,0),0))*IF(OR(AND(CALC_PlanetPositions!$M$7="Yogakaraka",CALC_PlanetPositions!$B$7=CALC_SuryaLagna!$E$4,CALC_SuryaLagna!$D$4&lt;&gt;"Sun"),AND(CALC_PlanetPositions!$M$8="Yogakaraka",CALC_PlanetPositions!$B$8=CALC_SuryaLagna!$E$4,CALC_SuryaLagna!$D$4&lt;&gt;"Moon"),AND(CALC_PlanetPositions!$M$9="Yogakaraka",CALC_PlanetPositions!$B$9=CALC_SuryaLagna!$E$4,CALC_SuryaLagna!$D$4&lt;&gt;"Mars"),AND(CALC_PlanetPositions!$M$10="Yogakaraka",CALC_PlanetPositions!$B$10=CALC_SuryaLagna!$E$4,CALC_SuryaLagna!$D$4&lt;&gt;"Mercury"),AND(CALC_PlanetPositions!$M$11="Yogakaraka",CALC_PlanetPositions!$B$11=CALC_SuryaLagna!$E$4,CALC_SuryaLagna!$D$4&lt;&gt;"Jupiter"),AND(CALC_PlanetPositions!$M$12="Yogakaraka",CALC_PlanetPositions!$B$12=CALC_SuryaLagna!$E$4,CALC_SuryaLagna!$D$4&lt;&gt;"Venus"),AND(CALC_PlanetPositions!$M$13="Yogakaraka",CALC_PlanetPositions!$B$13=CALC_SuryaLagna!$E$4,CALC_SuryaLagna!$D$4&lt;&gt;"Saturn")),1.5,1),0)</f>
        <v>1.5</v>
      </c>
      <c r="D11" s="403" t="s">
        <v>4616</v>
      </c>
    </row>
    <row r="12" spans="1:12" ht="27.75" customHeight="1" x14ac:dyDescent="0.2">
      <c r="A12" s="121" t="s">
        <v>4617</v>
      </c>
      <c r="B12" s="357" t="s">
        <v>4542</v>
      </c>
      <c r="C12" s="1117">
        <f>IFERROR((IFERROR(IF(OR(AND(OR(CALC_PlanetPositions!$M$7="Benefic",CALC_PlanetPositions!$M$7="Yogakaraka"),INDEX(REF_Aspects!$D$5:$O$13,1,MOD(CALC_SuryaLagna!$F$4-(MOD(MATCH(CALC_PlanetPositions!$B$7,{"Aries","Taurus","Gemini","Cancer","Leo","Virgo","Libra","Scorpio","Sagittarius","Capricorn","Aquarius","Pisces"},0)-MATCH(CALC_PlanetPositions!$B$7,{"Aries","Taurus","Gemini","Cancer","Leo","Virgo","Libra","Scorpio","Sagittarius","Capricorn","Aquarius","Pisces"},0),12)+1),12)+1)="FULL",NOT(CALC_PlanetPositions!$B$7=CALC_SuryaLagna!$E$4)),AND(OR(CALC_PlanetPositions!$M$8="Benefic",CALC_PlanetPositions!$M$8="Yogakaraka"),INDEX(REF_Aspects!$D$5:$O$13,2,MOD(CALC_SuryaLagna!$F$4-(MOD(MATCH(CALC_PlanetPositions!$B$8,{"Aries","Taurus","Gemini","Cancer","Leo","Virgo","Libra","Scorpio","Sagittarius","Capricorn","Aquarius","Pisces"},0)-MATCH(CALC_PlanetPositions!$B$7,{"Aries","Taurus","Gemini","Cancer","Leo","Virgo","Libra","Scorpio","Sagittarius","Capricorn","Aquarius","Pisces"},0),12)+1),12)+1)="FULL",NOT(CALC_PlanetPositions!$B$8=CALC_SuryaLagna!$E$4)),AND(OR(CALC_PlanetPositions!$M$9="Benefic",CALC_PlanetPositions!$M$9="Yogakaraka"),INDEX(REF_Aspects!$D$5:$O$13,3,MOD(CALC_SuryaLagna!$F$4-(MOD(MATCH(CALC_PlanetPositions!$B$9,{"Aries","Taurus","Gemini","Cancer","Leo","Virgo","Libra","Scorpio","Sagittarius","Capricorn","Aquarius","Pisces"},0)-MATCH(CALC_PlanetPositions!$B$7,{"Aries","Taurus","Gemini","Cancer","Leo","Virgo","Libra","Scorpio","Sagittarius","Capricorn","Aquarius","Pisces"},0),12)+1),12)+1)="FULL",NOT(CALC_PlanetPositions!$B$9=CALC_SuryaLagna!$E$4)),AND(OR(CALC_PlanetPositions!$M$10="Benefic",CALC_PlanetPositions!$M$10="Yogakaraka"),INDEX(REF_Aspects!$D$5:$O$13,4,MOD(CALC_SuryaLagna!$F$4-(MOD(MATCH(CALC_PlanetPositions!$B$10,{"Aries","Taurus","Gemini","Cancer","Leo","Virgo","Libra","Scorpio","Sagittarius","Capricorn","Aquarius","Pisces"},0)-MATCH(CALC_PlanetPositions!$B$7,{"Aries","Taurus","Gemini","Cancer","Leo","Virgo","Libra","Scorpio","Sagittarius","Capricorn","Aquarius","Pisces"},0),12)+1),12)+1)="FULL",NOT(CALC_PlanetPositions!$B$10=CALC_SuryaLagna!$E$4)),AND(OR(CALC_PlanetPositions!$M$11="Benefic",CALC_PlanetPositions!$M$11="Yogakaraka"),INDEX(REF_Aspects!$D$5:$O$13,5,MOD(CALC_SuryaLagna!$F$4-(MOD(MATCH(CALC_PlanetPositions!$B$11,{"Aries","Taurus","Gemini","Cancer","Leo","Virgo","Libra","Scorpio","Sagittarius","Capricorn","Aquarius","Pisces"},0)-MATCH(CALC_PlanetPositions!$B$7,{"Aries","Taurus","Gemini","Cancer","Leo","Virgo","Libra","Scorpio","Sagittarius","Capricorn","Aquarius","Pisces"},0),12)+1),12)+1)="FULL",NOT(CALC_PlanetPositions!$B$11=CALC_SuryaLagna!$E$4)),AND(OR(CALC_PlanetPositions!$M$12="Benefic",CALC_PlanetPositions!$M$12="Yogakaraka"),INDEX(REF_Aspects!$D$5:$O$13,6,MOD(CALC_SuryaLagna!$F$4-(MOD(MATCH(CALC_PlanetPositions!$B$12,{"Aries","Taurus","Gemini","Cancer","Leo","Virgo","Libra","Scorpio","Sagittarius","Capricorn","Aquarius","Pisces"},0)-MATCH(CALC_PlanetPositions!$B$7,{"Aries","Taurus","Gemini","Cancer","Leo","Virgo","Libra","Scorpio","Sagittarius","Capricorn","Aquarius","Pisces"},0),12)+1),12)+1)="FULL",NOT(CALC_PlanetPositions!$B$12=CALC_SuryaLagna!$E$4)),AND(OR(CALC_PlanetPositions!$M$13="Benefic",CALC_PlanetPositions!$M$13="Yogakaraka"),INDEX(REF_Aspects!$D$5:$O$13,7,MOD(CALC_SuryaLagna!$F$4-(MOD(MATCH(CALC_PlanetPositions!$B$13,{"Aries","Taurus","Gemini","Cancer","Leo","Virgo","Libra","Scorpio","Sagittarius","Capricorn","Aquarius","Pisces"},0)-MATCH(CALC_PlanetPositions!$B$7,{"Aries","Taurus","Gemini","Cancer","Leo","Virgo","Libra","Scorpio","Sagittarius","Capricorn","Aquarius","Pisces"},0),12)+1),12)+1)="FULL",NOT(CALC_PlanetPositions!$B$13=CALC_SuryaLagna!$E$4)),AND(FALSE(),INDEX(REF_Aspects!$D$5:$O$13,8,MOD(CALC_SuryaLagna!$F$4-(MOD(MATCH(CALC_PlanetPositions!$B$14,{"Aries","Taurus","Gemini","Cancer","Leo","Virgo","Libra","Scorpio","Sagittarius","Capricorn","Aquarius","Pisces"},0)-MATCH(CALC_PlanetPositions!$B$7,{"Aries","Taurus","Gemini","Cancer","Leo","Virgo","Libra","Scorpio","Sagittarius","Capricorn","Aquarius","Pisces"},0),12)+1),12)+1)="FULL",NOT(CALC_PlanetPositions!$B$14=CALC_SuryaLagna!$E$4)),AND(FALSE(),INDEX(REF_Aspects!$D$5:$O$13,9,MOD(CALC_SuryaLagna!$F$4-(MOD(MATCH(CALC_PlanetPositions!$B$15,{"Aries","Taurus","Gemini","Cancer","Leo","Virgo","Libra","Scorpio","Sagittarius","Capricorn","Aquarius","Pisces"},0)-MATCH(CALC_PlanetPositions!$B$7,{"Aries","Taurus","Gemini","Cancer","Leo","Virgo","Libra","Scorpio","Sagittarius","Capricorn","Aquarius","Pisces"},0),12)+1),12)+1)="FULL",NOT(CALC_PlanetPositions!$B$15=CALC_SuryaLagna!$E$4))),1,0),0))*0.5,0)</f>
        <v>0</v>
      </c>
      <c r="D12" s="400" t="s">
        <v>4618</v>
      </c>
    </row>
    <row r="13" spans="1:12" ht="27.75" customHeight="1" x14ac:dyDescent="0.2">
      <c r="A13" s="121"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$4-2,12)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$4-2,12)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$4-2,12)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$4-2,12)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$4-2,12)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$4-2,12)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$4-2,12)+1)),AND(FALSE(),MOD(MATCH(CALC_PlanetPositions!$B$14,{"Aries","Taurus","Gemini","Cancer","Leo","Virgo","Libra","Scorpio","Sagittarius","Capricorn","Aquarius","Pisces"},0)-MATCH(CALC_PlanetPositions!$B$7,{"Aries","Taurus","Gemini","Cancer","Leo","Virgo","Libra","Scorpio","Sagittarius","Capricorn","Aquarius","Pisces"},0),12)+1=(MOD(CALC_SuryaLagna!$F$4-2,12)+1)),AND(FALSE(),MOD(MATCH(CALC_PlanetPositions!$B$15,{"Aries","Taurus","Gemini","Cancer","Leo","Virgo","Libra","Scorpio","Sagittarius","Capricorn","Aquarius","Pisces"},0)-MATCH(CALC_PlanetPositions!$B$7,{"Aries","Taurus","Gemini","Cancer","Leo","Virgo","Libra","Scorpio","Sagittarius","Capricorn","Aquarius","Pisces"},0),12)+1=(MOD(CALC_SuryaLagna!$F$4-2,12)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$4,12)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$4,12)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$4,12)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$4,12)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$4,12)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$4,12)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$4,12)+1)),AND(FALSE(),MOD(MATCH(CALC_PlanetPositions!$B$14,{"Aries","Taurus","Gemini","Cancer","Leo","Virgo","Libra","Scorpio","Sagittarius","Capricorn","Aquarius","Pisces"},0)-MATCH(CALC_PlanetPositions!$B$7,{"Aries","Taurus","Gemini","Cancer","Leo","Virgo","Libra","Scorpio","Sagittarius","Capricorn","Aquarius","Pisces"},0),12)+1=(MOD(CALC_SuryaLagna!$F$4,12)+1)),AND(FALSE(),MOD(MATCH(CALC_PlanetPositions!$B$15,{"Aries","Taurus","Gemini","Cancer","Leo","Virgo","Libra","Scorpio","Sagittarius","Capricorn","Aquarius","Pisces"},0)-MATCH(CALC_PlanetPositions!$B$7,{"Aries","Taurus","Gemini","Cancer","Leo","Virgo","Libra","Scorpio","Sagittarius","Capricorn","Aquarius","Pisces"},0),12)+1=(MOD(CALC_SuryaLagna!$F$4,12)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1),AND(CALC_PlanetPositions!$M$8="Malefic",(MOD(MATCH(CALC_PlanetPositions!$B$8,{"Aries","Taurus","Gemini","Cancer","Leo","Virgo","Libra","Scorpio","Sagittarius","Capricorn","Aquarius","Pisces"},0)-MATCH(CALC_PlanetPositions!$B$7,{"Aries","Taurus","Gemini","Cancer","Leo","Virgo","Libra","Scorpio","Sagittarius","Capricorn","Aquarius","Pisces"},0),12)+1)=1),AND(CALC_PlanetPositions!$M$9="Malefic",(MOD(MATCH(CALC_PlanetPositions!$B$9,{"Aries","Taurus","Gemini","Cancer","Leo","Virgo","Libra","Scorpio","Sagittarius","Capricorn","Aquarius","Pisces"},0)-MATCH(CALC_PlanetPositions!$B$7,{"Aries","Taurus","Gemini","Cancer","Leo","Virgo","Libra","Scorpio","Sagittarius","Capricorn","Aquarius","Pisces"},0),12)+1)=1),AND(CALC_PlanetPositions!$M$10="Malefic",(MOD(MATCH(CALC_PlanetPositions!$B$10,{"Aries","Taurus","Gemini","Cancer","Leo","Virgo","Libra","Scorpio","Sagittarius","Capricorn","Aquarius","Pisces"},0)-MATCH(CALC_PlanetPositions!$B$7,{"Aries","Taurus","Gemini","Cancer","Leo","Virgo","Libra","Scorpio","Sagittarius","Capricorn","Aquarius","Pisces"},0),12)+1)=1),AND(CALC_PlanetPositions!$M$11="Malefic",(MOD(MATCH(CALC_PlanetPositions!$B$11,{"Aries","Taurus","Gemini","Cancer","Leo","Virgo","Libra","Scorpio","Sagittarius","Capricorn","Aquarius","Pisces"},0)-MATCH(CALC_PlanetPositions!$B$7,{"Aries","Taurus","Gemini","Cancer","Leo","Virgo","Libra","Scorpio","Sagittarius","Capricorn","Aquarius","Pisces"},0),12)+1)=1),AND(CALC_PlanetPositions!$M$12="Malefic",(MOD(MATCH(CALC_PlanetPositions!$B$12,{"Aries","Taurus","Gemini","Cancer","Leo","Virgo","Libra","Scorpio","Sagittarius","Capricorn","Aquarius","Pisces"},0)-MATCH(CALC_PlanetPositions!$B$7,{"Aries","Taurus","Gemini","Cancer","Leo","Virgo","Libra","Scorpio","Sagittarius","Capricorn","Aquarius","Pisces"},0),12)+1)=1),AND(CALC_PlanetPositions!$M$13="Malefic",(MOD(MATCH(CALC_PlanetPositions!$B$13,{"Aries","Taurus","Gemini","Cancer","Leo","Virgo","Libra","Scorpio","Sagittarius","Capricorn","Aquarius","Pisces"},0)-MATCH(CALC_PlanetPositions!$B$7,{"Aries","Taurus","Gemini","Cancer","Leo","Virgo","Libra","Scorpio","Sagittarius","Capricorn","Aquarius","Pisces"},0),12)+1)=1),AND(TRUE(),(MOD(MATCH(CALC_PlanetPositions!$B$14,{"Aries","Taurus","Gemini","Cancer","Leo","Virgo","Libra","Scorpio","Sagittarius","Capricorn","Aquarius","Pisces"},0)-MATCH(CALC_PlanetPositions!$B$7,{"Aries","Taurus","Gemini","Cancer","Leo","Virgo","Libra","Scorpio","Sagittarius","Capricorn","Aquarius","Pisces"},0),12)+1)=1),AND(TRUE(),(MOD(MATCH(CALC_PlanetPositions!$B$15,{"Aries","Taurus","Gemini","Cancer","Leo","Virgo","Libra","Scorpio","Sagittarius","Capricorn","Aquarius","Pisces"},0)-MATCH(CALC_PlanetPositions!$B$7,{"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1)),AND(CALC_PlanetPositions!$M$8="Malefic",INDEX(REF_Aspects!$D$5:$O$13,2,MOD(1-(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1)),AND(CALC_PlanetPositions!$M$9="Malefic",INDEX(REF_Aspects!$D$5:$O$13,3,MOD(1-(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1)),AND(CALC_PlanetPositions!$M$10="Malefic",INDEX(REF_Aspects!$D$5:$O$13,4,MOD(1-(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1)),AND(CALC_PlanetPositions!$M$11="Malefic",INDEX(REF_Aspects!$D$5:$O$13,5,MOD(1-(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1)),AND(CALC_PlanetPositions!$M$12="Malefic",INDEX(REF_Aspects!$D$5:$O$13,6,MOD(1-(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1)),AND(CALC_PlanetPositions!$M$13="Malefic",INDEX(REF_Aspects!$D$5:$O$13,7,MOD(1-(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1)),AND(TRUE(),INDEX(REF_Aspects!$D$5:$O$13,8,MOD(1-(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1)),AND(TRUE(),INDEX(REF_Aspects!$D$5:$O$13,9,MOD(1-(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(12)),AND(CALC_PlanetPositions!$M$8="Malefic",MOD(MATCH(CALC_PlanetPositions!$B$8,{"Aries","Taurus","Gemini","Cancer","Leo","Virgo","Libra","Scorpio","Sagittarius","Capricorn","Aquarius","Pisces"},0)-MATCH(CALC_PlanetPositions!$B$7,{"Aries","Taurus","Gemini","Cancer","Leo","Virgo","Libra","Scorpio","Sagittarius","Capricorn","Aquarius","Pisces"},0),12)+1=(12)),AND(CALC_PlanetPositions!$M$9="Malefic",MOD(MATCH(CALC_PlanetPositions!$B$9,{"Aries","Taurus","Gemini","Cancer","Leo","Virgo","Libra","Scorpio","Sagittarius","Capricorn","Aquarius","Pisces"},0)-MATCH(CALC_PlanetPositions!$B$7,{"Aries","Taurus","Gemini","Cancer","Leo","Virgo","Libra","Scorpio","Sagittarius","Capricorn","Aquarius","Pisces"},0),12)+1=(12)),AND(CALC_PlanetPositions!$M$10="Malefic",MOD(MATCH(CALC_PlanetPositions!$B$10,{"Aries","Taurus","Gemini","Cancer","Leo","Virgo","Libra","Scorpio","Sagittarius","Capricorn","Aquarius","Pisces"},0)-MATCH(CALC_PlanetPositions!$B$7,{"Aries","Taurus","Gemini","Cancer","Leo","Virgo","Libra","Scorpio","Sagittarius","Capricorn","Aquarius","Pisces"},0),12)+1=(12)),AND(CALC_PlanetPositions!$M$11="Malefic",MOD(MATCH(CALC_PlanetPositions!$B$11,{"Aries","Taurus","Gemini","Cancer","Leo","Virgo","Libra","Scorpio","Sagittarius","Capricorn","Aquarius","Pisces"},0)-MATCH(CALC_PlanetPositions!$B$7,{"Aries","Taurus","Gemini","Cancer","Leo","Virgo","Libra","Scorpio","Sagittarius","Capricorn","Aquarius","Pisces"},0),12)+1=(12)),AND(CALC_PlanetPositions!$M$12="Malefic",MOD(MATCH(CALC_PlanetPositions!$B$12,{"Aries","Taurus","Gemini","Cancer","Leo","Virgo","Libra","Scorpio","Sagittarius","Capricorn","Aquarius","Pisces"},0)-MATCH(CALC_PlanetPositions!$B$7,{"Aries","Taurus","Gemini","Cancer","Leo","Virgo","Libra","Scorpio","Sagittarius","Capricorn","Aquarius","Pisces"},0),12)+1=(12)),AND(CALC_PlanetPositions!$M$13="Malefic",MOD(MATCH(CALC_PlanetPositions!$B$13,{"Aries","Taurus","Gemini","Cancer","Leo","Virgo","Libra","Scorpio","Sagittarius","Capricorn","Aquarius","Pisces"},0)-MATCH(CALC_PlanetPositions!$B$7,{"Aries","Taurus","Gemini","Cancer","Leo","Virgo","Libra","Scorpio","Sagittarius","Capricorn","Aquarius","Pisces"},0),12)+1=(12)),AND(TRUE(),MOD(MATCH(CALC_PlanetPositions!$B$14,{"Aries","Taurus","Gemini","Cancer","Leo","Virgo","Libra","Scorpio","Sagittarius","Capricorn","Aquarius","Pisces"},0)-MATCH(CALC_PlanetPositions!$B$7,{"Aries","Taurus","Gemini","Cancer","Leo","Virgo","Libra","Scorpio","Sagittarius","Capricorn","Aquarius","Pisces"},0),12)+1=(12)),AND(TRUE(),MOD(MATCH(CALC_PlanetPositions!$B$15,{"Aries","Taurus","Gemini","Cancer","Leo","Virgo","Libra","Scorpio","Sagittarius","Capricorn","Aquarius","Pisces"},0)-MATCH(CALC_PlanetPositions!$B$7,{"Aries","Taurus","Gemini","Cancer","Leo","Virgo","Libra","Scorpio","Sagittarius","Capricorn","Aquarius","Pisces"},0),12)+1=(12))),OR(AND(CALC_PlanetPositions!$M$7="Malefic",MOD(MATCH(CALC_PlanetPositions!$B$7,{"Aries","Taurus","Gemini","Cancer","Leo","Virgo","Libra","Scorpio","Sagittarius","Capricorn","Aquarius","Pisces"},0)-MATCH(CALC_PlanetPositions!$B$7,{"Aries","Taurus","Gemini","Cancer","Leo","Virgo","Libra","Scorpio","Sagittarius","Capricorn","Aquarius","Pisces"},0),12)+1=(MOD(1,12)+1)),AND(CALC_PlanetPositions!$M$8="Malefic",MOD(MATCH(CALC_PlanetPositions!$B$8,{"Aries","Taurus","Gemini","Cancer","Leo","Virgo","Libra","Scorpio","Sagittarius","Capricorn","Aquarius","Pisces"},0)-MATCH(CALC_PlanetPositions!$B$7,{"Aries","Taurus","Gemini","Cancer","Leo","Virgo","Libra","Scorpio","Sagittarius","Capricorn","Aquarius","Pisces"},0),12)+1=(MOD(1,12)+1)),AND(CALC_PlanetPositions!$M$9="Malefic",MOD(MATCH(CALC_PlanetPositions!$B$9,{"Aries","Taurus","Gemini","Cancer","Leo","Virgo","Libra","Scorpio","Sagittarius","Capricorn","Aquarius","Pisces"},0)-MATCH(CALC_PlanetPositions!$B$7,{"Aries","Taurus","Gemini","Cancer","Leo","Virgo","Libra","Scorpio","Sagittarius","Capricorn","Aquarius","Pisces"},0),12)+1=(MOD(1,12)+1)),AND(CALC_PlanetPositions!$M$10="Malefic",MOD(MATCH(CALC_PlanetPositions!$B$10,{"Aries","Taurus","Gemini","Cancer","Leo","Virgo","Libra","Scorpio","Sagittarius","Capricorn","Aquarius","Pisces"},0)-MATCH(CALC_PlanetPositions!$B$7,{"Aries","Taurus","Gemini","Cancer","Leo","Virgo","Libra","Scorpio","Sagittarius","Capricorn","Aquarius","Pisces"},0),12)+1=(MOD(1,12)+1)),AND(CALC_PlanetPositions!$M$11="Malefic",MOD(MATCH(CALC_PlanetPositions!$B$11,{"Aries","Taurus","Gemini","Cancer","Leo","Virgo","Libra","Scorpio","Sagittarius","Capricorn","Aquarius","Pisces"},0)-MATCH(CALC_PlanetPositions!$B$7,{"Aries","Taurus","Gemini","Cancer","Leo","Virgo","Libra","Scorpio","Sagittarius","Capricorn","Aquarius","Pisces"},0),12)+1=(MOD(1,12)+1)),AND(CALC_PlanetPositions!$M$12="Malefic",MOD(MATCH(CALC_PlanetPositions!$B$12,{"Aries","Taurus","Gemini","Cancer","Leo","Virgo","Libra","Scorpio","Sagittarius","Capricorn","Aquarius","Pisces"},0)-MATCH(CALC_PlanetPositions!$B$7,{"Aries","Taurus","Gemini","Cancer","Leo","Virgo","Libra","Scorpio","Sagittarius","Capricorn","Aquarius","Pisces"},0),12)+1=(MOD(1,12)+1)),AND(CALC_PlanetPositions!$M$13="Malefic",MOD(MATCH(CALC_PlanetPositions!$B$13,{"Aries","Taurus","Gemini","Cancer","Leo","Virgo","Libra","Scorpio","Sagittarius","Capricorn","Aquarius","Pisces"},0)-MATCH(CALC_PlanetPositions!$B$7,{"Aries","Taurus","Gemini","Cancer","Leo","Virgo","Libra","Scorpio","Sagittarius","Capricorn","Aquarius","Pisces"},0),12)+1=(MOD(1,12)+1)),AND(TRUE(),MOD(MATCH(CALC_PlanetPositions!$B$14,{"Aries","Taurus","Gemini","Cancer","Leo","Virgo","Libra","Scorpio","Sagittarius","Capricorn","Aquarius","Pisces"},0)-MATCH(CALC_PlanetPositions!$B$7,{"Aries","Taurus","Gemini","Cancer","Leo","Virgo","Libra","Scorpio","Sagittarius","Capricorn","Aquarius","Pisces"},0),12)+1=(MOD(1,12)+1)),AND(TRUE(),MOD(MATCH(CALC_PlanetPositions!$B$15,{"Aries","Taurus","Gemini","Cancer","Leo","Virgo","Libra","Scorpio","Sagittarius","Capricorn","Aquarius","Pisces"},0)-MATCH(CALC_PlanetPositions!$B$7,{"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IFERROR((IFERROR(IF(OR(AND(CALC_PlanetPositions!$M$7="Malefic",INDEX(REF_Aspects!$D$5:$O$13,1,MOD(CALC_SuryaLagna!$F$4-(MOD(MATCH(CALC_PlanetPositions!$B$7,{"Aries","Taurus","Gemini","Cancer","Leo","Virgo","Libra","Scorpio","Sagittarius","Capricorn","Aquarius","Pisces"},0)-MATCH(CALC_PlanetPositions!$B$7,{"Aries","Taurus","Gemini","Cancer","Leo","Virgo","Libra","Scorpio","Sagittarius","Capricorn","Aquarius","Pisces"},0),12)+1),12)+1)="FULL",NOT(CALC_PlanetPositions!$B$7=CALC_SuryaLagna!$E$4)),AND(CALC_PlanetPositions!$M$8="Malefic",INDEX(REF_Aspects!$D$5:$O$13,2,MOD(CALC_SuryaLagna!$F$4-(MOD(MATCH(CALC_PlanetPositions!$B$8,{"Aries","Taurus","Gemini","Cancer","Leo","Virgo","Libra","Scorpio","Sagittarius","Capricorn","Aquarius","Pisces"},0)-MATCH(CALC_PlanetPositions!$B$7,{"Aries","Taurus","Gemini","Cancer","Leo","Virgo","Libra","Scorpio","Sagittarius","Capricorn","Aquarius","Pisces"},0),12)+1),12)+1)="FULL",NOT(CALC_PlanetPositions!$B$8=CALC_SuryaLagna!$E$4)),AND(CALC_PlanetPositions!$M$9="Malefic",INDEX(REF_Aspects!$D$5:$O$13,3,MOD(CALC_SuryaLagna!$F$4-(MOD(MATCH(CALC_PlanetPositions!$B$9,{"Aries","Taurus","Gemini","Cancer","Leo","Virgo","Libra","Scorpio","Sagittarius","Capricorn","Aquarius","Pisces"},0)-MATCH(CALC_PlanetPositions!$B$7,{"Aries","Taurus","Gemini","Cancer","Leo","Virgo","Libra","Scorpio","Sagittarius","Capricorn","Aquarius","Pisces"},0),12)+1),12)+1)="FULL",NOT(CALC_PlanetPositions!$B$9=CALC_SuryaLagna!$E$4)),AND(CALC_PlanetPositions!$M$10="Malefic",INDEX(REF_Aspects!$D$5:$O$13,4,MOD(CALC_SuryaLagna!$F$4-(MOD(MATCH(CALC_PlanetPositions!$B$10,{"Aries","Taurus","Gemini","Cancer","Leo","Virgo","Libra","Scorpio","Sagittarius","Capricorn","Aquarius","Pisces"},0)-MATCH(CALC_PlanetPositions!$B$7,{"Aries","Taurus","Gemini","Cancer","Leo","Virgo","Libra","Scorpio","Sagittarius","Capricorn","Aquarius","Pisces"},0),12)+1),12)+1)="FULL",NOT(CALC_PlanetPositions!$B$10=CALC_SuryaLagna!$E$4)),AND(CALC_PlanetPositions!$M$11="Malefic",INDEX(REF_Aspects!$D$5:$O$13,5,MOD(CALC_SuryaLagna!$F$4-(MOD(MATCH(CALC_PlanetPositions!$B$11,{"Aries","Taurus","Gemini","Cancer","Leo","Virgo","Libra","Scorpio","Sagittarius","Capricorn","Aquarius","Pisces"},0)-MATCH(CALC_PlanetPositions!$B$7,{"Aries","Taurus","Gemini","Cancer","Leo","Virgo","Libra","Scorpio","Sagittarius","Capricorn","Aquarius","Pisces"},0),12)+1),12)+1)="FULL",NOT(CALC_PlanetPositions!$B$11=CALC_SuryaLagna!$E$4)),AND(CALC_PlanetPositions!$M$12="Malefic",INDEX(REF_Aspects!$D$5:$O$13,6,MOD(CALC_SuryaLagna!$F$4-(MOD(MATCH(CALC_PlanetPositions!$B$12,{"Aries","Taurus","Gemini","Cancer","Leo","Virgo","Libra","Scorpio","Sagittarius","Capricorn","Aquarius","Pisces"},0)-MATCH(CALC_PlanetPositions!$B$7,{"Aries","Taurus","Gemini","Cancer","Leo","Virgo","Libra","Scorpio","Sagittarius","Capricorn","Aquarius","Pisces"},0),12)+1),12)+1)="FULL",NOT(CALC_PlanetPositions!$B$12=CALC_SuryaLagna!$E$4)),AND(CALC_PlanetPositions!$M$13="Malefic",INDEX(REF_Aspects!$D$5:$O$13,7,MOD(CALC_SuryaLagna!$F$4-(MOD(MATCH(CALC_PlanetPositions!$B$13,{"Aries","Taurus","Gemini","Cancer","Leo","Virgo","Libra","Scorpio","Sagittarius","Capricorn","Aquarius","Pisces"},0)-MATCH(CALC_PlanetPositions!$B$7,{"Aries","Taurus","Gemini","Cancer","Leo","Virgo","Libra","Scorpio","Sagittarius","Capricorn","Aquarius","Pisces"},0),12)+1),12)+1)="FULL",NOT(CALC_PlanetPositions!$B$13=CALC_SuryaLagna!$E$4)),AND(TRUE(),INDEX(REF_Aspects!$D$5:$O$13,8,MOD(CALC_SuryaLagna!$F$4-(MOD(MATCH(CALC_PlanetPositions!$B$14,{"Aries","Taurus","Gemini","Cancer","Leo","Virgo","Libra","Scorpio","Sagittarius","Capricorn","Aquarius","Pisces"},0)-MATCH(CALC_PlanetPositions!$B$7,{"Aries","Taurus","Gemini","Cancer","Leo","Virgo","Libra","Scorpio","Sagittarius","Capricorn","Aquarius","Pisces"},0),12)+1),12)+1)="FULL",NOT(CALC_PlanetPositions!$B$14=CALC_SuryaLagna!$E$4)),AND(TRUE(),INDEX(REF_Aspects!$D$5:$O$13,9,MOD(CALC_SuryaLagna!$F$4-(MOD(MATCH(CALC_PlanetPositions!$B$15,{"Aries","Taurus","Gemini","Cancer","Leo","Virgo","Libra","Scorpio","Sagittarius","Capricorn","Aquarius","Pisces"},0)-MATCH(CALC_PlanetPositions!$B$7,{"Aries","Taurus","Gemini","Cancer","Leo","Virgo","Libra","Scorpio","Sagittarius","Capricorn","Aquarius","Pisces"},0),12)+1),12)+1)="FULL",NOT(CALC_PlanetPositions!$B$15=CALC_SuryaLagna!$E$4))),1,0),0))*-0.5,0)</f>
        <v>-0.5</v>
      </c>
      <c r="D21" s="403" t="s">
        <v>4634</v>
      </c>
    </row>
    <row r="22" spans="1:7" ht="27.75" customHeight="1" x14ac:dyDescent="0.2">
      <c r="A22" s="121" t="s">
        <v>4635</v>
      </c>
      <c r="B22" s="357" t="s">
        <v>3042</v>
      </c>
      <c r="C22" s="1117">
        <f>IFERROR((IFERROR(IF(CALC_SuryaLagna!$I$4="Yes",1,0),0))*IF(REF_Config!$B$6="KP",-1.75,IF(REF_Config!$B$6="Jaimini",-2,-2)),0)</f>
        <v>0</v>
      </c>
      <c r="D22" s="400" t="s">
        <v>4636</v>
      </c>
    </row>
    <row r="23" spans="1:7" ht="27.75" customHeight="1" x14ac:dyDescent="0.2">
      <c r="A23" s="121" t="s">
        <v>4637</v>
      </c>
      <c r="B23" s="203" t="s">
        <v>3059</v>
      </c>
      <c r="C23" s="1118">
        <f>IFERROR((IFERROR(IF(OR(AND(CALC_SuryaLagna!$E$9=CALC_SuryaLagna!$E$4,CALC_SuryaLagna!$D$9&lt;&gt;CALC_SuryaLagna!$D$4),AND(CALC_SuryaLagna!$E$11=CALC_SuryaLagna!$E$4,CALC_SuryaLagna!$D$11&lt;&gt;CALC_SuryaLagna!$D$4),AND(CALC_SuryaLagna!$E$15=CALC_SuryaLagna!$E$4,CALC_SuryaLagna!$D$15&lt;&gt;CALC_SuryaLagna!$D$4)),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IFERROR(IF(OR(CALC_SuryaLagna!$D$4="Sun",CALC_SuryaLagna!$D$4="Rahu",CALC_SuryaLagna!$D$4="Ketu"),0,IF(CALC_SuryaLagna!$D$4="Moon",IF(CALC_CombustionCheck!$G$4="Cazimi ✓",0.5,IF(CALC_CombustionCheck!$F$4="COMBUST ⚠",-1,0)),IF(CALC_SuryaLagna!$D$4="Mars",IF(CALC_CombustionCheck!$G$5="Cazimi ✓",0.5,IF(AND(CALC_CombustionCheck!$F$5="COMBUST ⚠",CALC_RetrogradeFix!$F$6="Rx ✓"),-0.5,IF(CALC_CombustionCheck!$F$5="COMBUST ⚠",-1,0))),IF(CALC_SuryaLagna!$D$4="Mercury",IF(CALC_CombustionCheck!$G$6="Cazimi ✓",0.5,IF(AND(CALC_CombustionCheck!$F$6="COMBUST ⚠",CALC_RetrogradeFix!$F$7="Rx ✓"),-0.5,IF(CALC_CombustionCheck!$F$6="COMBUST ⚠",-1,0))),IF(CALC_SuryaLagna!$D$4="Jupiter",IF(CALC_CombustionCheck!$G$7="Cazimi ✓",0.5,IF(AND(CALC_CombustionCheck!$F$7="COMBUST ⚠",CALC_RetrogradeFix!$F$8="Rx ✓"),-0.5,IF(CALC_CombustionCheck!$F$7="COMBUST ⚠",-1,0))),IF(CALC_SuryaLagna!$D$4="Venus",IF(CALC_CombustionCheck!$G$8="Cazimi ✓",0.5,IF(AND(CALC_CombustionCheck!$F$8="COMBUST ⚠",CALC_RetrogradeFix!$F$9="Rx ✓"),-0.5,IF(CALC_CombustionCheck!$F$8="COMBUST ⚠",-1,0))),IF(CALC_SuryaLagna!$D$4="Saturn",IF(CALC_CombustionCheck!$G$9="Cazimi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SuryaLagna!$D$4="Rahu",CALC_SuryaLagna!$D$4="Ketu"),0,IF(ISNUMBER(MATCH(CALC_SuryaLagna!$D$4,{"Sun","Moon","Mars","Mercury","Jupiter","Venus","Saturn"},0)),IF(INDEX(CALC_DigBala!$F$4:$F$10,MATCH(CALC_SuryaLagna!$D$4,{"Sun","Moon","Mars","Mercury","Jupiter","Venus","Saturn"},0))="Yes",0.5,0),0)),0)</f>
        <v>0</v>
      </c>
      <c r="D28" s="400" t="s">
        <v>4647</v>
      </c>
    </row>
    <row r="29" spans="1:7" ht="27.75" customHeight="1" x14ac:dyDescent="0.2">
      <c r="A29" s="1120" t="s">
        <v>4648</v>
      </c>
      <c r="B29" s="296" t="s">
        <v>3372</v>
      </c>
      <c r="C29" s="1117">
        <f>IFERROR(IF(COUNTIFS(REF_PushkaraNavamsha!$A$4:$A$27,CALC_SuryaLagna!$E$4,REF_PushkaraNavamsha!$B$4:$B$27,INDEX(CALC_PlanetPositions!$G$7:$G$15,MATCH(CALC_SuryaLagna!$D$4,CALC_PlanetPositions!$A$7:$A$15,0)))&gt;0,0.5,0),0)</f>
        <v>0.5</v>
      </c>
      <c r="D29" s="400" t="s">
        <v>4649</v>
      </c>
    </row>
    <row r="30" spans="1:7" ht="25.5" customHeight="1" x14ac:dyDescent="0.2">
      <c r="A30" s="147" t="s">
        <v>4650</v>
      </c>
      <c r="B30" s="1121" t="s">
        <v>4651</v>
      </c>
      <c r="C30" s="1122">
        <f>IFERROR(IF(ISNUMBER(MATCH(CALC_SuryaLagna!$D$4,{"Sun","Moon","Mars","Mercury","Jupiter","Venus","Saturn"},0)),INDEX(CALC_RetrogradeFix!$G$4:$G$10,MATCH(CALC_SuryaLagna!$D$4,{"Sun","Moon","Mars","Mercury","Jupiter","Venus","Saturn"},0)),0),0)</f>
        <v>0</v>
      </c>
      <c r="D30" s="1123" t="s">
        <v>4652</v>
      </c>
    </row>
    <row r="31" spans="1:7" ht="18" customHeight="1" x14ac:dyDescent="0.2">
      <c r="A31" s="1555" t="s">
        <v>4653</v>
      </c>
      <c r="B31" s="1555"/>
      <c r="C31" s="1555"/>
      <c r="D31" s="1555"/>
      <c r="E31" s="1124" t="s">
        <v>4654</v>
      </c>
      <c r="F31" s="1125">
        <f>IFERROR(IF(CALC_Ashtakavarga!B$12&gt;28,0.5,IF(CALC_Ashtakavarga!B$12&lt;22,-0.5,0)),0)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4</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2.5</v>
      </c>
      <c r="D37" s="1129"/>
    </row>
    <row r="38" spans="1:4" ht="21.75" customHeight="1" x14ac:dyDescent="0.2">
      <c r="A38" s="89" t="s">
        <v>4661</v>
      </c>
      <c r="B38" s="1129"/>
      <c r="C38" s="1131">
        <f>IFERROR(MAX(-10,MIN(10,C37)),0)</f>
        <v>2.5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IFERROR(MAX(-10,MIN(10,C38+C39+C41)),0)</f>
        <v>2.6</v>
      </c>
      <c r="D40" s="1136" t="str">
        <f>IFERROR(IF(C40&gt;=7,"Excellent — Self domain very strong",IF(C40&gt;=4,"Good — Self domain strong",IF(C40&gt;=1,"Moderate",IF(C40&gt;=-2,"Mixed — Self has challenges",IF(C40&gt;=-5,"Weak","Very weak — Self heavily afflicted"))))),"—")</f>
        <v>Moderate</v>
      </c>
    </row>
    <row r="41" spans="1:4" ht="18" customHeight="1" x14ac:dyDescent="0.2">
      <c r="A41" s="622" t="s">
        <v>4677</v>
      </c>
      <c r="B41" s="904" t="s">
        <v>4705</v>
      </c>
      <c r="C41" s="1160">
        <v>0.1</v>
      </c>
      <c r="D41" s="550" t="s">
        <v>4706</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4707</v>
      </c>
      <c r="B1" s="1518"/>
      <c r="C1" s="1518"/>
      <c r="D1" s="1518"/>
      <c r="L1" s="544" t="s">
        <v>2214</v>
      </c>
    </row>
    <row r="2" spans="1:12" ht="19.5" customHeight="1" x14ac:dyDescent="0.2">
      <c r="A2" s="1595" t="str">
        <f>IFERROR("Surya Lagna: "&amp;CALC_PlanetPositions!$B$7&amp;"  ·  H2 sign: "&amp;CALC_SuryaLagna!$C$5,"—")</f>
        <v>Surya Lagna: Cancer  ·  H2 sign: Leo</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0" t="s">
        <v>4605</v>
      </c>
      <c r="B5" s="357" t="s">
        <v>4529</v>
      </c>
      <c r="C5" s="1117">
        <f>IFERROR((IFERROR(IF(INDEX(REF_Zodiac!$D$17:$O$17,MATCH(CALC_SuryaLagna!$C$5,REF_Zodiac!$D$3:$O$3,0))="Gentle",1,0),0))*0.5,0)</f>
        <v>0</v>
      </c>
      <c r="D5" s="400" t="s">
        <v>4606</v>
      </c>
    </row>
    <row r="6" spans="1:12" ht="27.75" customHeight="1" x14ac:dyDescent="0.2">
      <c r="A6" s="120"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20" t="s">
        <v>4609</v>
      </c>
      <c r="B7" s="357" t="s">
        <v>4534</v>
      </c>
      <c r="C7" s="1117">
        <f>IFERROR((IFERROR(IF(OR(AND(OR(CALC_PlanetPositions!$M$7="Benefic",CALC_PlanetPositions!$M$7="Yogakaraka"),INDEX(REF_Aspects!$D$5:$O$13,1,MOD(2-(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2)),AND(OR(CALC_PlanetPositions!$M$8="Benefic",CALC_PlanetPositions!$M$8="Yogakaraka"),INDEX(REF_Aspects!$D$5:$O$13,2,MOD(2-(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2)),AND(OR(CALC_PlanetPositions!$M$9="Benefic",CALC_PlanetPositions!$M$9="Yogakaraka"),INDEX(REF_Aspects!$D$5:$O$13,3,MOD(2-(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2)),AND(OR(CALC_PlanetPositions!$M$10="Benefic",CALC_PlanetPositions!$M$10="Yogakaraka"),INDEX(REF_Aspects!$D$5:$O$13,4,MOD(2-(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2)),AND(OR(CALC_PlanetPositions!$M$11="Benefic",CALC_PlanetPositions!$M$11="Yogakaraka"),INDEX(REF_Aspects!$D$5:$O$13,5,MOD(2-(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2)),AND(OR(CALC_PlanetPositions!$M$12="Benefic",CALC_PlanetPositions!$M$12="Yogakaraka"),INDEX(REF_Aspects!$D$5:$O$13,6,MOD(2-(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2)),AND(OR(CALC_PlanetPositions!$M$13="Benefic",CALC_PlanetPositions!$M$13="Yogakaraka"),INDEX(REF_Aspects!$D$5:$O$13,7,MOD(2-(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2)),AND(FALSE(),INDEX(REF_Aspects!$D$5:$O$13,8,MOD(2-(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2)),AND(FALSE(),INDEX(REF_Aspects!$D$5:$O$13,9,MOD(2-(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2))),1,0),0))*IF(REF_Config!$B$6="KP",0.5,IF(REF_Config!$B$6="Jaimini",0.75,0.75)),0)</f>
        <v>0</v>
      </c>
      <c r="D7" s="400" t="s">
        <v>4610</v>
      </c>
    </row>
    <row r="8" spans="1:12" ht="15.75" customHeight="1" x14ac:dyDescent="0.2">
      <c r="A8" s="1597" t="s">
        <v>3372</v>
      </c>
      <c r="B8" s="1597"/>
      <c r="C8" s="1597"/>
      <c r="D8" s="1597"/>
    </row>
    <row r="9" spans="1:12" ht="27.75" customHeight="1" x14ac:dyDescent="0.2">
      <c r="A9" s="120" t="s">
        <v>4611</v>
      </c>
      <c r="B9" s="203" t="s">
        <v>4537</v>
      </c>
      <c r="C9" s="1118">
        <f>IFERROR(IF(AND(OR(CALC_SuryaLagna!$G$5="Yes",CALC_SuryaLagna!$H$5="Yes"),NOT(CALC_SuryaLagna!$I$5="Yes")),1,0)*IF(REF_Config!$B$6="KP",1.5,IF(REF_Config!$B$6="Jaimini",1.5,2)),0)</f>
        <v>2</v>
      </c>
      <c r="D9" s="403" t="s">
        <v>4612</v>
      </c>
    </row>
    <row r="10" spans="1:12" ht="27.75" customHeight="1" x14ac:dyDescent="0.2">
      <c r="A10" s="120" t="s">
        <v>4613</v>
      </c>
      <c r="B10" s="357" t="s">
        <v>3093</v>
      </c>
      <c r="C10" s="1117">
        <f>IFERROR((IFERROR(IF(OR(AND(CALC_SuryaLagna!$E$4=CALC_SuryaLagna!$E$5,CALC_SuryaLagna!$D$4&lt;&gt;CALC_SuryaLagna!$D$5),AND(CALC_SuryaLagna!$E$7=CALC_SuryaLagna!$E$5,CALC_SuryaLagna!$D$7&lt;&gt;CALC_SuryaLagna!$D$5),AND(CALC_SuryaLagna!$E$8=CALC_SuryaLagna!$E$5,CALC_SuryaLagna!$D$8&lt;&gt;CALC_SuryaLagna!$D$5),AND(CALC_SuryaLagna!$E$10=CALC_SuryaLagna!$E$5,CALC_SuryaLagna!$D$10&lt;&gt;CALC_SuryaLagna!$D$5),AND(CALC_SuryaLagna!$E$12=CALC_SuryaLagna!$E$5,CALC_SuryaLagna!$D$12&lt;&gt;CALC_SuryaLagna!$D$5),AND(CALC_SuryaLagna!$E$13=CALC_SuryaLagna!$E$5,CALC_SuryaLagna!$D$13&lt;&gt;CALC_SuryaLagna!$D$5)),1,0),0))*0.5,0)</f>
        <v>0.5</v>
      </c>
      <c r="D10" s="400" t="s">
        <v>4614</v>
      </c>
    </row>
    <row r="11" spans="1:12" ht="27.75" customHeight="1" x14ac:dyDescent="0.2">
      <c r="A11" s="120" t="s">
        <v>4615</v>
      </c>
      <c r="B11" s="203" t="s">
        <v>4540</v>
      </c>
      <c r="C11" s="1118">
        <f>IFERROR((IFERROR(IF(OR(AND(OR(CALC_PlanetPositions!$M$7="Benefic",CALC_PlanetPositions!$M$7="Yogakaraka"),CALC_PlanetPositions!$B$7=CALC_SuryaLagna!$E$5,CALC_SuryaLagna!$D$5&lt;&gt;"Sun"),AND(OR(CALC_PlanetPositions!$M$8="Benefic",CALC_PlanetPositions!$M$8="Yogakaraka"),CALC_PlanetPositions!$B$8=CALC_SuryaLagna!$E$5,CALC_SuryaLagna!$D$5&lt;&gt;"Moon"),AND(OR(CALC_PlanetPositions!$M$9="Benefic",CALC_PlanetPositions!$M$9="Yogakaraka"),CALC_PlanetPositions!$B$9=CALC_SuryaLagna!$E$5,CALC_SuryaLagna!$D$5&lt;&gt;"Mars"),AND(OR(CALC_PlanetPositions!$M$10="Benefic",CALC_PlanetPositions!$M$10="Yogakaraka"),CALC_PlanetPositions!$B$10=CALC_SuryaLagna!$E$5,CALC_SuryaLagna!$D$5&lt;&gt;"Mercury"),AND(OR(CALC_PlanetPositions!$M$11="Benefic",CALC_PlanetPositions!$M$11="Yogakaraka"),CALC_PlanetPositions!$B$11=CALC_SuryaLagna!$E$5,CALC_SuryaLagna!$D$5&lt;&gt;"Jupiter"),AND(OR(CALC_PlanetPositions!$M$12="Benefic",CALC_PlanetPositions!$M$12="Yogakaraka"),CALC_PlanetPositions!$B$12=CALC_SuryaLagna!$E$5,CALC_SuryaLagna!$D$5&lt;&gt;"Venus"),AND(OR(CALC_PlanetPositions!$M$13="Benefic",CALC_PlanetPositions!$M$13="Yogakaraka"),CALC_PlanetPositions!$B$13=CALC_SuryaLagna!$E$5,CALC_SuryaLagna!$D$5&lt;&gt;"Saturn")),1,0),0))*IF(OR(AND(CALC_PlanetPositions!$M$7="Yogakaraka",CALC_PlanetPositions!$B$7=CALC_SuryaLagna!$E$5,CALC_SuryaLagna!$D$5&lt;&gt;"Sun"),AND(CALC_PlanetPositions!$M$8="Yogakaraka",CALC_PlanetPositions!$B$8=CALC_SuryaLagna!$E$5,CALC_SuryaLagna!$D$5&lt;&gt;"Moon"),AND(CALC_PlanetPositions!$M$9="Yogakaraka",CALC_PlanetPositions!$B$9=CALC_SuryaLagna!$E$5,CALC_SuryaLagna!$D$5&lt;&gt;"Mars"),AND(CALC_PlanetPositions!$M$10="Yogakaraka",CALC_PlanetPositions!$B$10=CALC_SuryaLagna!$E$5,CALC_SuryaLagna!$D$5&lt;&gt;"Mercury"),AND(CALC_PlanetPositions!$M$11="Yogakaraka",CALC_PlanetPositions!$B$11=CALC_SuryaLagna!$E$5,CALC_SuryaLagna!$D$5&lt;&gt;"Jupiter"),AND(CALC_PlanetPositions!$M$12="Yogakaraka",CALC_PlanetPositions!$B$12=CALC_SuryaLagna!$E$5,CALC_SuryaLagna!$D$5&lt;&gt;"Venus"),AND(CALC_PlanetPositions!$M$13="Yogakaraka",CALC_PlanetPositions!$B$13=CALC_SuryaLagna!$E$5,CALC_SuryaLagna!$D$5&lt;&gt;"Saturn")),1.5,1),0)</f>
        <v>1.5</v>
      </c>
      <c r="D11" s="403" t="s">
        <v>4616</v>
      </c>
    </row>
    <row r="12" spans="1:12" ht="27.75" customHeight="1" x14ac:dyDescent="0.2">
      <c r="A12" s="120" t="s">
        <v>4617</v>
      </c>
      <c r="B12" s="357" t="s">
        <v>4542</v>
      </c>
      <c r="C12" s="1117">
        <f>IFERROR((IFERROR(IF(OR(AND(OR(CALC_PlanetPositions!$M$7="Benefic",CALC_PlanetPositions!$M$7="Yogakaraka"),INDEX(REF_Aspects!$D$5:$O$13,1,MOD(CALC_SuryaLagna!$F$5-(MOD(MATCH(CALC_PlanetPositions!$B$7,{"Aries","Taurus","Gemini","Cancer","Leo","Virgo","Libra","Scorpio","Sagittarius","Capricorn","Aquarius","Pisces"},0)-MATCH(CALC_PlanetPositions!$B$7,{"Aries","Taurus","Gemini","Cancer","Leo","Virgo","Libra","Scorpio","Sagittarius","Capricorn","Aquarius","Pisces"},0),12)+1),12)+1)="FULL",NOT(CALC_PlanetPositions!$B$7=CALC_SuryaLagna!$E$5)),AND(OR(CALC_PlanetPositions!$M$8="Benefic",CALC_PlanetPositions!$M$8="Yogakaraka"),INDEX(REF_Aspects!$D$5:$O$13,2,MOD(CALC_SuryaLagna!$F$5-(MOD(MATCH(CALC_PlanetPositions!$B$8,{"Aries","Taurus","Gemini","Cancer","Leo","Virgo","Libra","Scorpio","Sagittarius","Capricorn","Aquarius","Pisces"},0)-MATCH(CALC_PlanetPositions!$B$7,{"Aries","Taurus","Gemini","Cancer","Leo","Virgo","Libra","Scorpio","Sagittarius","Capricorn","Aquarius","Pisces"},0),12)+1),12)+1)="FULL",NOT(CALC_PlanetPositions!$B$8=CALC_SuryaLagna!$E$5)),AND(OR(CALC_PlanetPositions!$M$9="Benefic",CALC_PlanetPositions!$M$9="Yogakaraka"),INDEX(REF_Aspects!$D$5:$O$13,3,MOD(CALC_SuryaLagna!$F$5-(MOD(MATCH(CALC_PlanetPositions!$B$9,{"Aries","Taurus","Gemini","Cancer","Leo","Virgo","Libra","Scorpio","Sagittarius","Capricorn","Aquarius","Pisces"},0)-MATCH(CALC_PlanetPositions!$B$7,{"Aries","Taurus","Gemini","Cancer","Leo","Virgo","Libra","Scorpio","Sagittarius","Capricorn","Aquarius","Pisces"},0),12)+1),12)+1)="FULL",NOT(CALC_PlanetPositions!$B$9=CALC_SuryaLagna!$E$5)),AND(OR(CALC_PlanetPositions!$M$10="Benefic",CALC_PlanetPositions!$M$10="Yogakaraka"),INDEX(REF_Aspects!$D$5:$O$13,4,MOD(CALC_SuryaLagna!$F$5-(MOD(MATCH(CALC_PlanetPositions!$B$10,{"Aries","Taurus","Gemini","Cancer","Leo","Virgo","Libra","Scorpio","Sagittarius","Capricorn","Aquarius","Pisces"},0)-MATCH(CALC_PlanetPositions!$B$7,{"Aries","Taurus","Gemini","Cancer","Leo","Virgo","Libra","Scorpio","Sagittarius","Capricorn","Aquarius","Pisces"},0),12)+1),12)+1)="FULL",NOT(CALC_PlanetPositions!$B$10=CALC_SuryaLagna!$E$5)),AND(OR(CALC_PlanetPositions!$M$11="Benefic",CALC_PlanetPositions!$M$11="Yogakaraka"),INDEX(REF_Aspects!$D$5:$O$13,5,MOD(CALC_SuryaLagna!$F$5-(MOD(MATCH(CALC_PlanetPositions!$B$11,{"Aries","Taurus","Gemini","Cancer","Leo","Virgo","Libra","Scorpio","Sagittarius","Capricorn","Aquarius","Pisces"},0)-MATCH(CALC_PlanetPositions!$B$7,{"Aries","Taurus","Gemini","Cancer","Leo","Virgo","Libra","Scorpio","Sagittarius","Capricorn","Aquarius","Pisces"},0),12)+1),12)+1)="FULL",NOT(CALC_PlanetPositions!$B$11=CALC_SuryaLagna!$E$5)),AND(OR(CALC_PlanetPositions!$M$12="Benefic",CALC_PlanetPositions!$M$12="Yogakaraka"),INDEX(REF_Aspects!$D$5:$O$13,6,MOD(CALC_SuryaLagna!$F$5-(MOD(MATCH(CALC_PlanetPositions!$B$12,{"Aries","Taurus","Gemini","Cancer","Leo","Virgo","Libra","Scorpio","Sagittarius","Capricorn","Aquarius","Pisces"},0)-MATCH(CALC_PlanetPositions!$B$7,{"Aries","Taurus","Gemini","Cancer","Leo","Virgo","Libra","Scorpio","Sagittarius","Capricorn","Aquarius","Pisces"},0),12)+1),12)+1)="FULL",NOT(CALC_PlanetPositions!$B$12=CALC_SuryaLagna!$E$5)),AND(OR(CALC_PlanetPositions!$M$13="Benefic",CALC_PlanetPositions!$M$13="Yogakaraka"),INDEX(REF_Aspects!$D$5:$O$13,7,MOD(CALC_SuryaLagna!$F$5-(MOD(MATCH(CALC_PlanetPositions!$B$13,{"Aries","Taurus","Gemini","Cancer","Leo","Virgo","Libra","Scorpio","Sagittarius","Capricorn","Aquarius","Pisces"},0)-MATCH(CALC_PlanetPositions!$B$7,{"Aries","Taurus","Gemini","Cancer","Leo","Virgo","Libra","Scorpio","Sagittarius","Capricorn","Aquarius","Pisces"},0),12)+1),12)+1)="FULL",NOT(CALC_PlanetPositions!$B$13=CALC_SuryaLagna!$E$5)),AND(FALSE(),INDEX(REF_Aspects!$D$5:$O$13,8,MOD(CALC_SuryaLagna!$F$5-(MOD(MATCH(CALC_PlanetPositions!$B$14,{"Aries","Taurus","Gemini","Cancer","Leo","Virgo","Libra","Scorpio","Sagittarius","Capricorn","Aquarius","Pisces"},0)-MATCH(CALC_PlanetPositions!$B$7,{"Aries","Taurus","Gemini","Cancer","Leo","Virgo","Libra","Scorpio","Sagittarius","Capricorn","Aquarius","Pisces"},0),12)+1),12)+1)="FULL",NOT(CALC_PlanetPositions!$B$14=CALC_SuryaLagna!$E$5)),AND(FALSE(),INDEX(REF_Aspects!$D$5:$O$13,9,MOD(CALC_SuryaLagna!$F$5-(MOD(MATCH(CALC_PlanetPositions!$B$15,{"Aries","Taurus","Gemini","Cancer","Leo","Virgo","Libra","Scorpio","Sagittarius","Capricorn","Aquarius","Pisces"},0)-MATCH(CALC_PlanetPositions!$B$7,{"Aries","Taurus","Gemini","Cancer","Leo","Virgo","Libra","Scorpio","Sagittarius","Capricorn","Aquarius","Pisces"},0),12)+1),12)+1)="FULL",NOT(CALC_PlanetPositions!$B$15=CALC_SuryaLagna!$E$5))),1,0),0))*0.5,0)</f>
        <v>0</v>
      </c>
      <c r="D12" s="400" t="s">
        <v>4618</v>
      </c>
    </row>
    <row r="13" spans="1:12" ht="27.75" customHeight="1" x14ac:dyDescent="0.2">
      <c r="A13" s="120"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$5-2,12)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$5-2,12)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$5-2,12)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$5-2,12)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$5-2,12)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$5-2,12)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$5-2,12)+1)),AND(FALSE(),MOD(MATCH(CALC_PlanetPositions!$B$14,{"Aries","Taurus","Gemini","Cancer","Leo","Virgo","Libra","Scorpio","Sagittarius","Capricorn","Aquarius","Pisces"},0)-MATCH(CALC_PlanetPositions!$B$7,{"Aries","Taurus","Gemini","Cancer","Leo","Virgo","Libra","Scorpio","Sagittarius","Capricorn","Aquarius","Pisces"},0),12)+1=(MOD(CALC_SuryaLagna!$F$5-2,12)+1)),AND(FALSE(),MOD(MATCH(CALC_PlanetPositions!$B$15,{"Aries","Taurus","Gemini","Cancer","Leo","Virgo","Libra","Scorpio","Sagittarius","Capricorn","Aquarius","Pisces"},0)-MATCH(CALC_PlanetPositions!$B$7,{"Aries","Taurus","Gemini","Cancer","Leo","Virgo","Libra","Scorpio","Sagittarius","Capricorn","Aquarius","Pisces"},0),12)+1=(MOD(CALC_SuryaLagna!$F$5-2,12)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$5,12)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$5,12)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$5,12)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$5,12)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$5,12)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$5,12)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$5,12)+1)),AND(FALSE(),MOD(MATCH(CALC_PlanetPositions!$B$14,{"Aries","Taurus","Gemini","Cancer","Leo","Virgo","Libra","Scorpio","Sagittarius","Capricorn","Aquarius","Pisces"},0)-MATCH(CALC_PlanetPositions!$B$7,{"Aries","Taurus","Gemini","Cancer","Leo","Virgo","Libra","Scorpio","Sagittarius","Capricorn","Aquarius","Pisces"},0),12)+1=(MOD(CALC_SuryaLagna!$F$5,12)+1)),AND(FALSE(),MOD(MATCH(CALC_PlanetPositions!$B$15,{"Aries","Taurus","Gemini","Cancer","Leo","Virgo","Libra","Scorpio","Sagittarius","Capricorn","Aquarius","Pisces"},0)-MATCH(CALC_PlanetPositions!$B$7,{"Aries","Taurus","Gemini","Cancer","Leo","Virgo","Libra","Scorpio","Sagittarius","Capricorn","Aquarius","Pisces"},0),12)+1=(MOD(CALC_SuryaLagna!$F$5,12)+1)))),1,0),0))*IF(REF_Config!$B$6="KP",0.75,IF(REF_Config!$B$6="Jaimini",0.5,0.75)),0)</f>
        <v>0</v>
      </c>
      <c r="D13" s="403" t="s">
        <v>4620</v>
      </c>
    </row>
    <row r="14" spans="1:12" ht="15.75" customHeight="1" x14ac:dyDescent="0.2">
      <c r="A14" s="1598" t="s">
        <v>4621</v>
      </c>
      <c r="B14" s="1598"/>
      <c r="C14" s="1598"/>
      <c r="D14" s="1598"/>
    </row>
    <row r="15" spans="1:12" ht="27.75" customHeight="1" x14ac:dyDescent="0.2">
      <c r="A15" s="120"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2),AND(CALC_PlanetPositions!$M$8="Malefic",(MOD(MATCH(CALC_PlanetPositions!$B$8,{"Aries","Taurus","Gemini","Cancer","Leo","Virgo","Libra","Scorpio","Sagittarius","Capricorn","Aquarius","Pisces"},0)-MATCH(CALC_PlanetPositions!$B$7,{"Aries","Taurus","Gemini","Cancer","Leo","Virgo","Libra","Scorpio","Sagittarius","Capricorn","Aquarius","Pisces"},0),12)+1)=2),AND(CALC_PlanetPositions!$M$9="Malefic",(MOD(MATCH(CALC_PlanetPositions!$B$9,{"Aries","Taurus","Gemini","Cancer","Leo","Virgo","Libra","Scorpio","Sagittarius","Capricorn","Aquarius","Pisces"},0)-MATCH(CALC_PlanetPositions!$B$7,{"Aries","Taurus","Gemini","Cancer","Leo","Virgo","Libra","Scorpio","Sagittarius","Capricorn","Aquarius","Pisces"},0),12)+1)=2),AND(CALC_PlanetPositions!$M$10="Malefic",(MOD(MATCH(CALC_PlanetPositions!$B$10,{"Aries","Taurus","Gemini","Cancer","Leo","Virgo","Libra","Scorpio","Sagittarius","Capricorn","Aquarius","Pisces"},0)-MATCH(CALC_PlanetPositions!$B$7,{"Aries","Taurus","Gemini","Cancer","Leo","Virgo","Libra","Scorpio","Sagittarius","Capricorn","Aquarius","Pisces"},0),12)+1)=2),AND(CALC_PlanetPositions!$M$11="Malefic",(MOD(MATCH(CALC_PlanetPositions!$B$11,{"Aries","Taurus","Gemini","Cancer","Leo","Virgo","Libra","Scorpio","Sagittarius","Capricorn","Aquarius","Pisces"},0)-MATCH(CALC_PlanetPositions!$B$7,{"Aries","Taurus","Gemini","Cancer","Leo","Virgo","Libra","Scorpio","Sagittarius","Capricorn","Aquarius","Pisces"},0),12)+1)=2),AND(CALC_PlanetPositions!$M$12="Malefic",(MOD(MATCH(CALC_PlanetPositions!$B$12,{"Aries","Taurus","Gemini","Cancer","Leo","Virgo","Libra","Scorpio","Sagittarius","Capricorn","Aquarius","Pisces"},0)-MATCH(CALC_PlanetPositions!$B$7,{"Aries","Taurus","Gemini","Cancer","Leo","Virgo","Libra","Scorpio","Sagittarius","Capricorn","Aquarius","Pisces"},0),12)+1)=2),AND(CALC_PlanetPositions!$M$13="Malefic",(MOD(MATCH(CALC_PlanetPositions!$B$13,{"Aries","Taurus","Gemini","Cancer","Leo","Virgo","Libra","Scorpio","Sagittarius","Capricorn","Aquarius","Pisces"},0)-MATCH(CALC_PlanetPositions!$B$7,{"Aries","Taurus","Gemini","Cancer","Leo","Virgo","Libra","Scorpio","Sagittarius","Capricorn","Aquarius","Pisces"},0),12)+1)=2),AND(TRUE(),(MOD(MATCH(CALC_PlanetPositions!$B$14,{"Aries","Taurus","Gemini","Cancer","Leo","Virgo","Libra","Scorpio","Sagittarius","Capricorn","Aquarius","Pisces"},0)-MATCH(CALC_PlanetPositions!$B$7,{"Aries","Taurus","Gemini","Cancer","Leo","Virgo","Libra","Scorpio","Sagittarius","Capricorn","Aquarius","Pisces"},0),12)+1)=2),AND(TRUE(),(MOD(MATCH(CALC_PlanetPositions!$B$15,{"Aries","Taurus","Gemini","Cancer","Leo","Virgo","Libra","Scorpio","Sagittarius","Capricorn","Aquarius","Pisces"},0)-MATCH(CALC_PlanetPositions!$B$7,{"Aries","Taurus","Gemini","Cancer","Leo","Virgo","Libra","Scorpio","Sagittarius","Capricorn","Aquarius","Pisces"},0),12)+1)=2)),1,0),0))*-1,0)</f>
        <v>0</v>
      </c>
      <c r="D15" s="400" t="s">
        <v>4623</v>
      </c>
    </row>
    <row r="16" spans="1:12" ht="27.75" customHeight="1" x14ac:dyDescent="0.2">
      <c r="A16" s="120" t="s">
        <v>4624</v>
      </c>
      <c r="B16" s="203" t="s">
        <v>4548</v>
      </c>
      <c r="C16" s="1118">
        <f>IFERROR((IFERROR(IF(OR(AND(CALC_PlanetPositions!$M$7="Malefic",INDEX(REF_Aspects!$D$5:$O$13,1,MOD(2-(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2)),AND(CALC_PlanetPositions!$M$8="Malefic",INDEX(REF_Aspects!$D$5:$O$13,2,MOD(2-(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2)),AND(CALC_PlanetPositions!$M$9="Malefic",INDEX(REF_Aspects!$D$5:$O$13,3,MOD(2-(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2)),AND(CALC_PlanetPositions!$M$10="Malefic",INDEX(REF_Aspects!$D$5:$O$13,4,MOD(2-(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2)),AND(CALC_PlanetPositions!$M$11="Malefic",INDEX(REF_Aspects!$D$5:$O$13,5,MOD(2-(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2)),AND(CALC_PlanetPositions!$M$12="Malefic",INDEX(REF_Aspects!$D$5:$O$13,6,MOD(2-(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2)),AND(CALC_PlanetPositions!$M$13="Malefic",INDEX(REF_Aspects!$D$5:$O$13,7,MOD(2-(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2)),AND(TRUE(),INDEX(REF_Aspects!$D$5:$O$13,8,MOD(2-(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2)),AND(TRUE(),INDEX(REF_Aspects!$D$5:$O$13,9,MOD(2-(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2))),1,0),0))*-1,0)</f>
        <v>0</v>
      </c>
      <c r="D16" s="403" t="s">
        <v>4625</v>
      </c>
    </row>
    <row r="17" spans="1:7" ht="27.75" customHeight="1" x14ac:dyDescent="0.2">
      <c r="A17" s="120" t="s">
        <v>4626</v>
      </c>
      <c r="B17" s="357" t="s">
        <v>3062</v>
      </c>
      <c r="C17" s="1117">
        <v>0</v>
      </c>
      <c r="D17" s="400" t="s">
        <v>4627</v>
      </c>
    </row>
    <row r="18" spans="1:7" ht="27.75" customHeight="1" x14ac:dyDescent="0.2">
      <c r="A18" s="120"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(2-2,12)+1)),AND(CALC_PlanetPositions!$M$8="Malefic",MOD(MATCH(CALC_PlanetPositions!$B$8,{"Aries","Taurus","Gemini","Cancer","Leo","Virgo","Libra","Scorpio","Sagittarius","Capricorn","Aquarius","Pisces"},0)-MATCH(CALC_PlanetPositions!$B$7,{"Aries","Taurus","Gemini","Cancer","Leo","Virgo","Libra","Scorpio","Sagittarius","Capricorn","Aquarius","Pisces"},0),12)+1=(MOD(2-2,12)+1)),AND(CALC_PlanetPositions!$M$9="Malefic",MOD(MATCH(CALC_PlanetPositions!$B$9,{"Aries","Taurus","Gemini","Cancer","Leo","Virgo","Libra","Scorpio","Sagittarius","Capricorn","Aquarius","Pisces"},0)-MATCH(CALC_PlanetPositions!$B$7,{"Aries","Taurus","Gemini","Cancer","Leo","Virgo","Libra","Scorpio","Sagittarius","Capricorn","Aquarius","Pisces"},0),12)+1=(MOD(2-2,12)+1)),AND(CALC_PlanetPositions!$M$10="Malefic",MOD(MATCH(CALC_PlanetPositions!$B$10,{"Aries","Taurus","Gemini","Cancer","Leo","Virgo","Libra","Scorpio","Sagittarius","Capricorn","Aquarius","Pisces"},0)-MATCH(CALC_PlanetPositions!$B$7,{"Aries","Taurus","Gemini","Cancer","Leo","Virgo","Libra","Scorpio","Sagittarius","Capricorn","Aquarius","Pisces"},0),12)+1=(MOD(2-2,12)+1)),AND(CALC_PlanetPositions!$M$11="Malefic",MOD(MATCH(CALC_PlanetPositions!$B$11,{"Aries","Taurus","Gemini","Cancer","Leo","Virgo","Libra","Scorpio","Sagittarius","Capricorn","Aquarius","Pisces"},0)-MATCH(CALC_PlanetPositions!$B$7,{"Aries","Taurus","Gemini","Cancer","Leo","Virgo","Libra","Scorpio","Sagittarius","Capricorn","Aquarius","Pisces"},0),12)+1=(MOD(2-2,12)+1)),AND(CALC_PlanetPositions!$M$12="Malefic",MOD(MATCH(CALC_PlanetPositions!$B$12,{"Aries","Taurus","Gemini","Cancer","Leo","Virgo","Libra","Scorpio","Sagittarius","Capricorn","Aquarius","Pisces"},0)-MATCH(CALC_PlanetPositions!$B$7,{"Aries","Taurus","Gemini","Cancer","Leo","Virgo","Libra","Scorpio","Sagittarius","Capricorn","Aquarius","Pisces"},0),12)+1=(MOD(2-2,12)+1)),AND(CALC_PlanetPositions!$M$13="Malefic",MOD(MATCH(CALC_PlanetPositions!$B$13,{"Aries","Taurus","Gemini","Cancer","Leo","Virgo","Libra","Scorpio","Sagittarius","Capricorn","Aquarius","Pisces"},0)-MATCH(CALC_PlanetPositions!$B$7,{"Aries","Taurus","Gemini","Cancer","Leo","Virgo","Libra","Scorpio","Sagittarius","Capricorn","Aquarius","Pisces"},0),12)+1=(MOD(2-2,12)+1)),AND(TRUE(),MOD(MATCH(CALC_PlanetPositions!$B$14,{"Aries","Taurus","Gemini","Cancer","Leo","Virgo","Libra","Scorpio","Sagittarius","Capricorn","Aquarius","Pisces"},0)-MATCH(CALC_PlanetPositions!$B$7,{"Aries","Taurus","Gemini","Cancer","Leo","Virgo","Libra","Scorpio","Sagittarius","Capricorn","Aquarius","Pisces"},0),12)+1=(MOD(2-2,12)+1)),AND(TRUE(),MOD(MATCH(CALC_PlanetPositions!$B$15,{"Aries","Taurus","Gemini","Cancer","Leo","Virgo","Libra","Scorpio","Sagittarius","Capricorn","Aquarius","Pisces"},0)-MATCH(CALC_PlanetPositions!$B$7,{"Aries","Taurus","Gemini","Cancer","Leo","Virgo","Libra","Scorpio","Sagittarius","Capricorn","Aquarius","Pisces"},0),12)+1=(MOD(2-2,12)+1))),OR(AND(CALC_PlanetPositions!$M$7="Malefic",MOD(MATCH(CALC_PlanetPositions!$B$7,{"Aries","Taurus","Gemini","Cancer","Leo","Virgo","Libra","Scorpio","Sagittarius","Capricorn","Aquarius","Pisces"},0)-MATCH(CALC_PlanetPositions!$B$7,{"Aries","Taurus","Gemini","Cancer","Leo","Virgo","Libra","Scorpio","Sagittarius","Capricorn","Aquarius","Pisces"},0),12)+1=(MOD(2,12)+1)),AND(CALC_PlanetPositions!$M$8="Malefic",MOD(MATCH(CALC_PlanetPositions!$B$8,{"Aries","Taurus","Gemini","Cancer","Leo","Virgo","Libra","Scorpio","Sagittarius","Capricorn","Aquarius","Pisces"},0)-MATCH(CALC_PlanetPositions!$B$7,{"Aries","Taurus","Gemini","Cancer","Leo","Virgo","Libra","Scorpio","Sagittarius","Capricorn","Aquarius","Pisces"},0),12)+1=(MOD(2,12)+1)),AND(CALC_PlanetPositions!$M$9="Malefic",MOD(MATCH(CALC_PlanetPositions!$B$9,{"Aries","Taurus","Gemini","Cancer","Leo","Virgo","Libra","Scorpio","Sagittarius","Capricorn","Aquarius","Pisces"},0)-MATCH(CALC_PlanetPositions!$B$7,{"Aries","Taurus","Gemini","Cancer","Leo","Virgo","Libra","Scorpio","Sagittarius","Capricorn","Aquarius","Pisces"},0),12)+1=(MOD(2,12)+1)),AND(CALC_PlanetPositions!$M$10="Malefic",MOD(MATCH(CALC_PlanetPositions!$B$10,{"Aries","Taurus","Gemini","Cancer","Leo","Virgo","Libra","Scorpio","Sagittarius","Capricorn","Aquarius","Pisces"},0)-MATCH(CALC_PlanetPositions!$B$7,{"Aries","Taurus","Gemini","Cancer","Leo","Virgo","Libra","Scorpio","Sagittarius","Capricorn","Aquarius","Pisces"},0),12)+1=(MOD(2,12)+1)),AND(CALC_PlanetPositions!$M$11="Malefic",MOD(MATCH(CALC_PlanetPositions!$B$11,{"Aries","Taurus","Gemini","Cancer","Leo","Virgo","Libra","Scorpio","Sagittarius","Capricorn","Aquarius","Pisces"},0)-MATCH(CALC_PlanetPositions!$B$7,{"Aries","Taurus","Gemini","Cancer","Leo","Virgo","Libra","Scorpio","Sagittarius","Capricorn","Aquarius","Pisces"},0),12)+1=(MOD(2,12)+1)),AND(CALC_PlanetPositions!$M$12="Malefic",MOD(MATCH(CALC_PlanetPositions!$B$12,{"Aries","Taurus","Gemini","Cancer","Leo","Virgo","Libra","Scorpio","Sagittarius","Capricorn","Aquarius","Pisces"},0)-MATCH(CALC_PlanetPositions!$B$7,{"Aries","Taurus","Gemini","Cancer","Leo","Virgo","Libra","Scorpio","Sagittarius","Capricorn","Aquarius","Pisces"},0),12)+1=(MOD(2,12)+1)),AND(CALC_PlanetPositions!$M$13="Malefic",MOD(MATCH(CALC_PlanetPositions!$B$13,{"Aries","Taurus","Gemini","Cancer","Leo","Virgo","Libra","Scorpio","Sagittarius","Capricorn","Aquarius","Pisces"},0)-MATCH(CALC_PlanetPositions!$B$7,{"Aries","Taurus","Gemini","Cancer","Leo","Virgo","Libra","Scorpio","Sagittarius","Capricorn","Aquarius","Pisces"},0),12)+1=(MOD(2,12)+1)),AND(TRUE(),MOD(MATCH(CALC_PlanetPositions!$B$14,{"Aries","Taurus","Gemini","Cancer","Leo","Virgo","Libra","Scorpio","Sagittarius","Capricorn","Aquarius","Pisces"},0)-MATCH(CALC_PlanetPositions!$B$7,{"Aries","Taurus","Gemini","Cancer","Leo","Virgo","Libra","Scorpio","Sagittarius","Capricorn","Aquarius","Pisces"},0),12)+1=(MOD(2,12)+1)),AND(TRUE(),MOD(MATCH(CALC_PlanetPositions!$B$15,{"Aries","Taurus","Gemini","Cancer","Leo","Virgo","Libra","Scorpio","Sagittarius","Capricorn","Aquarius","Pisces"},0)-MATCH(CALC_PlanetPositions!$B$7,{"Aries","Taurus","Gemini","Cancer","Leo","Virgo","Libra","Scorpio","Sagittarius","Capricorn","Aquarius","Pisces"},0),12)+1=(MOD(2,12)+1)))),1,0),0))*IF(REF_Config!$B$6="KP",-0.75,IF(REF_Config!$B$6="Jaimini",-0.5,-0.75)),0)</f>
        <v>0</v>
      </c>
      <c r="D18" s="403" t="s">
        <v>4629</v>
      </c>
    </row>
    <row r="19" spans="1:7" ht="15.75" customHeight="1" x14ac:dyDescent="0.2">
      <c r="A19" s="1594" t="s">
        <v>3624</v>
      </c>
      <c r="B19" s="1594"/>
      <c r="C19" s="1594"/>
      <c r="D19" s="1594"/>
    </row>
    <row r="20" spans="1:7" ht="27.75" customHeight="1" x14ac:dyDescent="0.2">
      <c r="A20" s="120" t="s">
        <v>4630</v>
      </c>
      <c r="B20" s="357" t="s">
        <v>4555</v>
      </c>
      <c r="C20" s="1117">
        <v>0</v>
      </c>
      <c r="D20" s="400" t="s">
        <v>4631</v>
      </c>
    </row>
    <row r="21" spans="1:7" ht="27.75" customHeight="1" x14ac:dyDescent="0.2">
      <c r="A21" s="120" t="s">
        <v>4632</v>
      </c>
      <c r="B21" s="203" t="s">
        <v>4633</v>
      </c>
      <c r="C21" s="1118">
        <f>IFERROR((IFERROR(IF(OR(AND(CALC_PlanetPositions!$M$7="Malefic",INDEX(REF_Aspects!$D$5:$O$13,1,MOD(CALC_SuryaLagna!$F$5-(MOD(MATCH(CALC_PlanetPositions!$B$7,{"Aries","Taurus","Gemini","Cancer","Leo","Virgo","Libra","Scorpio","Sagittarius","Capricorn","Aquarius","Pisces"},0)-MATCH(CALC_PlanetPositions!$B$7,{"Aries","Taurus","Gemini","Cancer","Leo","Virgo","Libra","Scorpio","Sagittarius","Capricorn","Aquarius","Pisces"},0),12)+1),12)+1)="FULL",NOT(CALC_PlanetPositions!$B$7=CALC_SuryaLagna!$E$5)),AND(CALC_PlanetPositions!$M$8="Malefic",INDEX(REF_Aspects!$D$5:$O$13,2,MOD(CALC_SuryaLagna!$F$5-(MOD(MATCH(CALC_PlanetPositions!$B$8,{"Aries","Taurus","Gemini","Cancer","Leo","Virgo","Libra","Scorpio","Sagittarius","Capricorn","Aquarius","Pisces"},0)-MATCH(CALC_PlanetPositions!$B$7,{"Aries","Taurus","Gemini","Cancer","Leo","Virgo","Libra","Scorpio","Sagittarius","Capricorn","Aquarius","Pisces"},0),12)+1),12)+1)="FULL",NOT(CALC_PlanetPositions!$B$8=CALC_SuryaLagna!$E$5)),AND(CALC_PlanetPositions!$M$9="Malefic",INDEX(REF_Aspects!$D$5:$O$13,3,MOD(CALC_SuryaLagna!$F$5-(MOD(MATCH(CALC_PlanetPositions!$B$9,{"Aries","Taurus","Gemini","Cancer","Leo","Virgo","Libra","Scorpio","Sagittarius","Capricorn","Aquarius","Pisces"},0)-MATCH(CALC_PlanetPositions!$B$7,{"Aries","Taurus","Gemini","Cancer","Leo","Virgo","Libra","Scorpio","Sagittarius","Capricorn","Aquarius","Pisces"},0),12)+1),12)+1)="FULL",NOT(CALC_PlanetPositions!$B$9=CALC_SuryaLagna!$E$5)),AND(CALC_PlanetPositions!$M$10="Malefic",INDEX(REF_Aspects!$D$5:$O$13,4,MOD(CALC_SuryaLagna!$F$5-(MOD(MATCH(CALC_PlanetPositions!$B$10,{"Aries","Taurus","Gemini","Cancer","Leo","Virgo","Libra","Scorpio","Sagittarius","Capricorn","Aquarius","Pisces"},0)-MATCH(CALC_PlanetPositions!$B$7,{"Aries","Taurus","Gemini","Cancer","Leo","Virgo","Libra","Scorpio","Sagittarius","Capricorn","Aquarius","Pisces"},0),12)+1),12)+1)="FULL",NOT(CALC_PlanetPositions!$B$10=CALC_SuryaLagna!$E$5)),AND(CALC_PlanetPositions!$M$11="Malefic",INDEX(REF_Aspects!$D$5:$O$13,5,MOD(CALC_SuryaLagna!$F$5-(MOD(MATCH(CALC_PlanetPositions!$B$11,{"Aries","Taurus","Gemini","Cancer","Leo","Virgo","Libra","Scorpio","Sagittarius","Capricorn","Aquarius","Pisces"},0)-MATCH(CALC_PlanetPositions!$B$7,{"Aries","Taurus","Gemini","Cancer","Leo","Virgo","Libra","Scorpio","Sagittarius","Capricorn","Aquarius","Pisces"},0),12)+1),12)+1)="FULL",NOT(CALC_PlanetPositions!$B$11=CALC_SuryaLagna!$E$5)),AND(CALC_PlanetPositions!$M$12="Malefic",INDEX(REF_Aspects!$D$5:$O$13,6,MOD(CALC_SuryaLagna!$F$5-(MOD(MATCH(CALC_PlanetPositions!$B$12,{"Aries","Taurus","Gemini","Cancer","Leo","Virgo","Libra","Scorpio","Sagittarius","Capricorn","Aquarius","Pisces"},0)-MATCH(CALC_PlanetPositions!$B$7,{"Aries","Taurus","Gemini","Cancer","Leo","Virgo","Libra","Scorpio","Sagittarius","Capricorn","Aquarius","Pisces"},0),12)+1),12)+1)="FULL",NOT(CALC_PlanetPositions!$B$12=CALC_SuryaLagna!$E$5)),AND(CALC_PlanetPositions!$M$13="Malefic",INDEX(REF_Aspects!$D$5:$O$13,7,MOD(CALC_SuryaLagna!$F$5-(MOD(MATCH(CALC_PlanetPositions!$B$13,{"Aries","Taurus","Gemini","Cancer","Leo","Virgo","Libra","Scorpio","Sagittarius","Capricorn","Aquarius","Pisces"},0)-MATCH(CALC_PlanetPositions!$B$7,{"Aries","Taurus","Gemini","Cancer","Leo","Virgo","Libra","Scorpio","Sagittarius","Capricorn","Aquarius","Pisces"},0),12)+1),12)+1)="FULL",NOT(CALC_PlanetPositions!$B$13=CALC_SuryaLagna!$E$5)),AND(TRUE(),INDEX(REF_Aspects!$D$5:$O$13,8,MOD(CALC_SuryaLagna!$F$5-(MOD(MATCH(CALC_PlanetPositions!$B$14,{"Aries","Taurus","Gemini","Cancer","Leo","Virgo","Libra","Scorpio","Sagittarius","Capricorn","Aquarius","Pisces"},0)-MATCH(CALC_PlanetPositions!$B$7,{"Aries","Taurus","Gemini","Cancer","Leo","Virgo","Libra","Scorpio","Sagittarius","Capricorn","Aquarius","Pisces"},0),12)+1),12)+1)="FULL",NOT(CALC_PlanetPositions!$B$14=CALC_SuryaLagna!$E$5)),AND(TRUE(),INDEX(REF_Aspects!$D$5:$O$13,9,MOD(CALC_SuryaLagna!$F$5-(MOD(MATCH(CALC_PlanetPositions!$B$15,{"Aries","Taurus","Gemini","Cancer","Leo","Virgo","Libra","Scorpio","Sagittarius","Capricorn","Aquarius","Pisces"},0)-MATCH(CALC_PlanetPositions!$B$7,{"Aries","Taurus","Gemini","Cancer","Leo","Virgo","Libra","Scorpio","Sagittarius","Capricorn","Aquarius","Pisces"},0),12)+1),12)+1)="FULL",NOT(CALC_PlanetPositions!$B$15=CALC_SuryaLagna!$E$5))),1,0),0))*-0.5,0)</f>
        <v>-0.5</v>
      </c>
      <c r="D21" s="403" t="s">
        <v>4634</v>
      </c>
    </row>
    <row r="22" spans="1:7" ht="27.75" customHeight="1" x14ac:dyDescent="0.2">
      <c r="A22" s="120" t="s">
        <v>4635</v>
      </c>
      <c r="B22" s="357" t="s">
        <v>3042</v>
      </c>
      <c r="C22" s="1117">
        <f>IFERROR((IFERROR(IF(CALC_SuryaLagna!$I$5="Yes",1,0),0))*IF(REF_Config!$B$6="KP",-1.75,IF(REF_Config!$B$6="Jaimini",-2,-2)),0)</f>
        <v>0</v>
      </c>
      <c r="D22" s="400" t="s">
        <v>4636</v>
      </c>
    </row>
    <row r="23" spans="1:7" ht="27.75" customHeight="1" x14ac:dyDescent="0.2">
      <c r="A23" s="120" t="s">
        <v>4637</v>
      </c>
      <c r="B23" s="203" t="s">
        <v>3059</v>
      </c>
      <c r="C23" s="1118">
        <f>IFERROR((IFERROR(IF(OR(AND(CALC_SuryaLagna!$E$9=CALC_SuryaLagna!$E$5,CALC_SuryaLagna!$D$9&lt;&gt;CALC_SuryaLagna!$D$5),AND(CALC_SuryaLagna!$E$11=CALC_SuryaLagna!$E$5,CALC_SuryaLagna!$D$11&lt;&gt;CALC_SuryaLagna!$D$5),AND(CALC_SuryaLagna!$E$15=CALC_SuryaLagna!$E$5,CALC_SuryaLagna!$D$15&lt;&gt;CALC_SuryaLagna!$D$5)),1,0),0))*-1,0)</f>
        <v>-1</v>
      </c>
      <c r="D23" s="403" t="s">
        <v>4638</v>
      </c>
    </row>
    <row r="24" spans="1:7" ht="15.75" customHeight="1" x14ac:dyDescent="0.2">
      <c r="A24" s="1484" t="s">
        <v>4639</v>
      </c>
      <c r="B24" s="1484"/>
      <c r="C24" s="1484"/>
      <c r="D24" s="1484"/>
    </row>
    <row r="25" spans="1:7" ht="27.75" customHeight="1" x14ac:dyDescent="0.2">
      <c r="A25" s="120" t="s">
        <v>4640</v>
      </c>
      <c r="B25" s="357" t="s">
        <v>3084</v>
      </c>
      <c r="C25" s="1117">
        <f>IFERROR(IF(CALC_KarakMap!$M$6&gt;0,CALC_KarakMap!$M$6,0),0)</f>
        <v>0</v>
      </c>
      <c r="D25" s="400" t="s">
        <v>4641</v>
      </c>
    </row>
    <row r="26" spans="1:7" ht="27.75" customHeight="1" x14ac:dyDescent="0.2">
      <c r="A26" s="120" t="s">
        <v>4642</v>
      </c>
      <c r="B26" s="203" t="s">
        <v>4564</v>
      </c>
      <c r="C26" s="1118">
        <f>IFERROR(IF(CALC_KarakMap!$M$6&lt;0,CALC_KarakMap!$M$6,0),0)</f>
        <v>-0.5</v>
      </c>
      <c r="D26" s="403" t="s">
        <v>4643</v>
      </c>
    </row>
    <row r="27" spans="1:7" ht="27.75" customHeight="1" x14ac:dyDescent="0.2">
      <c r="A27" s="1119" t="s">
        <v>4644</v>
      </c>
      <c r="B27" s="296" t="s">
        <v>3624</v>
      </c>
      <c r="C27" s="1117">
        <f>IFERROR(IF(OR(CALC_SuryaLagna!$D$5="Sun",CALC_SuryaLagna!$D$5="Rahu",CALC_SuryaLagna!$D$5="Ketu"),0,IF(CALC_SuryaLagna!$D$5="Moon",IF(CALC_CombustionCheck!$G$4="Cazimi ✓",0.5,IF(CALC_CombustionCheck!$F$4="COMBUST ⚠",-1,0)),IF(CALC_SuryaLagna!$D$5="Mars",IF(CALC_CombustionCheck!$G$5="Cazimi ✓",0.5,IF(AND(CALC_CombustionCheck!$F$5="COMBUST ⚠",CALC_RetrogradeFix!$F$6="Rx ✓"),-0.5,IF(CALC_CombustionCheck!$F$5="COMBUST ⚠",-1,0))),IF(CALC_SuryaLagna!$D$5="Mercury",IF(CALC_CombustionCheck!$G$6="Cazimi ✓",0.5,IF(AND(CALC_CombustionCheck!$F$6="COMBUST ⚠",CALC_RetrogradeFix!$F$7="Rx ✓"),-0.5,IF(CALC_CombustionCheck!$F$6="COMBUST ⚠",-1,0))),IF(CALC_SuryaLagna!$D$5="Jupiter",IF(CALC_CombustionCheck!$G$7="Cazimi ✓",0.5,IF(AND(CALC_CombustionCheck!$F$7="COMBUST ⚠",CALC_RetrogradeFix!$F$8="Rx ✓"),-0.5,IF(CALC_CombustionCheck!$F$7="COMBUST ⚠",-1,0))),IF(CALC_SuryaLagna!$D$5="Venus",IF(CALC_CombustionCheck!$G$8="Cazimi ✓",0.5,IF(AND(CALC_CombustionCheck!$F$8="COMBUST ⚠",CALC_RetrogradeFix!$F$9="Rx ✓"),-0.5,IF(CALC_CombustionCheck!$F$8="COMBUST ⚠",-1,0))),IF(CALC_SuryaLagna!$D$5="Saturn",IF(CALC_CombustionCheck!$G$9="Cazimi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SuryaLagna!$D$5="Rahu",CALC_SuryaLagna!$D$5="Ketu"),0,IF(ISNUMBER(MATCH(CALC_SuryaLagna!$D$5,{"Sun","Moon","Mars","Mercury","Jupiter","Venus","Saturn"},0)),IF(INDEX(CALC_DigBala!$F$4:$F$10,MATCH(CALC_SuryaLagna!$D$5,{"Sun","Moon","Mars","Mercury","Jupiter","Venus","Saturn"},0))="Yes",0.5,0),0)),0)</f>
        <v>0</v>
      </c>
      <c r="D28" s="400" t="s">
        <v>4647</v>
      </c>
    </row>
    <row r="29" spans="1:7" ht="27.75" customHeight="1" x14ac:dyDescent="0.2">
      <c r="A29" s="1120" t="s">
        <v>4648</v>
      </c>
      <c r="B29" s="296" t="s">
        <v>3372</v>
      </c>
      <c r="C29" s="1117">
        <f>IFERROR(IF(COUNTIFS(REF_PushkaraNavamsha!$A$4:$A$27,CALC_SuryaLagna!$E$5,REF_PushkaraNavamsha!$B$4:$B$27,INDEX(CALC_PlanetPositions!$G$7:$G$15,MATCH(CALC_SuryaLagna!$D$5,CALC_PlanetPositions!$A$7:$A$15,0)))&gt;0,0.5,0),0)</f>
        <v>0.5</v>
      </c>
      <c r="D29" s="400" t="s">
        <v>4649</v>
      </c>
    </row>
    <row r="30" spans="1:7" ht="25.5" customHeight="1" x14ac:dyDescent="0.2">
      <c r="A30" s="147" t="s">
        <v>4650</v>
      </c>
      <c r="B30" s="1121" t="s">
        <v>4651</v>
      </c>
      <c r="C30" s="1122">
        <f>IFERROR(IF(ISNUMBER(MATCH(CALC_SuryaLagna!$D$5,{"Sun","Moon","Mars","Mercury","Jupiter","Venus","Saturn"},0)),INDEX(CALC_RetrogradeFix!$G$4:$G$10,MATCH(CALC_SuryaLagna!$D$5,{"Sun","Moon","Mars","Mercury","Jupiter","Venus","Saturn"},0)),0),0)</f>
        <v>0</v>
      </c>
      <c r="D30" s="1123" t="s">
        <v>4652</v>
      </c>
    </row>
    <row r="31" spans="1:7" ht="18" customHeight="1" x14ac:dyDescent="0.2">
      <c r="A31" s="1555" t="s">
        <v>4653</v>
      </c>
      <c r="B31" s="1555"/>
      <c r="C31" s="1555"/>
      <c r="D31" s="1555"/>
      <c r="E31" s="1124" t="s">
        <v>4654</v>
      </c>
      <c r="F31" s="1125">
        <f>IFERROR(IF(CALC_Ashtakavarga!C$12&gt;28,0.5,IF(CALC_Ashtakavarga!C$12&lt;22,-0.5,0)),0)</f>
        <v>-0.5</v>
      </c>
      <c r="G31" s="1126" t="s">
        <v>4655</v>
      </c>
    </row>
    <row r="32" spans="1:7" ht="18" customHeight="1" x14ac:dyDescent="0.2">
      <c r="A32" s="189" t="s">
        <v>3367</v>
      </c>
      <c r="B32" s="1127" t="s">
        <v>4656</v>
      </c>
      <c r="C32" s="1128">
        <f>IFERROR(SUM(C5:C7),0)</f>
        <v>1.5</v>
      </c>
      <c r="D32" s="1129"/>
    </row>
    <row r="33" spans="1:4" ht="18" customHeight="1" x14ac:dyDescent="0.2">
      <c r="A33" s="189" t="s">
        <v>3372</v>
      </c>
      <c r="B33" s="1127" t="s">
        <v>4657</v>
      </c>
      <c r="C33" s="1128">
        <f>IFERROR(SUM(C9:C13,C28:C30,F31,0),0)</f>
        <v>4</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3.5</v>
      </c>
      <c r="D37" s="1129"/>
    </row>
    <row r="38" spans="1:4" ht="21.75" customHeight="1" x14ac:dyDescent="0.2">
      <c r="A38" s="89" t="s">
        <v>4661</v>
      </c>
      <c r="B38" s="1129"/>
      <c r="C38" s="1131">
        <f>IFERROR(MAX(-10,MIN(10,C37)),0)</f>
        <v>3.5</v>
      </c>
      <c r="D38" s="1132"/>
    </row>
    <row r="39" spans="1:4" ht="18" customHeight="1" x14ac:dyDescent="0.2">
      <c r="A39" s="517" t="s">
        <v>4662</v>
      </c>
      <c r="B39" s="1129"/>
      <c r="C39" s="1133">
        <f>IFERROR(CALC_LagneshStrength!$I$4,0)</f>
        <v>0</v>
      </c>
      <c r="D39" s="1129"/>
    </row>
    <row r="40" spans="1:4" ht="25.5" customHeight="1" x14ac:dyDescent="0.2">
      <c r="A40" s="1137" t="s">
        <v>4663</v>
      </c>
      <c r="B40" s="1129"/>
      <c r="C40" s="1138">
        <f>IFERROR(MAX(-10,MIN(10,C38+C39+C41)),0)</f>
        <v>3.5</v>
      </c>
      <c r="D40" s="1139" t="str">
        <f>IFERROR(IF(C40&gt;=7,"Excellent — Wealth domain very strong",IF(C40&gt;=4,"Good — Wealth domain strong",IF(C40&gt;=1,"Moderate",IF(C40&gt;=-2,"Mixed — Wealth has challenges",IF(C40&gt;=-5,"Weak","Very weak — Wealth heavily afflicted"))))),"—")</f>
        <v>Moderate</v>
      </c>
    </row>
    <row r="41" spans="1:4" ht="18" customHeight="1" x14ac:dyDescent="0.2">
      <c r="A41" s="622" t="s">
        <v>4681</v>
      </c>
      <c r="B41" s="904" t="s">
        <v>4705</v>
      </c>
      <c r="C41" s="1160">
        <v>0</v>
      </c>
      <c r="D41" s="550" t="s">
        <v>4708</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4709</v>
      </c>
      <c r="B1" s="1518"/>
      <c r="C1" s="1518"/>
      <c r="D1" s="1518"/>
      <c r="L1" s="544" t="s">
        <v>2214</v>
      </c>
    </row>
    <row r="2" spans="1:12" ht="19.5" customHeight="1" x14ac:dyDescent="0.2">
      <c r="A2" s="1595" t="str">
        <f>IFERROR("Surya Lagna: "&amp;CALC_PlanetPositions!$B$7&amp;"  ·  H3 sign: "&amp;CALC_SuryaLagna!$C$6,"—")</f>
        <v>Surya Lagna: Cancer  ·  H3 sign: Virgo</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47" t="s">
        <v>4605</v>
      </c>
      <c r="B5" s="357" t="s">
        <v>4529</v>
      </c>
      <c r="C5" s="1117">
        <f>IFERROR((IFERROR(IF(INDEX(REF_Zodiac!$D$17:$O$17,MATCH(CALC_SuryaLagna!$C$6,REF_Zodiac!$D$3:$O$3,0))="Gentle",1,0),0))*0.5,0)</f>
        <v>0.5</v>
      </c>
      <c r="D5" s="400" t="s">
        <v>4606</v>
      </c>
    </row>
    <row r="6" spans="1:12" ht="27.75" customHeight="1" x14ac:dyDescent="0.2">
      <c r="A6" s="147"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47" t="s">
        <v>4609</v>
      </c>
      <c r="B7" s="357" t="s">
        <v>4534</v>
      </c>
      <c r="C7" s="1117">
        <f>IFERROR((IFERROR(IF(OR(AND(OR(CALC_PlanetPositions!$M$7="Benefic",CALC_PlanetPositions!$M$7="Yogakaraka"),INDEX(REF_Aspects!$D$5:$O$13,1,MOD(3-(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3)),AND(OR(CALC_PlanetPositions!$M$8="Benefic",CALC_PlanetPositions!$M$8="Yogakaraka"),INDEX(REF_Aspects!$D$5:$O$13,2,MOD(3-(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3)),AND(OR(CALC_PlanetPositions!$M$9="Benefic",CALC_PlanetPositions!$M$9="Yogakaraka"),INDEX(REF_Aspects!$D$5:$O$13,3,MOD(3-(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3)),AND(OR(CALC_PlanetPositions!$M$10="Benefic",CALC_PlanetPositions!$M$10="Yogakaraka"),INDEX(REF_Aspects!$D$5:$O$13,4,MOD(3-(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3)),AND(OR(CALC_PlanetPositions!$M$11="Benefic",CALC_PlanetPositions!$M$11="Yogakaraka"),INDEX(REF_Aspects!$D$5:$O$13,5,MOD(3-(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3)),AND(OR(CALC_PlanetPositions!$M$12="Benefic",CALC_PlanetPositions!$M$12="Yogakaraka"),INDEX(REF_Aspects!$D$5:$O$13,6,MOD(3-(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3)),AND(OR(CALC_PlanetPositions!$M$13="Benefic",CALC_PlanetPositions!$M$13="Yogakaraka"),INDEX(REF_Aspects!$D$5:$O$13,7,MOD(3-(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3)),AND(FALSE(),INDEX(REF_Aspects!$D$5:$O$13,8,MOD(3-(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3)),AND(FALSE(),INDEX(REF_Aspects!$D$5:$O$13,9,MOD(3-(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3))),1,0),0))*IF(REF_Config!$B$6="KP",0.5,IF(REF_Config!$B$6="Jaimini",0.75,0.75)),0)</f>
        <v>0.75</v>
      </c>
      <c r="D7" s="400" t="s">
        <v>4610</v>
      </c>
    </row>
    <row r="8" spans="1:12" ht="15.75" customHeight="1" x14ac:dyDescent="0.2">
      <c r="A8" s="1597" t="s">
        <v>3372</v>
      </c>
      <c r="B8" s="1597"/>
      <c r="C8" s="1597"/>
      <c r="D8" s="1597"/>
    </row>
    <row r="9" spans="1:12" ht="27.75" customHeight="1" x14ac:dyDescent="0.2">
      <c r="A9" s="147" t="s">
        <v>4611</v>
      </c>
      <c r="B9" s="203" t="s">
        <v>4537</v>
      </c>
      <c r="C9" s="1118">
        <f>IFERROR(IF(AND(OR(CALC_SuryaLagna!$G$6="Yes",CALC_SuryaLagna!$H$6="Yes"),NOT(CALC_SuryaLagna!$I$6="Yes")),1,0)*IF(REF_Config!$B$6="KP",1.5,IF(REF_Config!$B$6="Jaimini",1.5,2)),0)</f>
        <v>2</v>
      </c>
      <c r="D9" s="403" t="s">
        <v>4612</v>
      </c>
    </row>
    <row r="10" spans="1:12" ht="27.75" customHeight="1" x14ac:dyDescent="0.2">
      <c r="A10" s="147" t="s">
        <v>4613</v>
      </c>
      <c r="B10" s="357" t="s">
        <v>3093</v>
      </c>
      <c r="C10" s="1117">
        <f>IFERROR((IFERROR(IF(OR(AND(CALC_SuryaLagna!$E$4=CALC_SuryaLagna!$E$6,CALC_SuryaLagna!$D$4&lt;&gt;CALC_SuryaLagna!$D$6),AND(CALC_SuryaLagna!$E$7=CALC_SuryaLagna!$E$6,CALC_SuryaLagna!$D$7&lt;&gt;CALC_SuryaLagna!$D$6),AND(CALC_SuryaLagna!$E$8=CALC_SuryaLagna!$E$6,CALC_SuryaLagna!$D$8&lt;&gt;CALC_SuryaLagna!$D$6),AND(CALC_SuryaLagna!$E$10=CALC_SuryaLagna!$E$6,CALC_SuryaLagna!$D$10&lt;&gt;CALC_SuryaLagna!$D$6),AND(CALC_SuryaLagna!$E$12=CALC_SuryaLagna!$E$6,CALC_SuryaLagna!$D$12&lt;&gt;CALC_SuryaLagna!$D$6),AND(CALC_SuryaLagna!$E$13=CALC_SuryaLagna!$E$6,CALC_SuryaLagna!$D$13&lt;&gt;CALC_SuryaLagna!$D$6)),1,0),0))*0.5,0)</f>
        <v>0.5</v>
      </c>
      <c r="D10" s="400" t="s">
        <v>4614</v>
      </c>
    </row>
    <row r="11" spans="1:12" ht="27.75" customHeight="1" x14ac:dyDescent="0.2">
      <c r="A11" s="147" t="s">
        <v>4615</v>
      </c>
      <c r="B11" s="203" t="s">
        <v>4540</v>
      </c>
      <c r="C11" s="1118">
        <f>IFERROR((IFERROR(IF(OR(AND(OR(CALC_PlanetPositions!$M$7="Benefic",CALC_PlanetPositions!$M$7="Yogakaraka"),CALC_PlanetPositions!$B$7=CALC_SuryaLagna!$E$6,CALC_SuryaLagna!$D$6&lt;&gt;"Sun"),AND(OR(CALC_PlanetPositions!$M$8="Benefic",CALC_PlanetPositions!$M$8="Yogakaraka"),CALC_PlanetPositions!$B$8=CALC_SuryaLagna!$E$6,CALC_SuryaLagna!$D$6&lt;&gt;"Moon"),AND(OR(CALC_PlanetPositions!$M$9="Benefic",CALC_PlanetPositions!$M$9="Yogakaraka"),CALC_PlanetPositions!$B$9=CALC_SuryaLagna!$E$6,CALC_SuryaLagna!$D$6&lt;&gt;"Mars"),AND(OR(CALC_PlanetPositions!$M$10="Benefic",CALC_PlanetPositions!$M$10="Yogakaraka"),CALC_PlanetPositions!$B$10=CALC_SuryaLagna!$E$6,CALC_SuryaLagna!$D$6&lt;&gt;"Mercury"),AND(OR(CALC_PlanetPositions!$M$11="Benefic",CALC_PlanetPositions!$M$11="Yogakaraka"),CALC_PlanetPositions!$B$11=CALC_SuryaLagna!$E$6,CALC_SuryaLagna!$D$6&lt;&gt;"Jupiter"),AND(OR(CALC_PlanetPositions!$M$12="Benefic",CALC_PlanetPositions!$M$12="Yogakaraka"),CALC_PlanetPositions!$B$12=CALC_SuryaLagna!$E$6,CALC_SuryaLagna!$D$6&lt;&gt;"Venus"),AND(OR(CALC_PlanetPositions!$M$13="Benefic",CALC_PlanetPositions!$M$13="Yogakaraka"),CALC_PlanetPositions!$B$13=CALC_SuryaLagna!$E$6,CALC_SuryaLagna!$D$6&lt;&gt;"Saturn")),1,0),0))*IF(OR(AND(CALC_PlanetPositions!$M$7="Yogakaraka",CALC_PlanetPositions!$B$7=CALC_SuryaLagna!$E$6,CALC_SuryaLagna!$D$6&lt;&gt;"Sun"),AND(CALC_PlanetPositions!$M$8="Yogakaraka",CALC_PlanetPositions!$B$8=CALC_SuryaLagna!$E$6,CALC_SuryaLagna!$D$6&lt;&gt;"Moon"),AND(CALC_PlanetPositions!$M$9="Yogakaraka",CALC_PlanetPositions!$B$9=CALC_SuryaLagna!$E$6,CALC_SuryaLagna!$D$6&lt;&gt;"Mars"),AND(CALC_PlanetPositions!$M$10="Yogakaraka",CALC_PlanetPositions!$B$10=CALC_SuryaLagna!$E$6,CALC_SuryaLagna!$D$6&lt;&gt;"Mercury"),AND(CALC_PlanetPositions!$M$11="Yogakaraka",CALC_PlanetPositions!$B$11=CALC_SuryaLagna!$E$6,CALC_SuryaLagna!$D$6&lt;&gt;"Jupiter"),AND(CALC_PlanetPositions!$M$12="Yogakaraka",CALC_PlanetPositions!$B$12=CALC_SuryaLagna!$E$6,CALC_SuryaLagna!$D$6&lt;&gt;"Venus"),AND(CALC_PlanetPositions!$M$13="Yogakaraka",CALC_PlanetPositions!$B$13=CALC_SuryaLagna!$E$6,CALC_SuryaLagna!$D$6&lt;&gt;"Saturn")),1.5,1),0)</f>
        <v>1.5</v>
      </c>
      <c r="D11" s="403" t="s">
        <v>4616</v>
      </c>
    </row>
    <row r="12" spans="1:12" ht="27.75" customHeight="1" x14ac:dyDescent="0.2">
      <c r="A12" s="147" t="s">
        <v>4617</v>
      </c>
      <c r="B12" s="357" t="s">
        <v>4542</v>
      </c>
      <c r="C12" s="1117">
        <f>IFERROR((IFERROR(IF(OR(AND(OR(CALC_PlanetPositions!$M$7="Benefic",CALC_PlanetPositions!$M$7="Yogakaraka"),INDEX(REF_Aspects!$D$5:$O$13,1,MOD(CALC_SuryaLagna!$F$6-(MOD(MATCH(CALC_PlanetPositions!$B$7,{"Aries","Taurus","Gemini","Cancer","Leo","Virgo","Libra","Scorpio","Sagittarius","Capricorn","Aquarius","Pisces"},0)-MATCH(CALC_PlanetPositions!$B$7,{"Aries","Taurus","Gemini","Cancer","Leo","Virgo","Libra","Scorpio","Sagittarius","Capricorn","Aquarius","Pisces"},0),12)+1),12)+1)="FULL",NOT(CALC_PlanetPositions!$B$7=CALC_SuryaLagna!$E$6)),AND(OR(CALC_PlanetPositions!$M$8="Benefic",CALC_PlanetPositions!$M$8="Yogakaraka"),INDEX(REF_Aspects!$D$5:$O$13,2,MOD(CALC_SuryaLagna!$F$6-(MOD(MATCH(CALC_PlanetPositions!$B$8,{"Aries","Taurus","Gemini","Cancer","Leo","Virgo","Libra","Scorpio","Sagittarius","Capricorn","Aquarius","Pisces"},0)-MATCH(CALC_PlanetPositions!$B$7,{"Aries","Taurus","Gemini","Cancer","Leo","Virgo","Libra","Scorpio","Sagittarius","Capricorn","Aquarius","Pisces"},0),12)+1),12)+1)="FULL",NOT(CALC_PlanetPositions!$B$8=CALC_SuryaLagna!$E$6)),AND(OR(CALC_PlanetPositions!$M$9="Benefic",CALC_PlanetPositions!$M$9="Yogakaraka"),INDEX(REF_Aspects!$D$5:$O$13,3,MOD(CALC_SuryaLagna!$F$6-(MOD(MATCH(CALC_PlanetPositions!$B$9,{"Aries","Taurus","Gemini","Cancer","Leo","Virgo","Libra","Scorpio","Sagittarius","Capricorn","Aquarius","Pisces"},0)-MATCH(CALC_PlanetPositions!$B$7,{"Aries","Taurus","Gemini","Cancer","Leo","Virgo","Libra","Scorpio","Sagittarius","Capricorn","Aquarius","Pisces"},0),12)+1),12)+1)="FULL",NOT(CALC_PlanetPositions!$B$9=CALC_SuryaLagna!$E$6)),AND(OR(CALC_PlanetPositions!$M$10="Benefic",CALC_PlanetPositions!$M$10="Yogakaraka"),INDEX(REF_Aspects!$D$5:$O$13,4,MOD(CALC_SuryaLagna!$F$6-(MOD(MATCH(CALC_PlanetPositions!$B$10,{"Aries","Taurus","Gemini","Cancer","Leo","Virgo","Libra","Scorpio","Sagittarius","Capricorn","Aquarius","Pisces"},0)-MATCH(CALC_PlanetPositions!$B$7,{"Aries","Taurus","Gemini","Cancer","Leo","Virgo","Libra","Scorpio","Sagittarius","Capricorn","Aquarius","Pisces"},0),12)+1),12)+1)="FULL",NOT(CALC_PlanetPositions!$B$10=CALC_SuryaLagna!$E$6)),AND(OR(CALC_PlanetPositions!$M$11="Benefic",CALC_PlanetPositions!$M$11="Yogakaraka"),INDEX(REF_Aspects!$D$5:$O$13,5,MOD(CALC_SuryaLagna!$F$6-(MOD(MATCH(CALC_PlanetPositions!$B$11,{"Aries","Taurus","Gemini","Cancer","Leo","Virgo","Libra","Scorpio","Sagittarius","Capricorn","Aquarius","Pisces"},0)-MATCH(CALC_PlanetPositions!$B$7,{"Aries","Taurus","Gemini","Cancer","Leo","Virgo","Libra","Scorpio","Sagittarius","Capricorn","Aquarius","Pisces"},0),12)+1),12)+1)="FULL",NOT(CALC_PlanetPositions!$B$11=CALC_SuryaLagna!$E$6)),AND(OR(CALC_PlanetPositions!$M$12="Benefic",CALC_PlanetPositions!$M$12="Yogakaraka"),INDEX(REF_Aspects!$D$5:$O$13,6,MOD(CALC_SuryaLagna!$F$6-(MOD(MATCH(CALC_PlanetPositions!$B$12,{"Aries","Taurus","Gemini","Cancer","Leo","Virgo","Libra","Scorpio","Sagittarius","Capricorn","Aquarius","Pisces"},0)-MATCH(CALC_PlanetPositions!$B$7,{"Aries","Taurus","Gemini","Cancer","Leo","Virgo","Libra","Scorpio","Sagittarius","Capricorn","Aquarius","Pisces"},0),12)+1),12)+1)="FULL",NOT(CALC_PlanetPositions!$B$12=CALC_SuryaLagna!$E$6)),AND(OR(CALC_PlanetPositions!$M$13="Benefic",CALC_PlanetPositions!$M$13="Yogakaraka"),INDEX(REF_Aspects!$D$5:$O$13,7,MOD(CALC_SuryaLagna!$F$6-(MOD(MATCH(CALC_PlanetPositions!$B$13,{"Aries","Taurus","Gemini","Cancer","Leo","Virgo","Libra","Scorpio","Sagittarius","Capricorn","Aquarius","Pisces"},0)-MATCH(CALC_PlanetPositions!$B$7,{"Aries","Taurus","Gemini","Cancer","Leo","Virgo","Libra","Scorpio","Sagittarius","Capricorn","Aquarius","Pisces"},0),12)+1),12)+1)="FULL",NOT(CALC_PlanetPositions!$B$13=CALC_SuryaLagna!$E$6)),AND(FALSE(),INDEX(REF_Aspects!$D$5:$O$13,8,MOD(CALC_SuryaLagna!$F$6-(MOD(MATCH(CALC_PlanetPositions!$B$14,{"Aries","Taurus","Gemini","Cancer","Leo","Virgo","Libra","Scorpio","Sagittarius","Capricorn","Aquarius","Pisces"},0)-MATCH(CALC_PlanetPositions!$B$7,{"Aries","Taurus","Gemini","Cancer","Leo","Virgo","Libra","Scorpio","Sagittarius","Capricorn","Aquarius","Pisces"},0),12)+1),12)+1)="FULL",NOT(CALC_PlanetPositions!$B$14=CALC_SuryaLagna!$E$6)),AND(FALSE(),INDEX(REF_Aspects!$D$5:$O$13,9,MOD(CALC_SuryaLagna!$F$6-(MOD(MATCH(CALC_PlanetPositions!$B$15,{"Aries","Taurus","Gemini","Cancer","Leo","Virgo","Libra","Scorpio","Sagittarius","Capricorn","Aquarius","Pisces"},0)-MATCH(CALC_PlanetPositions!$B$7,{"Aries","Taurus","Gemini","Cancer","Leo","Virgo","Libra","Scorpio","Sagittarius","Capricorn","Aquarius","Pisces"},0),12)+1),12)+1)="FULL",NOT(CALC_PlanetPositions!$B$15=CALC_SuryaLagna!$E$6))),1,0),0))*0.5,0)</f>
        <v>0</v>
      </c>
      <c r="D12" s="400" t="s">
        <v>4618</v>
      </c>
    </row>
    <row r="13" spans="1:12" ht="27.75" customHeight="1" x14ac:dyDescent="0.2">
      <c r="A13" s="147"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$6-2,12)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$6-2,12)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$6-2,12)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$6-2,12)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$6-2,12)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$6-2,12)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$6-2,12)+1)),AND(FALSE(),MOD(MATCH(CALC_PlanetPositions!$B$14,{"Aries","Taurus","Gemini","Cancer","Leo","Virgo","Libra","Scorpio","Sagittarius","Capricorn","Aquarius","Pisces"},0)-MATCH(CALC_PlanetPositions!$B$7,{"Aries","Taurus","Gemini","Cancer","Leo","Virgo","Libra","Scorpio","Sagittarius","Capricorn","Aquarius","Pisces"},0),12)+1=(MOD(CALC_SuryaLagna!$F$6-2,12)+1)),AND(FALSE(),MOD(MATCH(CALC_PlanetPositions!$B$15,{"Aries","Taurus","Gemini","Cancer","Leo","Virgo","Libra","Scorpio","Sagittarius","Capricorn","Aquarius","Pisces"},0)-MATCH(CALC_PlanetPositions!$B$7,{"Aries","Taurus","Gemini","Cancer","Leo","Virgo","Libra","Scorpio","Sagittarius","Capricorn","Aquarius","Pisces"},0),12)+1=(MOD(CALC_SuryaLagna!$F$6-2,12)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$6,12)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$6,12)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$6,12)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$6,12)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$6,12)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$6,12)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$6,12)+1)),AND(FALSE(),MOD(MATCH(CALC_PlanetPositions!$B$14,{"Aries","Taurus","Gemini","Cancer","Leo","Virgo","Libra","Scorpio","Sagittarius","Capricorn","Aquarius","Pisces"},0)-MATCH(CALC_PlanetPositions!$B$7,{"Aries","Taurus","Gemini","Cancer","Leo","Virgo","Libra","Scorpio","Sagittarius","Capricorn","Aquarius","Pisces"},0),12)+1=(MOD(CALC_SuryaLagna!$F$6,12)+1)),AND(FALSE(),MOD(MATCH(CALC_PlanetPositions!$B$15,{"Aries","Taurus","Gemini","Cancer","Leo","Virgo","Libra","Scorpio","Sagittarius","Capricorn","Aquarius","Pisces"},0)-MATCH(CALC_PlanetPositions!$B$7,{"Aries","Taurus","Gemini","Cancer","Leo","Virgo","Libra","Scorpio","Sagittarius","Capricorn","Aquarius","Pisces"},0),12)+1=(MOD(CALC_SuryaLagna!$F$6,12)+1)))),1,0),0))*IF(REF_Config!$B$6="KP",0.75,IF(REF_Config!$B$6="Jaimini",0.5,0.75)),0)</f>
        <v>0</v>
      </c>
      <c r="D13" s="403" t="s">
        <v>4620</v>
      </c>
    </row>
    <row r="14" spans="1:12" ht="15.75" customHeight="1" x14ac:dyDescent="0.2">
      <c r="A14" s="1598" t="s">
        <v>4621</v>
      </c>
      <c r="B14" s="1598"/>
      <c r="C14" s="1598"/>
      <c r="D14" s="1598"/>
    </row>
    <row r="15" spans="1:12" ht="27.75" customHeight="1" x14ac:dyDescent="0.2">
      <c r="A15" s="147"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3),AND(CALC_PlanetPositions!$M$8="Malefic",(MOD(MATCH(CALC_PlanetPositions!$B$8,{"Aries","Taurus","Gemini","Cancer","Leo","Virgo","Libra","Scorpio","Sagittarius","Capricorn","Aquarius","Pisces"},0)-MATCH(CALC_PlanetPositions!$B$7,{"Aries","Taurus","Gemini","Cancer","Leo","Virgo","Libra","Scorpio","Sagittarius","Capricorn","Aquarius","Pisces"},0),12)+1)=3),AND(CALC_PlanetPositions!$M$9="Malefic",(MOD(MATCH(CALC_PlanetPositions!$B$9,{"Aries","Taurus","Gemini","Cancer","Leo","Virgo","Libra","Scorpio","Sagittarius","Capricorn","Aquarius","Pisces"},0)-MATCH(CALC_PlanetPositions!$B$7,{"Aries","Taurus","Gemini","Cancer","Leo","Virgo","Libra","Scorpio","Sagittarius","Capricorn","Aquarius","Pisces"},0),12)+1)=3),AND(CALC_PlanetPositions!$M$10="Malefic",(MOD(MATCH(CALC_PlanetPositions!$B$10,{"Aries","Taurus","Gemini","Cancer","Leo","Virgo","Libra","Scorpio","Sagittarius","Capricorn","Aquarius","Pisces"},0)-MATCH(CALC_PlanetPositions!$B$7,{"Aries","Taurus","Gemini","Cancer","Leo","Virgo","Libra","Scorpio","Sagittarius","Capricorn","Aquarius","Pisces"},0),12)+1)=3),AND(CALC_PlanetPositions!$M$11="Malefic",(MOD(MATCH(CALC_PlanetPositions!$B$11,{"Aries","Taurus","Gemini","Cancer","Leo","Virgo","Libra","Scorpio","Sagittarius","Capricorn","Aquarius","Pisces"},0)-MATCH(CALC_PlanetPositions!$B$7,{"Aries","Taurus","Gemini","Cancer","Leo","Virgo","Libra","Scorpio","Sagittarius","Capricorn","Aquarius","Pisces"},0),12)+1)=3),AND(CALC_PlanetPositions!$M$12="Malefic",(MOD(MATCH(CALC_PlanetPositions!$B$12,{"Aries","Taurus","Gemini","Cancer","Leo","Virgo","Libra","Scorpio","Sagittarius","Capricorn","Aquarius","Pisces"},0)-MATCH(CALC_PlanetPositions!$B$7,{"Aries","Taurus","Gemini","Cancer","Leo","Virgo","Libra","Scorpio","Sagittarius","Capricorn","Aquarius","Pisces"},0),12)+1)=3),AND(CALC_PlanetPositions!$M$13="Malefic",(MOD(MATCH(CALC_PlanetPositions!$B$13,{"Aries","Taurus","Gemini","Cancer","Leo","Virgo","Libra","Scorpio","Sagittarius","Capricorn","Aquarius","Pisces"},0)-MATCH(CALC_PlanetPositions!$B$7,{"Aries","Taurus","Gemini","Cancer","Leo","Virgo","Libra","Scorpio","Sagittarius","Capricorn","Aquarius","Pisces"},0),12)+1)=3),AND(TRUE(),(MOD(MATCH(CALC_PlanetPositions!$B$14,{"Aries","Taurus","Gemini","Cancer","Leo","Virgo","Libra","Scorpio","Sagittarius","Capricorn","Aquarius","Pisces"},0)-MATCH(CALC_PlanetPositions!$B$7,{"Aries","Taurus","Gemini","Cancer","Leo","Virgo","Libra","Scorpio","Sagittarius","Capricorn","Aquarius","Pisces"},0),12)+1)=3),AND(TRUE(),(MOD(MATCH(CALC_PlanetPositions!$B$15,{"Aries","Taurus","Gemini","Cancer","Leo","Virgo","Libra","Scorpio","Sagittarius","Capricorn","Aquarius","Pisces"},0)-MATCH(CALC_PlanetPositions!$B$7,{"Aries","Taurus","Gemini","Cancer","Leo","Virgo","Libra","Scorpio","Sagittarius","Capricorn","Aquarius","Pisces"},0),12)+1)=3)),1,0),0))*-1,0)</f>
        <v>0</v>
      </c>
      <c r="D15" s="400" t="s">
        <v>4623</v>
      </c>
    </row>
    <row r="16" spans="1:12" ht="27.75" customHeight="1" x14ac:dyDescent="0.2">
      <c r="A16" s="147" t="s">
        <v>4624</v>
      </c>
      <c r="B16" s="203" t="s">
        <v>4548</v>
      </c>
      <c r="C16" s="1118">
        <f>IFERROR((IFERROR(IF(OR(AND(CALC_PlanetPositions!$M$7="Malefic",INDEX(REF_Aspects!$D$5:$O$13,1,MOD(3-(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3)),AND(CALC_PlanetPositions!$M$8="Malefic",INDEX(REF_Aspects!$D$5:$O$13,2,MOD(3-(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3)),AND(CALC_PlanetPositions!$M$9="Malefic",INDEX(REF_Aspects!$D$5:$O$13,3,MOD(3-(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3)),AND(CALC_PlanetPositions!$M$10="Malefic",INDEX(REF_Aspects!$D$5:$O$13,4,MOD(3-(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3)),AND(CALC_PlanetPositions!$M$11="Malefic",INDEX(REF_Aspects!$D$5:$O$13,5,MOD(3-(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3)),AND(CALC_PlanetPositions!$M$12="Malefic",INDEX(REF_Aspects!$D$5:$O$13,6,MOD(3-(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3)),AND(CALC_PlanetPositions!$M$13="Malefic",INDEX(REF_Aspects!$D$5:$O$13,7,MOD(3-(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3)),AND(TRUE(),INDEX(REF_Aspects!$D$5:$O$13,8,MOD(3-(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3)),AND(TRUE(),INDEX(REF_Aspects!$D$5:$O$13,9,MOD(3-(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3))),1,0),0))*-1,0)</f>
        <v>-1</v>
      </c>
      <c r="D16" s="403" t="s">
        <v>4625</v>
      </c>
    </row>
    <row r="17" spans="1:7" ht="27.75" customHeight="1" x14ac:dyDescent="0.2">
      <c r="A17" s="147" t="s">
        <v>4626</v>
      </c>
      <c r="B17" s="357" t="s">
        <v>3062</v>
      </c>
      <c r="C17" s="1117">
        <v>0</v>
      </c>
      <c r="D17" s="400" t="s">
        <v>4627</v>
      </c>
    </row>
    <row r="18" spans="1:7" ht="27.75" customHeight="1" x14ac:dyDescent="0.2">
      <c r="A18" s="147"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(3-2,12)+1)),AND(CALC_PlanetPositions!$M$8="Malefic",MOD(MATCH(CALC_PlanetPositions!$B$8,{"Aries","Taurus","Gemini","Cancer","Leo","Virgo","Libra","Scorpio","Sagittarius","Capricorn","Aquarius","Pisces"},0)-MATCH(CALC_PlanetPositions!$B$7,{"Aries","Taurus","Gemini","Cancer","Leo","Virgo","Libra","Scorpio","Sagittarius","Capricorn","Aquarius","Pisces"},0),12)+1=(MOD(3-2,12)+1)),AND(CALC_PlanetPositions!$M$9="Malefic",MOD(MATCH(CALC_PlanetPositions!$B$9,{"Aries","Taurus","Gemini","Cancer","Leo","Virgo","Libra","Scorpio","Sagittarius","Capricorn","Aquarius","Pisces"},0)-MATCH(CALC_PlanetPositions!$B$7,{"Aries","Taurus","Gemini","Cancer","Leo","Virgo","Libra","Scorpio","Sagittarius","Capricorn","Aquarius","Pisces"},0),12)+1=(MOD(3-2,12)+1)),AND(CALC_PlanetPositions!$M$10="Malefic",MOD(MATCH(CALC_PlanetPositions!$B$10,{"Aries","Taurus","Gemini","Cancer","Leo","Virgo","Libra","Scorpio","Sagittarius","Capricorn","Aquarius","Pisces"},0)-MATCH(CALC_PlanetPositions!$B$7,{"Aries","Taurus","Gemini","Cancer","Leo","Virgo","Libra","Scorpio","Sagittarius","Capricorn","Aquarius","Pisces"},0),12)+1=(MOD(3-2,12)+1)),AND(CALC_PlanetPositions!$M$11="Malefic",MOD(MATCH(CALC_PlanetPositions!$B$11,{"Aries","Taurus","Gemini","Cancer","Leo","Virgo","Libra","Scorpio","Sagittarius","Capricorn","Aquarius","Pisces"},0)-MATCH(CALC_PlanetPositions!$B$7,{"Aries","Taurus","Gemini","Cancer","Leo","Virgo","Libra","Scorpio","Sagittarius","Capricorn","Aquarius","Pisces"},0),12)+1=(MOD(3-2,12)+1)),AND(CALC_PlanetPositions!$M$12="Malefic",MOD(MATCH(CALC_PlanetPositions!$B$12,{"Aries","Taurus","Gemini","Cancer","Leo","Virgo","Libra","Scorpio","Sagittarius","Capricorn","Aquarius","Pisces"},0)-MATCH(CALC_PlanetPositions!$B$7,{"Aries","Taurus","Gemini","Cancer","Leo","Virgo","Libra","Scorpio","Sagittarius","Capricorn","Aquarius","Pisces"},0),12)+1=(MOD(3-2,12)+1)),AND(CALC_PlanetPositions!$M$13="Malefic",MOD(MATCH(CALC_PlanetPositions!$B$13,{"Aries","Taurus","Gemini","Cancer","Leo","Virgo","Libra","Scorpio","Sagittarius","Capricorn","Aquarius","Pisces"},0)-MATCH(CALC_PlanetPositions!$B$7,{"Aries","Taurus","Gemini","Cancer","Leo","Virgo","Libra","Scorpio","Sagittarius","Capricorn","Aquarius","Pisces"},0),12)+1=(MOD(3-2,12)+1)),AND(TRUE(),MOD(MATCH(CALC_PlanetPositions!$B$14,{"Aries","Taurus","Gemini","Cancer","Leo","Virgo","Libra","Scorpio","Sagittarius","Capricorn","Aquarius","Pisces"},0)-MATCH(CALC_PlanetPositions!$B$7,{"Aries","Taurus","Gemini","Cancer","Leo","Virgo","Libra","Scorpio","Sagittarius","Capricorn","Aquarius","Pisces"},0),12)+1=(MOD(3-2,12)+1)),AND(TRUE(),MOD(MATCH(CALC_PlanetPositions!$B$15,{"Aries","Taurus","Gemini","Cancer","Leo","Virgo","Libra","Scorpio","Sagittarius","Capricorn","Aquarius","Pisces"},0)-MATCH(CALC_PlanetPositions!$B$7,{"Aries","Taurus","Gemini","Cancer","Leo","Virgo","Libra","Scorpio","Sagittarius","Capricorn","Aquarius","Pisces"},0),12)+1=(MOD(3-2,12)+1))),OR(AND(CALC_PlanetPositions!$M$7="Malefic",MOD(MATCH(CALC_PlanetPositions!$B$7,{"Aries","Taurus","Gemini","Cancer","Leo","Virgo","Libra","Scorpio","Sagittarius","Capricorn","Aquarius","Pisces"},0)-MATCH(CALC_PlanetPositions!$B$7,{"Aries","Taurus","Gemini","Cancer","Leo","Virgo","Libra","Scorpio","Sagittarius","Capricorn","Aquarius","Pisces"},0),12)+1=(MOD(3,12)+1)),AND(CALC_PlanetPositions!$M$8="Malefic",MOD(MATCH(CALC_PlanetPositions!$B$8,{"Aries","Taurus","Gemini","Cancer","Leo","Virgo","Libra","Scorpio","Sagittarius","Capricorn","Aquarius","Pisces"},0)-MATCH(CALC_PlanetPositions!$B$7,{"Aries","Taurus","Gemini","Cancer","Leo","Virgo","Libra","Scorpio","Sagittarius","Capricorn","Aquarius","Pisces"},0),12)+1=(MOD(3,12)+1)),AND(CALC_PlanetPositions!$M$9="Malefic",MOD(MATCH(CALC_PlanetPositions!$B$9,{"Aries","Taurus","Gemini","Cancer","Leo","Virgo","Libra","Scorpio","Sagittarius","Capricorn","Aquarius","Pisces"},0)-MATCH(CALC_PlanetPositions!$B$7,{"Aries","Taurus","Gemini","Cancer","Leo","Virgo","Libra","Scorpio","Sagittarius","Capricorn","Aquarius","Pisces"},0),12)+1=(MOD(3,12)+1)),AND(CALC_PlanetPositions!$M$10="Malefic",MOD(MATCH(CALC_PlanetPositions!$B$10,{"Aries","Taurus","Gemini","Cancer","Leo","Virgo","Libra","Scorpio","Sagittarius","Capricorn","Aquarius","Pisces"},0)-MATCH(CALC_PlanetPositions!$B$7,{"Aries","Taurus","Gemini","Cancer","Leo","Virgo","Libra","Scorpio","Sagittarius","Capricorn","Aquarius","Pisces"},0),12)+1=(MOD(3,12)+1)),AND(CALC_PlanetPositions!$M$11="Malefic",MOD(MATCH(CALC_PlanetPositions!$B$11,{"Aries","Taurus","Gemini","Cancer","Leo","Virgo","Libra","Scorpio","Sagittarius","Capricorn","Aquarius","Pisces"},0)-MATCH(CALC_PlanetPositions!$B$7,{"Aries","Taurus","Gemini","Cancer","Leo","Virgo","Libra","Scorpio","Sagittarius","Capricorn","Aquarius","Pisces"},0),12)+1=(MOD(3,12)+1)),AND(CALC_PlanetPositions!$M$12="Malefic",MOD(MATCH(CALC_PlanetPositions!$B$12,{"Aries","Taurus","Gemini","Cancer","Leo","Virgo","Libra","Scorpio","Sagittarius","Capricorn","Aquarius","Pisces"},0)-MATCH(CALC_PlanetPositions!$B$7,{"Aries","Taurus","Gemini","Cancer","Leo","Virgo","Libra","Scorpio","Sagittarius","Capricorn","Aquarius","Pisces"},0),12)+1=(MOD(3,12)+1)),AND(CALC_PlanetPositions!$M$13="Malefic",MOD(MATCH(CALC_PlanetPositions!$B$13,{"Aries","Taurus","Gemini","Cancer","Leo","Virgo","Libra","Scorpio","Sagittarius","Capricorn","Aquarius","Pisces"},0)-MATCH(CALC_PlanetPositions!$B$7,{"Aries","Taurus","Gemini","Cancer","Leo","Virgo","Libra","Scorpio","Sagittarius","Capricorn","Aquarius","Pisces"},0),12)+1=(MOD(3,12)+1)),AND(TRUE(),MOD(MATCH(CALC_PlanetPositions!$B$14,{"Aries","Taurus","Gemini","Cancer","Leo","Virgo","Libra","Scorpio","Sagittarius","Capricorn","Aquarius","Pisces"},0)-MATCH(CALC_PlanetPositions!$B$7,{"Aries","Taurus","Gemini","Cancer","Leo","Virgo","Libra","Scorpio","Sagittarius","Capricorn","Aquarius","Pisces"},0),12)+1=(MOD(3,12)+1)),AND(TRUE(),MOD(MATCH(CALC_PlanetPositions!$B$15,{"Aries","Taurus","Gemini","Cancer","Leo","Virgo","Libra","Scorpio","Sagittarius","Capricorn","Aquarius","Pisces"},0)-MATCH(CALC_PlanetPositions!$B$7,{"Aries","Taurus","Gemini","Cancer","Leo","Virgo","Libra","Scorpio","Sagittarius","Capricorn","Aquarius","Pisces"},0),12)+1=(MOD(3,12)+1)))),1,0),0))*IF(REF_Config!$B$6="KP",-0.75,IF(REF_Config!$B$6="Jaimini",-0.5,-0.75)),0)</f>
        <v>0</v>
      </c>
      <c r="D18" s="403" t="s">
        <v>4629</v>
      </c>
    </row>
    <row r="19" spans="1:7" ht="15.75" customHeight="1" x14ac:dyDescent="0.2">
      <c r="A19" s="1594" t="s">
        <v>3624</v>
      </c>
      <c r="B19" s="1594"/>
      <c r="C19" s="1594"/>
      <c r="D19" s="1594"/>
    </row>
    <row r="20" spans="1:7" ht="27.75" customHeight="1" x14ac:dyDescent="0.2">
      <c r="A20" s="147" t="s">
        <v>4630</v>
      </c>
      <c r="B20" s="357" t="s">
        <v>4555</v>
      </c>
      <c r="C20" s="1117">
        <v>0</v>
      </c>
      <c r="D20" s="400" t="s">
        <v>4631</v>
      </c>
    </row>
    <row r="21" spans="1:7" ht="27.75" customHeight="1" x14ac:dyDescent="0.2">
      <c r="A21" s="147" t="s">
        <v>4632</v>
      </c>
      <c r="B21" s="203" t="s">
        <v>4633</v>
      </c>
      <c r="C21" s="1118">
        <f>IFERROR((IFERROR(IF(OR(AND(CALC_PlanetPositions!$M$7="Malefic",INDEX(REF_Aspects!$D$5:$O$13,1,MOD(CALC_SuryaLagna!$F$6-(MOD(MATCH(CALC_PlanetPositions!$B$7,{"Aries","Taurus","Gemini","Cancer","Leo","Virgo","Libra","Scorpio","Sagittarius","Capricorn","Aquarius","Pisces"},0)-MATCH(CALC_PlanetPositions!$B$7,{"Aries","Taurus","Gemini","Cancer","Leo","Virgo","Libra","Scorpio","Sagittarius","Capricorn","Aquarius","Pisces"},0),12)+1),12)+1)="FULL",NOT(CALC_PlanetPositions!$B$7=CALC_SuryaLagna!$E$6)),AND(CALC_PlanetPositions!$M$8="Malefic",INDEX(REF_Aspects!$D$5:$O$13,2,MOD(CALC_SuryaLagna!$F$6-(MOD(MATCH(CALC_PlanetPositions!$B$8,{"Aries","Taurus","Gemini","Cancer","Leo","Virgo","Libra","Scorpio","Sagittarius","Capricorn","Aquarius","Pisces"},0)-MATCH(CALC_PlanetPositions!$B$7,{"Aries","Taurus","Gemini","Cancer","Leo","Virgo","Libra","Scorpio","Sagittarius","Capricorn","Aquarius","Pisces"},0),12)+1),12)+1)="FULL",NOT(CALC_PlanetPositions!$B$8=CALC_SuryaLagna!$E$6)),AND(CALC_PlanetPositions!$M$9="Malefic",INDEX(REF_Aspects!$D$5:$O$13,3,MOD(CALC_SuryaLagna!$F$6-(MOD(MATCH(CALC_PlanetPositions!$B$9,{"Aries","Taurus","Gemini","Cancer","Leo","Virgo","Libra","Scorpio","Sagittarius","Capricorn","Aquarius","Pisces"},0)-MATCH(CALC_PlanetPositions!$B$7,{"Aries","Taurus","Gemini","Cancer","Leo","Virgo","Libra","Scorpio","Sagittarius","Capricorn","Aquarius","Pisces"},0),12)+1),12)+1)="FULL",NOT(CALC_PlanetPositions!$B$9=CALC_SuryaLagna!$E$6)),AND(CALC_PlanetPositions!$M$10="Malefic",INDEX(REF_Aspects!$D$5:$O$13,4,MOD(CALC_SuryaLagna!$F$6-(MOD(MATCH(CALC_PlanetPositions!$B$10,{"Aries","Taurus","Gemini","Cancer","Leo","Virgo","Libra","Scorpio","Sagittarius","Capricorn","Aquarius","Pisces"},0)-MATCH(CALC_PlanetPositions!$B$7,{"Aries","Taurus","Gemini","Cancer","Leo","Virgo","Libra","Scorpio","Sagittarius","Capricorn","Aquarius","Pisces"},0),12)+1),12)+1)="FULL",NOT(CALC_PlanetPositions!$B$10=CALC_SuryaLagna!$E$6)),AND(CALC_PlanetPositions!$M$11="Malefic",INDEX(REF_Aspects!$D$5:$O$13,5,MOD(CALC_SuryaLagna!$F$6-(MOD(MATCH(CALC_PlanetPositions!$B$11,{"Aries","Taurus","Gemini","Cancer","Leo","Virgo","Libra","Scorpio","Sagittarius","Capricorn","Aquarius","Pisces"},0)-MATCH(CALC_PlanetPositions!$B$7,{"Aries","Taurus","Gemini","Cancer","Leo","Virgo","Libra","Scorpio","Sagittarius","Capricorn","Aquarius","Pisces"},0),12)+1),12)+1)="FULL",NOT(CALC_PlanetPositions!$B$11=CALC_SuryaLagna!$E$6)),AND(CALC_PlanetPositions!$M$12="Malefic",INDEX(REF_Aspects!$D$5:$O$13,6,MOD(CALC_SuryaLagna!$F$6-(MOD(MATCH(CALC_PlanetPositions!$B$12,{"Aries","Taurus","Gemini","Cancer","Leo","Virgo","Libra","Scorpio","Sagittarius","Capricorn","Aquarius","Pisces"},0)-MATCH(CALC_PlanetPositions!$B$7,{"Aries","Taurus","Gemini","Cancer","Leo","Virgo","Libra","Scorpio","Sagittarius","Capricorn","Aquarius","Pisces"},0),12)+1),12)+1)="FULL",NOT(CALC_PlanetPositions!$B$12=CALC_SuryaLagna!$E$6)),AND(CALC_PlanetPositions!$M$13="Malefic",INDEX(REF_Aspects!$D$5:$O$13,7,MOD(CALC_SuryaLagna!$F$6-(MOD(MATCH(CALC_PlanetPositions!$B$13,{"Aries","Taurus","Gemini","Cancer","Leo","Virgo","Libra","Scorpio","Sagittarius","Capricorn","Aquarius","Pisces"},0)-MATCH(CALC_PlanetPositions!$B$7,{"Aries","Taurus","Gemini","Cancer","Leo","Virgo","Libra","Scorpio","Sagittarius","Capricorn","Aquarius","Pisces"},0),12)+1),12)+1)="FULL",NOT(CALC_PlanetPositions!$B$13=CALC_SuryaLagna!$E$6)),AND(TRUE(),INDEX(REF_Aspects!$D$5:$O$13,8,MOD(CALC_SuryaLagna!$F$6-(MOD(MATCH(CALC_PlanetPositions!$B$14,{"Aries","Taurus","Gemini","Cancer","Leo","Virgo","Libra","Scorpio","Sagittarius","Capricorn","Aquarius","Pisces"},0)-MATCH(CALC_PlanetPositions!$B$7,{"Aries","Taurus","Gemini","Cancer","Leo","Virgo","Libra","Scorpio","Sagittarius","Capricorn","Aquarius","Pisces"},0),12)+1),12)+1)="FULL",NOT(CALC_PlanetPositions!$B$14=CALC_SuryaLagna!$E$6)),AND(TRUE(),INDEX(REF_Aspects!$D$5:$O$13,9,MOD(CALC_SuryaLagna!$F$6-(MOD(MATCH(CALC_PlanetPositions!$B$15,{"Aries","Taurus","Gemini","Cancer","Leo","Virgo","Libra","Scorpio","Sagittarius","Capricorn","Aquarius","Pisces"},0)-MATCH(CALC_PlanetPositions!$B$7,{"Aries","Taurus","Gemini","Cancer","Leo","Virgo","Libra","Scorpio","Sagittarius","Capricorn","Aquarius","Pisces"},0),12)+1),12)+1)="FULL",NOT(CALC_PlanetPositions!$B$15=CALC_SuryaLagna!$E$6))),1,0),0))*-0.5,0)</f>
        <v>-0.5</v>
      </c>
      <c r="D21" s="403" t="s">
        <v>4634</v>
      </c>
    </row>
    <row r="22" spans="1:7" ht="27.75" customHeight="1" x14ac:dyDescent="0.2">
      <c r="A22" s="147" t="s">
        <v>4635</v>
      </c>
      <c r="B22" s="357" t="s">
        <v>3042</v>
      </c>
      <c r="C22" s="1117">
        <f>IFERROR((IFERROR(IF(CALC_SuryaLagna!$I$6="Yes",1,0),0))*IF(REF_Config!$B$6="KP",-1.75,IF(REF_Config!$B$6="Jaimini",-2,-2)),0)</f>
        <v>0</v>
      </c>
      <c r="D22" s="400" t="s">
        <v>4636</v>
      </c>
    </row>
    <row r="23" spans="1:7" ht="27.75" customHeight="1" x14ac:dyDescent="0.2">
      <c r="A23" s="147" t="s">
        <v>4637</v>
      </c>
      <c r="B23" s="203" t="s">
        <v>3059</v>
      </c>
      <c r="C23" s="1118">
        <f>IFERROR((IFERROR(IF(OR(AND(CALC_SuryaLagna!$E$9=CALC_SuryaLagna!$E$6,CALC_SuryaLagna!$D$9&lt;&gt;CALC_SuryaLagna!$D$6),AND(CALC_SuryaLagna!$E$11=CALC_SuryaLagna!$E$6,CALC_SuryaLagna!$D$11&lt;&gt;CALC_SuryaLagna!$D$6),AND(CALC_SuryaLagna!$E$15=CALC_SuryaLagna!$E$6,CALC_SuryaLagna!$D$15&lt;&gt;CALC_SuryaLagna!$D$6)),1,0),0))*-1,0)</f>
        <v>-1</v>
      </c>
      <c r="D23" s="403" t="s">
        <v>4638</v>
      </c>
    </row>
    <row r="24" spans="1:7" ht="15.75" customHeight="1" x14ac:dyDescent="0.2">
      <c r="A24" s="1484" t="s">
        <v>4639</v>
      </c>
      <c r="B24" s="1484"/>
      <c r="C24" s="1484"/>
      <c r="D24" s="1484"/>
    </row>
    <row r="25" spans="1:7" ht="27.75" customHeight="1" x14ac:dyDescent="0.2">
      <c r="A25" s="147" t="s">
        <v>4640</v>
      </c>
      <c r="B25" s="357" t="s">
        <v>3084</v>
      </c>
      <c r="C25" s="1117">
        <f>IFERROR(IF(CALC_KarakMap!$M$7&gt;0,CALC_KarakMap!$M$7,0),0)</f>
        <v>0</v>
      </c>
      <c r="D25" s="400" t="s">
        <v>4641</v>
      </c>
    </row>
    <row r="26" spans="1:7" ht="27.75" customHeight="1" x14ac:dyDescent="0.2">
      <c r="A26" s="147" t="s">
        <v>4642</v>
      </c>
      <c r="B26" s="203" t="s">
        <v>4564</v>
      </c>
      <c r="C26" s="1118">
        <f>IFERROR(IF(CALC_KarakMap!$M$7&lt;0,CALC_KarakMap!$M$7,0),0)</f>
        <v>0</v>
      </c>
      <c r="D26" s="403" t="s">
        <v>4643</v>
      </c>
    </row>
    <row r="27" spans="1:7" ht="27.75" customHeight="1" x14ac:dyDescent="0.2">
      <c r="A27" s="1119" t="s">
        <v>4644</v>
      </c>
      <c r="B27" s="296" t="s">
        <v>3624</v>
      </c>
      <c r="C27" s="1117">
        <f>IFERROR(IF(OR(CALC_SuryaLagna!$D$6="Sun",CALC_SuryaLagna!$D$6="Rahu",CALC_SuryaLagna!$D$6="Ketu"),0,IF(CALC_SuryaLagna!$D$6="Moon",IF(CALC_CombustionCheck!$G$4="Cazimi ✓",0.5,IF(CALC_CombustionCheck!$F$4="COMBUST ⚠",-1,0)),IF(CALC_SuryaLagna!$D$6="Mars",IF(CALC_CombustionCheck!$G$5="Cazimi ✓",0.5,IF(AND(CALC_CombustionCheck!$F$5="COMBUST ⚠",CALC_RetrogradeFix!$F$6="Rx ✓"),-0.5,IF(CALC_CombustionCheck!$F$5="COMBUST ⚠",-1,0))),IF(CALC_SuryaLagna!$D$6="Mercury",IF(CALC_CombustionCheck!$G$6="Cazimi ✓",0.5,IF(AND(CALC_CombustionCheck!$F$6="COMBUST ⚠",CALC_RetrogradeFix!$F$7="Rx ✓"),-0.5,IF(CALC_CombustionCheck!$F$6="COMBUST ⚠",-1,0))),IF(CALC_SuryaLagna!$D$6="Jupiter",IF(CALC_CombustionCheck!$G$7="Cazimi ✓",0.5,IF(AND(CALC_CombustionCheck!$F$7="COMBUST ⚠",CALC_RetrogradeFix!$F$8="Rx ✓"),-0.5,IF(CALC_CombustionCheck!$F$7="COMBUST ⚠",-1,0))),IF(CALC_SuryaLagna!$D$6="Venus",IF(CALC_CombustionCheck!$G$8="Cazimi ✓",0.5,IF(AND(CALC_CombustionCheck!$F$8="COMBUST ⚠",CALC_RetrogradeFix!$F$9="Rx ✓"),-0.5,IF(CALC_CombustionCheck!$F$8="COMBUST ⚠",-1,0))),IF(CALC_SuryaLagna!$D$6="Saturn",IF(CALC_CombustionCheck!$G$9="Cazimi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SuryaLagna!$D$6="Rahu",CALC_SuryaLagna!$D$6="Ketu"),0,IF(ISNUMBER(MATCH(CALC_SuryaLagna!$D$6,{"Sun","Moon","Mars","Mercury","Jupiter","Venus","Saturn"},0)),IF(INDEX(CALC_DigBala!$F$4:$F$10,MATCH(CALC_SuryaLagna!$D$6,{"Sun","Moon","Mars","Mercury","Jupiter","Venus","Saturn"},0))="Yes",0.5,0),0)),0)</f>
        <v>0</v>
      </c>
      <c r="D28" s="400" t="s">
        <v>4647</v>
      </c>
    </row>
    <row r="29" spans="1:7" ht="27.75" customHeight="1" x14ac:dyDescent="0.2">
      <c r="A29" s="1120" t="s">
        <v>4648</v>
      </c>
      <c r="B29" s="296" t="s">
        <v>3372</v>
      </c>
      <c r="C29" s="1117">
        <f>IFERROR(IF(COUNTIFS(REF_PushkaraNavamsha!$A$4:$A$27,CALC_SuryaLagna!$E$6,REF_PushkaraNavamsha!$B$4:$B$27,INDEX(CALC_PlanetPositions!$G$7:$G$15,MATCH(CALC_SuryaLagna!$D$6,CALC_PlanetPositions!$A$7:$A$15,0)))&gt;0,0.5,0),0)</f>
        <v>0.5</v>
      </c>
      <c r="D29" s="400" t="s">
        <v>4649</v>
      </c>
    </row>
    <row r="30" spans="1:7" ht="25.5" customHeight="1" x14ac:dyDescent="0.2">
      <c r="A30" s="147" t="s">
        <v>4650</v>
      </c>
      <c r="B30" s="1121" t="s">
        <v>4651</v>
      </c>
      <c r="C30" s="1122">
        <f>IFERROR(IF(ISNUMBER(MATCH(CALC_SuryaLagna!$D$6,{"Sun","Moon","Mars","Mercury","Jupiter","Venus","Saturn"},0)),INDEX(CALC_RetrogradeFix!$G$4:$G$10,MATCH(CALC_SuryaLagna!$D$6,{"Sun","Moon","Mars","Mercury","Jupiter","Venus","Saturn"},0)),0),0)</f>
        <v>0</v>
      </c>
      <c r="D30" s="1123" t="s">
        <v>4652</v>
      </c>
    </row>
    <row r="31" spans="1:7" ht="18" customHeight="1" x14ac:dyDescent="0.2">
      <c r="A31" s="1555" t="s">
        <v>4653</v>
      </c>
      <c r="B31" s="1555"/>
      <c r="C31" s="1555"/>
      <c r="D31" s="1555"/>
      <c r="E31" s="1124" t="s">
        <v>4654</v>
      </c>
      <c r="F31" s="1125">
        <f>IFERROR(IF(CALC_Ashtakavarga!D$12&gt;28,0.5,IF(CALC_Ashtakavarga!D$12&lt;22,-0.5,0)),0)</f>
        <v>-0.5</v>
      </c>
      <c r="G31" s="1126" t="s">
        <v>4655</v>
      </c>
    </row>
    <row r="32" spans="1:7" ht="18" customHeight="1" x14ac:dyDescent="0.2">
      <c r="A32" s="189" t="s">
        <v>3367</v>
      </c>
      <c r="B32" s="1127" t="s">
        <v>4656</v>
      </c>
      <c r="C32" s="1128">
        <f>IFERROR(SUM(C5:C7),0)</f>
        <v>2.75</v>
      </c>
      <c r="D32" s="1129"/>
    </row>
    <row r="33" spans="1:4" ht="18" customHeight="1" x14ac:dyDescent="0.2">
      <c r="A33" s="189" t="s">
        <v>3372</v>
      </c>
      <c r="B33" s="1127" t="s">
        <v>4657</v>
      </c>
      <c r="C33" s="1128">
        <f>IFERROR(SUM(C9:C13,C28:C30,F31,0),0)</f>
        <v>4</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4.25</v>
      </c>
      <c r="D37" s="1129"/>
    </row>
    <row r="38" spans="1:4" ht="21.75" customHeight="1" x14ac:dyDescent="0.2">
      <c r="A38" s="89" t="s">
        <v>4661</v>
      </c>
      <c r="B38" s="1129"/>
      <c r="C38" s="1131">
        <f>IFERROR(MAX(-10,MIN(10,C37)),0)</f>
        <v>4.25</v>
      </c>
      <c r="D38" s="1132"/>
    </row>
    <row r="39" spans="1:4" ht="18" customHeight="1" x14ac:dyDescent="0.2">
      <c r="A39" s="517" t="s">
        <v>4662</v>
      </c>
      <c r="B39" s="1129"/>
      <c r="C39" s="1133">
        <f>IFERROR(CALC_LagneshStrength!$I$4,0)</f>
        <v>0</v>
      </c>
      <c r="D39" s="1129"/>
    </row>
    <row r="40" spans="1:4" ht="25.5" customHeight="1" x14ac:dyDescent="0.2">
      <c r="A40" s="1" t="s">
        <v>4663</v>
      </c>
      <c r="B40" s="1129"/>
      <c r="C40" s="1140">
        <f>IFERROR(MAX(-10,MIN(10,C38+C39+C41)),0)</f>
        <v>4.25</v>
      </c>
      <c r="D40" s="1141" t="str">
        <f>IFERROR(IF(C40&gt;=7,"Excellent — Courage domain very strong",IF(C40&gt;=4,"Good — Courage domain strong",IF(C40&gt;=1,"Moderate",IF(C40&gt;=-2,"Mixed — Courage has challenges",IF(C40&gt;=-5,"Weak","Very weak — Courage heavily afflicted"))))),"—")</f>
        <v>Good — Courage domain strong</v>
      </c>
    </row>
    <row r="41" spans="1:4" ht="18" customHeight="1" x14ac:dyDescent="0.2">
      <c r="A41" s="622" t="s">
        <v>4681</v>
      </c>
      <c r="B41" s="904" t="s">
        <v>4705</v>
      </c>
      <c r="C41" s="1160">
        <v>0</v>
      </c>
      <c r="D41" s="550" t="s">
        <v>4710</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4711</v>
      </c>
      <c r="B1" s="1518"/>
      <c r="C1" s="1518"/>
      <c r="D1" s="1518"/>
      <c r="L1" s="544" t="s">
        <v>2214</v>
      </c>
    </row>
    <row r="2" spans="1:12" ht="19.5" customHeight="1" x14ac:dyDescent="0.2">
      <c r="A2" s="1595" t="str">
        <f>IFERROR("Surya Lagna: "&amp;CALC_PlanetPositions!$B$7&amp;"  ·  H4 sign: "&amp;CALC_SuryaLagna!$C$7,"—")</f>
        <v>Surya Lagna: Cancer  ·  H4 sign: Libra</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2" t="s">
        <v>4605</v>
      </c>
      <c r="B5" s="357" t="s">
        <v>4529</v>
      </c>
      <c r="C5" s="1117">
        <f>IFERROR((IFERROR(IF(INDEX(REF_Zodiac!$D$17:$O$17,MATCH(CALC_SuryaLagna!$C$7,REF_Zodiac!$D$3:$O$3,0))="Gentle",1,0),0))*0.5,0)</f>
        <v>0.5</v>
      </c>
      <c r="D5" s="400" t="s">
        <v>4606</v>
      </c>
    </row>
    <row r="6" spans="1:12" ht="27.75" customHeight="1" x14ac:dyDescent="0.2">
      <c r="A6" s="122"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22" t="s">
        <v>4609</v>
      </c>
      <c r="B7" s="357" t="s">
        <v>4534</v>
      </c>
      <c r="C7" s="1117">
        <f>IFERROR((IFERROR(IF(OR(AND(OR(CALC_PlanetPositions!$M$7="Benefic",CALC_PlanetPositions!$M$7="Yogakaraka"),INDEX(REF_Aspects!$D$5:$O$13,1,MOD(4-(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4)),AND(OR(CALC_PlanetPositions!$M$8="Benefic",CALC_PlanetPositions!$M$8="Yogakaraka"),INDEX(REF_Aspects!$D$5:$O$13,2,MOD(4-(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4)),AND(OR(CALC_PlanetPositions!$M$9="Benefic",CALC_PlanetPositions!$M$9="Yogakaraka"),INDEX(REF_Aspects!$D$5:$O$13,3,MOD(4-(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4)),AND(OR(CALC_PlanetPositions!$M$10="Benefic",CALC_PlanetPositions!$M$10="Yogakaraka"),INDEX(REF_Aspects!$D$5:$O$13,4,MOD(4-(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4)),AND(OR(CALC_PlanetPositions!$M$11="Benefic",CALC_PlanetPositions!$M$11="Yogakaraka"),INDEX(REF_Aspects!$D$5:$O$13,5,MOD(4-(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4)),AND(OR(CALC_PlanetPositions!$M$12="Benefic",CALC_PlanetPositions!$M$12="Yogakaraka"),INDEX(REF_Aspects!$D$5:$O$13,6,MOD(4-(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4)),AND(OR(CALC_PlanetPositions!$M$13="Benefic",CALC_PlanetPositions!$M$13="Yogakaraka"),INDEX(REF_Aspects!$D$5:$O$13,7,MOD(4-(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4)),AND(FALSE(),INDEX(REF_Aspects!$D$5:$O$13,8,MOD(4-(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4)),AND(FALSE(),INDEX(REF_Aspects!$D$5:$O$13,9,MOD(4-(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4))),1,0),0))*IF(REF_Config!$B$6="KP",0.5,IF(REF_Config!$B$6="Jaimini",0.75,0.75)),0)</f>
        <v>0</v>
      </c>
      <c r="D7" s="400" t="s">
        <v>4610</v>
      </c>
    </row>
    <row r="8" spans="1:12" ht="15.75" customHeight="1" x14ac:dyDescent="0.2">
      <c r="A8" s="1597" t="s">
        <v>3372</v>
      </c>
      <c r="B8" s="1597"/>
      <c r="C8" s="1597"/>
      <c r="D8" s="1597"/>
    </row>
    <row r="9" spans="1:12" ht="27.75" customHeight="1" x14ac:dyDescent="0.2">
      <c r="A9" s="122" t="s">
        <v>4611</v>
      </c>
      <c r="B9" s="203" t="s">
        <v>4537</v>
      </c>
      <c r="C9" s="1118">
        <f>IFERROR(IF(AND(OR(CALC_SuryaLagna!$G$7="Yes",CALC_SuryaLagna!$H$7="Yes"),NOT(CALC_SuryaLagna!$I$7="Yes")),1,0)*IF(REF_Config!$B$6="KP",1.5,IF(REF_Config!$B$6="Jaimini",1.5,2)),0)</f>
        <v>2</v>
      </c>
      <c r="D9" s="403" t="s">
        <v>4612</v>
      </c>
    </row>
    <row r="10" spans="1:12" ht="27.75" customHeight="1" x14ac:dyDescent="0.2">
      <c r="A10" s="122" t="s">
        <v>4613</v>
      </c>
      <c r="B10" s="357" t="s">
        <v>3093</v>
      </c>
      <c r="C10" s="1117">
        <f>IFERROR((IFERROR(IF(OR(AND(CALC_SuryaLagna!$E$4=CALC_SuryaLagna!$E$7,CALC_SuryaLagna!$D$4&lt;&gt;CALC_SuryaLagna!$D$7),AND(CALC_SuryaLagna!$E$7=CALC_SuryaLagna!$E$7,CALC_SuryaLagna!$D$7&lt;&gt;CALC_SuryaLagna!$D$7),AND(CALC_SuryaLagna!$E$8=CALC_SuryaLagna!$E$7,CALC_SuryaLagna!$D$8&lt;&gt;CALC_SuryaLagna!$D$7),AND(CALC_SuryaLagna!$E$10=CALC_SuryaLagna!$E$7,CALC_SuryaLagna!$D$10&lt;&gt;CALC_SuryaLagna!$D$7),AND(CALC_SuryaLagna!$E$12=CALC_SuryaLagna!$E$7,CALC_SuryaLagna!$D$12&lt;&gt;CALC_SuryaLagna!$D$7),AND(CALC_SuryaLagna!$E$13=CALC_SuryaLagna!$E$7,CALC_SuryaLagna!$D$13&lt;&gt;CALC_SuryaLagna!$D$7)),1,0),0))*0.5,0)</f>
        <v>0.5</v>
      </c>
      <c r="D10" s="400" t="s">
        <v>4614</v>
      </c>
    </row>
    <row r="11" spans="1:12" ht="27.75" customHeight="1" x14ac:dyDescent="0.2">
      <c r="A11" s="122" t="s">
        <v>4615</v>
      </c>
      <c r="B11" s="203" t="s">
        <v>4540</v>
      </c>
      <c r="C11" s="1118">
        <f>IFERROR((IFERROR(IF(OR(AND(OR(CALC_PlanetPositions!$M$7="Benefic",CALC_PlanetPositions!$M$7="Yogakaraka"),CALC_PlanetPositions!$B$7=CALC_SuryaLagna!$E$7,CALC_SuryaLagna!$D$7&lt;&gt;"Sun"),AND(OR(CALC_PlanetPositions!$M$8="Benefic",CALC_PlanetPositions!$M$8="Yogakaraka"),CALC_PlanetPositions!$B$8=CALC_SuryaLagna!$E$7,CALC_SuryaLagna!$D$7&lt;&gt;"Moon"),AND(OR(CALC_PlanetPositions!$M$9="Benefic",CALC_PlanetPositions!$M$9="Yogakaraka"),CALC_PlanetPositions!$B$9=CALC_SuryaLagna!$E$7,CALC_SuryaLagna!$D$7&lt;&gt;"Mars"),AND(OR(CALC_PlanetPositions!$M$10="Benefic",CALC_PlanetPositions!$M$10="Yogakaraka"),CALC_PlanetPositions!$B$10=CALC_SuryaLagna!$E$7,CALC_SuryaLagna!$D$7&lt;&gt;"Mercury"),AND(OR(CALC_PlanetPositions!$M$11="Benefic",CALC_PlanetPositions!$M$11="Yogakaraka"),CALC_PlanetPositions!$B$11=CALC_SuryaLagna!$E$7,CALC_SuryaLagna!$D$7&lt;&gt;"Jupiter"),AND(OR(CALC_PlanetPositions!$M$12="Benefic",CALC_PlanetPositions!$M$12="Yogakaraka"),CALC_PlanetPositions!$B$12=CALC_SuryaLagna!$E$7,CALC_SuryaLagna!$D$7&lt;&gt;"Venus"),AND(OR(CALC_PlanetPositions!$M$13="Benefic",CALC_PlanetPositions!$M$13="Yogakaraka"),CALC_PlanetPositions!$B$13=CALC_SuryaLagna!$E$7,CALC_SuryaLagna!$D$7&lt;&gt;"Saturn")),1,0),0))*IF(OR(AND(CALC_PlanetPositions!$M$7="Yogakaraka",CALC_PlanetPositions!$B$7=CALC_SuryaLagna!$E$7,CALC_SuryaLagna!$D$7&lt;&gt;"Sun"),AND(CALC_PlanetPositions!$M$8="Yogakaraka",CALC_PlanetPositions!$B$8=CALC_SuryaLagna!$E$7,CALC_SuryaLagna!$D$7&lt;&gt;"Moon"),AND(CALC_PlanetPositions!$M$9="Yogakaraka",CALC_PlanetPositions!$B$9=CALC_SuryaLagna!$E$7,CALC_SuryaLagna!$D$7&lt;&gt;"Mars"),AND(CALC_PlanetPositions!$M$10="Yogakaraka",CALC_PlanetPositions!$B$10=CALC_SuryaLagna!$E$7,CALC_SuryaLagna!$D$7&lt;&gt;"Mercury"),AND(CALC_PlanetPositions!$M$11="Yogakaraka",CALC_PlanetPositions!$B$11=CALC_SuryaLagna!$E$7,CALC_SuryaLagna!$D$7&lt;&gt;"Jupiter"),AND(CALC_PlanetPositions!$M$12="Yogakaraka",CALC_PlanetPositions!$B$12=CALC_SuryaLagna!$E$7,CALC_SuryaLagna!$D$7&lt;&gt;"Venus"),AND(CALC_PlanetPositions!$M$13="Yogakaraka",CALC_PlanetPositions!$B$13=CALC_SuryaLagna!$E$7,CALC_SuryaLagna!$D$7&lt;&gt;"Saturn")),1.5,1),0)</f>
        <v>1.5</v>
      </c>
      <c r="D11" s="403" t="s">
        <v>4616</v>
      </c>
    </row>
    <row r="12" spans="1:12" ht="27.75" customHeight="1" x14ac:dyDescent="0.2">
      <c r="A12" s="122" t="s">
        <v>4617</v>
      </c>
      <c r="B12" s="357" t="s">
        <v>4542</v>
      </c>
      <c r="C12" s="1117">
        <f>IFERROR((IFERROR(IF(OR(AND(OR(CALC_PlanetPositions!$M$7="Benefic",CALC_PlanetPositions!$M$7="Yogakaraka"),INDEX(REF_Aspects!$D$5:$O$13,1,MOD(CALC_SuryaLagna!$F$7-(MOD(MATCH(CALC_PlanetPositions!$B$7,{"Aries","Taurus","Gemini","Cancer","Leo","Virgo","Libra","Scorpio","Sagittarius","Capricorn","Aquarius","Pisces"},0)-MATCH(CALC_PlanetPositions!$B$7,{"Aries","Taurus","Gemini","Cancer","Leo","Virgo","Libra","Scorpio","Sagittarius","Capricorn","Aquarius","Pisces"},0),12)+1),12)+1)="FULL",NOT(CALC_PlanetPositions!$B$7=CALC_SuryaLagna!$E$7)),AND(OR(CALC_PlanetPositions!$M$8="Benefic",CALC_PlanetPositions!$M$8="Yogakaraka"),INDEX(REF_Aspects!$D$5:$O$13,2,MOD(CALC_SuryaLagna!$F$7-(MOD(MATCH(CALC_PlanetPositions!$B$8,{"Aries","Taurus","Gemini","Cancer","Leo","Virgo","Libra","Scorpio","Sagittarius","Capricorn","Aquarius","Pisces"},0)-MATCH(CALC_PlanetPositions!$B$7,{"Aries","Taurus","Gemini","Cancer","Leo","Virgo","Libra","Scorpio","Sagittarius","Capricorn","Aquarius","Pisces"},0),12)+1),12)+1)="FULL",NOT(CALC_PlanetPositions!$B$8=CALC_SuryaLagna!$E$7)),AND(OR(CALC_PlanetPositions!$M$9="Benefic",CALC_PlanetPositions!$M$9="Yogakaraka"),INDEX(REF_Aspects!$D$5:$O$13,3,MOD(CALC_SuryaLagna!$F$7-(MOD(MATCH(CALC_PlanetPositions!$B$9,{"Aries","Taurus","Gemini","Cancer","Leo","Virgo","Libra","Scorpio","Sagittarius","Capricorn","Aquarius","Pisces"},0)-MATCH(CALC_PlanetPositions!$B$7,{"Aries","Taurus","Gemini","Cancer","Leo","Virgo","Libra","Scorpio","Sagittarius","Capricorn","Aquarius","Pisces"},0),12)+1),12)+1)="FULL",NOT(CALC_PlanetPositions!$B$9=CALC_SuryaLagna!$E$7)),AND(OR(CALC_PlanetPositions!$M$10="Benefic",CALC_PlanetPositions!$M$10="Yogakaraka"),INDEX(REF_Aspects!$D$5:$O$13,4,MOD(CALC_SuryaLagna!$F$7-(MOD(MATCH(CALC_PlanetPositions!$B$10,{"Aries","Taurus","Gemini","Cancer","Leo","Virgo","Libra","Scorpio","Sagittarius","Capricorn","Aquarius","Pisces"},0)-MATCH(CALC_PlanetPositions!$B$7,{"Aries","Taurus","Gemini","Cancer","Leo","Virgo","Libra","Scorpio","Sagittarius","Capricorn","Aquarius","Pisces"},0),12)+1),12)+1)="FULL",NOT(CALC_PlanetPositions!$B$10=CALC_SuryaLagna!$E$7)),AND(OR(CALC_PlanetPositions!$M$11="Benefic",CALC_PlanetPositions!$M$11="Yogakaraka"),INDEX(REF_Aspects!$D$5:$O$13,5,MOD(CALC_SuryaLagna!$F$7-(MOD(MATCH(CALC_PlanetPositions!$B$11,{"Aries","Taurus","Gemini","Cancer","Leo","Virgo","Libra","Scorpio","Sagittarius","Capricorn","Aquarius","Pisces"},0)-MATCH(CALC_PlanetPositions!$B$7,{"Aries","Taurus","Gemini","Cancer","Leo","Virgo","Libra","Scorpio","Sagittarius","Capricorn","Aquarius","Pisces"},0),12)+1),12)+1)="FULL",NOT(CALC_PlanetPositions!$B$11=CALC_SuryaLagna!$E$7)),AND(OR(CALC_PlanetPositions!$M$12="Benefic",CALC_PlanetPositions!$M$12="Yogakaraka"),INDEX(REF_Aspects!$D$5:$O$13,6,MOD(CALC_SuryaLagna!$F$7-(MOD(MATCH(CALC_PlanetPositions!$B$12,{"Aries","Taurus","Gemini","Cancer","Leo","Virgo","Libra","Scorpio","Sagittarius","Capricorn","Aquarius","Pisces"},0)-MATCH(CALC_PlanetPositions!$B$7,{"Aries","Taurus","Gemini","Cancer","Leo","Virgo","Libra","Scorpio","Sagittarius","Capricorn","Aquarius","Pisces"},0),12)+1),12)+1)="FULL",NOT(CALC_PlanetPositions!$B$12=CALC_SuryaLagna!$E$7)),AND(OR(CALC_PlanetPositions!$M$13="Benefic",CALC_PlanetPositions!$M$13="Yogakaraka"),INDEX(REF_Aspects!$D$5:$O$13,7,MOD(CALC_SuryaLagna!$F$7-(MOD(MATCH(CALC_PlanetPositions!$B$13,{"Aries","Taurus","Gemini","Cancer","Leo","Virgo","Libra","Scorpio","Sagittarius","Capricorn","Aquarius","Pisces"},0)-MATCH(CALC_PlanetPositions!$B$7,{"Aries","Taurus","Gemini","Cancer","Leo","Virgo","Libra","Scorpio","Sagittarius","Capricorn","Aquarius","Pisces"},0),12)+1),12)+1)="FULL",NOT(CALC_PlanetPositions!$B$13=CALC_SuryaLagna!$E$7)),AND(FALSE(),INDEX(REF_Aspects!$D$5:$O$13,8,MOD(CALC_SuryaLagna!$F$7-(MOD(MATCH(CALC_PlanetPositions!$B$14,{"Aries","Taurus","Gemini","Cancer","Leo","Virgo","Libra","Scorpio","Sagittarius","Capricorn","Aquarius","Pisces"},0)-MATCH(CALC_PlanetPositions!$B$7,{"Aries","Taurus","Gemini","Cancer","Leo","Virgo","Libra","Scorpio","Sagittarius","Capricorn","Aquarius","Pisces"},0),12)+1),12)+1)="FULL",NOT(CALC_PlanetPositions!$B$14=CALC_SuryaLagna!$E$7)),AND(FALSE(),INDEX(REF_Aspects!$D$5:$O$13,9,MOD(CALC_SuryaLagna!$F$7-(MOD(MATCH(CALC_PlanetPositions!$B$15,{"Aries","Taurus","Gemini","Cancer","Leo","Virgo","Libra","Scorpio","Sagittarius","Capricorn","Aquarius","Pisces"},0)-MATCH(CALC_PlanetPositions!$B$7,{"Aries","Taurus","Gemini","Cancer","Leo","Virgo","Libra","Scorpio","Sagittarius","Capricorn","Aquarius","Pisces"},0),12)+1),12)+1)="FULL",NOT(CALC_PlanetPositions!$B$15=CALC_SuryaLagna!$E$7))),1,0),0))*0.5,0)</f>
        <v>0</v>
      </c>
      <c r="D12" s="400" t="s">
        <v>4618</v>
      </c>
    </row>
    <row r="13" spans="1:12" ht="27.75" customHeight="1" x14ac:dyDescent="0.2">
      <c r="A13" s="122"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$7-2,12)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$7-2,12)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$7-2,12)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$7-2,12)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$7-2,12)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$7-2,12)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$7-2,12)+1)),AND(FALSE(),MOD(MATCH(CALC_PlanetPositions!$B$14,{"Aries","Taurus","Gemini","Cancer","Leo","Virgo","Libra","Scorpio","Sagittarius","Capricorn","Aquarius","Pisces"},0)-MATCH(CALC_PlanetPositions!$B$7,{"Aries","Taurus","Gemini","Cancer","Leo","Virgo","Libra","Scorpio","Sagittarius","Capricorn","Aquarius","Pisces"},0),12)+1=(MOD(CALC_SuryaLagna!$F$7-2,12)+1)),AND(FALSE(),MOD(MATCH(CALC_PlanetPositions!$B$15,{"Aries","Taurus","Gemini","Cancer","Leo","Virgo","Libra","Scorpio","Sagittarius","Capricorn","Aquarius","Pisces"},0)-MATCH(CALC_PlanetPositions!$B$7,{"Aries","Taurus","Gemini","Cancer","Leo","Virgo","Libra","Scorpio","Sagittarius","Capricorn","Aquarius","Pisces"},0),12)+1=(MOD(CALC_SuryaLagna!$F$7-2,12)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$7,12)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$7,12)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$7,12)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$7,12)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$7,12)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$7,12)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$7,12)+1)),AND(FALSE(),MOD(MATCH(CALC_PlanetPositions!$B$14,{"Aries","Taurus","Gemini","Cancer","Leo","Virgo","Libra","Scorpio","Sagittarius","Capricorn","Aquarius","Pisces"},0)-MATCH(CALC_PlanetPositions!$B$7,{"Aries","Taurus","Gemini","Cancer","Leo","Virgo","Libra","Scorpio","Sagittarius","Capricorn","Aquarius","Pisces"},0),12)+1=(MOD(CALC_SuryaLagna!$F$7,12)+1)),AND(FALSE(),MOD(MATCH(CALC_PlanetPositions!$B$15,{"Aries","Taurus","Gemini","Cancer","Leo","Virgo","Libra","Scorpio","Sagittarius","Capricorn","Aquarius","Pisces"},0)-MATCH(CALC_PlanetPositions!$B$7,{"Aries","Taurus","Gemini","Cancer","Leo","Virgo","Libra","Scorpio","Sagittarius","Capricorn","Aquarius","Pisces"},0),12)+1=(MOD(CALC_SuryaLagna!$F$7,12)+1)))),1,0),0))*IF(REF_Config!$B$6="KP",0.75,IF(REF_Config!$B$6="Jaimini",0.5,0.75)),0)</f>
        <v>0</v>
      </c>
      <c r="D13" s="403" t="s">
        <v>4620</v>
      </c>
    </row>
    <row r="14" spans="1:12" ht="15.75" customHeight="1" x14ac:dyDescent="0.2">
      <c r="A14" s="1598" t="s">
        <v>4621</v>
      </c>
      <c r="B14" s="1598"/>
      <c r="C14" s="1598"/>
      <c r="D14" s="1598"/>
    </row>
    <row r="15" spans="1:12" ht="27.75" customHeight="1" x14ac:dyDescent="0.2">
      <c r="A15" s="122"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4),AND(CALC_PlanetPositions!$M$8="Malefic",(MOD(MATCH(CALC_PlanetPositions!$B$8,{"Aries","Taurus","Gemini","Cancer","Leo","Virgo","Libra","Scorpio","Sagittarius","Capricorn","Aquarius","Pisces"},0)-MATCH(CALC_PlanetPositions!$B$7,{"Aries","Taurus","Gemini","Cancer","Leo","Virgo","Libra","Scorpio","Sagittarius","Capricorn","Aquarius","Pisces"},0),12)+1)=4),AND(CALC_PlanetPositions!$M$9="Malefic",(MOD(MATCH(CALC_PlanetPositions!$B$9,{"Aries","Taurus","Gemini","Cancer","Leo","Virgo","Libra","Scorpio","Sagittarius","Capricorn","Aquarius","Pisces"},0)-MATCH(CALC_PlanetPositions!$B$7,{"Aries","Taurus","Gemini","Cancer","Leo","Virgo","Libra","Scorpio","Sagittarius","Capricorn","Aquarius","Pisces"},0),12)+1)=4),AND(CALC_PlanetPositions!$M$10="Malefic",(MOD(MATCH(CALC_PlanetPositions!$B$10,{"Aries","Taurus","Gemini","Cancer","Leo","Virgo","Libra","Scorpio","Sagittarius","Capricorn","Aquarius","Pisces"},0)-MATCH(CALC_PlanetPositions!$B$7,{"Aries","Taurus","Gemini","Cancer","Leo","Virgo","Libra","Scorpio","Sagittarius","Capricorn","Aquarius","Pisces"},0),12)+1)=4),AND(CALC_PlanetPositions!$M$11="Malefic",(MOD(MATCH(CALC_PlanetPositions!$B$11,{"Aries","Taurus","Gemini","Cancer","Leo","Virgo","Libra","Scorpio","Sagittarius","Capricorn","Aquarius","Pisces"},0)-MATCH(CALC_PlanetPositions!$B$7,{"Aries","Taurus","Gemini","Cancer","Leo","Virgo","Libra","Scorpio","Sagittarius","Capricorn","Aquarius","Pisces"},0),12)+1)=4),AND(CALC_PlanetPositions!$M$12="Malefic",(MOD(MATCH(CALC_PlanetPositions!$B$12,{"Aries","Taurus","Gemini","Cancer","Leo","Virgo","Libra","Scorpio","Sagittarius","Capricorn","Aquarius","Pisces"},0)-MATCH(CALC_PlanetPositions!$B$7,{"Aries","Taurus","Gemini","Cancer","Leo","Virgo","Libra","Scorpio","Sagittarius","Capricorn","Aquarius","Pisces"},0),12)+1)=4),AND(CALC_PlanetPositions!$M$13="Malefic",(MOD(MATCH(CALC_PlanetPositions!$B$13,{"Aries","Taurus","Gemini","Cancer","Leo","Virgo","Libra","Scorpio","Sagittarius","Capricorn","Aquarius","Pisces"},0)-MATCH(CALC_PlanetPositions!$B$7,{"Aries","Taurus","Gemini","Cancer","Leo","Virgo","Libra","Scorpio","Sagittarius","Capricorn","Aquarius","Pisces"},0),12)+1)=4),AND(TRUE(),(MOD(MATCH(CALC_PlanetPositions!$B$14,{"Aries","Taurus","Gemini","Cancer","Leo","Virgo","Libra","Scorpio","Sagittarius","Capricorn","Aquarius","Pisces"},0)-MATCH(CALC_PlanetPositions!$B$7,{"Aries","Taurus","Gemini","Cancer","Leo","Virgo","Libra","Scorpio","Sagittarius","Capricorn","Aquarius","Pisces"},0),12)+1)=4),AND(TRUE(),(MOD(MATCH(CALC_PlanetPositions!$B$15,{"Aries","Taurus","Gemini","Cancer","Leo","Virgo","Libra","Scorpio","Sagittarius","Capricorn","Aquarius","Pisces"},0)-MATCH(CALC_PlanetPositions!$B$7,{"Aries","Taurus","Gemini","Cancer","Leo","Virgo","Libra","Scorpio","Sagittarius","Capricorn","Aquarius","Pisces"},0),12)+1)=4)),1,0),0))*-1,0)</f>
        <v>-1</v>
      </c>
      <c r="D15" s="400" t="s">
        <v>4623</v>
      </c>
    </row>
    <row r="16" spans="1:12" ht="27.75" customHeight="1" x14ac:dyDescent="0.2">
      <c r="A16" s="122" t="s">
        <v>4624</v>
      </c>
      <c r="B16" s="203" t="s">
        <v>4548</v>
      </c>
      <c r="C16" s="1118">
        <f>IFERROR((IFERROR(IF(OR(AND(CALC_PlanetPositions!$M$7="Malefic",INDEX(REF_Aspects!$D$5:$O$13,1,MOD(4-(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4)),AND(CALC_PlanetPositions!$M$8="Malefic",INDEX(REF_Aspects!$D$5:$O$13,2,MOD(4-(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4)),AND(CALC_PlanetPositions!$M$9="Malefic",INDEX(REF_Aspects!$D$5:$O$13,3,MOD(4-(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4)),AND(CALC_PlanetPositions!$M$10="Malefic",INDEX(REF_Aspects!$D$5:$O$13,4,MOD(4-(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4)),AND(CALC_PlanetPositions!$M$11="Malefic",INDEX(REF_Aspects!$D$5:$O$13,5,MOD(4-(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4)),AND(CALC_PlanetPositions!$M$12="Malefic",INDEX(REF_Aspects!$D$5:$O$13,6,MOD(4-(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4)),AND(CALC_PlanetPositions!$M$13="Malefic",INDEX(REF_Aspects!$D$5:$O$13,7,MOD(4-(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4)),AND(TRUE(),INDEX(REF_Aspects!$D$5:$O$13,8,MOD(4-(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4)),AND(TRUE(),INDEX(REF_Aspects!$D$5:$O$13,9,MOD(4-(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4))),1,0),0))*-1,0)</f>
        <v>0</v>
      </c>
      <c r="D16" s="403" t="s">
        <v>4625</v>
      </c>
    </row>
    <row r="17" spans="1:7" ht="27.75" customHeight="1" x14ac:dyDescent="0.2">
      <c r="A17" s="122" t="s">
        <v>4626</v>
      </c>
      <c r="B17" s="357" t="s">
        <v>3062</v>
      </c>
      <c r="C17" s="1117">
        <v>0</v>
      </c>
      <c r="D17" s="400" t="s">
        <v>4627</v>
      </c>
    </row>
    <row r="18" spans="1:7" ht="27.75" customHeight="1" x14ac:dyDescent="0.2">
      <c r="A18" s="122"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(4-2,12)+1)),AND(CALC_PlanetPositions!$M$8="Malefic",MOD(MATCH(CALC_PlanetPositions!$B$8,{"Aries","Taurus","Gemini","Cancer","Leo","Virgo","Libra","Scorpio","Sagittarius","Capricorn","Aquarius","Pisces"},0)-MATCH(CALC_PlanetPositions!$B$7,{"Aries","Taurus","Gemini","Cancer","Leo","Virgo","Libra","Scorpio","Sagittarius","Capricorn","Aquarius","Pisces"},0),12)+1=(MOD(4-2,12)+1)),AND(CALC_PlanetPositions!$M$9="Malefic",MOD(MATCH(CALC_PlanetPositions!$B$9,{"Aries","Taurus","Gemini","Cancer","Leo","Virgo","Libra","Scorpio","Sagittarius","Capricorn","Aquarius","Pisces"},0)-MATCH(CALC_PlanetPositions!$B$7,{"Aries","Taurus","Gemini","Cancer","Leo","Virgo","Libra","Scorpio","Sagittarius","Capricorn","Aquarius","Pisces"},0),12)+1=(MOD(4-2,12)+1)),AND(CALC_PlanetPositions!$M$10="Malefic",MOD(MATCH(CALC_PlanetPositions!$B$10,{"Aries","Taurus","Gemini","Cancer","Leo","Virgo","Libra","Scorpio","Sagittarius","Capricorn","Aquarius","Pisces"},0)-MATCH(CALC_PlanetPositions!$B$7,{"Aries","Taurus","Gemini","Cancer","Leo","Virgo","Libra","Scorpio","Sagittarius","Capricorn","Aquarius","Pisces"},0),12)+1=(MOD(4-2,12)+1)),AND(CALC_PlanetPositions!$M$11="Malefic",MOD(MATCH(CALC_PlanetPositions!$B$11,{"Aries","Taurus","Gemini","Cancer","Leo","Virgo","Libra","Scorpio","Sagittarius","Capricorn","Aquarius","Pisces"},0)-MATCH(CALC_PlanetPositions!$B$7,{"Aries","Taurus","Gemini","Cancer","Leo","Virgo","Libra","Scorpio","Sagittarius","Capricorn","Aquarius","Pisces"},0),12)+1=(MOD(4-2,12)+1)),AND(CALC_PlanetPositions!$M$12="Malefic",MOD(MATCH(CALC_PlanetPositions!$B$12,{"Aries","Taurus","Gemini","Cancer","Leo","Virgo","Libra","Scorpio","Sagittarius","Capricorn","Aquarius","Pisces"},0)-MATCH(CALC_PlanetPositions!$B$7,{"Aries","Taurus","Gemini","Cancer","Leo","Virgo","Libra","Scorpio","Sagittarius","Capricorn","Aquarius","Pisces"},0),12)+1=(MOD(4-2,12)+1)),AND(CALC_PlanetPositions!$M$13="Malefic",MOD(MATCH(CALC_PlanetPositions!$B$13,{"Aries","Taurus","Gemini","Cancer","Leo","Virgo","Libra","Scorpio","Sagittarius","Capricorn","Aquarius","Pisces"},0)-MATCH(CALC_PlanetPositions!$B$7,{"Aries","Taurus","Gemini","Cancer","Leo","Virgo","Libra","Scorpio","Sagittarius","Capricorn","Aquarius","Pisces"},0),12)+1=(MOD(4-2,12)+1)),AND(TRUE(),MOD(MATCH(CALC_PlanetPositions!$B$14,{"Aries","Taurus","Gemini","Cancer","Leo","Virgo","Libra","Scorpio","Sagittarius","Capricorn","Aquarius","Pisces"},0)-MATCH(CALC_PlanetPositions!$B$7,{"Aries","Taurus","Gemini","Cancer","Leo","Virgo","Libra","Scorpio","Sagittarius","Capricorn","Aquarius","Pisces"},0),12)+1=(MOD(4-2,12)+1)),AND(TRUE(),MOD(MATCH(CALC_PlanetPositions!$B$15,{"Aries","Taurus","Gemini","Cancer","Leo","Virgo","Libra","Scorpio","Sagittarius","Capricorn","Aquarius","Pisces"},0)-MATCH(CALC_PlanetPositions!$B$7,{"Aries","Taurus","Gemini","Cancer","Leo","Virgo","Libra","Scorpio","Sagittarius","Capricorn","Aquarius","Pisces"},0),12)+1=(MOD(4-2,12)+1))),OR(AND(CALC_PlanetPositions!$M$7="Malefic",MOD(MATCH(CALC_PlanetPositions!$B$7,{"Aries","Taurus","Gemini","Cancer","Leo","Virgo","Libra","Scorpio","Sagittarius","Capricorn","Aquarius","Pisces"},0)-MATCH(CALC_PlanetPositions!$B$7,{"Aries","Taurus","Gemini","Cancer","Leo","Virgo","Libra","Scorpio","Sagittarius","Capricorn","Aquarius","Pisces"},0),12)+1=(MOD(4,12)+1)),AND(CALC_PlanetPositions!$M$8="Malefic",MOD(MATCH(CALC_PlanetPositions!$B$8,{"Aries","Taurus","Gemini","Cancer","Leo","Virgo","Libra","Scorpio","Sagittarius","Capricorn","Aquarius","Pisces"},0)-MATCH(CALC_PlanetPositions!$B$7,{"Aries","Taurus","Gemini","Cancer","Leo","Virgo","Libra","Scorpio","Sagittarius","Capricorn","Aquarius","Pisces"},0),12)+1=(MOD(4,12)+1)),AND(CALC_PlanetPositions!$M$9="Malefic",MOD(MATCH(CALC_PlanetPositions!$B$9,{"Aries","Taurus","Gemini","Cancer","Leo","Virgo","Libra","Scorpio","Sagittarius","Capricorn","Aquarius","Pisces"},0)-MATCH(CALC_PlanetPositions!$B$7,{"Aries","Taurus","Gemini","Cancer","Leo","Virgo","Libra","Scorpio","Sagittarius","Capricorn","Aquarius","Pisces"},0),12)+1=(MOD(4,12)+1)),AND(CALC_PlanetPositions!$M$10="Malefic",MOD(MATCH(CALC_PlanetPositions!$B$10,{"Aries","Taurus","Gemini","Cancer","Leo","Virgo","Libra","Scorpio","Sagittarius","Capricorn","Aquarius","Pisces"},0)-MATCH(CALC_PlanetPositions!$B$7,{"Aries","Taurus","Gemini","Cancer","Leo","Virgo","Libra","Scorpio","Sagittarius","Capricorn","Aquarius","Pisces"},0),12)+1=(MOD(4,12)+1)),AND(CALC_PlanetPositions!$M$11="Malefic",MOD(MATCH(CALC_PlanetPositions!$B$11,{"Aries","Taurus","Gemini","Cancer","Leo","Virgo","Libra","Scorpio","Sagittarius","Capricorn","Aquarius","Pisces"},0)-MATCH(CALC_PlanetPositions!$B$7,{"Aries","Taurus","Gemini","Cancer","Leo","Virgo","Libra","Scorpio","Sagittarius","Capricorn","Aquarius","Pisces"},0),12)+1=(MOD(4,12)+1)),AND(CALC_PlanetPositions!$M$12="Malefic",MOD(MATCH(CALC_PlanetPositions!$B$12,{"Aries","Taurus","Gemini","Cancer","Leo","Virgo","Libra","Scorpio","Sagittarius","Capricorn","Aquarius","Pisces"},0)-MATCH(CALC_PlanetPositions!$B$7,{"Aries","Taurus","Gemini","Cancer","Leo","Virgo","Libra","Scorpio","Sagittarius","Capricorn","Aquarius","Pisces"},0),12)+1=(MOD(4,12)+1)),AND(CALC_PlanetPositions!$M$13="Malefic",MOD(MATCH(CALC_PlanetPositions!$B$13,{"Aries","Taurus","Gemini","Cancer","Leo","Virgo","Libra","Scorpio","Sagittarius","Capricorn","Aquarius","Pisces"},0)-MATCH(CALC_PlanetPositions!$B$7,{"Aries","Taurus","Gemini","Cancer","Leo","Virgo","Libra","Scorpio","Sagittarius","Capricorn","Aquarius","Pisces"},0),12)+1=(MOD(4,12)+1)),AND(TRUE(),MOD(MATCH(CALC_PlanetPositions!$B$14,{"Aries","Taurus","Gemini","Cancer","Leo","Virgo","Libra","Scorpio","Sagittarius","Capricorn","Aquarius","Pisces"},0)-MATCH(CALC_PlanetPositions!$B$7,{"Aries","Taurus","Gemini","Cancer","Leo","Virgo","Libra","Scorpio","Sagittarius","Capricorn","Aquarius","Pisces"},0),12)+1=(MOD(4,12)+1)),AND(TRUE(),MOD(MATCH(CALC_PlanetPositions!$B$15,{"Aries","Taurus","Gemini","Cancer","Leo","Virgo","Libra","Scorpio","Sagittarius","Capricorn","Aquarius","Pisces"},0)-MATCH(CALC_PlanetPositions!$B$7,{"Aries","Taurus","Gemini","Cancer","Leo","Virgo","Libra","Scorpio","Sagittarius","Capricorn","Aquarius","Pisces"},0),12)+1=(MOD(4,12)+1)))),1,0),0))*IF(REF_Config!$B$6="KP",-0.75,IF(REF_Config!$B$6="Jaimini",-0.5,-0.75)),0)</f>
        <v>0</v>
      </c>
      <c r="D18" s="403" t="s">
        <v>4629</v>
      </c>
    </row>
    <row r="19" spans="1:7" ht="15.75" customHeight="1" x14ac:dyDescent="0.2">
      <c r="A19" s="1594" t="s">
        <v>3624</v>
      </c>
      <c r="B19" s="1594"/>
      <c r="C19" s="1594"/>
      <c r="D19" s="1594"/>
    </row>
    <row r="20" spans="1:7" ht="27.75" customHeight="1" x14ac:dyDescent="0.2">
      <c r="A20" s="122" t="s">
        <v>4630</v>
      </c>
      <c r="B20" s="357" t="s">
        <v>4555</v>
      </c>
      <c r="C20" s="1117">
        <v>0</v>
      </c>
      <c r="D20" s="400" t="s">
        <v>4631</v>
      </c>
    </row>
    <row r="21" spans="1:7" ht="27.75" customHeight="1" x14ac:dyDescent="0.2">
      <c r="A21" s="122" t="s">
        <v>4632</v>
      </c>
      <c r="B21" s="203" t="s">
        <v>4633</v>
      </c>
      <c r="C21" s="1118">
        <f>IFERROR((IFERROR(IF(OR(AND(CALC_PlanetPositions!$M$7="Malefic",INDEX(REF_Aspects!$D$5:$O$13,1,MOD(CALC_SuryaLagna!$F$7-(MOD(MATCH(CALC_PlanetPositions!$B$7,{"Aries","Taurus","Gemini","Cancer","Leo","Virgo","Libra","Scorpio","Sagittarius","Capricorn","Aquarius","Pisces"},0)-MATCH(CALC_PlanetPositions!$B$7,{"Aries","Taurus","Gemini","Cancer","Leo","Virgo","Libra","Scorpio","Sagittarius","Capricorn","Aquarius","Pisces"},0),12)+1),12)+1)="FULL",NOT(CALC_PlanetPositions!$B$7=CALC_SuryaLagna!$E$7)),AND(CALC_PlanetPositions!$M$8="Malefic",INDEX(REF_Aspects!$D$5:$O$13,2,MOD(CALC_SuryaLagna!$F$7-(MOD(MATCH(CALC_PlanetPositions!$B$8,{"Aries","Taurus","Gemini","Cancer","Leo","Virgo","Libra","Scorpio","Sagittarius","Capricorn","Aquarius","Pisces"},0)-MATCH(CALC_PlanetPositions!$B$7,{"Aries","Taurus","Gemini","Cancer","Leo","Virgo","Libra","Scorpio","Sagittarius","Capricorn","Aquarius","Pisces"},0),12)+1),12)+1)="FULL",NOT(CALC_PlanetPositions!$B$8=CALC_SuryaLagna!$E$7)),AND(CALC_PlanetPositions!$M$9="Malefic",INDEX(REF_Aspects!$D$5:$O$13,3,MOD(CALC_SuryaLagna!$F$7-(MOD(MATCH(CALC_PlanetPositions!$B$9,{"Aries","Taurus","Gemini","Cancer","Leo","Virgo","Libra","Scorpio","Sagittarius","Capricorn","Aquarius","Pisces"},0)-MATCH(CALC_PlanetPositions!$B$7,{"Aries","Taurus","Gemini","Cancer","Leo","Virgo","Libra","Scorpio","Sagittarius","Capricorn","Aquarius","Pisces"},0),12)+1),12)+1)="FULL",NOT(CALC_PlanetPositions!$B$9=CALC_SuryaLagna!$E$7)),AND(CALC_PlanetPositions!$M$10="Malefic",INDEX(REF_Aspects!$D$5:$O$13,4,MOD(CALC_SuryaLagna!$F$7-(MOD(MATCH(CALC_PlanetPositions!$B$10,{"Aries","Taurus","Gemini","Cancer","Leo","Virgo","Libra","Scorpio","Sagittarius","Capricorn","Aquarius","Pisces"},0)-MATCH(CALC_PlanetPositions!$B$7,{"Aries","Taurus","Gemini","Cancer","Leo","Virgo","Libra","Scorpio","Sagittarius","Capricorn","Aquarius","Pisces"},0),12)+1),12)+1)="FULL",NOT(CALC_PlanetPositions!$B$10=CALC_SuryaLagna!$E$7)),AND(CALC_PlanetPositions!$M$11="Malefic",INDEX(REF_Aspects!$D$5:$O$13,5,MOD(CALC_SuryaLagna!$F$7-(MOD(MATCH(CALC_PlanetPositions!$B$11,{"Aries","Taurus","Gemini","Cancer","Leo","Virgo","Libra","Scorpio","Sagittarius","Capricorn","Aquarius","Pisces"},0)-MATCH(CALC_PlanetPositions!$B$7,{"Aries","Taurus","Gemini","Cancer","Leo","Virgo","Libra","Scorpio","Sagittarius","Capricorn","Aquarius","Pisces"},0),12)+1),12)+1)="FULL",NOT(CALC_PlanetPositions!$B$11=CALC_SuryaLagna!$E$7)),AND(CALC_PlanetPositions!$M$12="Malefic",INDEX(REF_Aspects!$D$5:$O$13,6,MOD(CALC_SuryaLagna!$F$7-(MOD(MATCH(CALC_PlanetPositions!$B$12,{"Aries","Taurus","Gemini","Cancer","Leo","Virgo","Libra","Scorpio","Sagittarius","Capricorn","Aquarius","Pisces"},0)-MATCH(CALC_PlanetPositions!$B$7,{"Aries","Taurus","Gemini","Cancer","Leo","Virgo","Libra","Scorpio","Sagittarius","Capricorn","Aquarius","Pisces"},0),12)+1),12)+1)="FULL",NOT(CALC_PlanetPositions!$B$12=CALC_SuryaLagna!$E$7)),AND(CALC_PlanetPositions!$M$13="Malefic",INDEX(REF_Aspects!$D$5:$O$13,7,MOD(CALC_SuryaLagna!$F$7-(MOD(MATCH(CALC_PlanetPositions!$B$13,{"Aries","Taurus","Gemini","Cancer","Leo","Virgo","Libra","Scorpio","Sagittarius","Capricorn","Aquarius","Pisces"},0)-MATCH(CALC_PlanetPositions!$B$7,{"Aries","Taurus","Gemini","Cancer","Leo","Virgo","Libra","Scorpio","Sagittarius","Capricorn","Aquarius","Pisces"},0),12)+1),12)+1)="FULL",NOT(CALC_PlanetPositions!$B$13=CALC_SuryaLagna!$E$7)),AND(TRUE(),INDEX(REF_Aspects!$D$5:$O$13,8,MOD(CALC_SuryaLagna!$F$7-(MOD(MATCH(CALC_PlanetPositions!$B$14,{"Aries","Taurus","Gemini","Cancer","Leo","Virgo","Libra","Scorpio","Sagittarius","Capricorn","Aquarius","Pisces"},0)-MATCH(CALC_PlanetPositions!$B$7,{"Aries","Taurus","Gemini","Cancer","Leo","Virgo","Libra","Scorpio","Sagittarius","Capricorn","Aquarius","Pisces"},0),12)+1),12)+1)="FULL",NOT(CALC_PlanetPositions!$B$14=CALC_SuryaLagna!$E$7)),AND(TRUE(),INDEX(REF_Aspects!$D$5:$O$13,9,MOD(CALC_SuryaLagna!$F$7-(MOD(MATCH(CALC_PlanetPositions!$B$15,{"Aries","Taurus","Gemini","Cancer","Leo","Virgo","Libra","Scorpio","Sagittarius","Capricorn","Aquarius","Pisces"},0)-MATCH(CALC_PlanetPositions!$B$7,{"Aries","Taurus","Gemini","Cancer","Leo","Virgo","Libra","Scorpio","Sagittarius","Capricorn","Aquarius","Pisces"},0),12)+1),12)+1)="FULL",NOT(CALC_PlanetPositions!$B$15=CALC_SuryaLagna!$E$7))),1,0),0))*-0.5,0)</f>
        <v>-0.5</v>
      </c>
      <c r="D21" s="403" t="s">
        <v>4634</v>
      </c>
    </row>
    <row r="22" spans="1:7" ht="27.75" customHeight="1" x14ac:dyDescent="0.2">
      <c r="A22" s="122" t="s">
        <v>4635</v>
      </c>
      <c r="B22" s="357" t="s">
        <v>3042</v>
      </c>
      <c r="C22" s="1117">
        <f>IFERROR((IFERROR(IF(CALC_SuryaLagna!$I$7="Yes",1,0),0))*IF(REF_Config!$B$6="KP",-1.75,IF(REF_Config!$B$6="Jaimini",-2,-2)),0)</f>
        <v>0</v>
      </c>
      <c r="D22" s="400" t="s">
        <v>4636</v>
      </c>
    </row>
    <row r="23" spans="1:7" ht="27.75" customHeight="1" x14ac:dyDescent="0.2">
      <c r="A23" s="122" t="s">
        <v>4637</v>
      </c>
      <c r="B23" s="203" t="s">
        <v>3059</v>
      </c>
      <c r="C23" s="1118">
        <f>IFERROR((IFERROR(IF(OR(AND(CALC_SuryaLagna!$E$9=CALC_SuryaLagna!$E$7,CALC_SuryaLagna!$D$9&lt;&gt;CALC_SuryaLagna!$D$7),AND(CALC_SuryaLagna!$E$11=CALC_SuryaLagna!$E$7,CALC_SuryaLagna!$D$11&lt;&gt;CALC_SuryaLagna!$D$7),AND(CALC_SuryaLagna!$E$15=CALC_SuryaLagna!$E$7,CALC_SuryaLagna!$D$15&lt;&gt;CALC_SuryaLagna!$D$7)),1,0),0))*-1,0)</f>
        <v>-1</v>
      </c>
      <c r="D23" s="403" t="s">
        <v>4638</v>
      </c>
    </row>
    <row r="24" spans="1:7" ht="15.75" customHeight="1" x14ac:dyDescent="0.2">
      <c r="A24" s="1484" t="s">
        <v>4639</v>
      </c>
      <c r="B24" s="1484"/>
      <c r="C24" s="1484"/>
      <c r="D24" s="1484"/>
    </row>
    <row r="25" spans="1:7" ht="27.75" customHeight="1" x14ac:dyDescent="0.2">
      <c r="A25" s="122" t="s">
        <v>4640</v>
      </c>
      <c r="B25" s="357" t="s">
        <v>3084</v>
      </c>
      <c r="C25" s="1117">
        <f>IFERROR(IF(CALC_KarakMap!$M$8&gt;0,CALC_KarakMap!$M$8,0),0)</f>
        <v>0</v>
      </c>
      <c r="D25" s="400" t="s">
        <v>4641</v>
      </c>
    </row>
    <row r="26" spans="1:7" ht="27.75" customHeight="1" x14ac:dyDescent="0.2">
      <c r="A26" s="122" t="s">
        <v>4642</v>
      </c>
      <c r="B26" s="203" t="s">
        <v>4564</v>
      </c>
      <c r="C26" s="1118">
        <f>IFERROR(IF(CALC_KarakMap!$M$8&lt;0,CALC_KarakMap!$M$8,0),0)</f>
        <v>0</v>
      </c>
      <c r="D26" s="403" t="s">
        <v>4643</v>
      </c>
    </row>
    <row r="27" spans="1:7" ht="27.75" customHeight="1" x14ac:dyDescent="0.2">
      <c r="A27" s="1119" t="s">
        <v>4644</v>
      </c>
      <c r="B27" s="296" t="s">
        <v>3624</v>
      </c>
      <c r="C27" s="1117">
        <f>IFERROR(IF(OR(CALC_SuryaLagna!$D$7="Sun",CALC_SuryaLagna!$D$7="Rahu",CALC_SuryaLagna!$D$7="Ketu"),0,IF(CALC_SuryaLagna!$D$7="Moon",IF(CALC_CombustionCheck!$G$4="Cazimi ✓",0.5,IF(CALC_CombustionCheck!$F$4="COMBUST ⚠",-1,0)),IF(CALC_SuryaLagna!$D$7="Mars",IF(CALC_CombustionCheck!$G$5="Cazimi ✓",0.5,IF(AND(CALC_CombustionCheck!$F$5="COMBUST ⚠",CALC_RetrogradeFix!$F$6="Rx ✓"),-0.5,IF(CALC_CombustionCheck!$F$5="COMBUST ⚠",-1,0))),IF(CALC_SuryaLagna!$D$7="Mercury",IF(CALC_CombustionCheck!$G$6="Cazimi ✓",0.5,IF(AND(CALC_CombustionCheck!$F$6="COMBUST ⚠",CALC_RetrogradeFix!$F$7="Rx ✓"),-0.5,IF(CALC_CombustionCheck!$F$6="COMBUST ⚠",-1,0))),IF(CALC_SuryaLagna!$D$7="Jupiter",IF(CALC_CombustionCheck!$G$7="Cazimi ✓",0.5,IF(AND(CALC_CombustionCheck!$F$7="COMBUST ⚠",CALC_RetrogradeFix!$F$8="Rx ✓"),-0.5,IF(CALC_CombustionCheck!$F$7="COMBUST ⚠",-1,0))),IF(CALC_SuryaLagna!$D$7="Venus",IF(CALC_CombustionCheck!$G$8="Cazimi ✓",0.5,IF(AND(CALC_CombustionCheck!$F$8="COMBUST ⚠",CALC_RetrogradeFix!$F$9="Rx ✓"),-0.5,IF(CALC_CombustionCheck!$F$8="COMBUST ⚠",-1,0))),IF(CALC_SuryaLagna!$D$7="Saturn",IF(CALC_CombustionCheck!$G$9="Cazimi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SuryaLagna!$D$7="Rahu",CALC_SuryaLagna!$D$7="Ketu"),0,IF(ISNUMBER(MATCH(CALC_SuryaLagna!$D$7,{"Sun","Moon","Mars","Mercury","Jupiter","Venus","Saturn"},0)),IF(INDEX(CALC_DigBala!$F$4:$F$10,MATCH(CALC_SuryaLagna!$D$7,{"Sun","Moon","Mars","Mercury","Jupiter","Venus","Saturn"},0))="Yes",0.5,0),0)),0)</f>
        <v>0</v>
      </c>
      <c r="D28" s="400" t="s">
        <v>4647</v>
      </c>
    </row>
    <row r="29" spans="1:7" ht="27.75" customHeight="1" x14ac:dyDescent="0.2">
      <c r="A29" s="1120" t="s">
        <v>4648</v>
      </c>
      <c r="B29" s="296" t="s">
        <v>3372</v>
      </c>
      <c r="C29" s="1117">
        <f>IFERROR(IF(COUNTIFS(REF_PushkaraNavamsha!$A$4:$A$27,CALC_SuryaLagna!$E$7,REF_PushkaraNavamsha!$B$4:$B$27,INDEX(CALC_PlanetPositions!$G$7:$G$15,MATCH(CALC_SuryaLagna!$D$7,CALC_PlanetPositions!$A$7:$A$15,0)))&gt;0,0.5,0),0)</f>
        <v>0</v>
      </c>
      <c r="D29" s="400" t="s">
        <v>4649</v>
      </c>
    </row>
    <row r="30" spans="1:7" ht="25.5" customHeight="1" x14ac:dyDescent="0.2">
      <c r="A30" s="147" t="s">
        <v>4650</v>
      </c>
      <c r="B30" s="1121" t="s">
        <v>4651</v>
      </c>
      <c r="C30" s="1122">
        <f>IFERROR(IF(ISNUMBER(MATCH(CALC_SuryaLagna!$D$7,{"Sun","Moon","Mars","Mercury","Jupiter","Venus","Saturn"},0)),INDEX(CALC_RetrogradeFix!$G$4:$G$10,MATCH(CALC_SuryaLagna!$D$7,{"Sun","Moon","Mars","Mercury","Jupiter","Venus","Saturn"},0)),0),0)</f>
        <v>0</v>
      </c>
      <c r="D30" s="1123" t="s">
        <v>4652</v>
      </c>
    </row>
    <row r="31" spans="1:7" ht="18" customHeight="1" x14ac:dyDescent="0.2">
      <c r="A31" s="1555" t="s">
        <v>4653</v>
      </c>
      <c r="B31" s="1555"/>
      <c r="C31" s="1555"/>
      <c r="D31" s="1555"/>
      <c r="E31" s="1124" t="s">
        <v>4654</v>
      </c>
      <c r="F31" s="1125">
        <f>IFERROR(IF(CALC_Ashtakavarga!E$12&gt;28,0.5,IF(CALC_Ashtakavarga!E$12&lt;22,-0.5,0)),0)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3.5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2</v>
      </c>
      <c r="D37" s="1129"/>
    </row>
    <row r="38" spans="1:4" ht="21.75" customHeight="1" x14ac:dyDescent="0.2">
      <c r="A38" s="89" t="s">
        <v>4661</v>
      </c>
      <c r="B38" s="1129"/>
      <c r="C38" s="1131">
        <f>IFERROR(MAX(-10,MIN(10,C37)),0)</f>
        <v>2</v>
      </c>
      <c r="D38" s="1132"/>
    </row>
    <row r="39" spans="1:4" ht="18" customHeight="1" x14ac:dyDescent="0.2">
      <c r="A39" s="517" t="s">
        <v>4662</v>
      </c>
      <c r="B39" s="1129"/>
      <c r="C39" s="1133">
        <f>IFERROR(CALC_LagneshStrength!$I$4,0)</f>
        <v>0</v>
      </c>
      <c r="D39" s="1129"/>
    </row>
    <row r="40" spans="1:4" ht="25.5" customHeight="1" x14ac:dyDescent="0.2">
      <c r="A40" s="1142" t="s">
        <v>4663</v>
      </c>
      <c r="B40" s="1129"/>
      <c r="C40" s="1143">
        <f>IFERROR(MAX(-10,MIN(10,C38+C39+C41)),0)</f>
        <v>2</v>
      </c>
      <c r="D40" s="1144" t="str">
        <f>IFERROR(IF(C40&gt;=7,"Excellent — Home domain very strong",IF(C40&gt;=4,"Good — Home domain strong",IF(C40&gt;=1,"Moderate",IF(C40&gt;=-2,"Mixed — Home has challenges",IF(C40&gt;=-5,"Weak","Very weak — Home heavily afflicted"))))),"—")</f>
        <v>Moderate</v>
      </c>
    </row>
    <row r="41" spans="1:4" ht="18" customHeight="1" x14ac:dyDescent="0.2">
      <c r="A41" s="622" t="s">
        <v>4681</v>
      </c>
      <c r="B41" s="904" t="s">
        <v>4705</v>
      </c>
      <c r="C41" s="1160">
        <v>0</v>
      </c>
      <c r="D41" s="550" t="s">
        <v>4712</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4713</v>
      </c>
      <c r="B1" s="1518"/>
      <c r="C1" s="1518"/>
      <c r="D1" s="1518"/>
      <c r="L1" s="544" t="s">
        <v>2214</v>
      </c>
    </row>
    <row r="2" spans="1:12" ht="19.5" customHeight="1" x14ac:dyDescent="0.2">
      <c r="A2" s="1595" t="str">
        <f>IFERROR("Surya Lagna: "&amp;CALC_PlanetPositions!$B$7&amp;"  ·  H5 sign: "&amp;CALC_SuryaLagna!$C$8,"—")</f>
        <v>Surya Lagna: Cancer  ·  H5 sign: Scorpio</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6" t="s">
        <v>4605</v>
      </c>
      <c r="B5" s="357" t="s">
        <v>4529</v>
      </c>
      <c r="C5" s="1117">
        <f>IFERROR((IFERROR(IF(INDEX(REF_Zodiac!$D$17:$O$17,MATCH(CALC_SuryaLagna!$C$8,REF_Zodiac!$D$3:$O$3,0))="Gentle",1,0),0))*0.5,0)</f>
        <v>0</v>
      </c>
      <c r="D5" s="400" t="s">
        <v>4606</v>
      </c>
    </row>
    <row r="6" spans="1:12" ht="27.75" customHeight="1" x14ac:dyDescent="0.2">
      <c r="A6" s="126"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26" t="s">
        <v>4609</v>
      </c>
      <c r="B7" s="357" t="s">
        <v>4534</v>
      </c>
      <c r="C7" s="1117">
        <f>IFERROR((IFERROR(IF(OR(AND(OR(CALC_PlanetPositions!$M$7="Benefic",CALC_PlanetPositions!$M$7="Yogakaraka"),INDEX(REF_Aspects!$D$5:$O$13,1,MOD(5-(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5)),AND(OR(CALC_PlanetPositions!$M$8="Benefic",CALC_PlanetPositions!$M$8="Yogakaraka"),INDEX(REF_Aspects!$D$5:$O$13,2,MOD(5-(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5)),AND(OR(CALC_PlanetPositions!$M$9="Benefic",CALC_PlanetPositions!$M$9="Yogakaraka"),INDEX(REF_Aspects!$D$5:$O$13,3,MOD(5-(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5)),AND(OR(CALC_PlanetPositions!$M$10="Benefic",CALC_PlanetPositions!$M$10="Yogakaraka"),INDEX(REF_Aspects!$D$5:$O$13,4,MOD(5-(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5)),AND(OR(CALC_PlanetPositions!$M$11="Benefic",CALC_PlanetPositions!$M$11="Yogakaraka"),INDEX(REF_Aspects!$D$5:$O$13,5,MOD(5-(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5)),AND(OR(CALC_PlanetPositions!$M$12="Benefic",CALC_PlanetPositions!$M$12="Yogakaraka"),INDEX(REF_Aspects!$D$5:$O$13,6,MOD(5-(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5)),AND(OR(CALC_PlanetPositions!$M$13="Benefic",CALC_PlanetPositions!$M$13="Yogakaraka"),INDEX(REF_Aspects!$D$5:$O$13,7,MOD(5-(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5)),AND(FALSE(),INDEX(REF_Aspects!$D$5:$O$13,8,MOD(5-(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5)),AND(FALSE(),INDEX(REF_Aspects!$D$5:$O$13,9,MOD(5-(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5))),1,0),0))*IF(REF_Config!$B$6="KP",0.5,IF(REF_Config!$B$6="Jaimini",0.75,0.75)),0)</f>
        <v>0</v>
      </c>
      <c r="D7" s="400" t="s">
        <v>4610</v>
      </c>
    </row>
    <row r="8" spans="1:12" ht="15.75" customHeight="1" x14ac:dyDescent="0.2">
      <c r="A8" s="1597" t="s">
        <v>3372</v>
      </c>
      <c r="B8" s="1597"/>
      <c r="C8" s="1597"/>
      <c r="D8" s="1597"/>
    </row>
    <row r="9" spans="1:12" ht="27.75" customHeight="1" x14ac:dyDescent="0.2">
      <c r="A9" s="126" t="s">
        <v>4611</v>
      </c>
      <c r="B9" s="203" t="s">
        <v>4537</v>
      </c>
      <c r="C9" s="1118">
        <f>IFERROR(IF(AND(OR(CALC_SuryaLagna!$G$8="Yes",CALC_SuryaLagna!$H$8="Yes"),NOT(CALC_SuryaLagna!$I$8="Yes")),1,0)*IF(REF_Config!$B$6="KP",1.5,IF(REF_Config!$B$6="Jaimini",1.5,2)),0)</f>
        <v>0</v>
      </c>
      <c r="D9" s="403" t="s">
        <v>4612</v>
      </c>
    </row>
    <row r="10" spans="1:12" ht="27.75" customHeight="1" x14ac:dyDescent="0.2">
      <c r="A10" s="126" t="s">
        <v>4613</v>
      </c>
      <c r="B10" s="357" t="s">
        <v>3093</v>
      </c>
      <c r="C10" s="1117">
        <f>IFERROR((IFERROR(IF(OR(AND(CALC_SuryaLagna!$E$4=CALC_SuryaLagna!$E$8,CALC_SuryaLagna!$D$4&lt;&gt;CALC_SuryaLagna!$D$8),AND(CALC_SuryaLagna!$E$7=CALC_SuryaLagna!$E$8,CALC_SuryaLagna!$D$7&lt;&gt;CALC_SuryaLagna!$D$8),AND(CALC_SuryaLagna!$E$8=CALC_SuryaLagna!$E$8,CALC_SuryaLagna!$D$8&lt;&gt;CALC_SuryaLagna!$D$8),AND(CALC_SuryaLagna!$E$10=CALC_SuryaLagna!$E$8,CALC_SuryaLagna!$D$10&lt;&gt;CALC_SuryaLagna!$D$8),AND(CALC_SuryaLagna!$E$12=CALC_SuryaLagna!$E$8,CALC_SuryaLagna!$D$12&lt;&gt;CALC_SuryaLagna!$D$8),AND(CALC_SuryaLagna!$E$13=CALC_SuryaLagna!$E$8,CALC_SuryaLagna!$D$13&lt;&gt;CALC_SuryaLagna!$D$8)),1,0),0))*0.5,0)</f>
        <v>0</v>
      </c>
      <c r="D10" s="400" t="s">
        <v>4614</v>
      </c>
    </row>
    <row r="11" spans="1:12" ht="27.75" customHeight="1" x14ac:dyDescent="0.2">
      <c r="A11" s="126" t="s">
        <v>4615</v>
      </c>
      <c r="B11" s="203" t="s">
        <v>4540</v>
      </c>
      <c r="C11" s="1118">
        <f>IFERROR((IFERROR(IF(OR(AND(OR(CALC_PlanetPositions!$M$7="Benefic",CALC_PlanetPositions!$M$7="Yogakaraka"),CALC_PlanetPositions!$B$7=CALC_SuryaLagna!$E$8,CALC_SuryaLagna!$D$8&lt;&gt;"Sun"),AND(OR(CALC_PlanetPositions!$M$8="Benefic",CALC_PlanetPositions!$M$8="Yogakaraka"),CALC_PlanetPositions!$B$8=CALC_SuryaLagna!$E$8,CALC_SuryaLagna!$D$8&lt;&gt;"Moon"),AND(OR(CALC_PlanetPositions!$M$9="Benefic",CALC_PlanetPositions!$M$9="Yogakaraka"),CALC_PlanetPositions!$B$9=CALC_SuryaLagna!$E$8,CALC_SuryaLagna!$D$8&lt;&gt;"Mars"),AND(OR(CALC_PlanetPositions!$M$10="Benefic",CALC_PlanetPositions!$M$10="Yogakaraka"),CALC_PlanetPositions!$B$10=CALC_SuryaLagna!$E$8,CALC_SuryaLagna!$D$8&lt;&gt;"Mercury"),AND(OR(CALC_PlanetPositions!$M$11="Benefic",CALC_PlanetPositions!$M$11="Yogakaraka"),CALC_PlanetPositions!$B$11=CALC_SuryaLagna!$E$8,CALC_SuryaLagna!$D$8&lt;&gt;"Jupiter"),AND(OR(CALC_PlanetPositions!$M$12="Benefic",CALC_PlanetPositions!$M$12="Yogakaraka"),CALC_PlanetPositions!$B$12=CALC_SuryaLagna!$E$8,CALC_SuryaLagna!$D$8&lt;&gt;"Venus"),AND(OR(CALC_PlanetPositions!$M$13="Benefic",CALC_PlanetPositions!$M$13="Yogakaraka"),CALC_PlanetPositions!$B$13=CALC_SuryaLagna!$E$8,CALC_SuryaLagna!$D$8&lt;&gt;"Saturn")),1,0),0))*IF(OR(AND(CALC_PlanetPositions!$M$7="Yogakaraka",CALC_PlanetPositions!$B$7=CALC_SuryaLagna!$E$8,CALC_SuryaLagna!$D$8&lt;&gt;"Sun"),AND(CALC_PlanetPositions!$M$8="Yogakaraka",CALC_PlanetPositions!$B$8=CALC_SuryaLagna!$E$8,CALC_SuryaLagna!$D$8&lt;&gt;"Moon"),AND(CALC_PlanetPositions!$M$9="Yogakaraka",CALC_PlanetPositions!$B$9=CALC_SuryaLagna!$E$8,CALC_SuryaLagna!$D$8&lt;&gt;"Mars"),AND(CALC_PlanetPositions!$M$10="Yogakaraka",CALC_PlanetPositions!$B$10=CALC_SuryaLagna!$E$8,CALC_SuryaLagna!$D$8&lt;&gt;"Mercury"),AND(CALC_PlanetPositions!$M$11="Yogakaraka",CALC_PlanetPositions!$B$11=CALC_SuryaLagna!$E$8,CALC_SuryaLagna!$D$8&lt;&gt;"Jupiter"),AND(CALC_PlanetPositions!$M$12="Yogakaraka",CALC_PlanetPositions!$B$12=CALC_SuryaLagna!$E$8,CALC_SuryaLagna!$D$8&lt;&gt;"Venus"),AND(CALC_PlanetPositions!$M$13="Yogakaraka",CALC_PlanetPositions!$B$13=CALC_SuryaLagna!$E$8,CALC_SuryaLagna!$D$8&lt;&gt;"Saturn")),1.5,1),0)</f>
        <v>0</v>
      </c>
      <c r="D11" s="403" t="s">
        <v>4616</v>
      </c>
    </row>
    <row r="12" spans="1:12" ht="27.75" customHeight="1" x14ac:dyDescent="0.2">
      <c r="A12" s="126" t="s">
        <v>4617</v>
      </c>
      <c r="B12" s="357" t="s">
        <v>4542</v>
      </c>
      <c r="C12" s="1117">
        <f>IFERROR((IFERROR(IF(OR(AND(OR(CALC_PlanetPositions!$M$7="Benefic",CALC_PlanetPositions!$M$7="Yogakaraka"),INDEX(REF_Aspects!$D$5:$O$13,1,MOD(CALC_SuryaLagna!$F$8-(MOD(MATCH(CALC_PlanetPositions!$B$7,{"Aries","Taurus","Gemini","Cancer","Leo","Virgo","Libra","Scorpio","Sagittarius","Capricorn","Aquarius","Pisces"},0)-MATCH(CALC_PlanetPositions!$B$7,{"Aries","Taurus","Gemini","Cancer","Leo","Virgo","Libra","Scorpio","Sagittarius","Capricorn","Aquarius","Pisces"},0),12)+1),12)+1)="FULL",NOT(CALC_PlanetPositions!$B$7=CALC_SuryaLagna!$E$8)),AND(OR(CALC_PlanetPositions!$M$8="Benefic",CALC_PlanetPositions!$M$8="Yogakaraka"),INDEX(REF_Aspects!$D$5:$O$13,2,MOD(CALC_SuryaLagna!$F$8-(MOD(MATCH(CALC_PlanetPositions!$B$8,{"Aries","Taurus","Gemini","Cancer","Leo","Virgo","Libra","Scorpio","Sagittarius","Capricorn","Aquarius","Pisces"},0)-MATCH(CALC_PlanetPositions!$B$7,{"Aries","Taurus","Gemini","Cancer","Leo","Virgo","Libra","Scorpio","Sagittarius","Capricorn","Aquarius","Pisces"},0),12)+1),12)+1)="FULL",NOT(CALC_PlanetPositions!$B$8=CALC_SuryaLagna!$E$8)),AND(OR(CALC_PlanetPositions!$M$9="Benefic",CALC_PlanetPositions!$M$9="Yogakaraka"),INDEX(REF_Aspects!$D$5:$O$13,3,MOD(CALC_SuryaLagna!$F$8-(MOD(MATCH(CALC_PlanetPositions!$B$9,{"Aries","Taurus","Gemini","Cancer","Leo","Virgo","Libra","Scorpio","Sagittarius","Capricorn","Aquarius","Pisces"},0)-MATCH(CALC_PlanetPositions!$B$7,{"Aries","Taurus","Gemini","Cancer","Leo","Virgo","Libra","Scorpio","Sagittarius","Capricorn","Aquarius","Pisces"},0),12)+1),12)+1)="FULL",NOT(CALC_PlanetPositions!$B$9=CALC_SuryaLagna!$E$8)),AND(OR(CALC_PlanetPositions!$M$10="Benefic",CALC_PlanetPositions!$M$10="Yogakaraka"),INDEX(REF_Aspects!$D$5:$O$13,4,MOD(CALC_SuryaLagna!$F$8-(MOD(MATCH(CALC_PlanetPositions!$B$10,{"Aries","Taurus","Gemini","Cancer","Leo","Virgo","Libra","Scorpio","Sagittarius","Capricorn","Aquarius","Pisces"},0)-MATCH(CALC_PlanetPositions!$B$7,{"Aries","Taurus","Gemini","Cancer","Leo","Virgo","Libra","Scorpio","Sagittarius","Capricorn","Aquarius","Pisces"},0),12)+1),12)+1)="FULL",NOT(CALC_PlanetPositions!$B$10=CALC_SuryaLagna!$E$8)),AND(OR(CALC_PlanetPositions!$M$11="Benefic",CALC_PlanetPositions!$M$11="Yogakaraka"),INDEX(REF_Aspects!$D$5:$O$13,5,MOD(CALC_SuryaLagna!$F$8-(MOD(MATCH(CALC_PlanetPositions!$B$11,{"Aries","Taurus","Gemini","Cancer","Leo","Virgo","Libra","Scorpio","Sagittarius","Capricorn","Aquarius","Pisces"},0)-MATCH(CALC_PlanetPositions!$B$7,{"Aries","Taurus","Gemini","Cancer","Leo","Virgo","Libra","Scorpio","Sagittarius","Capricorn","Aquarius","Pisces"},0),12)+1),12)+1)="FULL",NOT(CALC_PlanetPositions!$B$11=CALC_SuryaLagna!$E$8)),AND(OR(CALC_PlanetPositions!$M$12="Benefic",CALC_PlanetPositions!$M$12="Yogakaraka"),INDEX(REF_Aspects!$D$5:$O$13,6,MOD(CALC_SuryaLagna!$F$8-(MOD(MATCH(CALC_PlanetPositions!$B$12,{"Aries","Taurus","Gemini","Cancer","Leo","Virgo","Libra","Scorpio","Sagittarius","Capricorn","Aquarius","Pisces"},0)-MATCH(CALC_PlanetPositions!$B$7,{"Aries","Taurus","Gemini","Cancer","Leo","Virgo","Libra","Scorpio","Sagittarius","Capricorn","Aquarius","Pisces"},0),12)+1),12)+1)="FULL",NOT(CALC_PlanetPositions!$B$12=CALC_SuryaLagna!$E$8)),AND(OR(CALC_PlanetPositions!$M$13="Benefic",CALC_PlanetPositions!$M$13="Yogakaraka"),INDEX(REF_Aspects!$D$5:$O$13,7,MOD(CALC_SuryaLagna!$F$8-(MOD(MATCH(CALC_PlanetPositions!$B$13,{"Aries","Taurus","Gemini","Cancer","Leo","Virgo","Libra","Scorpio","Sagittarius","Capricorn","Aquarius","Pisces"},0)-MATCH(CALC_PlanetPositions!$B$7,{"Aries","Taurus","Gemini","Cancer","Leo","Virgo","Libra","Scorpio","Sagittarius","Capricorn","Aquarius","Pisces"},0),12)+1),12)+1)="FULL",NOT(CALC_PlanetPositions!$B$13=CALC_SuryaLagna!$E$8)),AND(FALSE(),INDEX(REF_Aspects!$D$5:$O$13,8,MOD(CALC_SuryaLagna!$F$8-(MOD(MATCH(CALC_PlanetPositions!$B$14,{"Aries","Taurus","Gemini","Cancer","Leo","Virgo","Libra","Scorpio","Sagittarius","Capricorn","Aquarius","Pisces"},0)-MATCH(CALC_PlanetPositions!$B$7,{"Aries","Taurus","Gemini","Cancer","Leo","Virgo","Libra","Scorpio","Sagittarius","Capricorn","Aquarius","Pisces"},0),12)+1),12)+1)="FULL",NOT(CALC_PlanetPositions!$B$14=CALC_SuryaLagna!$E$8)),AND(FALSE(),INDEX(REF_Aspects!$D$5:$O$13,9,MOD(CALC_SuryaLagna!$F$8-(MOD(MATCH(CALC_PlanetPositions!$B$15,{"Aries","Taurus","Gemini","Cancer","Leo","Virgo","Libra","Scorpio","Sagittarius","Capricorn","Aquarius","Pisces"},0)-MATCH(CALC_PlanetPositions!$B$7,{"Aries","Taurus","Gemini","Cancer","Leo","Virgo","Libra","Scorpio","Sagittarius","Capricorn","Aquarius","Pisces"},0),12)+1),12)+1)="FULL",NOT(CALC_PlanetPositions!$B$15=CALC_SuryaLagna!$E$8))),1,0),0))*0.5,0)</f>
        <v>0</v>
      </c>
      <c r="D12" s="400" t="s">
        <v>4618</v>
      </c>
    </row>
    <row r="13" spans="1:12" ht="27.75" customHeight="1" x14ac:dyDescent="0.2">
      <c r="A13" s="126"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$8-2,12)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$8-2,12)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$8-2,12)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$8-2,12)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$8-2,12)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$8-2,12)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$8-2,12)+1)),AND(FALSE(),MOD(MATCH(CALC_PlanetPositions!$B$14,{"Aries","Taurus","Gemini","Cancer","Leo","Virgo","Libra","Scorpio","Sagittarius","Capricorn","Aquarius","Pisces"},0)-MATCH(CALC_PlanetPositions!$B$7,{"Aries","Taurus","Gemini","Cancer","Leo","Virgo","Libra","Scorpio","Sagittarius","Capricorn","Aquarius","Pisces"},0),12)+1=(MOD(CALC_SuryaLagna!$F$8-2,12)+1)),AND(FALSE(),MOD(MATCH(CALC_PlanetPositions!$B$15,{"Aries","Taurus","Gemini","Cancer","Leo","Virgo","Libra","Scorpio","Sagittarius","Capricorn","Aquarius","Pisces"},0)-MATCH(CALC_PlanetPositions!$B$7,{"Aries","Taurus","Gemini","Cancer","Leo","Virgo","Libra","Scorpio","Sagittarius","Capricorn","Aquarius","Pisces"},0),12)+1=(MOD(CALC_SuryaLagna!$F$8-2,12)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$8,12)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$8,12)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$8,12)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$8,12)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$8,12)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$8,12)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$8,12)+1)),AND(FALSE(),MOD(MATCH(CALC_PlanetPositions!$B$14,{"Aries","Taurus","Gemini","Cancer","Leo","Virgo","Libra","Scorpio","Sagittarius","Capricorn","Aquarius","Pisces"},0)-MATCH(CALC_PlanetPositions!$B$7,{"Aries","Taurus","Gemini","Cancer","Leo","Virgo","Libra","Scorpio","Sagittarius","Capricorn","Aquarius","Pisces"},0),12)+1=(MOD(CALC_SuryaLagna!$F$8,12)+1)),AND(FALSE(),MOD(MATCH(CALC_PlanetPositions!$B$15,{"Aries","Taurus","Gemini","Cancer","Leo","Virgo","Libra","Scorpio","Sagittarius","Capricorn","Aquarius","Pisces"},0)-MATCH(CALC_PlanetPositions!$B$7,{"Aries","Taurus","Gemini","Cancer","Leo","Virgo","Libra","Scorpio","Sagittarius","Capricorn","Aquarius","Pisces"},0),12)+1=(MOD(CALC_SuryaLagna!$F$8,12)+1)))),1,0),0))*IF(REF_Config!$B$6="KP",0.75,IF(REF_Config!$B$6="Jaimini",0.5,0.75)),0)</f>
        <v>0</v>
      </c>
      <c r="D13" s="403" t="s">
        <v>4620</v>
      </c>
    </row>
    <row r="14" spans="1:12" ht="15.75" customHeight="1" x14ac:dyDescent="0.2">
      <c r="A14" s="1598" t="s">
        <v>4621</v>
      </c>
      <c r="B14" s="1598"/>
      <c r="C14" s="1598"/>
      <c r="D14" s="1598"/>
    </row>
    <row r="15" spans="1:12" ht="27.75" customHeight="1" x14ac:dyDescent="0.2">
      <c r="A15" s="126"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5),AND(CALC_PlanetPositions!$M$8="Malefic",(MOD(MATCH(CALC_PlanetPositions!$B$8,{"Aries","Taurus","Gemini","Cancer","Leo","Virgo","Libra","Scorpio","Sagittarius","Capricorn","Aquarius","Pisces"},0)-MATCH(CALC_PlanetPositions!$B$7,{"Aries","Taurus","Gemini","Cancer","Leo","Virgo","Libra","Scorpio","Sagittarius","Capricorn","Aquarius","Pisces"},0),12)+1)=5),AND(CALC_PlanetPositions!$M$9="Malefic",(MOD(MATCH(CALC_PlanetPositions!$B$9,{"Aries","Taurus","Gemini","Cancer","Leo","Virgo","Libra","Scorpio","Sagittarius","Capricorn","Aquarius","Pisces"},0)-MATCH(CALC_PlanetPositions!$B$7,{"Aries","Taurus","Gemini","Cancer","Leo","Virgo","Libra","Scorpio","Sagittarius","Capricorn","Aquarius","Pisces"},0),12)+1)=5),AND(CALC_PlanetPositions!$M$10="Malefic",(MOD(MATCH(CALC_PlanetPositions!$B$10,{"Aries","Taurus","Gemini","Cancer","Leo","Virgo","Libra","Scorpio","Sagittarius","Capricorn","Aquarius","Pisces"},0)-MATCH(CALC_PlanetPositions!$B$7,{"Aries","Taurus","Gemini","Cancer","Leo","Virgo","Libra","Scorpio","Sagittarius","Capricorn","Aquarius","Pisces"},0),12)+1)=5),AND(CALC_PlanetPositions!$M$11="Malefic",(MOD(MATCH(CALC_PlanetPositions!$B$11,{"Aries","Taurus","Gemini","Cancer","Leo","Virgo","Libra","Scorpio","Sagittarius","Capricorn","Aquarius","Pisces"},0)-MATCH(CALC_PlanetPositions!$B$7,{"Aries","Taurus","Gemini","Cancer","Leo","Virgo","Libra","Scorpio","Sagittarius","Capricorn","Aquarius","Pisces"},0),12)+1)=5),AND(CALC_PlanetPositions!$M$12="Malefic",(MOD(MATCH(CALC_PlanetPositions!$B$12,{"Aries","Taurus","Gemini","Cancer","Leo","Virgo","Libra","Scorpio","Sagittarius","Capricorn","Aquarius","Pisces"},0)-MATCH(CALC_PlanetPositions!$B$7,{"Aries","Taurus","Gemini","Cancer","Leo","Virgo","Libra","Scorpio","Sagittarius","Capricorn","Aquarius","Pisces"},0),12)+1)=5),AND(CALC_PlanetPositions!$M$13="Malefic",(MOD(MATCH(CALC_PlanetPositions!$B$13,{"Aries","Taurus","Gemini","Cancer","Leo","Virgo","Libra","Scorpio","Sagittarius","Capricorn","Aquarius","Pisces"},0)-MATCH(CALC_PlanetPositions!$B$7,{"Aries","Taurus","Gemini","Cancer","Leo","Virgo","Libra","Scorpio","Sagittarius","Capricorn","Aquarius","Pisces"},0),12)+1)=5),AND(TRUE(),(MOD(MATCH(CALC_PlanetPositions!$B$14,{"Aries","Taurus","Gemini","Cancer","Leo","Virgo","Libra","Scorpio","Sagittarius","Capricorn","Aquarius","Pisces"},0)-MATCH(CALC_PlanetPositions!$B$7,{"Aries","Taurus","Gemini","Cancer","Leo","Virgo","Libra","Scorpio","Sagittarius","Capricorn","Aquarius","Pisces"},0),12)+1)=5),AND(TRUE(),(MOD(MATCH(CALC_PlanetPositions!$B$15,{"Aries","Taurus","Gemini","Cancer","Leo","Virgo","Libra","Scorpio","Sagittarius","Capricorn","Aquarius","Pisces"},0)-MATCH(CALC_PlanetPositions!$B$7,{"Aries","Taurus","Gemini","Cancer","Leo","Virgo","Libra","Scorpio","Sagittarius","Capricorn","Aquarius","Pisces"},0),12)+1)=5)),1,0),0))*-1,0)</f>
        <v>-1</v>
      </c>
      <c r="D15" s="400" t="s">
        <v>4623</v>
      </c>
    </row>
    <row r="16" spans="1:12" ht="27.75" customHeight="1" x14ac:dyDescent="0.2">
      <c r="A16" s="126" t="s">
        <v>4624</v>
      </c>
      <c r="B16" s="203" t="s">
        <v>4548</v>
      </c>
      <c r="C16" s="1118">
        <f>IFERROR((IFERROR(IF(OR(AND(CALC_PlanetPositions!$M$7="Malefic",INDEX(REF_Aspects!$D$5:$O$13,1,MOD(5-(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5)),AND(CALC_PlanetPositions!$M$8="Malefic",INDEX(REF_Aspects!$D$5:$O$13,2,MOD(5-(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5)),AND(CALC_PlanetPositions!$M$9="Malefic",INDEX(REF_Aspects!$D$5:$O$13,3,MOD(5-(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5)),AND(CALC_PlanetPositions!$M$10="Malefic",INDEX(REF_Aspects!$D$5:$O$13,4,MOD(5-(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5)),AND(CALC_PlanetPositions!$M$11="Malefic",INDEX(REF_Aspects!$D$5:$O$13,5,MOD(5-(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5)),AND(CALC_PlanetPositions!$M$12="Malefic",INDEX(REF_Aspects!$D$5:$O$13,6,MOD(5-(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5)),AND(CALC_PlanetPositions!$M$13="Malefic",INDEX(REF_Aspects!$D$5:$O$13,7,MOD(5-(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5)),AND(TRUE(),INDEX(REF_Aspects!$D$5:$O$13,8,MOD(5-(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5)),AND(TRUE(),INDEX(REF_Aspects!$D$5:$O$13,9,MOD(5-(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5))),1,0),0))*-1,0)</f>
        <v>-1</v>
      </c>
      <c r="D16" s="403" t="s">
        <v>4625</v>
      </c>
    </row>
    <row r="17" spans="1:7" ht="27.75" customHeight="1" x14ac:dyDescent="0.2">
      <c r="A17" s="126" t="s">
        <v>4626</v>
      </c>
      <c r="B17" s="357" t="s">
        <v>3062</v>
      </c>
      <c r="C17" s="1117">
        <v>0</v>
      </c>
      <c r="D17" s="400" t="s">
        <v>4627</v>
      </c>
    </row>
    <row r="18" spans="1:7" ht="27.75" customHeight="1" x14ac:dyDescent="0.2">
      <c r="A18" s="126"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(5-2,12)+1)),AND(CALC_PlanetPositions!$M$8="Malefic",MOD(MATCH(CALC_PlanetPositions!$B$8,{"Aries","Taurus","Gemini","Cancer","Leo","Virgo","Libra","Scorpio","Sagittarius","Capricorn","Aquarius","Pisces"},0)-MATCH(CALC_PlanetPositions!$B$7,{"Aries","Taurus","Gemini","Cancer","Leo","Virgo","Libra","Scorpio","Sagittarius","Capricorn","Aquarius","Pisces"},0),12)+1=(MOD(5-2,12)+1)),AND(CALC_PlanetPositions!$M$9="Malefic",MOD(MATCH(CALC_PlanetPositions!$B$9,{"Aries","Taurus","Gemini","Cancer","Leo","Virgo","Libra","Scorpio","Sagittarius","Capricorn","Aquarius","Pisces"},0)-MATCH(CALC_PlanetPositions!$B$7,{"Aries","Taurus","Gemini","Cancer","Leo","Virgo","Libra","Scorpio","Sagittarius","Capricorn","Aquarius","Pisces"},0),12)+1=(MOD(5-2,12)+1)),AND(CALC_PlanetPositions!$M$10="Malefic",MOD(MATCH(CALC_PlanetPositions!$B$10,{"Aries","Taurus","Gemini","Cancer","Leo","Virgo","Libra","Scorpio","Sagittarius","Capricorn","Aquarius","Pisces"},0)-MATCH(CALC_PlanetPositions!$B$7,{"Aries","Taurus","Gemini","Cancer","Leo","Virgo","Libra","Scorpio","Sagittarius","Capricorn","Aquarius","Pisces"},0),12)+1=(MOD(5-2,12)+1)),AND(CALC_PlanetPositions!$M$11="Malefic",MOD(MATCH(CALC_PlanetPositions!$B$11,{"Aries","Taurus","Gemini","Cancer","Leo","Virgo","Libra","Scorpio","Sagittarius","Capricorn","Aquarius","Pisces"},0)-MATCH(CALC_PlanetPositions!$B$7,{"Aries","Taurus","Gemini","Cancer","Leo","Virgo","Libra","Scorpio","Sagittarius","Capricorn","Aquarius","Pisces"},0),12)+1=(MOD(5-2,12)+1)),AND(CALC_PlanetPositions!$M$12="Malefic",MOD(MATCH(CALC_PlanetPositions!$B$12,{"Aries","Taurus","Gemini","Cancer","Leo","Virgo","Libra","Scorpio","Sagittarius","Capricorn","Aquarius","Pisces"},0)-MATCH(CALC_PlanetPositions!$B$7,{"Aries","Taurus","Gemini","Cancer","Leo","Virgo","Libra","Scorpio","Sagittarius","Capricorn","Aquarius","Pisces"},0),12)+1=(MOD(5-2,12)+1)),AND(CALC_PlanetPositions!$M$13="Malefic",MOD(MATCH(CALC_PlanetPositions!$B$13,{"Aries","Taurus","Gemini","Cancer","Leo","Virgo","Libra","Scorpio","Sagittarius","Capricorn","Aquarius","Pisces"},0)-MATCH(CALC_PlanetPositions!$B$7,{"Aries","Taurus","Gemini","Cancer","Leo","Virgo","Libra","Scorpio","Sagittarius","Capricorn","Aquarius","Pisces"},0),12)+1=(MOD(5-2,12)+1)),AND(TRUE(),MOD(MATCH(CALC_PlanetPositions!$B$14,{"Aries","Taurus","Gemini","Cancer","Leo","Virgo","Libra","Scorpio","Sagittarius","Capricorn","Aquarius","Pisces"},0)-MATCH(CALC_PlanetPositions!$B$7,{"Aries","Taurus","Gemini","Cancer","Leo","Virgo","Libra","Scorpio","Sagittarius","Capricorn","Aquarius","Pisces"},0),12)+1=(MOD(5-2,12)+1)),AND(TRUE(),MOD(MATCH(CALC_PlanetPositions!$B$15,{"Aries","Taurus","Gemini","Cancer","Leo","Virgo","Libra","Scorpio","Sagittarius","Capricorn","Aquarius","Pisces"},0)-MATCH(CALC_PlanetPositions!$B$7,{"Aries","Taurus","Gemini","Cancer","Leo","Virgo","Libra","Scorpio","Sagittarius","Capricorn","Aquarius","Pisces"},0),12)+1=(MOD(5-2,12)+1))),OR(AND(CALC_PlanetPositions!$M$7="Malefic",MOD(MATCH(CALC_PlanetPositions!$B$7,{"Aries","Taurus","Gemini","Cancer","Leo","Virgo","Libra","Scorpio","Sagittarius","Capricorn","Aquarius","Pisces"},0)-MATCH(CALC_PlanetPositions!$B$7,{"Aries","Taurus","Gemini","Cancer","Leo","Virgo","Libra","Scorpio","Sagittarius","Capricorn","Aquarius","Pisces"},0),12)+1=(MOD(5,12)+1)),AND(CALC_PlanetPositions!$M$8="Malefic",MOD(MATCH(CALC_PlanetPositions!$B$8,{"Aries","Taurus","Gemini","Cancer","Leo","Virgo","Libra","Scorpio","Sagittarius","Capricorn","Aquarius","Pisces"},0)-MATCH(CALC_PlanetPositions!$B$7,{"Aries","Taurus","Gemini","Cancer","Leo","Virgo","Libra","Scorpio","Sagittarius","Capricorn","Aquarius","Pisces"},0),12)+1=(MOD(5,12)+1)),AND(CALC_PlanetPositions!$M$9="Malefic",MOD(MATCH(CALC_PlanetPositions!$B$9,{"Aries","Taurus","Gemini","Cancer","Leo","Virgo","Libra","Scorpio","Sagittarius","Capricorn","Aquarius","Pisces"},0)-MATCH(CALC_PlanetPositions!$B$7,{"Aries","Taurus","Gemini","Cancer","Leo","Virgo","Libra","Scorpio","Sagittarius","Capricorn","Aquarius","Pisces"},0),12)+1=(MOD(5,12)+1)),AND(CALC_PlanetPositions!$M$10="Malefic",MOD(MATCH(CALC_PlanetPositions!$B$10,{"Aries","Taurus","Gemini","Cancer","Leo","Virgo","Libra","Scorpio","Sagittarius","Capricorn","Aquarius","Pisces"},0)-MATCH(CALC_PlanetPositions!$B$7,{"Aries","Taurus","Gemini","Cancer","Leo","Virgo","Libra","Scorpio","Sagittarius","Capricorn","Aquarius","Pisces"},0),12)+1=(MOD(5,12)+1)),AND(CALC_PlanetPositions!$M$11="Malefic",MOD(MATCH(CALC_PlanetPositions!$B$11,{"Aries","Taurus","Gemini","Cancer","Leo","Virgo","Libra","Scorpio","Sagittarius","Capricorn","Aquarius","Pisces"},0)-MATCH(CALC_PlanetPositions!$B$7,{"Aries","Taurus","Gemini","Cancer","Leo","Virgo","Libra","Scorpio","Sagittarius","Capricorn","Aquarius","Pisces"},0),12)+1=(MOD(5,12)+1)),AND(CALC_PlanetPositions!$M$12="Malefic",MOD(MATCH(CALC_PlanetPositions!$B$12,{"Aries","Taurus","Gemini","Cancer","Leo","Virgo","Libra","Scorpio","Sagittarius","Capricorn","Aquarius","Pisces"},0)-MATCH(CALC_PlanetPositions!$B$7,{"Aries","Taurus","Gemini","Cancer","Leo","Virgo","Libra","Scorpio","Sagittarius","Capricorn","Aquarius","Pisces"},0),12)+1=(MOD(5,12)+1)),AND(CALC_PlanetPositions!$M$13="Malefic",MOD(MATCH(CALC_PlanetPositions!$B$13,{"Aries","Taurus","Gemini","Cancer","Leo","Virgo","Libra","Scorpio","Sagittarius","Capricorn","Aquarius","Pisces"},0)-MATCH(CALC_PlanetPositions!$B$7,{"Aries","Taurus","Gemini","Cancer","Leo","Virgo","Libra","Scorpio","Sagittarius","Capricorn","Aquarius","Pisces"},0),12)+1=(MOD(5,12)+1)),AND(TRUE(),MOD(MATCH(CALC_PlanetPositions!$B$14,{"Aries","Taurus","Gemini","Cancer","Leo","Virgo","Libra","Scorpio","Sagittarius","Capricorn","Aquarius","Pisces"},0)-MATCH(CALC_PlanetPositions!$B$7,{"Aries","Taurus","Gemini","Cancer","Leo","Virgo","Libra","Scorpio","Sagittarius","Capricorn","Aquarius","Pisces"},0),12)+1=(MOD(5,12)+1)),AND(TRUE(),MOD(MATCH(CALC_PlanetPositions!$B$15,{"Aries","Taurus","Gemini","Cancer","Leo","Virgo","Libra","Scorpio","Sagittarius","Capricorn","Aquarius","Pisces"},0)-MATCH(CALC_PlanetPositions!$B$7,{"Aries","Taurus","Gemini","Cancer","Leo","Virgo","Libra","Scorpio","Sagittarius","Capricorn","Aquarius","Pisces"},0),12)+1=(MOD(5,12)+1)))),1,0),0))*IF(REF_Config!$B$6="KP",-0.75,IF(REF_Config!$B$6="Jaimini",-0.5,-0.75)),0)</f>
        <v>0</v>
      </c>
      <c r="D18" s="403" t="s">
        <v>4629</v>
      </c>
    </row>
    <row r="19" spans="1:7" ht="15.75" customHeight="1" x14ac:dyDescent="0.2">
      <c r="A19" s="1594" t="s">
        <v>3624</v>
      </c>
      <c r="B19" s="1594"/>
      <c r="C19" s="1594"/>
      <c r="D19" s="1594"/>
    </row>
    <row r="20" spans="1:7" ht="27.75" customHeight="1" x14ac:dyDescent="0.2">
      <c r="A20" s="126" t="s">
        <v>4630</v>
      </c>
      <c r="B20" s="357" t="s">
        <v>4555</v>
      </c>
      <c r="C20" s="1117">
        <v>0</v>
      </c>
      <c r="D20" s="400" t="s">
        <v>4631</v>
      </c>
    </row>
    <row r="21" spans="1:7" ht="27.75" customHeight="1" x14ac:dyDescent="0.2">
      <c r="A21" s="126" t="s">
        <v>4632</v>
      </c>
      <c r="B21" s="203" t="s">
        <v>4633</v>
      </c>
      <c r="C21" s="1118">
        <f>IFERROR((IFERROR(IF(OR(AND(CALC_PlanetPositions!$M$7="Malefic",INDEX(REF_Aspects!$D$5:$O$13,1,MOD(CALC_SuryaLagna!$F$8-(MOD(MATCH(CALC_PlanetPositions!$B$7,{"Aries","Taurus","Gemini","Cancer","Leo","Virgo","Libra","Scorpio","Sagittarius","Capricorn","Aquarius","Pisces"},0)-MATCH(CALC_PlanetPositions!$B$7,{"Aries","Taurus","Gemini","Cancer","Leo","Virgo","Libra","Scorpio","Sagittarius","Capricorn","Aquarius","Pisces"},0),12)+1),12)+1)="FULL",NOT(CALC_PlanetPositions!$B$7=CALC_SuryaLagna!$E$8)),AND(CALC_PlanetPositions!$M$8="Malefic",INDEX(REF_Aspects!$D$5:$O$13,2,MOD(CALC_SuryaLagna!$F$8-(MOD(MATCH(CALC_PlanetPositions!$B$8,{"Aries","Taurus","Gemini","Cancer","Leo","Virgo","Libra","Scorpio","Sagittarius","Capricorn","Aquarius","Pisces"},0)-MATCH(CALC_PlanetPositions!$B$7,{"Aries","Taurus","Gemini","Cancer","Leo","Virgo","Libra","Scorpio","Sagittarius","Capricorn","Aquarius","Pisces"},0),12)+1),12)+1)="FULL",NOT(CALC_PlanetPositions!$B$8=CALC_SuryaLagna!$E$8)),AND(CALC_PlanetPositions!$M$9="Malefic",INDEX(REF_Aspects!$D$5:$O$13,3,MOD(CALC_SuryaLagna!$F$8-(MOD(MATCH(CALC_PlanetPositions!$B$9,{"Aries","Taurus","Gemini","Cancer","Leo","Virgo","Libra","Scorpio","Sagittarius","Capricorn","Aquarius","Pisces"},0)-MATCH(CALC_PlanetPositions!$B$7,{"Aries","Taurus","Gemini","Cancer","Leo","Virgo","Libra","Scorpio","Sagittarius","Capricorn","Aquarius","Pisces"},0),12)+1),12)+1)="FULL",NOT(CALC_PlanetPositions!$B$9=CALC_SuryaLagna!$E$8)),AND(CALC_PlanetPositions!$M$10="Malefic",INDEX(REF_Aspects!$D$5:$O$13,4,MOD(CALC_SuryaLagna!$F$8-(MOD(MATCH(CALC_PlanetPositions!$B$10,{"Aries","Taurus","Gemini","Cancer","Leo","Virgo","Libra","Scorpio","Sagittarius","Capricorn","Aquarius","Pisces"},0)-MATCH(CALC_PlanetPositions!$B$7,{"Aries","Taurus","Gemini","Cancer","Leo","Virgo","Libra","Scorpio","Sagittarius","Capricorn","Aquarius","Pisces"},0),12)+1),12)+1)="FULL",NOT(CALC_PlanetPositions!$B$10=CALC_SuryaLagna!$E$8)),AND(CALC_PlanetPositions!$M$11="Malefic",INDEX(REF_Aspects!$D$5:$O$13,5,MOD(CALC_SuryaLagna!$F$8-(MOD(MATCH(CALC_PlanetPositions!$B$11,{"Aries","Taurus","Gemini","Cancer","Leo","Virgo","Libra","Scorpio","Sagittarius","Capricorn","Aquarius","Pisces"},0)-MATCH(CALC_PlanetPositions!$B$7,{"Aries","Taurus","Gemini","Cancer","Leo","Virgo","Libra","Scorpio","Sagittarius","Capricorn","Aquarius","Pisces"},0),12)+1),12)+1)="FULL",NOT(CALC_PlanetPositions!$B$11=CALC_SuryaLagna!$E$8)),AND(CALC_PlanetPositions!$M$12="Malefic",INDEX(REF_Aspects!$D$5:$O$13,6,MOD(CALC_SuryaLagna!$F$8-(MOD(MATCH(CALC_PlanetPositions!$B$12,{"Aries","Taurus","Gemini","Cancer","Leo","Virgo","Libra","Scorpio","Sagittarius","Capricorn","Aquarius","Pisces"},0)-MATCH(CALC_PlanetPositions!$B$7,{"Aries","Taurus","Gemini","Cancer","Leo","Virgo","Libra","Scorpio","Sagittarius","Capricorn","Aquarius","Pisces"},0),12)+1),12)+1)="FULL",NOT(CALC_PlanetPositions!$B$12=CALC_SuryaLagna!$E$8)),AND(CALC_PlanetPositions!$M$13="Malefic",INDEX(REF_Aspects!$D$5:$O$13,7,MOD(CALC_SuryaLagna!$F$8-(MOD(MATCH(CALC_PlanetPositions!$B$13,{"Aries","Taurus","Gemini","Cancer","Leo","Virgo","Libra","Scorpio","Sagittarius","Capricorn","Aquarius","Pisces"},0)-MATCH(CALC_PlanetPositions!$B$7,{"Aries","Taurus","Gemini","Cancer","Leo","Virgo","Libra","Scorpio","Sagittarius","Capricorn","Aquarius","Pisces"},0),12)+1),12)+1)="FULL",NOT(CALC_PlanetPositions!$B$13=CALC_SuryaLagna!$E$8)),AND(TRUE(),INDEX(REF_Aspects!$D$5:$O$13,8,MOD(CALC_SuryaLagna!$F$8-(MOD(MATCH(CALC_PlanetPositions!$B$14,{"Aries","Taurus","Gemini","Cancer","Leo","Virgo","Libra","Scorpio","Sagittarius","Capricorn","Aquarius","Pisces"},0)-MATCH(CALC_PlanetPositions!$B$7,{"Aries","Taurus","Gemini","Cancer","Leo","Virgo","Libra","Scorpio","Sagittarius","Capricorn","Aquarius","Pisces"},0),12)+1),12)+1)="FULL",NOT(CALC_PlanetPositions!$B$14=CALC_SuryaLagna!$E$8)),AND(TRUE(),INDEX(REF_Aspects!$D$5:$O$13,9,MOD(CALC_SuryaLagna!$F$8-(MOD(MATCH(CALC_PlanetPositions!$B$15,{"Aries","Taurus","Gemini","Cancer","Leo","Virgo","Libra","Scorpio","Sagittarius","Capricorn","Aquarius","Pisces"},0)-MATCH(CALC_PlanetPositions!$B$7,{"Aries","Taurus","Gemini","Cancer","Leo","Virgo","Libra","Scorpio","Sagittarius","Capricorn","Aquarius","Pisces"},0),12)+1),12)+1)="FULL",NOT(CALC_PlanetPositions!$B$15=CALC_SuryaLagna!$E$8))),1,0),0))*-0.5,0)</f>
        <v>-0.5</v>
      </c>
      <c r="D21" s="403" t="s">
        <v>4634</v>
      </c>
    </row>
    <row r="22" spans="1:7" ht="27.75" customHeight="1" x14ac:dyDescent="0.2">
      <c r="A22" s="126" t="s">
        <v>4635</v>
      </c>
      <c r="B22" s="357" t="s">
        <v>3042</v>
      </c>
      <c r="C22" s="1117">
        <f>IFERROR((IFERROR(IF(CALC_SuryaLagna!$I$8="Yes",1,0),0))*IF(REF_Config!$B$6="KP",-1.75,IF(REF_Config!$B$6="Jaimini",-2,-2)),0)</f>
        <v>-2</v>
      </c>
      <c r="D22" s="400" t="s">
        <v>4636</v>
      </c>
    </row>
    <row r="23" spans="1:7" ht="27.75" customHeight="1" x14ac:dyDescent="0.2">
      <c r="A23" s="126" t="s">
        <v>4637</v>
      </c>
      <c r="B23" s="203" t="s">
        <v>3059</v>
      </c>
      <c r="C23" s="1118">
        <f>IFERROR((IFERROR(IF(OR(AND(CALC_SuryaLagna!$E$9=CALC_SuryaLagna!$E$8,CALC_SuryaLagna!$D$9&lt;&gt;CALC_SuryaLagna!$D$8),AND(CALC_SuryaLagna!$E$11=CALC_SuryaLagna!$E$8,CALC_SuryaLagna!$D$11&lt;&gt;CALC_SuryaLagna!$D$8),AND(CALC_SuryaLagna!$E$15=CALC_SuryaLagna!$E$8,CALC_SuryaLagna!$D$15&lt;&gt;CALC_SuryaLagna!$D$8)),1,0),0))*-1,0)</f>
        <v>0</v>
      </c>
      <c r="D23" s="403" t="s">
        <v>4638</v>
      </c>
    </row>
    <row r="24" spans="1:7" ht="15.75" customHeight="1" x14ac:dyDescent="0.2">
      <c r="A24" s="1484" t="s">
        <v>4639</v>
      </c>
      <c r="B24" s="1484"/>
      <c r="C24" s="1484"/>
      <c r="D24" s="1484"/>
    </row>
    <row r="25" spans="1:7" ht="27.75" customHeight="1" x14ac:dyDescent="0.2">
      <c r="A25" s="126" t="s">
        <v>4640</v>
      </c>
      <c r="B25" s="357" t="s">
        <v>3084</v>
      </c>
      <c r="C25" s="1117">
        <f>IFERROR(IF(CALC_KarakMap!$M$9&gt;0,CALC_KarakMap!$M$9,0),0)</f>
        <v>0</v>
      </c>
      <c r="D25" s="400" t="s">
        <v>4641</v>
      </c>
    </row>
    <row r="26" spans="1:7" ht="27.75" customHeight="1" x14ac:dyDescent="0.2">
      <c r="A26" s="126" t="s">
        <v>4642</v>
      </c>
      <c r="B26" s="203" t="s">
        <v>4564</v>
      </c>
      <c r="C26" s="1118">
        <f>IFERROR(IF(CALC_KarakMap!$M$9&lt;0,CALC_KarakMap!$M$9,0),0)</f>
        <v>-0.5</v>
      </c>
      <c r="D26" s="403" t="s">
        <v>4643</v>
      </c>
    </row>
    <row r="27" spans="1:7" ht="27.75" customHeight="1" x14ac:dyDescent="0.2">
      <c r="A27" s="1119" t="s">
        <v>4644</v>
      </c>
      <c r="B27" s="296" t="s">
        <v>3624</v>
      </c>
      <c r="C27" s="1117">
        <f>IFERROR(IF(OR(CALC_SuryaLagna!$D$8="Sun",CALC_SuryaLagna!$D$8="Rahu",CALC_SuryaLagna!$D$8="Ketu"),0,IF(CALC_SuryaLagna!$D$8="Moon",IF(CALC_CombustionCheck!$G$4="Cazimi ✓",0.5,IF(CALC_CombustionCheck!$F$4="COMBUST ⚠",-1,0)),IF(CALC_SuryaLagna!$D$8="Mars",IF(CALC_CombustionCheck!$G$5="Cazimi ✓",0.5,IF(AND(CALC_CombustionCheck!$F$5="COMBUST ⚠",CALC_RetrogradeFix!$F$6="Rx ✓"),-0.5,IF(CALC_CombustionCheck!$F$5="COMBUST ⚠",-1,0))),IF(CALC_SuryaLagna!$D$8="Mercury",IF(CALC_CombustionCheck!$G$6="Cazimi ✓",0.5,IF(AND(CALC_CombustionCheck!$F$6="COMBUST ⚠",CALC_RetrogradeFix!$F$7="Rx ✓"),-0.5,IF(CALC_CombustionCheck!$F$6="COMBUST ⚠",-1,0))),IF(CALC_SuryaLagna!$D$8="Jupiter",IF(CALC_CombustionCheck!$G$7="Cazimi ✓",0.5,IF(AND(CALC_CombustionCheck!$F$7="COMBUST ⚠",CALC_RetrogradeFix!$F$8="Rx ✓"),-0.5,IF(CALC_CombustionCheck!$F$7="COMBUST ⚠",-1,0))),IF(CALC_SuryaLagna!$D$8="Venus",IF(CALC_CombustionCheck!$G$8="Cazimi ✓",0.5,IF(AND(CALC_CombustionCheck!$F$8="COMBUST ⚠",CALC_RetrogradeFix!$F$9="Rx ✓"),-0.5,IF(CALC_CombustionCheck!$F$8="COMBUST ⚠",-1,0))),IF(CALC_SuryaLagna!$D$8="Saturn",IF(CALC_CombustionCheck!$G$9="Cazimi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SuryaLagna!$D$8="Rahu",CALC_SuryaLagna!$D$8="Ketu"),0,IF(ISNUMBER(MATCH(CALC_SuryaLagna!$D$8,{"Sun","Moon","Mars","Mercury","Jupiter","Venus","Saturn"},0)),IF(INDEX(CALC_DigBala!$F$4:$F$10,MATCH(CALC_SuryaLagna!$D$8,{"Sun","Moon","Mars","Mercury","Jupiter","Venus","Saturn"},0))="Yes",0.5,0),0)),0)</f>
        <v>0</v>
      </c>
      <c r="D28" s="400" t="s">
        <v>4647</v>
      </c>
    </row>
    <row r="29" spans="1:7" ht="27.75" customHeight="1" x14ac:dyDescent="0.2">
      <c r="A29" s="1120" t="s">
        <v>4648</v>
      </c>
      <c r="B29" s="296" t="s">
        <v>3372</v>
      </c>
      <c r="C29" s="1117">
        <f>IFERROR(IF(COUNTIFS(REF_PushkaraNavamsha!$A$4:$A$27,CALC_SuryaLagna!$E$8,REF_PushkaraNavamsha!$B$4:$B$27,INDEX(CALC_PlanetPositions!$G$7:$G$15,MATCH(CALC_SuryaLagna!$D$8,CALC_PlanetPositions!$A$7:$A$15,0)))&gt;0,0.5,0),0)</f>
        <v>0</v>
      </c>
      <c r="D29" s="400" t="s">
        <v>4649</v>
      </c>
    </row>
    <row r="30" spans="1:7" ht="25.5" customHeight="1" x14ac:dyDescent="0.2">
      <c r="A30" s="147" t="s">
        <v>4650</v>
      </c>
      <c r="B30" s="1121" t="s">
        <v>4651</v>
      </c>
      <c r="C30" s="1122">
        <f>IFERROR(IF(ISNUMBER(MATCH(CALC_SuryaLagna!$D$8,{"Sun","Moon","Mars","Mercury","Jupiter","Venus","Saturn"},0)),INDEX(CALC_RetrogradeFix!$G$4:$G$10,MATCH(CALC_SuryaLagna!$D$8,{"Sun","Moon","Mars","Mercury","Jupiter","Venus","Saturn"},0)),0),0)</f>
        <v>0</v>
      </c>
      <c r="D30" s="1123" t="s">
        <v>4652</v>
      </c>
    </row>
    <row r="31" spans="1:7" ht="18" customHeight="1" x14ac:dyDescent="0.2">
      <c r="A31" s="1555" t="s">
        <v>4653</v>
      </c>
      <c r="B31" s="1555"/>
      <c r="C31" s="1555"/>
      <c r="D31" s="1555"/>
      <c r="E31" s="1124" t="s">
        <v>4654</v>
      </c>
      <c r="F31" s="1125">
        <f>IFERROR(IF(CALC_Ashtakavarga!F$12&gt;28,0.5,IF(CALC_Ashtakavarga!F$12&lt;22,-0.5,0)),0)</f>
        <v>-0.5</v>
      </c>
      <c r="G31" s="1126" t="s">
        <v>4655</v>
      </c>
    </row>
    <row r="32" spans="1:7" ht="18" customHeight="1" x14ac:dyDescent="0.2">
      <c r="A32" s="189" t="s">
        <v>3367</v>
      </c>
      <c r="B32" s="1127" t="s">
        <v>4656</v>
      </c>
      <c r="C32" s="1128">
        <f>IFERROR(SUM(C5:C7),0)</f>
        <v>1.5</v>
      </c>
      <c r="D32" s="1129"/>
    </row>
    <row r="33" spans="1:4" ht="18" customHeight="1" x14ac:dyDescent="0.2">
      <c r="A33" s="189" t="s">
        <v>3372</v>
      </c>
      <c r="B33" s="1127" t="s">
        <v>4657</v>
      </c>
      <c r="C33" s="1128">
        <f>IFERROR(SUM(C9:C13,C28:C30,F31,0),0)</f>
        <v>-0.5</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-4</v>
      </c>
      <c r="D37" s="1129"/>
    </row>
    <row r="38" spans="1:4" ht="21.75" customHeight="1" x14ac:dyDescent="0.2">
      <c r="A38" s="89" t="s">
        <v>4661</v>
      </c>
      <c r="B38" s="1129"/>
      <c r="C38" s="1131">
        <f>IFERROR(MAX(-10,MIN(10,C37)),0)</f>
        <v>-4</v>
      </c>
      <c r="D38" s="1132"/>
    </row>
    <row r="39" spans="1:4" ht="18" customHeight="1" x14ac:dyDescent="0.2">
      <c r="A39" s="517" t="s">
        <v>4662</v>
      </c>
      <c r="B39" s="1129"/>
      <c r="C39" s="1133">
        <f>IFERROR(CALC_LagneshStrength!$I$4,0)</f>
        <v>0</v>
      </c>
      <c r="D39" s="1129"/>
    </row>
    <row r="40" spans="1:4" ht="25.5" customHeight="1" x14ac:dyDescent="0.2">
      <c r="A40" s="1145" t="s">
        <v>4663</v>
      </c>
      <c r="B40" s="1129"/>
      <c r="C40" s="1146">
        <f>IFERROR(MAX(-10,MIN(10,C38+C39+C41)),0)</f>
        <v>-4</v>
      </c>
      <c r="D40" s="1147" t="str">
        <f>IFERROR(IF(C40&gt;=7,"Excellent — Intellect domain very strong",IF(C40&gt;=4,"Good — Intellect domain strong",IF(C40&gt;=1,"Moderate",IF(C40&gt;=-2,"Mixed — Intellect has challenges",IF(C40&gt;=-5,"Weak","Very weak — Intellect heavily afflicted"))))),"—")</f>
        <v>Weak</v>
      </c>
    </row>
    <row r="41" spans="1:4" ht="18" customHeight="1" x14ac:dyDescent="0.2">
      <c r="A41" s="622" t="s">
        <v>4681</v>
      </c>
      <c r="B41" s="904" t="s">
        <v>4705</v>
      </c>
      <c r="C41" s="1160">
        <v>0</v>
      </c>
      <c r="D41" s="550" t="s">
        <v>4714</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4715</v>
      </c>
      <c r="B1" s="1518"/>
      <c r="C1" s="1518"/>
      <c r="D1" s="1518"/>
      <c r="L1" s="544" t="s">
        <v>2214</v>
      </c>
    </row>
    <row r="2" spans="1:12" ht="19.5" customHeight="1" x14ac:dyDescent="0.2">
      <c r="A2" s="1595" t="str">
        <f>IFERROR("Surya Lagna: "&amp;CALC_PlanetPositions!$B$7&amp;"  ·  H6 sign: "&amp;CALC_SuryaLagna!$C$9,"—")</f>
        <v>Surya Lagna: Cancer  ·  H6 sign: Sagittarius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9" t="s">
        <v>4605</v>
      </c>
      <c r="B5" s="357" t="s">
        <v>4529</v>
      </c>
      <c r="C5" s="1117">
        <f>IFERROR((IFERROR(IF(INDEX(REF_Zodiac!$D$17:$O$17,MATCH(CALC_SuryaLagna!$C$9,REF_Zodiac!$D$3:$O$3,0))="Gentle",1,0),0))*0.5,0)</f>
        <v>0.5</v>
      </c>
      <c r="D5" s="400" t="s">
        <v>4606</v>
      </c>
    </row>
    <row r="6" spans="1:12" ht="27.75" customHeight="1" x14ac:dyDescent="0.2">
      <c r="A6" s="119"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19" t="s">
        <v>4609</v>
      </c>
      <c r="B7" s="357" t="s">
        <v>4534</v>
      </c>
      <c r="C7" s="1117">
        <f>IFERROR((IFERROR(IF(OR(AND(OR(CALC_PlanetPositions!$M$7="Benefic",CALC_PlanetPositions!$M$7="Yogakaraka"),INDEX(REF_Aspects!$D$5:$O$13,1,MOD(6-(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6)),AND(OR(CALC_PlanetPositions!$M$8="Benefic",CALC_PlanetPositions!$M$8="Yogakaraka"),INDEX(REF_Aspects!$D$5:$O$13,2,MOD(6-(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6)),AND(OR(CALC_PlanetPositions!$M$9="Benefic",CALC_PlanetPositions!$M$9="Yogakaraka"),INDEX(REF_Aspects!$D$5:$O$13,3,MOD(6-(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6)),AND(OR(CALC_PlanetPositions!$M$10="Benefic",CALC_PlanetPositions!$M$10="Yogakaraka"),INDEX(REF_Aspects!$D$5:$O$13,4,MOD(6-(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6)),AND(OR(CALC_PlanetPositions!$M$11="Benefic",CALC_PlanetPositions!$M$11="Yogakaraka"),INDEX(REF_Aspects!$D$5:$O$13,5,MOD(6-(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6)),AND(OR(CALC_PlanetPositions!$M$12="Benefic",CALC_PlanetPositions!$M$12="Yogakaraka"),INDEX(REF_Aspects!$D$5:$O$13,6,MOD(6-(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6)),AND(OR(CALC_PlanetPositions!$M$13="Benefic",CALC_PlanetPositions!$M$13="Yogakaraka"),INDEX(REF_Aspects!$D$5:$O$13,7,MOD(6-(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6)),AND(FALSE(),INDEX(REF_Aspects!$D$5:$O$13,8,MOD(6-(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6)),AND(FALSE(),INDEX(REF_Aspects!$D$5:$O$13,9,MOD(6-(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6))),1,0),0))*IF(REF_Config!$B$6="KP",0.5,IF(REF_Config!$B$6="Jaimini",0.75,0.75)),0)</f>
        <v>0</v>
      </c>
      <c r="D7" s="400" t="s">
        <v>4610</v>
      </c>
    </row>
    <row r="8" spans="1:12" ht="15.75" customHeight="1" x14ac:dyDescent="0.2">
      <c r="A8" s="1597" t="s">
        <v>3372</v>
      </c>
      <c r="B8" s="1597"/>
      <c r="C8" s="1597"/>
      <c r="D8" s="1597"/>
    </row>
    <row r="9" spans="1:12" ht="27.75" customHeight="1" x14ac:dyDescent="0.2">
      <c r="A9" s="119" t="s">
        <v>4611</v>
      </c>
      <c r="B9" s="203" t="s">
        <v>4537</v>
      </c>
      <c r="C9" s="1118">
        <f>IFERROR(IF(AND(OR(CALC_SuryaLagna!$G$9="Yes",CALC_SuryaLagna!$H$9="Yes"),NOT(CALC_SuryaLagna!$I$9="Yes")),1,0)*IF(REF_Config!$B$6="KP",1.5,IF(REF_Config!$B$6="Jaimini",1.5,2)),0)</f>
        <v>2</v>
      </c>
      <c r="D9" s="403" t="s">
        <v>4612</v>
      </c>
    </row>
    <row r="10" spans="1:12" ht="27.75" customHeight="1" x14ac:dyDescent="0.2">
      <c r="A10" s="119" t="s">
        <v>4613</v>
      </c>
      <c r="B10" s="357" t="s">
        <v>3093</v>
      </c>
      <c r="C10" s="1117">
        <f>IFERROR((IFERROR(IF(OR(AND(CALC_SuryaLagna!$E$4=CALC_SuryaLagna!$E$9,CALC_SuryaLagna!$D$4&lt;&gt;CALC_SuryaLagna!$D$9),AND(CALC_SuryaLagna!$E$7=CALC_SuryaLagna!$E$9,CALC_SuryaLagna!$D$7&lt;&gt;CALC_SuryaLagna!$D$9),AND(CALC_SuryaLagna!$E$8=CALC_SuryaLagna!$E$9,CALC_SuryaLagna!$D$8&lt;&gt;CALC_SuryaLagna!$D$9),AND(CALC_SuryaLagna!$E$10=CALC_SuryaLagna!$E$9,CALC_SuryaLagna!$D$10&lt;&gt;CALC_SuryaLagna!$D$9),AND(CALC_SuryaLagna!$E$12=CALC_SuryaLagna!$E$9,CALC_SuryaLagna!$D$12&lt;&gt;CALC_SuryaLagna!$D$9),AND(CALC_SuryaLagna!$E$13=CALC_SuryaLagna!$E$9,CALC_SuryaLagna!$D$13&lt;&gt;CALC_SuryaLagna!$D$9)),1,0),0))*0.5,0)</f>
        <v>0</v>
      </c>
      <c r="D10" s="400" t="s">
        <v>4614</v>
      </c>
    </row>
    <row r="11" spans="1:12" ht="27.75" customHeight="1" x14ac:dyDescent="0.2">
      <c r="A11" s="119" t="s">
        <v>4615</v>
      </c>
      <c r="B11" s="203" t="s">
        <v>4540</v>
      </c>
      <c r="C11" s="1118">
        <f>IFERROR((IFERROR(IF(OR(AND(OR(CALC_PlanetPositions!$M$7="Benefic",CALC_PlanetPositions!$M$7="Yogakaraka"),CALC_PlanetPositions!$B$7=CALC_SuryaLagna!$E$9,CALC_SuryaLagna!$D$9&lt;&gt;"Sun"),AND(OR(CALC_PlanetPositions!$M$8="Benefic",CALC_PlanetPositions!$M$8="Yogakaraka"),CALC_PlanetPositions!$B$8=CALC_SuryaLagna!$E$9,CALC_SuryaLagna!$D$9&lt;&gt;"Moon"),AND(OR(CALC_PlanetPositions!$M$9="Benefic",CALC_PlanetPositions!$M$9="Yogakaraka"),CALC_PlanetPositions!$B$9=CALC_SuryaLagna!$E$9,CALC_SuryaLagna!$D$9&lt;&gt;"Mars"),AND(OR(CALC_PlanetPositions!$M$10="Benefic",CALC_PlanetPositions!$M$10="Yogakaraka"),CALC_PlanetPositions!$B$10=CALC_SuryaLagna!$E$9,CALC_SuryaLagna!$D$9&lt;&gt;"Mercury"),AND(OR(CALC_PlanetPositions!$M$11="Benefic",CALC_PlanetPositions!$M$11="Yogakaraka"),CALC_PlanetPositions!$B$11=CALC_SuryaLagna!$E$9,CALC_SuryaLagna!$D$9&lt;&gt;"Jupiter"),AND(OR(CALC_PlanetPositions!$M$12="Benefic",CALC_PlanetPositions!$M$12="Yogakaraka"),CALC_PlanetPositions!$B$12=CALC_SuryaLagna!$E$9,CALC_SuryaLagna!$D$9&lt;&gt;"Venus"),AND(OR(CALC_PlanetPositions!$M$13="Benefic",CALC_PlanetPositions!$M$13="Yogakaraka"),CALC_PlanetPositions!$B$13=CALC_SuryaLagna!$E$9,CALC_SuryaLagna!$D$9&lt;&gt;"Saturn")),1,0),0))*IF(OR(AND(CALC_PlanetPositions!$M$7="Yogakaraka",CALC_PlanetPositions!$B$7=CALC_SuryaLagna!$E$9,CALC_SuryaLagna!$D$9&lt;&gt;"Sun"),AND(CALC_PlanetPositions!$M$8="Yogakaraka",CALC_PlanetPositions!$B$8=CALC_SuryaLagna!$E$9,CALC_SuryaLagna!$D$9&lt;&gt;"Moon"),AND(CALC_PlanetPositions!$M$9="Yogakaraka",CALC_PlanetPositions!$B$9=CALC_SuryaLagna!$E$9,CALC_SuryaLagna!$D$9&lt;&gt;"Mars"),AND(CALC_PlanetPositions!$M$10="Yogakaraka",CALC_PlanetPositions!$B$10=CALC_SuryaLagna!$E$9,CALC_SuryaLagna!$D$9&lt;&gt;"Mercury"),AND(CALC_PlanetPositions!$M$11="Yogakaraka",CALC_PlanetPositions!$B$11=CALC_SuryaLagna!$E$9,CALC_SuryaLagna!$D$9&lt;&gt;"Jupiter"),AND(CALC_PlanetPositions!$M$12="Yogakaraka",CALC_PlanetPositions!$B$12=CALC_SuryaLagna!$E$9,CALC_SuryaLagna!$D$9&lt;&gt;"Venus"),AND(CALC_PlanetPositions!$M$13="Yogakaraka",CALC_PlanetPositions!$B$13=CALC_SuryaLagna!$E$9,CALC_SuryaLagna!$D$9&lt;&gt;"Saturn")),1.5,1),0)</f>
        <v>0</v>
      </c>
      <c r="D11" s="403" t="s">
        <v>4616</v>
      </c>
    </row>
    <row r="12" spans="1:12" ht="27.75" customHeight="1" x14ac:dyDescent="0.2">
      <c r="A12" s="119" t="s">
        <v>4617</v>
      </c>
      <c r="B12" s="357" t="s">
        <v>4542</v>
      </c>
      <c r="C12" s="1117">
        <f>IFERROR((IFERROR(IF(OR(AND(OR(CALC_PlanetPositions!$M$7="Benefic",CALC_PlanetPositions!$M$7="Yogakaraka"),INDEX(REF_Aspects!$D$5:$O$13,1,MOD(CALC_SuryaLagna!$F$9-(MOD(MATCH(CALC_PlanetPositions!$B$7,{"Aries","Taurus","Gemini","Cancer","Leo","Virgo","Libra","Scorpio","Sagittarius","Capricorn","Aquarius","Pisces"},0)-MATCH(CALC_PlanetPositions!$B$7,{"Aries","Taurus","Gemini","Cancer","Leo","Virgo","Libra","Scorpio","Sagittarius","Capricorn","Aquarius","Pisces"},0),12)+1),12)+1)="FULL",NOT(CALC_PlanetPositions!$B$7=CALC_SuryaLagna!$E$9)),AND(OR(CALC_PlanetPositions!$M$8="Benefic",CALC_PlanetPositions!$M$8="Yogakaraka"),INDEX(REF_Aspects!$D$5:$O$13,2,MOD(CALC_SuryaLagna!$F$9-(MOD(MATCH(CALC_PlanetPositions!$B$8,{"Aries","Taurus","Gemini","Cancer","Leo","Virgo","Libra","Scorpio","Sagittarius","Capricorn","Aquarius","Pisces"},0)-MATCH(CALC_PlanetPositions!$B$7,{"Aries","Taurus","Gemini","Cancer","Leo","Virgo","Libra","Scorpio","Sagittarius","Capricorn","Aquarius","Pisces"},0),12)+1),12)+1)="FULL",NOT(CALC_PlanetPositions!$B$8=CALC_SuryaLagna!$E$9)),AND(OR(CALC_PlanetPositions!$M$9="Benefic",CALC_PlanetPositions!$M$9="Yogakaraka"),INDEX(REF_Aspects!$D$5:$O$13,3,MOD(CALC_SuryaLagna!$F$9-(MOD(MATCH(CALC_PlanetPositions!$B$9,{"Aries","Taurus","Gemini","Cancer","Leo","Virgo","Libra","Scorpio","Sagittarius","Capricorn","Aquarius","Pisces"},0)-MATCH(CALC_PlanetPositions!$B$7,{"Aries","Taurus","Gemini","Cancer","Leo","Virgo","Libra","Scorpio","Sagittarius","Capricorn","Aquarius","Pisces"},0),12)+1),12)+1)="FULL",NOT(CALC_PlanetPositions!$B$9=CALC_SuryaLagna!$E$9)),AND(OR(CALC_PlanetPositions!$M$10="Benefic",CALC_PlanetPositions!$M$10="Yogakaraka"),INDEX(REF_Aspects!$D$5:$O$13,4,MOD(CALC_SuryaLagna!$F$9-(MOD(MATCH(CALC_PlanetPositions!$B$10,{"Aries","Taurus","Gemini","Cancer","Leo","Virgo","Libra","Scorpio","Sagittarius","Capricorn","Aquarius","Pisces"},0)-MATCH(CALC_PlanetPositions!$B$7,{"Aries","Taurus","Gemini","Cancer","Leo","Virgo","Libra","Scorpio","Sagittarius","Capricorn","Aquarius","Pisces"},0),12)+1),12)+1)="FULL",NOT(CALC_PlanetPositions!$B$10=CALC_SuryaLagna!$E$9)),AND(OR(CALC_PlanetPositions!$M$11="Benefic",CALC_PlanetPositions!$M$11="Yogakaraka"),INDEX(REF_Aspects!$D$5:$O$13,5,MOD(CALC_SuryaLagna!$F$9-(MOD(MATCH(CALC_PlanetPositions!$B$11,{"Aries","Taurus","Gemini","Cancer","Leo","Virgo","Libra","Scorpio","Sagittarius","Capricorn","Aquarius","Pisces"},0)-MATCH(CALC_PlanetPositions!$B$7,{"Aries","Taurus","Gemini","Cancer","Leo","Virgo","Libra","Scorpio","Sagittarius","Capricorn","Aquarius","Pisces"},0),12)+1),12)+1)="FULL",NOT(CALC_PlanetPositions!$B$11=CALC_SuryaLagna!$E$9)),AND(OR(CALC_PlanetPositions!$M$12="Benefic",CALC_PlanetPositions!$M$12="Yogakaraka"),INDEX(REF_Aspects!$D$5:$O$13,6,MOD(CALC_SuryaLagna!$F$9-(MOD(MATCH(CALC_PlanetPositions!$B$12,{"Aries","Taurus","Gemini","Cancer","Leo","Virgo","Libra","Scorpio","Sagittarius","Capricorn","Aquarius","Pisces"},0)-MATCH(CALC_PlanetPositions!$B$7,{"Aries","Taurus","Gemini","Cancer","Leo","Virgo","Libra","Scorpio","Sagittarius","Capricorn","Aquarius","Pisces"},0),12)+1),12)+1)="FULL",NOT(CALC_PlanetPositions!$B$12=CALC_SuryaLagna!$E$9)),AND(OR(CALC_PlanetPositions!$M$13="Benefic",CALC_PlanetPositions!$M$13="Yogakaraka"),INDEX(REF_Aspects!$D$5:$O$13,7,MOD(CALC_SuryaLagna!$F$9-(MOD(MATCH(CALC_PlanetPositions!$B$13,{"Aries","Taurus","Gemini","Cancer","Leo","Virgo","Libra","Scorpio","Sagittarius","Capricorn","Aquarius","Pisces"},0)-MATCH(CALC_PlanetPositions!$B$7,{"Aries","Taurus","Gemini","Cancer","Leo","Virgo","Libra","Scorpio","Sagittarius","Capricorn","Aquarius","Pisces"},0),12)+1),12)+1)="FULL",NOT(CALC_PlanetPositions!$B$13=CALC_SuryaLagna!$E$9)),AND(FALSE(),INDEX(REF_Aspects!$D$5:$O$13,8,MOD(CALC_SuryaLagna!$F$9-(MOD(MATCH(CALC_PlanetPositions!$B$14,{"Aries","Taurus","Gemini","Cancer","Leo","Virgo","Libra","Scorpio","Sagittarius","Capricorn","Aquarius","Pisces"},0)-MATCH(CALC_PlanetPositions!$B$7,{"Aries","Taurus","Gemini","Cancer","Leo","Virgo","Libra","Scorpio","Sagittarius","Capricorn","Aquarius","Pisces"},0),12)+1),12)+1)="FULL",NOT(CALC_PlanetPositions!$B$14=CALC_SuryaLagna!$E$9)),AND(FALSE(),INDEX(REF_Aspects!$D$5:$O$13,9,MOD(CALC_SuryaLagna!$F$9-(MOD(MATCH(CALC_PlanetPositions!$B$15,{"Aries","Taurus","Gemini","Cancer","Leo","Virgo","Libra","Scorpio","Sagittarius","Capricorn","Aquarius","Pisces"},0)-MATCH(CALC_PlanetPositions!$B$7,{"Aries","Taurus","Gemini","Cancer","Leo","Virgo","Libra","Scorpio","Sagittarius","Capricorn","Aquarius","Pisces"},0),12)+1),12)+1)="FULL",NOT(CALC_PlanetPositions!$B$15=CALC_SuryaLagna!$E$9))),1,0),0))*0.5,0)</f>
        <v>0</v>
      </c>
      <c r="D12" s="400" t="s">
        <v>4618</v>
      </c>
    </row>
    <row r="13" spans="1:12" ht="27.75" customHeight="1" x14ac:dyDescent="0.2">
      <c r="A13" s="119"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$9-2,12)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$9-2,12)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$9-2,12)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$9-2,12)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$9-2,12)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$9-2,12)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$9-2,12)+1)),AND(FALSE(),MOD(MATCH(CALC_PlanetPositions!$B$14,{"Aries","Taurus","Gemini","Cancer","Leo","Virgo","Libra","Scorpio","Sagittarius","Capricorn","Aquarius","Pisces"},0)-MATCH(CALC_PlanetPositions!$B$7,{"Aries","Taurus","Gemini","Cancer","Leo","Virgo","Libra","Scorpio","Sagittarius","Capricorn","Aquarius","Pisces"},0),12)+1=(MOD(CALC_SuryaLagna!$F$9-2,12)+1)),AND(FALSE(),MOD(MATCH(CALC_PlanetPositions!$B$15,{"Aries","Taurus","Gemini","Cancer","Leo","Virgo","Libra","Scorpio","Sagittarius","Capricorn","Aquarius","Pisces"},0)-MATCH(CALC_PlanetPositions!$B$7,{"Aries","Taurus","Gemini","Cancer","Leo","Virgo","Libra","Scorpio","Sagittarius","Capricorn","Aquarius","Pisces"},0),12)+1=(MOD(CALC_SuryaLagna!$F$9-2,12)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$9,12)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$9,12)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$9,12)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$9,12)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$9,12)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$9,12)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$9,12)+1)),AND(FALSE(),MOD(MATCH(CALC_PlanetPositions!$B$14,{"Aries","Taurus","Gemini","Cancer","Leo","Virgo","Libra","Scorpio","Sagittarius","Capricorn","Aquarius","Pisces"},0)-MATCH(CALC_PlanetPositions!$B$7,{"Aries","Taurus","Gemini","Cancer","Leo","Virgo","Libra","Scorpio","Sagittarius","Capricorn","Aquarius","Pisces"},0),12)+1=(MOD(CALC_SuryaLagna!$F$9,12)+1)),AND(FALSE(),MOD(MATCH(CALC_PlanetPositions!$B$15,{"Aries","Taurus","Gemini","Cancer","Leo","Virgo","Libra","Scorpio","Sagittarius","Capricorn","Aquarius","Pisces"},0)-MATCH(CALC_PlanetPositions!$B$7,{"Aries","Taurus","Gemini","Cancer","Leo","Virgo","Libra","Scorpio","Sagittarius","Capricorn","Aquarius","Pisces"},0),12)+1=(MOD(CALC_SuryaLagna!$F$9,12)+1)))),1,0),0))*IF(REF_Config!$B$6="KP",0.75,IF(REF_Config!$B$6="Jaimini",0.5,0.75)),0)</f>
        <v>0</v>
      </c>
      <c r="D13" s="403" t="s">
        <v>4620</v>
      </c>
    </row>
    <row r="14" spans="1:12" ht="15.75" customHeight="1" x14ac:dyDescent="0.2">
      <c r="A14" s="1598" t="s">
        <v>4621</v>
      </c>
      <c r="B14" s="1598"/>
      <c r="C14" s="1598"/>
      <c r="D14" s="1598"/>
    </row>
    <row r="15" spans="1:12" ht="27.75" customHeight="1" x14ac:dyDescent="0.2">
      <c r="A15" s="119"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6),AND(CALC_PlanetPositions!$M$8="Malefic",(MOD(MATCH(CALC_PlanetPositions!$B$8,{"Aries","Taurus","Gemini","Cancer","Leo","Virgo","Libra","Scorpio","Sagittarius","Capricorn","Aquarius","Pisces"},0)-MATCH(CALC_PlanetPositions!$B$7,{"Aries","Taurus","Gemini","Cancer","Leo","Virgo","Libra","Scorpio","Sagittarius","Capricorn","Aquarius","Pisces"},0),12)+1)=6),AND(CALC_PlanetPositions!$M$9="Malefic",(MOD(MATCH(CALC_PlanetPositions!$B$9,{"Aries","Taurus","Gemini","Cancer","Leo","Virgo","Libra","Scorpio","Sagittarius","Capricorn","Aquarius","Pisces"},0)-MATCH(CALC_PlanetPositions!$B$7,{"Aries","Taurus","Gemini","Cancer","Leo","Virgo","Libra","Scorpio","Sagittarius","Capricorn","Aquarius","Pisces"},0),12)+1)=6),AND(CALC_PlanetPositions!$M$10="Malefic",(MOD(MATCH(CALC_PlanetPositions!$B$10,{"Aries","Taurus","Gemini","Cancer","Leo","Virgo","Libra","Scorpio","Sagittarius","Capricorn","Aquarius","Pisces"},0)-MATCH(CALC_PlanetPositions!$B$7,{"Aries","Taurus","Gemini","Cancer","Leo","Virgo","Libra","Scorpio","Sagittarius","Capricorn","Aquarius","Pisces"},0),12)+1)=6),AND(CALC_PlanetPositions!$M$11="Malefic",(MOD(MATCH(CALC_PlanetPositions!$B$11,{"Aries","Taurus","Gemini","Cancer","Leo","Virgo","Libra","Scorpio","Sagittarius","Capricorn","Aquarius","Pisces"},0)-MATCH(CALC_PlanetPositions!$B$7,{"Aries","Taurus","Gemini","Cancer","Leo","Virgo","Libra","Scorpio","Sagittarius","Capricorn","Aquarius","Pisces"},0),12)+1)=6),AND(CALC_PlanetPositions!$M$12="Malefic",(MOD(MATCH(CALC_PlanetPositions!$B$12,{"Aries","Taurus","Gemini","Cancer","Leo","Virgo","Libra","Scorpio","Sagittarius","Capricorn","Aquarius","Pisces"},0)-MATCH(CALC_PlanetPositions!$B$7,{"Aries","Taurus","Gemini","Cancer","Leo","Virgo","Libra","Scorpio","Sagittarius","Capricorn","Aquarius","Pisces"},0),12)+1)=6),AND(CALC_PlanetPositions!$M$13="Malefic",(MOD(MATCH(CALC_PlanetPositions!$B$13,{"Aries","Taurus","Gemini","Cancer","Leo","Virgo","Libra","Scorpio","Sagittarius","Capricorn","Aquarius","Pisces"},0)-MATCH(CALC_PlanetPositions!$B$7,{"Aries","Taurus","Gemini","Cancer","Leo","Virgo","Libra","Scorpio","Sagittarius","Capricorn","Aquarius","Pisces"},0),12)+1)=6),AND(TRUE(),(MOD(MATCH(CALC_PlanetPositions!$B$14,{"Aries","Taurus","Gemini","Cancer","Leo","Virgo","Libra","Scorpio","Sagittarius","Capricorn","Aquarius","Pisces"},0)-MATCH(CALC_PlanetPositions!$B$7,{"Aries","Taurus","Gemini","Cancer","Leo","Virgo","Libra","Scorpio","Sagittarius","Capricorn","Aquarius","Pisces"},0),12)+1)=6),AND(TRUE(),(MOD(MATCH(CALC_PlanetPositions!$B$15,{"Aries","Taurus","Gemini","Cancer","Leo","Virgo","Libra","Scorpio","Sagittarius","Capricorn","Aquarius","Pisces"},0)-MATCH(CALC_PlanetPositions!$B$7,{"Aries","Taurus","Gemini","Cancer","Leo","Virgo","Libra","Scorpio","Sagittarius","Capricorn","Aquarius","Pisces"},0),12)+1)=6)),1,0),0))*-1,0)</f>
        <v>0</v>
      </c>
      <c r="D15" s="400" t="s">
        <v>4623</v>
      </c>
    </row>
    <row r="16" spans="1:12" ht="27.75" customHeight="1" x14ac:dyDescent="0.2">
      <c r="A16" s="119" t="s">
        <v>4624</v>
      </c>
      <c r="B16" s="203" t="s">
        <v>4548</v>
      </c>
      <c r="C16" s="1118">
        <f>IFERROR((IFERROR(IF(OR(AND(CALC_PlanetPositions!$M$7="Malefic",INDEX(REF_Aspects!$D$5:$O$13,1,MOD(6-(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6)),AND(CALC_PlanetPositions!$M$8="Malefic",INDEX(REF_Aspects!$D$5:$O$13,2,MOD(6-(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6)),AND(CALC_PlanetPositions!$M$9="Malefic",INDEX(REF_Aspects!$D$5:$O$13,3,MOD(6-(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6)),AND(CALC_PlanetPositions!$M$10="Malefic",INDEX(REF_Aspects!$D$5:$O$13,4,MOD(6-(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6)),AND(CALC_PlanetPositions!$M$11="Malefic",INDEX(REF_Aspects!$D$5:$O$13,5,MOD(6-(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6)),AND(CALC_PlanetPositions!$M$12="Malefic",INDEX(REF_Aspects!$D$5:$O$13,6,MOD(6-(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6)),AND(CALC_PlanetPositions!$M$13="Malefic",INDEX(REF_Aspects!$D$5:$O$13,7,MOD(6-(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6)),AND(TRUE(),INDEX(REF_Aspects!$D$5:$O$13,8,MOD(6-(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6)),AND(TRUE(),INDEX(REF_Aspects!$D$5:$O$13,9,MOD(6-(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6))),1,0),0))*-1,0)</f>
        <v>-1</v>
      </c>
      <c r="D16" s="403" t="s">
        <v>4625</v>
      </c>
    </row>
    <row r="17" spans="1:7" ht="27.75" customHeight="1" x14ac:dyDescent="0.2">
      <c r="A17" s="119" t="s">
        <v>4626</v>
      </c>
      <c r="B17" s="357" t="s">
        <v>3062</v>
      </c>
      <c r="C17" s="1117">
        <v>0</v>
      </c>
      <c r="D17" s="400" t="s">
        <v>4627</v>
      </c>
    </row>
    <row r="18" spans="1:7" ht="27.75" customHeight="1" x14ac:dyDescent="0.2">
      <c r="A18" s="119"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(6-2,12)+1)),AND(CALC_PlanetPositions!$M$8="Malefic",MOD(MATCH(CALC_PlanetPositions!$B$8,{"Aries","Taurus","Gemini","Cancer","Leo","Virgo","Libra","Scorpio","Sagittarius","Capricorn","Aquarius","Pisces"},0)-MATCH(CALC_PlanetPositions!$B$7,{"Aries","Taurus","Gemini","Cancer","Leo","Virgo","Libra","Scorpio","Sagittarius","Capricorn","Aquarius","Pisces"},0),12)+1=(MOD(6-2,12)+1)),AND(CALC_PlanetPositions!$M$9="Malefic",MOD(MATCH(CALC_PlanetPositions!$B$9,{"Aries","Taurus","Gemini","Cancer","Leo","Virgo","Libra","Scorpio","Sagittarius","Capricorn","Aquarius","Pisces"},0)-MATCH(CALC_PlanetPositions!$B$7,{"Aries","Taurus","Gemini","Cancer","Leo","Virgo","Libra","Scorpio","Sagittarius","Capricorn","Aquarius","Pisces"},0),12)+1=(MOD(6-2,12)+1)),AND(CALC_PlanetPositions!$M$10="Malefic",MOD(MATCH(CALC_PlanetPositions!$B$10,{"Aries","Taurus","Gemini","Cancer","Leo","Virgo","Libra","Scorpio","Sagittarius","Capricorn","Aquarius","Pisces"},0)-MATCH(CALC_PlanetPositions!$B$7,{"Aries","Taurus","Gemini","Cancer","Leo","Virgo","Libra","Scorpio","Sagittarius","Capricorn","Aquarius","Pisces"},0),12)+1=(MOD(6-2,12)+1)),AND(CALC_PlanetPositions!$M$11="Malefic",MOD(MATCH(CALC_PlanetPositions!$B$11,{"Aries","Taurus","Gemini","Cancer","Leo","Virgo","Libra","Scorpio","Sagittarius","Capricorn","Aquarius","Pisces"},0)-MATCH(CALC_PlanetPositions!$B$7,{"Aries","Taurus","Gemini","Cancer","Leo","Virgo","Libra","Scorpio","Sagittarius","Capricorn","Aquarius","Pisces"},0),12)+1=(MOD(6-2,12)+1)),AND(CALC_PlanetPositions!$M$12="Malefic",MOD(MATCH(CALC_PlanetPositions!$B$12,{"Aries","Taurus","Gemini","Cancer","Leo","Virgo","Libra","Scorpio","Sagittarius","Capricorn","Aquarius","Pisces"},0)-MATCH(CALC_PlanetPositions!$B$7,{"Aries","Taurus","Gemini","Cancer","Leo","Virgo","Libra","Scorpio","Sagittarius","Capricorn","Aquarius","Pisces"},0),12)+1=(MOD(6-2,12)+1)),AND(CALC_PlanetPositions!$M$13="Malefic",MOD(MATCH(CALC_PlanetPositions!$B$13,{"Aries","Taurus","Gemini","Cancer","Leo","Virgo","Libra","Scorpio","Sagittarius","Capricorn","Aquarius","Pisces"},0)-MATCH(CALC_PlanetPositions!$B$7,{"Aries","Taurus","Gemini","Cancer","Leo","Virgo","Libra","Scorpio","Sagittarius","Capricorn","Aquarius","Pisces"},0),12)+1=(MOD(6-2,12)+1)),AND(TRUE(),MOD(MATCH(CALC_PlanetPositions!$B$14,{"Aries","Taurus","Gemini","Cancer","Leo","Virgo","Libra","Scorpio","Sagittarius","Capricorn","Aquarius","Pisces"},0)-MATCH(CALC_PlanetPositions!$B$7,{"Aries","Taurus","Gemini","Cancer","Leo","Virgo","Libra","Scorpio","Sagittarius","Capricorn","Aquarius","Pisces"},0),12)+1=(MOD(6-2,12)+1)),AND(TRUE(),MOD(MATCH(CALC_PlanetPositions!$B$15,{"Aries","Taurus","Gemini","Cancer","Leo","Virgo","Libra","Scorpio","Sagittarius","Capricorn","Aquarius","Pisces"},0)-MATCH(CALC_PlanetPositions!$B$7,{"Aries","Taurus","Gemini","Cancer","Leo","Virgo","Libra","Scorpio","Sagittarius","Capricorn","Aquarius","Pisces"},0),12)+1=(MOD(6-2,12)+1))),OR(AND(CALC_PlanetPositions!$M$7="Malefic",MOD(MATCH(CALC_PlanetPositions!$B$7,{"Aries","Taurus","Gemini","Cancer","Leo","Virgo","Libra","Scorpio","Sagittarius","Capricorn","Aquarius","Pisces"},0)-MATCH(CALC_PlanetPositions!$B$7,{"Aries","Taurus","Gemini","Cancer","Leo","Virgo","Libra","Scorpio","Sagittarius","Capricorn","Aquarius","Pisces"},0),12)+1=(MOD(6,12)+1)),AND(CALC_PlanetPositions!$M$8="Malefic",MOD(MATCH(CALC_PlanetPositions!$B$8,{"Aries","Taurus","Gemini","Cancer","Leo","Virgo","Libra","Scorpio","Sagittarius","Capricorn","Aquarius","Pisces"},0)-MATCH(CALC_PlanetPositions!$B$7,{"Aries","Taurus","Gemini","Cancer","Leo","Virgo","Libra","Scorpio","Sagittarius","Capricorn","Aquarius","Pisces"},0),12)+1=(MOD(6,12)+1)),AND(CALC_PlanetPositions!$M$9="Malefic",MOD(MATCH(CALC_PlanetPositions!$B$9,{"Aries","Taurus","Gemini","Cancer","Leo","Virgo","Libra","Scorpio","Sagittarius","Capricorn","Aquarius","Pisces"},0)-MATCH(CALC_PlanetPositions!$B$7,{"Aries","Taurus","Gemini","Cancer","Leo","Virgo","Libra","Scorpio","Sagittarius","Capricorn","Aquarius","Pisces"},0),12)+1=(MOD(6,12)+1)),AND(CALC_PlanetPositions!$M$10="Malefic",MOD(MATCH(CALC_PlanetPositions!$B$10,{"Aries","Taurus","Gemini","Cancer","Leo","Virgo","Libra","Scorpio","Sagittarius","Capricorn","Aquarius","Pisces"},0)-MATCH(CALC_PlanetPositions!$B$7,{"Aries","Taurus","Gemini","Cancer","Leo","Virgo","Libra","Scorpio","Sagittarius","Capricorn","Aquarius","Pisces"},0),12)+1=(MOD(6,12)+1)),AND(CALC_PlanetPositions!$M$11="Malefic",MOD(MATCH(CALC_PlanetPositions!$B$11,{"Aries","Taurus","Gemini","Cancer","Leo","Virgo","Libra","Scorpio","Sagittarius","Capricorn","Aquarius","Pisces"},0)-MATCH(CALC_PlanetPositions!$B$7,{"Aries","Taurus","Gemini","Cancer","Leo","Virgo","Libra","Scorpio","Sagittarius","Capricorn","Aquarius","Pisces"},0),12)+1=(MOD(6,12)+1)),AND(CALC_PlanetPositions!$M$12="Malefic",MOD(MATCH(CALC_PlanetPositions!$B$12,{"Aries","Taurus","Gemini","Cancer","Leo","Virgo","Libra","Scorpio","Sagittarius","Capricorn","Aquarius","Pisces"},0)-MATCH(CALC_PlanetPositions!$B$7,{"Aries","Taurus","Gemini","Cancer","Leo","Virgo","Libra","Scorpio","Sagittarius","Capricorn","Aquarius","Pisces"},0),12)+1=(MOD(6,12)+1)),AND(CALC_PlanetPositions!$M$13="Malefic",MOD(MATCH(CALC_PlanetPositions!$B$13,{"Aries","Taurus","Gemini","Cancer","Leo","Virgo","Libra","Scorpio","Sagittarius","Capricorn","Aquarius","Pisces"},0)-MATCH(CALC_PlanetPositions!$B$7,{"Aries","Taurus","Gemini","Cancer","Leo","Virgo","Libra","Scorpio","Sagittarius","Capricorn","Aquarius","Pisces"},0),12)+1=(MOD(6,12)+1)),AND(TRUE(),MOD(MATCH(CALC_PlanetPositions!$B$14,{"Aries","Taurus","Gemini","Cancer","Leo","Virgo","Libra","Scorpio","Sagittarius","Capricorn","Aquarius","Pisces"},0)-MATCH(CALC_PlanetPositions!$B$7,{"Aries","Taurus","Gemini","Cancer","Leo","Virgo","Libra","Scorpio","Sagittarius","Capricorn","Aquarius","Pisces"},0),12)+1=(MOD(6,12)+1)),AND(TRUE(),MOD(MATCH(CALC_PlanetPositions!$B$15,{"Aries","Taurus","Gemini","Cancer","Leo","Virgo","Libra","Scorpio","Sagittarius","Capricorn","Aquarius","Pisces"},0)-MATCH(CALC_PlanetPositions!$B$7,{"Aries","Taurus","Gemini","Cancer","Leo","Virgo","Libra","Scorpio","Sagittarius","Capricorn","Aquarius","Pisces"},0),12)+1=(MOD(6,12)+1)))),1,0),0))*IF(REF_Config!$B$6="KP",-0.75,IF(REF_Config!$B$6="Jaimini",-0.5,-0.75)),0)</f>
        <v>0</v>
      </c>
      <c r="D18" s="403" t="s">
        <v>4629</v>
      </c>
    </row>
    <row r="19" spans="1:7" ht="15.75" customHeight="1" x14ac:dyDescent="0.2">
      <c r="A19" s="1594" t="s">
        <v>3624</v>
      </c>
      <c r="B19" s="1594"/>
      <c r="C19" s="1594"/>
      <c r="D19" s="1594"/>
    </row>
    <row r="20" spans="1:7" ht="27.75" customHeight="1" x14ac:dyDescent="0.2">
      <c r="A20" s="119" t="s">
        <v>4630</v>
      </c>
      <c r="B20" s="357" t="s">
        <v>4555</v>
      </c>
      <c r="C20" s="1117">
        <v>0</v>
      </c>
      <c r="D20" s="400" t="s">
        <v>4631</v>
      </c>
    </row>
    <row r="21" spans="1:7" ht="27.75" customHeight="1" x14ac:dyDescent="0.2">
      <c r="A21" s="119" t="s">
        <v>4632</v>
      </c>
      <c r="B21" s="203" t="s">
        <v>4633</v>
      </c>
      <c r="C21" s="1118">
        <f>IFERROR((IFERROR(IF(OR(AND(CALC_PlanetPositions!$M$7="Malefic",INDEX(REF_Aspects!$D$5:$O$13,1,MOD(CALC_SuryaLagna!$F$9-(MOD(MATCH(CALC_PlanetPositions!$B$7,{"Aries","Taurus","Gemini","Cancer","Leo","Virgo","Libra","Scorpio","Sagittarius","Capricorn","Aquarius","Pisces"},0)-MATCH(CALC_PlanetPositions!$B$7,{"Aries","Taurus","Gemini","Cancer","Leo","Virgo","Libra","Scorpio","Sagittarius","Capricorn","Aquarius","Pisces"},0),12)+1),12)+1)="FULL",NOT(CALC_PlanetPositions!$B$7=CALC_SuryaLagna!$E$9)),AND(CALC_PlanetPositions!$M$8="Malefic",INDEX(REF_Aspects!$D$5:$O$13,2,MOD(CALC_SuryaLagna!$F$9-(MOD(MATCH(CALC_PlanetPositions!$B$8,{"Aries","Taurus","Gemini","Cancer","Leo","Virgo","Libra","Scorpio","Sagittarius","Capricorn","Aquarius","Pisces"},0)-MATCH(CALC_PlanetPositions!$B$7,{"Aries","Taurus","Gemini","Cancer","Leo","Virgo","Libra","Scorpio","Sagittarius","Capricorn","Aquarius","Pisces"},0),12)+1),12)+1)="FULL",NOT(CALC_PlanetPositions!$B$8=CALC_SuryaLagna!$E$9)),AND(CALC_PlanetPositions!$M$9="Malefic",INDEX(REF_Aspects!$D$5:$O$13,3,MOD(CALC_SuryaLagna!$F$9-(MOD(MATCH(CALC_PlanetPositions!$B$9,{"Aries","Taurus","Gemini","Cancer","Leo","Virgo","Libra","Scorpio","Sagittarius","Capricorn","Aquarius","Pisces"},0)-MATCH(CALC_PlanetPositions!$B$7,{"Aries","Taurus","Gemini","Cancer","Leo","Virgo","Libra","Scorpio","Sagittarius","Capricorn","Aquarius","Pisces"},0),12)+1),12)+1)="FULL",NOT(CALC_PlanetPositions!$B$9=CALC_SuryaLagna!$E$9)),AND(CALC_PlanetPositions!$M$10="Malefic",INDEX(REF_Aspects!$D$5:$O$13,4,MOD(CALC_SuryaLagna!$F$9-(MOD(MATCH(CALC_PlanetPositions!$B$10,{"Aries","Taurus","Gemini","Cancer","Leo","Virgo","Libra","Scorpio","Sagittarius","Capricorn","Aquarius","Pisces"},0)-MATCH(CALC_PlanetPositions!$B$7,{"Aries","Taurus","Gemini","Cancer","Leo","Virgo","Libra","Scorpio","Sagittarius","Capricorn","Aquarius","Pisces"},0),12)+1),12)+1)="FULL",NOT(CALC_PlanetPositions!$B$10=CALC_SuryaLagna!$E$9)),AND(CALC_PlanetPositions!$M$11="Malefic",INDEX(REF_Aspects!$D$5:$O$13,5,MOD(CALC_SuryaLagna!$F$9-(MOD(MATCH(CALC_PlanetPositions!$B$11,{"Aries","Taurus","Gemini","Cancer","Leo","Virgo","Libra","Scorpio","Sagittarius","Capricorn","Aquarius","Pisces"},0)-MATCH(CALC_PlanetPositions!$B$7,{"Aries","Taurus","Gemini","Cancer","Leo","Virgo","Libra","Scorpio","Sagittarius","Capricorn","Aquarius","Pisces"},0),12)+1),12)+1)="FULL",NOT(CALC_PlanetPositions!$B$11=CALC_SuryaLagna!$E$9)),AND(CALC_PlanetPositions!$M$12="Malefic",INDEX(REF_Aspects!$D$5:$O$13,6,MOD(CALC_SuryaLagna!$F$9-(MOD(MATCH(CALC_PlanetPositions!$B$12,{"Aries","Taurus","Gemini","Cancer","Leo","Virgo","Libra","Scorpio","Sagittarius","Capricorn","Aquarius","Pisces"},0)-MATCH(CALC_PlanetPositions!$B$7,{"Aries","Taurus","Gemini","Cancer","Leo","Virgo","Libra","Scorpio","Sagittarius","Capricorn","Aquarius","Pisces"},0),12)+1),12)+1)="FULL",NOT(CALC_PlanetPositions!$B$12=CALC_SuryaLagna!$E$9)),AND(CALC_PlanetPositions!$M$13="Malefic",INDEX(REF_Aspects!$D$5:$O$13,7,MOD(CALC_SuryaLagna!$F$9-(MOD(MATCH(CALC_PlanetPositions!$B$13,{"Aries","Taurus","Gemini","Cancer","Leo","Virgo","Libra","Scorpio","Sagittarius","Capricorn","Aquarius","Pisces"},0)-MATCH(CALC_PlanetPositions!$B$7,{"Aries","Taurus","Gemini","Cancer","Leo","Virgo","Libra","Scorpio","Sagittarius","Capricorn","Aquarius","Pisces"},0),12)+1),12)+1)="FULL",NOT(CALC_PlanetPositions!$B$13=CALC_SuryaLagna!$E$9)),AND(TRUE(),INDEX(REF_Aspects!$D$5:$O$13,8,MOD(CALC_SuryaLagna!$F$9-(MOD(MATCH(CALC_PlanetPositions!$B$14,{"Aries","Taurus","Gemini","Cancer","Leo","Virgo","Libra","Scorpio","Sagittarius","Capricorn","Aquarius","Pisces"},0)-MATCH(CALC_PlanetPositions!$B$7,{"Aries","Taurus","Gemini","Cancer","Leo","Virgo","Libra","Scorpio","Sagittarius","Capricorn","Aquarius","Pisces"},0),12)+1),12)+1)="FULL",NOT(CALC_PlanetPositions!$B$14=CALC_SuryaLagna!$E$9)),AND(TRUE(),INDEX(REF_Aspects!$D$5:$O$13,9,MOD(CALC_SuryaLagna!$F$9-(MOD(MATCH(CALC_PlanetPositions!$B$15,{"Aries","Taurus","Gemini","Cancer","Leo","Virgo","Libra","Scorpio","Sagittarius","Capricorn","Aquarius","Pisces"},0)-MATCH(CALC_PlanetPositions!$B$7,{"Aries","Taurus","Gemini","Cancer","Leo","Virgo","Libra","Scorpio","Sagittarius","Capricorn","Aquarius","Pisces"},0),12)+1),12)+1)="FULL",NOT(CALC_PlanetPositions!$B$15=CALC_SuryaLagna!$E$9))),1,0),0))*-0.5,0)</f>
        <v>0</v>
      </c>
      <c r="D21" s="403" t="s">
        <v>4634</v>
      </c>
    </row>
    <row r="22" spans="1:7" ht="27.75" customHeight="1" x14ac:dyDescent="0.2">
      <c r="A22" s="119" t="s">
        <v>4635</v>
      </c>
      <c r="B22" s="357" t="s">
        <v>3042</v>
      </c>
      <c r="C22" s="1117">
        <f>IFERROR((IFERROR(IF(CALC_SuryaLagna!$I$9="Yes",1,0),0))*IF(REF_Config!$B$6="KP",-1.75,IF(REF_Config!$B$6="Jaimini",-2,-2)),0)</f>
        <v>0</v>
      </c>
      <c r="D22" s="400" t="s">
        <v>4636</v>
      </c>
    </row>
    <row r="23" spans="1:7" ht="27.75" customHeight="1" x14ac:dyDescent="0.2">
      <c r="A23" s="119" t="s">
        <v>4637</v>
      </c>
      <c r="B23" s="203" t="s">
        <v>3059</v>
      </c>
      <c r="C23" s="1118">
        <f>IFERROR((IFERROR(IF(OR(AND(CALC_SuryaLagna!$E$9=CALC_SuryaLagna!$E$9,CALC_SuryaLagna!$D$9&lt;&gt;CALC_SuryaLagna!$D$9),AND(CALC_SuryaLagna!$E$11=CALC_SuryaLagna!$E$9,CALC_SuryaLagna!$D$11&lt;&gt;CALC_SuryaLagna!$D$9),AND(CALC_SuryaLagna!$E$15=CALC_SuryaLagna!$E$9,CALC_SuryaLagna!$D$15&lt;&gt;CALC_SuryaLagna!$D$9)),1,0),0))*-1,0)</f>
        <v>0</v>
      </c>
      <c r="D23" s="403" t="s">
        <v>4638</v>
      </c>
    </row>
    <row r="24" spans="1:7" ht="15.75" customHeight="1" x14ac:dyDescent="0.2">
      <c r="A24" s="1484" t="s">
        <v>4639</v>
      </c>
      <c r="B24" s="1484"/>
      <c r="C24" s="1484"/>
      <c r="D24" s="1484"/>
    </row>
    <row r="25" spans="1:7" ht="27.75" customHeight="1" x14ac:dyDescent="0.2">
      <c r="A25" s="119" t="s">
        <v>4640</v>
      </c>
      <c r="B25" s="357" t="s">
        <v>3084</v>
      </c>
      <c r="C25" s="1117">
        <f>IFERROR(IF(CALC_KarakMap!$M$10&gt;0,CALC_KarakMap!$M$10,0),0)</f>
        <v>0</v>
      </c>
      <c r="D25" s="400" t="s">
        <v>4641</v>
      </c>
    </row>
    <row r="26" spans="1:7" ht="27.75" customHeight="1" x14ac:dyDescent="0.2">
      <c r="A26" s="119" t="s">
        <v>4642</v>
      </c>
      <c r="B26" s="203" t="s">
        <v>4564</v>
      </c>
      <c r="C26" s="1118">
        <f>IFERROR(IF(CALC_KarakMap!$M$10&lt;0,CALC_KarakMap!$M$10,0),0)</f>
        <v>0</v>
      </c>
      <c r="D26" s="403" t="s">
        <v>4643</v>
      </c>
    </row>
    <row r="27" spans="1:7" ht="27.75" customHeight="1" x14ac:dyDescent="0.2">
      <c r="A27" s="1119" t="s">
        <v>4644</v>
      </c>
      <c r="B27" s="296" t="s">
        <v>3624</v>
      </c>
      <c r="C27" s="1117">
        <f>IFERROR(IF(OR(CALC_SuryaLagna!$D$9="Sun",CALC_SuryaLagna!$D$9="Rahu",CALC_SuryaLagna!$D$9="Ketu"),0,IF(CALC_SuryaLagna!$D$9="Moon",IF(CALC_CombustionCheck!$G$4="Cazimi ✓",0.5,IF(CALC_CombustionCheck!$F$4="COMBUST ⚠",-1,0)),IF(CALC_SuryaLagna!$D$9="Mars",IF(CALC_CombustionCheck!$G$5="Cazimi ✓",0.5,IF(AND(CALC_CombustionCheck!$F$5="COMBUST ⚠",CALC_RetrogradeFix!$F$6="Rx ✓"),-0.5,IF(CALC_CombustionCheck!$F$5="COMBUST ⚠",-1,0))),IF(CALC_SuryaLagna!$D$9="Mercury",IF(CALC_CombustionCheck!$G$6="Cazimi ✓",0.5,IF(AND(CALC_CombustionCheck!$F$6="COMBUST ⚠",CALC_RetrogradeFix!$F$7="Rx ✓"),-0.5,IF(CALC_CombustionCheck!$F$6="COMBUST ⚠",-1,0))),IF(CALC_SuryaLagna!$D$9="Jupiter",IF(CALC_CombustionCheck!$G$7="Cazimi ✓",0.5,IF(AND(CALC_CombustionCheck!$F$7="COMBUST ⚠",CALC_RetrogradeFix!$F$8="Rx ✓"),-0.5,IF(CALC_CombustionCheck!$F$7="COMBUST ⚠",-1,0))),IF(CALC_SuryaLagna!$D$9="Venus",IF(CALC_CombustionCheck!$G$8="Cazimi ✓",0.5,IF(AND(CALC_CombustionCheck!$F$8="COMBUST ⚠",CALC_RetrogradeFix!$F$9="Rx ✓"),-0.5,IF(CALC_CombustionCheck!$F$8="COMBUST ⚠",-1,0))),IF(CALC_SuryaLagna!$D$9="Saturn",IF(CALC_CombustionCheck!$G$9="Cazimi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SuryaLagna!$D$9="Rahu",CALC_SuryaLagna!$D$9="Ketu"),0,IF(ISNUMBER(MATCH(CALC_SuryaLagna!$D$9,{"Sun","Moon","Mars","Mercury","Jupiter","Venus","Saturn"},0)),IF(INDEX(CALC_DigBala!$F$4:$F$10,MATCH(CALC_SuryaLagna!$D$9,{"Sun","Moon","Mars","Mercury","Jupiter","Venus","Saturn"},0))="Yes",0.5,0),0)),0)</f>
        <v>0</v>
      </c>
      <c r="D28" s="400" t="s">
        <v>4647</v>
      </c>
    </row>
    <row r="29" spans="1:7" ht="27.75" customHeight="1" x14ac:dyDescent="0.2">
      <c r="A29" s="1120" t="s">
        <v>4648</v>
      </c>
      <c r="B29" s="296" t="s">
        <v>3372</v>
      </c>
      <c r="C29" s="1117">
        <f>IFERROR(IF(COUNTIFS(REF_PushkaraNavamsha!$A$4:$A$27,CALC_SuryaLagna!$E$9,REF_PushkaraNavamsha!$B$4:$B$27,INDEX(CALC_PlanetPositions!$G$7:$G$15,MATCH(CALC_SuryaLagna!$D$9,CALC_PlanetPositions!$A$7:$A$15,0)))&gt;0,0.5,0),0)</f>
        <v>0.5</v>
      </c>
      <c r="D29" s="400" t="s">
        <v>4649</v>
      </c>
    </row>
    <row r="30" spans="1:7" ht="25.5" customHeight="1" x14ac:dyDescent="0.2">
      <c r="A30" s="147" t="s">
        <v>4650</v>
      </c>
      <c r="B30" s="1121" t="s">
        <v>4651</v>
      </c>
      <c r="C30" s="1122">
        <f>IFERROR(IF(ISNUMBER(MATCH(CALC_SuryaLagna!$D$9,{"Sun","Moon","Mars","Mercury","Jupiter","Venus","Saturn"},0)),INDEX(CALC_RetrogradeFix!$G$4:$G$10,MATCH(CALC_SuryaLagna!$D$9,{"Sun","Moon","Mars","Mercury","Jupiter","Venus","Saturn"},0)),0),0)</f>
        <v>0</v>
      </c>
      <c r="D30" s="1123" t="s">
        <v>4652</v>
      </c>
    </row>
    <row r="31" spans="1:7" ht="18" customHeight="1" x14ac:dyDescent="0.2">
      <c r="A31" s="1555" t="s">
        <v>4653</v>
      </c>
      <c r="B31" s="1555"/>
      <c r="C31" s="1555"/>
      <c r="D31" s="1555"/>
      <c r="E31" s="1124" t="s">
        <v>4654</v>
      </c>
      <c r="F31" s="1125">
        <f>IFERROR(IF(CALC_Ashtakavarga!G$12&gt;28,0.5,IF(CALC_Ashtakavarga!G$12&lt;22,-0.5,0)),0)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2</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3</v>
      </c>
      <c r="D37" s="1129"/>
    </row>
    <row r="38" spans="1:4" ht="21.75" customHeight="1" x14ac:dyDescent="0.2">
      <c r="A38" s="89" t="s">
        <v>4661</v>
      </c>
      <c r="B38" s="1129"/>
      <c r="C38" s="1131">
        <f>IFERROR(MAX(-10,MIN(10,C37)),0)</f>
        <v>3</v>
      </c>
      <c r="D38" s="1132"/>
    </row>
    <row r="39" spans="1:4" ht="18" customHeight="1" x14ac:dyDescent="0.2">
      <c r="A39" s="517" t="s">
        <v>4662</v>
      </c>
      <c r="B39" s="1129"/>
      <c r="C39" s="1133">
        <f>IFERROR(CALC_LagneshStrength!$I$4,0)</f>
        <v>0</v>
      </c>
      <c r="D39" s="1129"/>
    </row>
    <row r="40" spans="1:4" ht="25.5" customHeight="1" x14ac:dyDescent="0.2">
      <c r="A40" s="1148" t="s">
        <v>4663</v>
      </c>
      <c r="B40" s="1129"/>
      <c r="C40" s="1149">
        <f>IFERROR(MAX(-10,MIN(10,C38+C39+C41)),0)</f>
        <v>3</v>
      </c>
      <c r="D40" s="1150" t="str">
        <f>IFERROR(IF(C40&gt;=7,"Excellent — Conflicts domain very strong",IF(C40&gt;=4,"Good — Conflicts domain strong",IF(C40&gt;=1,"Moderate",IF(C40&gt;=-2,"Mixed — Conflicts has challenges",IF(C40&gt;=-5,"Weak","Very weak — Conflicts heavily afflicted"))))),"—")</f>
        <v>Moderate</v>
      </c>
    </row>
    <row r="41" spans="1:4" ht="18" customHeight="1" x14ac:dyDescent="0.2">
      <c r="A41" s="622" t="s">
        <v>4681</v>
      </c>
      <c r="B41" s="904" t="s">
        <v>4705</v>
      </c>
      <c r="C41" s="1160">
        <v>0</v>
      </c>
      <c r="D41" s="550" t="s">
        <v>4716</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4717</v>
      </c>
      <c r="B1" s="1518"/>
      <c r="C1" s="1518"/>
      <c r="D1" s="1518"/>
      <c r="L1" s="544" t="s">
        <v>2214</v>
      </c>
    </row>
    <row r="2" spans="1:12" ht="19.5" customHeight="1" x14ac:dyDescent="0.2">
      <c r="A2" s="1595" t="str">
        <f>IFERROR("Surya Lagna: "&amp;CALC_PlanetPositions!$B$7&amp;"  ·  H7 sign: "&amp;CALC_SuryaLagna!$C$10,"—")</f>
        <v>Surya Lagna: Cancer  ·  H7 sign: Capricorn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51" t="s">
        <v>4605</v>
      </c>
      <c r="B5" s="357" t="s">
        <v>4529</v>
      </c>
      <c r="C5" s="1117">
        <f>IFERROR((IFERROR(IF(INDEX(REF_Zodiac!$D$17:$O$17,MATCH(CALC_SuryaLagna!$C$10,REF_Zodiac!$D$3:$O$3,0))="Gentle",1,0),0))*0.5,0)</f>
        <v>0</v>
      </c>
      <c r="D5" s="400" t="s">
        <v>4606</v>
      </c>
    </row>
    <row r="6" spans="1:12" ht="27.75" customHeight="1" x14ac:dyDescent="0.2">
      <c r="A6" s="1151"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151" t="s">
        <v>4609</v>
      </c>
      <c r="B7" s="357" t="s">
        <v>4534</v>
      </c>
      <c r="C7" s="1117">
        <f>IFERROR((IFERROR(IF(OR(AND(OR(CALC_PlanetPositions!$M$7="Benefic",CALC_PlanetPositions!$M$7="Yogakaraka"),INDEX(REF_Aspects!$D$5:$O$13,1,MOD(7-(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7)),AND(OR(CALC_PlanetPositions!$M$8="Benefic",CALC_PlanetPositions!$M$8="Yogakaraka"),INDEX(REF_Aspects!$D$5:$O$13,2,MOD(7-(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7)),AND(OR(CALC_PlanetPositions!$M$9="Benefic",CALC_PlanetPositions!$M$9="Yogakaraka"),INDEX(REF_Aspects!$D$5:$O$13,3,MOD(7-(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7)),AND(OR(CALC_PlanetPositions!$M$10="Benefic",CALC_PlanetPositions!$M$10="Yogakaraka"),INDEX(REF_Aspects!$D$5:$O$13,4,MOD(7-(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7)),AND(OR(CALC_PlanetPositions!$M$11="Benefic",CALC_PlanetPositions!$M$11="Yogakaraka"),INDEX(REF_Aspects!$D$5:$O$13,5,MOD(7-(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7)),AND(OR(CALC_PlanetPositions!$M$12="Benefic",CALC_PlanetPositions!$M$12="Yogakaraka"),INDEX(REF_Aspects!$D$5:$O$13,6,MOD(7-(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7)),AND(OR(CALC_PlanetPositions!$M$13="Benefic",CALC_PlanetPositions!$M$13="Yogakaraka"),INDEX(REF_Aspects!$D$5:$O$13,7,MOD(7-(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7)),AND(FALSE(),INDEX(REF_Aspects!$D$5:$O$13,8,MOD(7-(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7)),AND(FALSE(),INDEX(REF_Aspects!$D$5:$O$13,9,MOD(7-(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7))),1,0),0))*IF(REF_Config!$B$6="KP",0.5,IF(REF_Config!$B$6="Jaimini",0.75,0.75)),0)</f>
        <v>0.75</v>
      </c>
      <c r="D7" s="400" t="s">
        <v>4610</v>
      </c>
    </row>
    <row r="8" spans="1:12" ht="15.75" customHeight="1" x14ac:dyDescent="0.2">
      <c r="A8" s="1597" t="s">
        <v>3372</v>
      </c>
      <c r="B8" s="1597"/>
      <c r="C8" s="1597"/>
      <c r="D8" s="1597"/>
    </row>
    <row r="9" spans="1:12" ht="27.75" customHeight="1" x14ac:dyDescent="0.2">
      <c r="A9" s="1151" t="s">
        <v>4611</v>
      </c>
      <c r="B9" s="203" t="s">
        <v>4537</v>
      </c>
      <c r="C9" s="1118">
        <f>IFERROR(IF(AND(OR(CALC_SuryaLagna!$G$10="Yes",CALC_SuryaLagna!$H$10="Yes"),NOT(CALC_SuryaLagna!$I$10="Yes")),1,0)*IF(REF_Config!$B$6="KP",1.5,IF(REF_Config!$B$6="Jaimini",1.5,2)),0)</f>
        <v>2</v>
      </c>
      <c r="D9" s="403" t="s">
        <v>4612</v>
      </c>
    </row>
    <row r="10" spans="1:12" ht="27.75" customHeight="1" x14ac:dyDescent="0.2">
      <c r="A10" s="1151" t="s">
        <v>4613</v>
      </c>
      <c r="B10" s="357" t="s">
        <v>3093</v>
      </c>
      <c r="C10" s="1117">
        <f>IFERROR((IFERROR(IF(OR(AND(CALC_SuryaLagna!$E$4=CALC_SuryaLagna!$E$10,CALC_SuryaLagna!$D$4&lt;&gt;CALC_SuryaLagna!$D$10),AND(CALC_SuryaLagna!$E$7=CALC_SuryaLagna!$E$10,CALC_SuryaLagna!$D$7&lt;&gt;CALC_SuryaLagna!$D$10),AND(CALC_SuryaLagna!$E$8=CALC_SuryaLagna!$E$10,CALC_SuryaLagna!$D$8&lt;&gt;CALC_SuryaLagna!$D$10),AND(CALC_SuryaLagna!$E$10=CALC_SuryaLagna!$E$10,CALC_SuryaLagna!$D$10&lt;&gt;CALC_SuryaLagna!$D$10),AND(CALC_SuryaLagna!$E$12=CALC_SuryaLagna!$E$10,CALC_SuryaLagna!$D$12&lt;&gt;CALC_SuryaLagna!$D$10),AND(CALC_SuryaLagna!$E$13=CALC_SuryaLagna!$E$10,CALC_SuryaLagna!$D$13&lt;&gt;CALC_SuryaLagna!$D$10)),1,0),0))*0.5,0)</f>
        <v>0.5</v>
      </c>
      <c r="D10" s="400" t="s">
        <v>4614</v>
      </c>
    </row>
    <row r="11" spans="1:12" ht="27.75" customHeight="1" x14ac:dyDescent="0.2">
      <c r="A11" s="1151" t="s">
        <v>4615</v>
      </c>
      <c r="B11" s="203" t="s">
        <v>4540</v>
      </c>
      <c r="C11" s="1118">
        <f>IFERROR((IFERROR(IF(OR(AND(OR(CALC_PlanetPositions!$M$7="Benefic",CALC_PlanetPositions!$M$7="Yogakaraka"),CALC_PlanetPositions!$B$7=CALC_SuryaLagna!$E$10,CALC_SuryaLagna!$D$10&lt;&gt;"Sun"),AND(OR(CALC_PlanetPositions!$M$8="Benefic",CALC_PlanetPositions!$M$8="Yogakaraka"),CALC_PlanetPositions!$B$8=CALC_SuryaLagna!$E$10,CALC_SuryaLagna!$D$10&lt;&gt;"Moon"),AND(OR(CALC_PlanetPositions!$M$9="Benefic",CALC_PlanetPositions!$M$9="Yogakaraka"),CALC_PlanetPositions!$B$9=CALC_SuryaLagna!$E$10,CALC_SuryaLagna!$D$10&lt;&gt;"Mars"),AND(OR(CALC_PlanetPositions!$M$10="Benefic",CALC_PlanetPositions!$M$10="Yogakaraka"),CALC_PlanetPositions!$B$10=CALC_SuryaLagna!$E$10,CALC_SuryaLagna!$D$10&lt;&gt;"Mercury"),AND(OR(CALC_PlanetPositions!$M$11="Benefic",CALC_PlanetPositions!$M$11="Yogakaraka"),CALC_PlanetPositions!$B$11=CALC_SuryaLagna!$E$10,CALC_SuryaLagna!$D$10&lt;&gt;"Jupiter"),AND(OR(CALC_PlanetPositions!$M$12="Benefic",CALC_PlanetPositions!$M$12="Yogakaraka"),CALC_PlanetPositions!$B$12=CALC_SuryaLagna!$E$10,CALC_SuryaLagna!$D$10&lt;&gt;"Venus"),AND(OR(CALC_PlanetPositions!$M$13="Benefic",CALC_PlanetPositions!$M$13="Yogakaraka"),CALC_PlanetPositions!$B$13=CALC_SuryaLagna!$E$10,CALC_SuryaLagna!$D$10&lt;&gt;"Saturn")),1,0),0))*IF(OR(AND(CALC_PlanetPositions!$M$7="Yogakaraka",CALC_PlanetPositions!$B$7=CALC_SuryaLagna!$E$10,CALC_SuryaLagna!$D$10&lt;&gt;"Sun"),AND(CALC_PlanetPositions!$M$8="Yogakaraka",CALC_PlanetPositions!$B$8=CALC_SuryaLagna!$E$10,CALC_SuryaLagna!$D$10&lt;&gt;"Moon"),AND(CALC_PlanetPositions!$M$9="Yogakaraka",CALC_PlanetPositions!$B$9=CALC_SuryaLagna!$E$10,CALC_SuryaLagna!$D$10&lt;&gt;"Mars"),AND(CALC_PlanetPositions!$M$10="Yogakaraka",CALC_PlanetPositions!$B$10=CALC_SuryaLagna!$E$10,CALC_SuryaLagna!$D$10&lt;&gt;"Mercury"),AND(CALC_PlanetPositions!$M$11="Yogakaraka",CALC_PlanetPositions!$B$11=CALC_SuryaLagna!$E$10,CALC_SuryaLagna!$D$10&lt;&gt;"Jupiter"),AND(CALC_PlanetPositions!$M$12="Yogakaraka",CALC_PlanetPositions!$B$12=CALC_SuryaLagna!$E$10,CALC_SuryaLagna!$D$10&lt;&gt;"Venus"),AND(CALC_PlanetPositions!$M$13="Yogakaraka",CALC_PlanetPositions!$B$13=CALC_SuryaLagna!$E$10,CALC_SuryaLagna!$D$10&lt;&gt;"Saturn")),1.5,1),0)</f>
        <v>1.5</v>
      </c>
      <c r="D11" s="403" t="s">
        <v>4616</v>
      </c>
    </row>
    <row r="12" spans="1:12" ht="27.75" customHeight="1" x14ac:dyDescent="0.2">
      <c r="A12" s="1151" t="s">
        <v>4617</v>
      </c>
      <c r="B12" s="357" t="s">
        <v>4542</v>
      </c>
      <c r="C12" s="1117">
        <f>IFERROR((IFERROR(IF(OR(AND(OR(CALC_PlanetPositions!$M$7="Benefic",CALC_PlanetPositions!$M$7="Yogakaraka"),INDEX(REF_Aspects!$D$5:$O$13,1,MOD(CALC_SuryaLagna!$F$10-(MOD(MATCH(CALC_PlanetPositions!$B$7,{"Aries","Taurus","Gemini","Cancer","Leo","Virgo","Libra","Scorpio","Sagittarius","Capricorn","Aquarius","Pisces"},0)-MATCH(CALC_PlanetPositions!$B$7,{"Aries","Taurus","Gemini","Cancer","Leo","Virgo","Libra","Scorpio","Sagittarius","Capricorn","Aquarius","Pisces"},0),12)+1),12)+1)="FULL",NOT(CALC_PlanetPositions!$B$7=CALC_SuryaLagna!$E$10)),AND(OR(CALC_PlanetPositions!$M$8="Benefic",CALC_PlanetPositions!$M$8="Yogakaraka"),INDEX(REF_Aspects!$D$5:$O$13,2,MOD(CALC_SuryaLagna!$F$10-(MOD(MATCH(CALC_PlanetPositions!$B$8,{"Aries","Taurus","Gemini","Cancer","Leo","Virgo","Libra","Scorpio","Sagittarius","Capricorn","Aquarius","Pisces"},0)-MATCH(CALC_PlanetPositions!$B$7,{"Aries","Taurus","Gemini","Cancer","Leo","Virgo","Libra","Scorpio","Sagittarius","Capricorn","Aquarius","Pisces"},0),12)+1),12)+1)="FULL",NOT(CALC_PlanetPositions!$B$8=CALC_SuryaLagna!$E$10)),AND(OR(CALC_PlanetPositions!$M$9="Benefic",CALC_PlanetPositions!$M$9="Yogakaraka"),INDEX(REF_Aspects!$D$5:$O$13,3,MOD(CALC_SuryaLagna!$F$10-(MOD(MATCH(CALC_PlanetPositions!$B$9,{"Aries","Taurus","Gemini","Cancer","Leo","Virgo","Libra","Scorpio","Sagittarius","Capricorn","Aquarius","Pisces"},0)-MATCH(CALC_PlanetPositions!$B$7,{"Aries","Taurus","Gemini","Cancer","Leo","Virgo","Libra","Scorpio","Sagittarius","Capricorn","Aquarius","Pisces"},0),12)+1),12)+1)="FULL",NOT(CALC_PlanetPositions!$B$9=CALC_SuryaLagna!$E$10)),AND(OR(CALC_PlanetPositions!$M$10="Benefic",CALC_PlanetPositions!$M$10="Yogakaraka"),INDEX(REF_Aspects!$D$5:$O$13,4,MOD(CALC_SuryaLagna!$F$10-(MOD(MATCH(CALC_PlanetPositions!$B$10,{"Aries","Taurus","Gemini","Cancer","Leo","Virgo","Libra","Scorpio","Sagittarius","Capricorn","Aquarius","Pisces"},0)-MATCH(CALC_PlanetPositions!$B$7,{"Aries","Taurus","Gemini","Cancer","Leo","Virgo","Libra","Scorpio","Sagittarius","Capricorn","Aquarius","Pisces"},0),12)+1),12)+1)="FULL",NOT(CALC_PlanetPositions!$B$10=CALC_SuryaLagna!$E$10)),AND(OR(CALC_PlanetPositions!$M$11="Benefic",CALC_PlanetPositions!$M$11="Yogakaraka"),INDEX(REF_Aspects!$D$5:$O$13,5,MOD(CALC_SuryaLagna!$F$10-(MOD(MATCH(CALC_PlanetPositions!$B$11,{"Aries","Taurus","Gemini","Cancer","Leo","Virgo","Libra","Scorpio","Sagittarius","Capricorn","Aquarius","Pisces"},0)-MATCH(CALC_PlanetPositions!$B$7,{"Aries","Taurus","Gemini","Cancer","Leo","Virgo","Libra","Scorpio","Sagittarius","Capricorn","Aquarius","Pisces"},0),12)+1),12)+1)="FULL",NOT(CALC_PlanetPositions!$B$11=CALC_SuryaLagna!$E$10)),AND(OR(CALC_PlanetPositions!$M$12="Benefic",CALC_PlanetPositions!$M$12="Yogakaraka"),INDEX(REF_Aspects!$D$5:$O$13,6,MOD(CALC_SuryaLagna!$F$10-(MOD(MATCH(CALC_PlanetPositions!$B$12,{"Aries","Taurus","Gemini","Cancer","Leo","Virgo","Libra","Scorpio","Sagittarius","Capricorn","Aquarius","Pisces"},0)-MATCH(CALC_PlanetPositions!$B$7,{"Aries","Taurus","Gemini","Cancer","Leo","Virgo","Libra","Scorpio","Sagittarius","Capricorn","Aquarius","Pisces"},0),12)+1),12)+1)="FULL",NOT(CALC_PlanetPositions!$B$12=CALC_SuryaLagna!$E$10)),AND(OR(CALC_PlanetPositions!$M$13="Benefic",CALC_PlanetPositions!$M$13="Yogakaraka"),INDEX(REF_Aspects!$D$5:$O$13,7,MOD(CALC_SuryaLagna!$F$10-(MOD(MATCH(CALC_PlanetPositions!$B$13,{"Aries","Taurus","Gemini","Cancer","Leo","Virgo","Libra","Scorpio","Sagittarius","Capricorn","Aquarius","Pisces"},0)-MATCH(CALC_PlanetPositions!$B$7,{"Aries","Taurus","Gemini","Cancer","Leo","Virgo","Libra","Scorpio","Sagittarius","Capricorn","Aquarius","Pisces"},0),12)+1),12)+1)="FULL",NOT(CALC_PlanetPositions!$B$13=CALC_SuryaLagna!$E$10)),AND(FALSE(),INDEX(REF_Aspects!$D$5:$O$13,8,MOD(CALC_SuryaLagna!$F$10-(MOD(MATCH(CALC_PlanetPositions!$B$14,{"Aries","Taurus","Gemini","Cancer","Leo","Virgo","Libra","Scorpio","Sagittarius","Capricorn","Aquarius","Pisces"},0)-MATCH(CALC_PlanetPositions!$B$7,{"Aries","Taurus","Gemini","Cancer","Leo","Virgo","Libra","Scorpio","Sagittarius","Capricorn","Aquarius","Pisces"},0),12)+1),12)+1)="FULL",NOT(CALC_PlanetPositions!$B$14=CALC_SuryaLagna!$E$10)),AND(FALSE(),INDEX(REF_Aspects!$D$5:$O$13,9,MOD(CALC_SuryaLagna!$F$10-(MOD(MATCH(CALC_PlanetPositions!$B$15,{"Aries","Taurus","Gemini","Cancer","Leo","Virgo","Libra","Scorpio","Sagittarius","Capricorn","Aquarius","Pisces"},0)-MATCH(CALC_PlanetPositions!$B$7,{"Aries","Taurus","Gemini","Cancer","Leo","Virgo","Libra","Scorpio","Sagittarius","Capricorn","Aquarius","Pisces"},0),12)+1),12)+1)="FULL",NOT(CALC_PlanetPositions!$B$15=CALC_SuryaLagna!$E$10))),1,0),0))*0.5,0)</f>
        <v>0</v>
      </c>
      <c r="D12" s="400" t="s">
        <v>4618</v>
      </c>
    </row>
    <row r="13" spans="1:12" ht="27.75" customHeight="1" x14ac:dyDescent="0.2">
      <c r="A13" s="1151"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$10-2,12)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$10-2,12)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$10-2,12)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$10-2,12)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$10-2,12)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$10-2,12)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$10-2,12)+1)),AND(FALSE(),MOD(MATCH(CALC_PlanetPositions!$B$14,{"Aries","Taurus","Gemini","Cancer","Leo","Virgo","Libra","Scorpio","Sagittarius","Capricorn","Aquarius","Pisces"},0)-MATCH(CALC_PlanetPositions!$B$7,{"Aries","Taurus","Gemini","Cancer","Leo","Virgo","Libra","Scorpio","Sagittarius","Capricorn","Aquarius","Pisces"},0),12)+1=(MOD(CALC_SuryaLagna!$F$10-2,12)+1)),AND(FALSE(),MOD(MATCH(CALC_PlanetPositions!$B$15,{"Aries","Taurus","Gemini","Cancer","Leo","Virgo","Libra","Scorpio","Sagittarius","Capricorn","Aquarius","Pisces"},0)-MATCH(CALC_PlanetPositions!$B$7,{"Aries","Taurus","Gemini","Cancer","Leo","Virgo","Libra","Scorpio","Sagittarius","Capricorn","Aquarius","Pisces"},0),12)+1=(MOD(CALC_SuryaLagna!$F$10-2,12)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$10,12)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$10,12)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$10,12)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$10,12)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$10,12)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$10,12)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$10,12)+1)),AND(FALSE(),MOD(MATCH(CALC_PlanetPositions!$B$14,{"Aries","Taurus","Gemini","Cancer","Leo","Virgo","Libra","Scorpio","Sagittarius","Capricorn","Aquarius","Pisces"},0)-MATCH(CALC_PlanetPositions!$B$7,{"Aries","Taurus","Gemini","Cancer","Leo","Virgo","Libra","Scorpio","Sagittarius","Capricorn","Aquarius","Pisces"},0),12)+1=(MOD(CALC_SuryaLagna!$F$10,12)+1)),AND(FALSE(),MOD(MATCH(CALC_PlanetPositions!$B$15,{"Aries","Taurus","Gemini","Cancer","Leo","Virgo","Libra","Scorpio","Sagittarius","Capricorn","Aquarius","Pisces"},0)-MATCH(CALC_PlanetPositions!$B$7,{"Aries","Taurus","Gemini","Cancer","Leo","Virgo","Libra","Scorpio","Sagittarius","Capricorn","Aquarius","Pisces"},0),12)+1=(MOD(CALC_SuryaLagna!$F$10,12)+1)))),1,0),0))*IF(REF_Config!$B$6="KP",0.75,IF(REF_Config!$B$6="Jaimini",0.5,0.75)),0)</f>
        <v>0</v>
      </c>
      <c r="D13" s="403" t="s">
        <v>4620</v>
      </c>
    </row>
    <row r="14" spans="1:12" ht="15.75" customHeight="1" x14ac:dyDescent="0.2">
      <c r="A14" s="1598" t="s">
        <v>4621</v>
      </c>
      <c r="B14" s="1598"/>
      <c r="C14" s="1598"/>
      <c r="D14" s="1598"/>
    </row>
    <row r="15" spans="1:12" ht="27.75" customHeight="1" x14ac:dyDescent="0.2">
      <c r="A15" s="1151"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7),AND(CALC_PlanetPositions!$M$8="Malefic",(MOD(MATCH(CALC_PlanetPositions!$B$8,{"Aries","Taurus","Gemini","Cancer","Leo","Virgo","Libra","Scorpio","Sagittarius","Capricorn","Aquarius","Pisces"},0)-MATCH(CALC_PlanetPositions!$B$7,{"Aries","Taurus","Gemini","Cancer","Leo","Virgo","Libra","Scorpio","Sagittarius","Capricorn","Aquarius","Pisces"},0),12)+1)=7),AND(CALC_PlanetPositions!$M$9="Malefic",(MOD(MATCH(CALC_PlanetPositions!$B$9,{"Aries","Taurus","Gemini","Cancer","Leo","Virgo","Libra","Scorpio","Sagittarius","Capricorn","Aquarius","Pisces"},0)-MATCH(CALC_PlanetPositions!$B$7,{"Aries","Taurus","Gemini","Cancer","Leo","Virgo","Libra","Scorpio","Sagittarius","Capricorn","Aquarius","Pisces"},0),12)+1)=7),AND(CALC_PlanetPositions!$M$10="Malefic",(MOD(MATCH(CALC_PlanetPositions!$B$10,{"Aries","Taurus","Gemini","Cancer","Leo","Virgo","Libra","Scorpio","Sagittarius","Capricorn","Aquarius","Pisces"},0)-MATCH(CALC_PlanetPositions!$B$7,{"Aries","Taurus","Gemini","Cancer","Leo","Virgo","Libra","Scorpio","Sagittarius","Capricorn","Aquarius","Pisces"},0),12)+1)=7),AND(CALC_PlanetPositions!$M$11="Malefic",(MOD(MATCH(CALC_PlanetPositions!$B$11,{"Aries","Taurus","Gemini","Cancer","Leo","Virgo","Libra","Scorpio","Sagittarius","Capricorn","Aquarius","Pisces"},0)-MATCH(CALC_PlanetPositions!$B$7,{"Aries","Taurus","Gemini","Cancer","Leo","Virgo","Libra","Scorpio","Sagittarius","Capricorn","Aquarius","Pisces"},0),12)+1)=7),AND(CALC_PlanetPositions!$M$12="Malefic",(MOD(MATCH(CALC_PlanetPositions!$B$12,{"Aries","Taurus","Gemini","Cancer","Leo","Virgo","Libra","Scorpio","Sagittarius","Capricorn","Aquarius","Pisces"},0)-MATCH(CALC_PlanetPositions!$B$7,{"Aries","Taurus","Gemini","Cancer","Leo","Virgo","Libra","Scorpio","Sagittarius","Capricorn","Aquarius","Pisces"},0),12)+1)=7),AND(CALC_PlanetPositions!$M$13="Malefic",(MOD(MATCH(CALC_PlanetPositions!$B$13,{"Aries","Taurus","Gemini","Cancer","Leo","Virgo","Libra","Scorpio","Sagittarius","Capricorn","Aquarius","Pisces"},0)-MATCH(CALC_PlanetPositions!$B$7,{"Aries","Taurus","Gemini","Cancer","Leo","Virgo","Libra","Scorpio","Sagittarius","Capricorn","Aquarius","Pisces"},0),12)+1)=7),AND(TRUE(),(MOD(MATCH(CALC_PlanetPositions!$B$14,{"Aries","Taurus","Gemini","Cancer","Leo","Virgo","Libra","Scorpio","Sagittarius","Capricorn","Aquarius","Pisces"},0)-MATCH(CALC_PlanetPositions!$B$7,{"Aries","Taurus","Gemini","Cancer","Leo","Virgo","Libra","Scorpio","Sagittarius","Capricorn","Aquarius","Pisces"},0),12)+1)=7),AND(TRUE(),(MOD(MATCH(CALC_PlanetPositions!$B$15,{"Aries","Taurus","Gemini","Cancer","Leo","Virgo","Libra","Scorpio","Sagittarius","Capricorn","Aquarius","Pisces"},0)-MATCH(CALC_PlanetPositions!$B$7,{"Aries","Taurus","Gemini","Cancer","Leo","Virgo","Libra","Scorpio","Sagittarius","Capricorn","Aquarius","Pisces"},0),12)+1)=7)),1,0),0))*-1,0)</f>
        <v>0</v>
      </c>
      <c r="D15" s="400" t="s">
        <v>4623</v>
      </c>
    </row>
    <row r="16" spans="1:12" ht="27.75" customHeight="1" x14ac:dyDescent="0.2">
      <c r="A16" s="1151" t="s">
        <v>4624</v>
      </c>
      <c r="B16" s="203" t="s">
        <v>4548</v>
      </c>
      <c r="C16" s="1118">
        <f>IFERROR((IFERROR(IF(OR(AND(CALC_PlanetPositions!$M$7="Malefic",INDEX(REF_Aspects!$D$5:$O$13,1,MOD(7-(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7)),AND(CALC_PlanetPositions!$M$8="Malefic",INDEX(REF_Aspects!$D$5:$O$13,2,MOD(7-(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7)),AND(CALC_PlanetPositions!$M$9="Malefic",INDEX(REF_Aspects!$D$5:$O$13,3,MOD(7-(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7)),AND(CALC_PlanetPositions!$M$10="Malefic",INDEX(REF_Aspects!$D$5:$O$13,4,MOD(7-(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7)),AND(CALC_PlanetPositions!$M$11="Malefic",INDEX(REF_Aspects!$D$5:$O$13,5,MOD(7-(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7)),AND(CALC_PlanetPositions!$M$12="Malefic",INDEX(REF_Aspects!$D$5:$O$13,6,MOD(7-(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7)),AND(CALC_PlanetPositions!$M$13="Malefic",INDEX(REF_Aspects!$D$5:$O$13,7,MOD(7-(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7)),AND(TRUE(),INDEX(REF_Aspects!$D$5:$O$13,8,MOD(7-(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7)),AND(TRUE(),INDEX(REF_Aspects!$D$5:$O$13,9,MOD(7-(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7))),1,0),0))*-1,0)</f>
        <v>-1</v>
      </c>
      <c r="D16" s="403" t="s">
        <v>4625</v>
      </c>
    </row>
    <row r="17" spans="1:7" ht="27.75" customHeight="1" x14ac:dyDescent="0.2">
      <c r="A17" s="1151" t="s">
        <v>4626</v>
      </c>
      <c r="B17" s="357" t="s">
        <v>3062</v>
      </c>
      <c r="C17" s="1117">
        <v>0</v>
      </c>
      <c r="D17" s="400" t="s">
        <v>4627</v>
      </c>
    </row>
    <row r="18" spans="1:7" ht="27.75" customHeight="1" x14ac:dyDescent="0.2">
      <c r="A18" s="1151"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(7-2,12)+1)),AND(CALC_PlanetPositions!$M$8="Malefic",MOD(MATCH(CALC_PlanetPositions!$B$8,{"Aries","Taurus","Gemini","Cancer","Leo","Virgo","Libra","Scorpio","Sagittarius","Capricorn","Aquarius","Pisces"},0)-MATCH(CALC_PlanetPositions!$B$7,{"Aries","Taurus","Gemini","Cancer","Leo","Virgo","Libra","Scorpio","Sagittarius","Capricorn","Aquarius","Pisces"},0),12)+1=(MOD(7-2,12)+1)),AND(CALC_PlanetPositions!$M$9="Malefic",MOD(MATCH(CALC_PlanetPositions!$B$9,{"Aries","Taurus","Gemini","Cancer","Leo","Virgo","Libra","Scorpio","Sagittarius","Capricorn","Aquarius","Pisces"},0)-MATCH(CALC_PlanetPositions!$B$7,{"Aries","Taurus","Gemini","Cancer","Leo","Virgo","Libra","Scorpio","Sagittarius","Capricorn","Aquarius","Pisces"},0),12)+1=(MOD(7-2,12)+1)),AND(CALC_PlanetPositions!$M$10="Malefic",MOD(MATCH(CALC_PlanetPositions!$B$10,{"Aries","Taurus","Gemini","Cancer","Leo","Virgo","Libra","Scorpio","Sagittarius","Capricorn","Aquarius","Pisces"},0)-MATCH(CALC_PlanetPositions!$B$7,{"Aries","Taurus","Gemini","Cancer","Leo","Virgo","Libra","Scorpio","Sagittarius","Capricorn","Aquarius","Pisces"},0),12)+1=(MOD(7-2,12)+1)),AND(CALC_PlanetPositions!$M$11="Malefic",MOD(MATCH(CALC_PlanetPositions!$B$11,{"Aries","Taurus","Gemini","Cancer","Leo","Virgo","Libra","Scorpio","Sagittarius","Capricorn","Aquarius","Pisces"},0)-MATCH(CALC_PlanetPositions!$B$7,{"Aries","Taurus","Gemini","Cancer","Leo","Virgo","Libra","Scorpio","Sagittarius","Capricorn","Aquarius","Pisces"},0),12)+1=(MOD(7-2,12)+1)),AND(CALC_PlanetPositions!$M$12="Malefic",MOD(MATCH(CALC_PlanetPositions!$B$12,{"Aries","Taurus","Gemini","Cancer","Leo","Virgo","Libra","Scorpio","Sagittarius","Capricorn","Aquarius","Pisces"},0)-MATCH(CALC_PlanetPositions!$B$7,{"Aries","Taurus","Gemini","Cancer","Leo","Virgo","Libra","Scorpio","Sagittarius","Capricorn","Aquarius","Pisces"},0),12)+1=(MOD(7-2,12)+1)),AND(CALC_PlanetPositions!$M$13="Malefic",MOD(MATCH(CALC_PlanetPositions!$B$13,{"Aries","Taurus","Gemini","Cancer","Leo","Virgo","Libra","Scorpio","Sagittarius","Capricorn","Aquarius","Pisces"},0)-MATCH(CALC_PlanetPositions!$B$7,{"Aries","Taurus","Gemini","Cancer","Leo","Virgo","Libra","Scorpio","Sagittarius","Capricorn","Aquarius","Pisces"},0),12)+1=(MOD(7-2,12)+1)),AND(TRUE(),MOD(MATCH(CALC_PlanetPositions!$B$14,{"Aries","Taurus","Gemini","Cancer","Leo","Virgo","Libra","Scorpio","Sagittarius","Capricorn","Aquarius","Pisces"},0)-MATCH(CALC_PlanetPositions!$B$7,{"Aries","Taurus","Gemini","Cancer","Leo","Virgo","Libra","Scorpio","Sagittarius","Capricorn","Aquarius","Pisces"},0),12)+1=(MOD(7-2,12)+1)),AND(TRUE(),MOD(MATCH(CALC_PlanetPositions!$B$15,{"Aries","Taurus","Gemini","Cancer","Leo","Virgo","Libra","Scorpio","Sagittarius","Capricorn","Aquarius","Pisces"},0)-MATCH(CALC_PlanetPositions!$B$7,{"Aries","Taurus","Gemini","Cancer","Leo","Virgo","Libra","Scorpio","Sagittarius","Capricorn","Aquarius","Pisces"},0),12)+1=(MOD(7-2,12)+1))),OR(AND(CALC_PlanetPositions!$M$7="Malefic",MOD(MATCH(CALC_PlanetPositions!$B$7,{"Aries","Taurus","Gemini","Cancer","Leo","Virgo","Libra","Scorpio","Sagittarius","Capricorn","Aquarius","Pisces"},0)-MATCH(CALC_PlanetPositions!$B$7,{"Aries","Taurus","Gemini","Cancer","Leo","Virgo","Libra","Scorpio","Sagittarius","Capricorn","Aquarius","Pisces"},0),12)+1=(MOD(7,12)+1)),AND(CALC_PlanetPositions!$M$8="Malefic",MOD(MATCH(CALC_PlanetPositions!$B$8,{"Aries","Taurus","Gemini","Cancer","Leo","Virgo","Libra","Scorpio","Sagittarius","Capricorn","Aquarius","Pisces"},0)-MATCH(CALC_PlanetPositions!$B$7,{"Aries","Taurus","Gemini","Cancer","Leo","Virgo","Libra","Scorpio","Sagittarius","Capricorn","Aquarius","Pisces"},0),12)+1=(MOD(7,12)+1)),AND(CALC_PlanetPositions!$M$9="Malefic",MOD(MATCH(CALC_PlanetPositions!$B$9,{"Aries","Taurus","Gemini","Cancer","Leo","Virgo","Libra","Scorpio","Sagittarius","Capricorn","Aquarius","Pisces"},0)-MATCH(CALC_PlanetPositions!$B$7,{"Aries","Taurus","Gemini","Cancer","Leo","Virgo","Libra","Scorpio","Sagittarius","Capricorn","Aquarius","Pisces"},0),12)+1=(MOD(7,12)+1)),AND(CALC_PlanetPositions!$M$10="Malefic",MOD(MATCH(CALC_PlanetPositions!$B$10,{"Aries","Taurus","Gemini","Cancer","Leo","Virgo","Libra","Scorpio","Sagittarius","Capricorn","Aquarius","Pisces"},0)-MATCH(CALC_PlanetPositions!$B$7,{"Aries","Taurus","Gemini","Cancer","Leo","Virgo","Libra","Scorpio","Sagittarius","Capricorn","Aquarius","Pisces"},0),12)+1=(MOD(7,12)+1)),AND(CALC_PlanetPositions!$M$11="Malefic",MOD(MATCH(CALC_PlanetPositions!$B$11,{"Aries","Taurus","Gemini","Cancer","Leo","Virgo","Libra","Scorpio","Sagittarius","Capricorn","Aquarius","Pisces"},0)-MATCH(CALC_PlanetPositions!$B$7,{"Aries","Taurus","Gemini","Cancer","Leo","Virgo","Libra","Scorpio","Sagittarius","Capricorn","Aquarius","Pisces"},0),12)+1=(MOD(7,12)+1)),AND(CALC_PlanetPositions!$M$12="Malefic",MOD(MATCH(CALC_PlanetPositions!$B$12,{"Aries","Taurus","Gemini","Cancer","Leo","Virgo","Libra","Scorpio","Sagittarius","Capricorn","Aquarius","Pisces"},0)-MATCH(CALC_PlanetPositions!$B$7,{"Aries","Taurus","Gemini","Cancer","Leo","Virgo","Libra","Scorpio","Sagittarius","Capricorn","Aquarius","Pisces"},0),12)+1=(MOD(7,12)+1)),AND(CALC_PlanetPositions!$M$13="Malefic",MOD(MATCH(CALC_PlanetPositions!$B$13,{"Aries","Taurus","Gemini","Cancer","Leo","Virgo","Libra","Scorpio","Sagittarius","Capricorn","Aquarius","Pisces"},0)-MATCH(CALC_PlanetPositions!$B$7,{"Aries","Taurus","Gemini","Cancer","Leo","Virgo","Libra","Scorpio","Sagittarius","Capricorn","Aquarius","Pisces"},0),12)+1=(MOD(7,12)+1)),AND(TRUE(),MOD(MATCH(CALC_PlanetPositions!$B$14,{"Aries","Taurus","Gemini","Cancer","Leo","Virgo","Libra","Scorpio","Sagittarius","Capricorn","Aquarius","Pisces"},0)-MATCH(CALC_PlanetPositions!$B$7,{"Aries","Taurus","Gemini","Cancer","Leo","Virgo","Libra","Scorpio","Sagittarius","Capricorn","Aquarius","Pisces"},0),12)+1=(MOD(7,12)+1)),AND(TRUE(),MOD(MATCH(CALC_PlanetPositions!$B$15,{"Aries","Taurus","Gemini","Cancer","Leo","Virgo","Libra","Scorpio","Sagittarius","Capricorn","Aquarius","Pisces"},0)-MATCH(CALC_PlanetPositions!$B$7,{"Aries","Taurus","Gemini","Cancer","Leo","Virgo","Libra","Scorpio","Sagittarius","Capricorn","Aquarius","Pisces"},0),12)+1=(MOD(7,12)+1)))),1,0),0))*IF(REF_Config!$B$6="KP",-0.75,IF(REF_Config!$B$6="Jaimini",-0.5,-0.75)),0)</f>
        <v>0</v>
      </c>
      <c r="D18" s="403" t="s">
        <v>4629</v>
      </c>
    </row>
    <row r="19" spans="1:7" ht="15.75" customHeight="1" x14ac:dyDescent="0.2">
      <c r="A19" s="1594" t="s">
        <v>3624</v>
      </c>
      <c r="B19" s="1594"/>
      <c r="C19" s="1594"/>
      <c r="D19" s="1594"/>
    </row>
    <row r="20" spans="1:7" ht="27.75" customHeight="1" x14ac:dyDescent="0.2">
      <c r="A20" s="1151" t="s">
        <v>4630</v>
      </c>
      <c r="B20" s="357" t="s">
        <v>4555</v>
      </c>
      <c r="C20" s="1117">
        <v>0</v>
      </c>
      <c r="D20" s="400" t="s">
        <v>4631</v>
      </c>
    </row>
    <row r="21" spans="1:7" ht="27.75" customHeight="1" x14ac:dyDescent="0.2">
      <c r="A21" s="1151" t="s">
        <v>4632</v>
      </c>
      <c r="B21" s="203" t="s">
        <v>4633</v>
      </c>
      <c r="C21" s="1118">
        <f>IFERROR((IFERROR(IF(OR(AND(CALC_PlanetPositions!$M$7="Malefic",INDEX(REF_Aspects!$D$5:$O$13,1,MOD(CALC_SuryaLagna!$F$10-(MOD(MATCH(CALC_PlanetPositions!$B$7,{"Aries","Taurus","Gemini","Cancer","Leo","Virgo","Libra","Scorpio","Sagittarius","Capricorn","Aquarius","Pisces"},0)-MATCH(CALC_PlanetPositions!$B$7,{"Aries","Taurus","Gemini","Cancer","Leo","Virgo","Libra","Scorpio","Sagittarius","Capricorn","Aquarius","Pisces"},0),12)+1),12)+1)="FULL",NOT(CALC_PlanetPositions!$B$7=CALC_SuryaLagna!$E$10)),AND(CALC_PlanetPositions!$M$8="Malefic",INDEX(REF_Aspects!$D$5:$O$13,2,MOD(CALC_SuryaLagna!$F$10-(MOD(MATCH(CALC_PlanetPositions!$B$8,{"Aries","Taurus","Gemini","Cancer","Leo","Virgo","Libra","Scorpio","Sagittarius","Capricorn","Aquarius","Pisces"},0)-MATCH(CALC_PlanetPositions!$B$7,{"Aries","Taurus","Gemini","Cancer","Leo","Virgo","Libra","Scorpio","Sagittarius","Capricorn","Aquarius","Pisces"},0),12)+1),12)+1)="FULL",NOT(CALC_PlanetPositions!$B$8=CALC_SuryaLagna!$E$10)),AND(CALC_PlanetPositions!$M$9="Malefic",INDEX(REF_Aspects!$D$5:$O$13,3,MOD(CALC_SuryaLagna!$F$10-(MOD(MATCH(CALC_PlanetPositions!$B$9,{"Aries","Taurus","Gemini","Cancer","Leo","Virgo","Libra","Scorpio","Sagittarius","Capricorn","Aquarius","Pisces"},0)-MATCH(CALC_PlanetPositions!$B$7,{"Aries","Taurus","Gemini","Cancer","Leo","Virgo","Libra","Scorpio","Sagittarius","Capricorn","Aquarius","Pisces"},0),12)+1),12)+1)="FULL",NOT(CALC_PlanetPositions!$B$9=CALC_SuryaLagna!$E$10)),AND(CALC_PlanetPositions!$M$10="Malefic",INDEX(REF_Aspects!$D$5:$O$13,4,MOD(CALC_SuryaLagna!$F$10-(MOD(MATCH(CALC_PlanetPositions!$B$10,{"Aries","Taurus","Gemini","Cancer","Leo","Virgo","Libra","Scorpio","Sagittarius","Capricorn","Aquarius","Pisces"},0)-MATCH(CALC_PlanetPositions!$B$7,{"Aries","Taurus","Gemini","Cancer","Leo","Virgo","Libra","Scorpio","Sagittarius","Capricorn","Aquarius","Pisces"},0),12)+1),12)+1)="FULL",NOT(CALC_PlanetPositions!$B$10=CALC_SuryaLagna!$E$10)),AND(CALC_PlanetPositions!$M$11="Malefic",INDEX(REF_Aspects!$D$5:$O$13,5,MOD(CALC_SuryaLagna!$F$10-(MOD(MATCH(CALC_PlanetPositions!$B$11,{"Aries","Taurus","Gemini","Cancer","Leo","Virgo","Libra","Scorpio","Sagittarius","Capricorn","Aquarius","Pisces"},0)-MATCH(CALC_PlanetPositions!$B$7,{"Aries","Taurus","Gemini","Cancer","Leo","Virgo","Libra","Scorpio","Sagittarius","Capricorn","Aquarius","Pisces"},0),12)+1),12)+1)="FULL",NOT(CALC_PlanetPositions!$B$11=CALC_SuryaLagna!$E$10)),AND(CALC_PlanetPositions!$M$12="Malefic",INDEX(REF_Aspects!$D$5:$O$13,6,MOD(CALC_SuryaLagna!$F$10-(MOD(MATCH(CALC_PlanetPositions!$B$12,{"Aries","Taurus","Gemini","Cancer","Leo","Virgo","Libra","Scorpio","Sagittarius","Capricorn","Aquarius","Pisces"},0)-MATCH(CALC_PlanetPositions!$B$7,{"Aries","Taurus","Gemini","Cancer","Leo","Virgo","Libra","Scorpio","Sagittarius","Capricorn","Aquarius","Pisces"},0),12)+1),12)+1)="FULL",NOT(CALC_PlanetPositions!$B$12=CALC_SuryaLagna!$E$10)),AND(CALC_PlanetPositions!$M$13="Malefic",INDEX(REF_Aspects!$D$5:$O$13,7,MOD(CALC_SuryaLagna!$F$10-(MOD(MATCH(CALC_PlanetPositions!$B$13,{"Aries","Taurus","Gemini","Cancer","Leo","Virgo","Libra","Scorpio","Sagittarius","Capricorn","Aquarius","Pisces"},0)-MATCH(CALC_PlanetPositions!$B$7,{"Aries","Taurus","Gemini","Cancer","Leo","Virgo","Libra","Scorpio","Sagittarius","Capricorn","Aquarius","Pisces"},0),12)+1),12)+1)="FULL",NOT(CALC_PlanetPositions!$B$13=CALC_SuryaLagna!$E$10)),AND(TRUE(),INDEX(REF_Aspects!$D$5:$O$13,8,MOD(CALC_SuryaLagna!$F$10-(MOD(MATCH(CALC_PlanetPositions!$B$14,{"Aries","Taurus","Gemini","Cancer","Leo","Virgo","Libra","Scorpio","Sagittarius","Capricorn","Aquarius","Pisces"},0)-MATCH(CALC_PlanetPositions!$B$7,{"Aries","Taurus","Gemini","Cancer","Leo","Virgo","Libra","Scorpio","Sagittarius","Capricorn","Aquarius","Pisces"},0),12)+1),12)+1)="FULL",NOT(CALC_PlanetPositions!$B$14=CALC_SuryaLagna!$E$10)),AND(TRUE(),INDEX(REF_Aspects!$D$5:$O$13,9,MOD(CALC_SuryaLagna!$F$10-(MOD(MATCH(CALC_PlanetPositions!$B$15,{"Aries","Taurus","Gemini","Cancer","Leo","Virgo","Libra","Scorpio","Sagittarius","Capricorn","Aquarius","Pisces"},0)-MATCH(CALC_PlanetPositions!$B$7,{"Aries","Taurus","Gemini","Cancer","Leo","Virgo","Libra","Scorpio","Sagittarius","Capricorn","Aquarius","Pisces"},0),12)+1),12)+1)="FULL",NOT(CALC_PlanetPositions!$B$15=CALC_SuryaLagna!$E$10))),1,0),0))*-0.5,0)</f>
        <v>-0.5</v>
      </c>
      <c r="D21" s="403" t="s">
        <v>4634</v>
      </c>
    </row>
    <row r="22" spans="1:7" ht="27.75" customHeight="1" x14ac:dyDescent="0.2">
      <c r="A22" s="1151" t="s">
        <v>4635</v>
      </c>
      <c r="B22" s="357" t="s">
        <v>3042</v>
      </c>
      <c r="C22" s="1117">
        <f>IFERROR((IFERROR(IF(CALC_SuryaLagna!$I$10="Yes",1,0),0))*IF(REF_Config!$B$6="KP",-1.75,IF(REF_Config!$B$6="Jaimini",-2,-2)),0)</f>
        <v>0</v>
      </c>
      <c r="D22" s="400" t="s">
        <v>4636</v>
      </c>
    </row>
    <row r="23" spans="1:7" ht="27.75" customHeight="1" x14ac:dyDescent="0.2">
      <c r="A23" s="1151" t="s">
        <v>4637</v>
      </c>
      <c r="B23" s="203" t="s">
        <v>3059</v>
      </c>
      <c r="C23" s="1118">
        <f>IFERROR((IFERROR(IF(OR(AND(CALC_SuryaLagna!$E$9=CALC_SuryaLagna!$E$10,CALC_SuryaLagna!$D$9&lt;&gt;CALC_SuryaLagna!$D$10),AND(CALC_SuryaLagna!$E$11=CALC_SuryaLagna!$E$10,CALC_SuryaLagna!$D$11&lt;&gt;CALC_SuryaLagna!$D$10),AND(CALC_SuryaLagna!$E$15=CALC_SuryaLagna!$E$10,CALC_SuryaLagna!$D$15&lt;&gt;CALC_SuryaLagna!$D$10)),1,0),0))*-1,0)</f>
        <v>-1</v>
      </c>
      <c r="D23" s="403" t="s">
        <v>4638</v>
      </c>
    </row>
    <row r="24" spans="1:7" ht="15.75" customHeight="1" x14ac:dyDescent="0.2">
      <c r="A24" s="1484" t="s">
        <v>4639</v>
      </c>
      <c r="B24" s="1484"/>
      <c r="C24" s="1484"/>
      <c r="D24" s="1484"/>
    </row>
    <row r="25" spans="1:7" ht="27.75" customHeight="1" x14ac:dyDescent="0.2">
      <c r="A25" s="1151" t="s">
        <v>4640</v>
      </c>
      <c r="B25" s="357" t="s">
        <v>3084</v>
      </c>
      <c r="C25" s="1117">
        <f>IFERROR(IF(CALC_KarakMap!$M$11&gt;0,CALC_KarakMap!$M$11,0),0)</f>
        <v>0</v>
      </c>
      <c r="D25" s="400" t="s">
        <v>4641</v>
      </c>
    </row>
    <row r="26" spans="1:7" ht="27.75" customHeight="1" x14ac:dyDescent="0.2">
      <c r="A26" s="1151" t="s">
        <v>4642</v>
      </c>
      <c r="B26" s="203" t="s">
        <v>4564</v>
      </c>
      <c r="C26" s="1118">
        <f>IFERROR(IF(CALC_KarakMap!$M$11&lt;0,CALC_KarakMap!$M$11,0),0)</f>
        <v>0</v>
      </c>
      <c r="D26" s="403" t="s">
        <v>4643</v>
      </c>
    </row>
    <row r="27" spans="1:7" ht="27.75" customHeight="1" x14ac:dyDescent="0.2">
      <c r="A27" s="1119" t="s">
        <v>4644</v>
      </c>
      <c r="B27" s="296" t="s">
        <v>3624</v>
      </c>
      <c r="C27" s="1117">
        <f>IFERROR(IF(OR(CALC_SuryaLagna!$D$10="Sun",CALC_SuryaLagna!$D$10="Rahu",CALC_SuryaLagna!$D$10="Ketu"),0,IF(CALC_SuryaLagna!$D$10="Moon",IF(CALC_CombustionCheck!$G$4="Cazimi ✓",0.5,IF(CALC_CombustionCheck!$F$4="COMBUST ⚠",-1,0)),IF(CALC_SuryaLagna!$D$10="Mars",IF(CALC_CombustionCheck!$G$5="Cazimi ✓",0.5,IF(AND(CALC_CombustionCheck!$F$5="COMBUST ⚠",CALC_RetrogradeFix!$F$6="Rx ✓"),-0.5,IF(CALC_CombustionCheck!$F$5="COMBUST ⚠",-1,0))),IF(CALC_SuryaLagna!$D$10="Mercury",IF(CALC_CombustionCheck!$G$6="Cazimi ✓",0.5,IF(AND(CALC_CombustionCheck!$F$6="COMBUST ⚠",CALC_RetrogradeFix!$F$7="Rx ✓"),-0.5,IF(CALC_CombustionCheck!$F$6="COMBUST ⚠",-1,0))),IF(CALC_SuryaLagna!$D$10="Jupiter",IF(CALC_CombustionCheck!$G$7="Cazimi ✓",0.5,IF(AND(CALC_CombustionCheck!$F$7="COMBUST ⚠",CALC_RetrogradeFix!$F$8="Rx ✓"),-0.5,IF(CALC_CombustionCheck!$F$7="COMBUST ⚠",-1,0))),IF(CALC_SuryaLagna!$D$10="Venus",IF(CALC_CombustionCheck!$G$8="Cazimi ✓",0.5,IF(AND(CALC_CombustionCheck!$F$8="COMBUST ⚠",CALC_RetrogradeFix!$F$9="Rx ✓"),-0.5,IF(CALC_CombustionCheck!$F$8="COMBUST ⚠",-1,0))),IF(CALC_SuryaLagna!$D$10="Saturn",IF(CALC_CombustionCheck!$G$9="Cazimi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SuryaLagna!$D$10="Rahu",CALC_SuryaLagna!$D$10="Ketu"),0,IF(ISNUMBER(MATCH(CALC_SuryaLagna!$D$10,{"Sun","Moon","Mars","Mercury","Jupiter","Venus","Saturn"},0)),IF(INDEX(CALC_DigBala!$F$4:$F$10,MATCH(CALC_SuryaLagna!$D$10,{"Sun","Moon","Mars","Mercury","Jupiter","Venus","Saturn"},0))="Yes",0.5,0),0)),0)</f>
        <v>0</v>
      </c>
      <c r="D28" s="400" t="s">
        <v>4647</v>
      </c>
    </row>
    <row r="29" spans="1:7" ht="27.75" customHeight="1" x14ac:dyDescent="0.2">
      <c r="A29" s="1120" t="s">
        <v>4648</v>
      </c>
      <c r="B29" s="296" t="s">
        <v>3372</v>
      </c>
      <c r="C29" s="1117">
        <f>IFERROR(IF(COUNTIFS(REF_PushkaraNavamsha!$A$4:$A$27,CALC_SuryaLagna!$E$10,REF_PushkaraNavamsha!$B$4:$B$27,INDEX(CALC_PlanetPositions!$G$7:$G$15,MATCH(CALC_SuryaLagna!$D$10,CALC_PlanetPositions!$A$7:$A$15,0)))&gt;0,0.5,0),0)</f>
        <v>0</v>
      </c>
      <c r="D29" s="400" t="s">
        <v>4649</v>
      </c>
    </row>
    <row r="30" spans="1:7" ht="25.5" customHeight="1" x14ac:dyDescent="0.2">
      <c r="A30" s="147" t="s">
        <v>4650</v>
      </c>
      <c r="B30" s="1121" t="s">
        <v>4651</v>
      </c>
      <c r="C30" s="1122">
        <f>IFERROR(IF(ISNUMBER(MATCH(CALC_SuryaLagna!$D$10,{"Sun","Moon","Mars","Mercury","Jupiter","Venus","Saturn"},0)),INDEX(CALC_RetrogradeFix!$G$4:$G$10,MATCH(CALC_SuryaLagna!$D$10,{"Sun","Moon","Mars","Mercury","Jupiter","Venus","Saturn"},0)),0),0)</f>
        <v>0</v>
      </c>
      <c r="D30" s="1123" t="s">
        <v>4652</v>
      </c>
    </row>
    <row r="31" spans="1:7" ht="18" customHeight="1" x14ac:dyDescent="0.2">
      <c r="A31" s="1555" t="s">
        <v>4653</v>
      </c>
      <c r="B31" s="1555"/>
      <c r="C31" s="1555"/>
      <c r="D31" s="1555"/>
      <c r="E31" s="1124" t="s">
        <v>4654</v>
      </c>
      <c r="F31" s="1125">
        <f>IFERROR(IF(CALC_Ashtakavarga!H$12&gt;28,0.5,IF(CALC_Ashtakavarga!H$12&lt;22,-0.5,0)),0)</f>
        <v>-0.5</v>
      </c>
      <c r="G31" s="1126" t="s">
        <v>4655</v>
      </c>
    </row>
    <row r="32" spans="1:7" ht="18" customHeight="1" x14ac:dyDescent="0.2">
      <c r="A32" s="189" t="s">
        <v>3367</v>
      </c>
      <c r="B32" s="1127" t="s">
        <v>4656</v>
      </c>
      <c r="C32" s="1128">
        <f>IFERROR(SUM(C5:C7),0)</f>
        <v>2.25</v>
      </c>
      <c r="D32" s="1129"/>
    </row>
    <row r="33" spans="1:4" ht="18" customHeight="1" x14ac:dyDescent="0.2">
      <c r="A33" s="189" t="s">
        <v>3372</v>
      </c>
      <c r="B33" s="1127" t="s">
        <v>4657</v>
      </c>
      <c r="C33" s="1128">
        <f>IFERROR(SUM(C9:C13,C28:C30,F31,0),0)</f>
        <v>3.5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2.25</v>
      </c>
      <c r="D37" s="1129"/>
    </row>
    <row r="38" spans="1:4" ht="21.75" customHeight="1" x14ac:dyDescent="0.2">
      <c r="A38" s="89" t="s">
        <v>4661</v>
      </c>
      <c r="B38" s="1129"/>
      <c r="C38" s="1131">
        <f>IFERROR(MAX(-10,MIN(10,C37)),0)</f>
        <v>2.25</v>
      </c>
      <c r="D38" s="1132"/>
    </row>
    <row r="39" spans="1:4" ht="18" customHeight="1" x14ac:dyDescent="0.2">
      <c r="A39" s="517" t="s">
        <v>4662</v>
      </c>
      <c r="B39" s="1129"/>
      <c r="C39" s="1133">
        <f>IFERROR(CALC_LagneshStrength!$I$4,0)</f>
        <v>0</v>
      </c>
      <c r="D39" s="1129"/>
    </row>
    <row r="40" spans="1:4" ht="25.5" customHeight="1" x14ac:dyDescent="0.2">
      <c r="A40" s="1152" t="s">
        <v>4663</v>
      </c>
      <c r="B40" s="1129"/>
      <c r="C40" s="1153">
        <f>IFERROR(MAX(-10,MIN(10,C38+C39+C41)),0)</f>
        <v>2.25</v>
      </c>
      <c r="D40" s="1154" t="str">
        <f>IFERROR(IF(C40&gt;=7,"Excellent — Partnerships domain very strong",IF(C40&gt;=4,"Good — Partnerships domain strong",IF(C40&gt;=1,"Moderate",IF(C40&gt;=-2,"Mixed — Partnerships has challenges",IF(C40&gt;=-5,"Weak","Very weak — Partnerships heavily afflicted"))))),"—")</f>
        <v>Moderate</v>
      </c>
    </row>
    <row r="41" spans="1:4" ht="18" customHeight="1" x14ac:dyDescent="0.2">
      <c r="A41" s="622" t="s">
        <v>4681</v>
      </c>
      <c r="B41" s="904" t="s">
        <v>4705</v>
      </c>
      <c r="C41" s="1160">
        <v>0</v>
      </c>
      <c r="D41" s="550" t="s">
        <v>4718</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4719</v>
      </c>
      <c r="B1" s="1518"/>
      <c r="C1" s="1518"/>
      <c r="D1" s="1518"/>
      <c r="L1" s="544" t="s">
        <v>2214</v>
      </c>
    </row>
    <row r="2" spans="1:12" ht="19.5" customHeight="1" x14ac:dyDescent="0.2">
      <c r="A2" s="1595" t="str">
        <f>IFERROR("Surya Lagna: "&amp;CALC_PlanetPositions!$B$7&amp;"  ·  H8 sign: "&amp;CALC_SuryaLagna!$C$11,"—")</f>
        <v>Surya Lagna: Cancer  ·  H8 sign: Aquarius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19" t="s">
        <v>4605</v>
      </c>
      <c r="B5" s="357" t="s">
        <v>4529</v>
      </c>
      <c r="C5" s="1117">
        <f>IFERROR((IFERROR(IF(INDEX(REF_Zodiac!$D$17:$O$17,MATCH(CALC_SuryaLagna!$C$11,REF_Zodiac!$D$3:$O$3,0))="Gentle",1,0),0))*0.5,0)</f>
        <v>0</v>
      </c>
      <c r="D5" s="400" t="s">
        <v>4606</v>
      </c>
    </row>
    <row r="6" spans="1:12" ht="27.75" customHeight="1" x14ac:dyDescent="0.2">
      <c r="A6" s="1119"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119" t="s">
        <v>4609</v>
      </c>
      <c r="B7" s="357" t="s">
        <v>4534</v>
      </c>
      <c r="C7" s="1117">
        <f>IFERROR((IFERROR(IF(OR(AND(OR(CALC_PlanetPositions!$M$7="Benefic",CALC_PlanetPositions!$M$7="Yogakaraka"),INDEX(REF_Aspects!$D$5:$O$13,1,MOD(8-(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8)),AND(OR(CALC_PlanetPositions!$M$8="Benefic",CALC_PlanetPositions!$M$8="Yogakaraka"),INDEX(REF_Aspects!$D$5:$O$13,2,MOD(8-(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8)),AND(OR(CALC_PlanetPositions!$M$9="Benefic",CALC_PlanetPositions!$M$9="Yogakaraka"),INDEX(REF_Aspects!$D$5:$O$13,3,MOD(8-(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8)),AND(OR(CALC_PlanetPositions!$M$10="Benefic",CALC_PlanetPositions!$M$10="Yogakaraka"),INDEX(REF_Aspects!$D$5:$O$13,4,MOD(8-(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8)),AND(OR(CALC_PlanetPositions!$M$11="Benefic",CALC_PlanetPositions!$M$11="Yogakaraka"),INDEX(REF_Aspects!$D$5:$O$13,5,MOD(8-(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8)),AND(OR(CALC_PlanetPositions!$M$12="Benefic",CALC_PlanetPositions!$M$12="Yogakaraka"),INDEX(REF_Aspects!$D$5:$O$13,6,MOD(8-(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8)),AND(OR(CALC_PlanetPositions!$M$13="Benefic",CALC_PlanetPositions!$M$13="Yogakaraka"),INDEX(REF_Aspects!$D$5:$O$13,7,MOD(8-(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8)),AND(FALSE(),INDEX(REF_Aspects!$D$5:$O$13,8,MOD(8-(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8)),AND(FALSE(),INDEX(REF_Aspects!$D$5:$O$13,9,MOD(8-(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8))),1,0),0))*IF(REF_Config!$B$6="KP",0.5,IF(REF_Config!$B$6="Jaimini",0.75,0.75)),0)</f>
        <v>0</v>
      </c>
      <c r="D7" s="400" t="s">
        <v>4610</v>
      </c>
    </row>
    <row r="8" spans="1:12" ht="15.75" customHeight="1" x14ac:dyDescent="0.2">
      <c r="A8" s="1597" t="s">
        <v>3372</v>
      </c>
      <c r="B8" s="1597"/>
      <c r="C8" s="1597"/>
      <c r="D8" s="1597"/>
    </row>
    <row r="9" spans="1:12" ht="27.75" customHeight="1" x14ac:dyDescent="0.2">
      <c r="A9" s="1119" t="s">
        <v>4611</v>
      </c>
      <c r="B9" s="203" t="s">
        <v>4537</v>
      </c>
      <c r="C9" s="1118">
        <f>IFERROR(IF(AND(OR(CALC_SuryaLagna!$G$11="Yes",CALC_SuryaLagna!$H$11="Yes"),NOT(CALC_SuryaLagna!$I$11="Yes")),1,0)*IF(REF_Config!$B$6="KP",1.5,IF(REF_Config!$B$6="Jaimini",1.5,2)),0)</f>
        <v>2</v>
      </c>
      <c r="D9" s="403" t="s">
        <v>4612</v>
      </c>
    </row>
    <row r="10" spans="1:12" ht="27.75" customHeight="1" x14ac:dyDescent="0.2">
      <c r="A10" s="1119" t="s">
        <v>4613</v>
      </c>
      <c r="B10" s="357" t="s">
        <v>3093</v>
      </c>
      <c r="C10" s="1117">
        <f>IFERROR((IFERROR(IF(OR(AND(CALC_SuryaLagna!$E$4=CALC_SuryaLagna!$E$11,CALC_SuryaLagna!$D$4&lt;&gt;CALC_SuryaLagna!$D$11),AND(CALC_SuryaLagna!$E$7=CALC_SuryaLagna!$E$11,CALC_SuryaLagna!$D$7&lt;&gt;CALC_SuryaLagna!$D$11),AND(CALC_SuryaLagna!$E$8=CALC_SuryaLagna!$E$11,CALC_SuryaLagna!$D$8&lt;&gt;CALC_SuryaLagna!$D$11),AND(CALC_SuryaLagna!$E$10=CALC_SuryaLagna!$E$11,CALC_SuryaLagna!$D$10&lt;&gt;CALC_SuryaLagna!$D$11),AND(CALC_SuryaLagna!$E$12=CALC_SuryaLagna!$E$11,CALC_SuryaLagna!$D$12&lt;&gt;CALC_SuryaLagna!$D$11),AND(CALC_SuryaLagna!$E$13=CALC_SuryaLagna!$E$11,CALC_SuryaLagna!$D$13&lt;&gt;CALC_SuryaLagna!$D$11)),1,0),0))*0.5,0)</f>
        <v>0.5</v>
      </c>
      <c r="D10" s="400" t="s">
        <v>4614</v>
      </c>
    </row>
    <row r="11" spans="1:12" ht="27.75" customHeight="1" x14ac:dyDescent="0.2">
      <c r="A11" s="1119" t="s">
        <v>4615</v>
      </c>
      <c r="B11" s="203" t="s">
        <v>4540</v>
      </c>
      <c r="C11" s="1118">
        <f>IFERROR((IFERROR(IF(OR(AND(OR(CALC_PlanetPositions!$M$7="Benefic",CALC_PlanetPositions!$M$7="Yogakaraka"),CALC_PlanetPositions!$B$7=CALC_SuryaLagna!$E$11,CALC_SuryaLagna!$D$11&lt;&gt;"Sun"),AND(OR(CALC_PlanetPositions!$M$8="Benefic",CALC_PlanetPositions!$M$8="Yogakaraka"),CALC_PlanetPositions!$B$8=CALC_SuryaLagna!$E$11,CALC_SuryaLagna!$D$11&lt;&gt;"Moon"),AND(OR(CALC_PlanetPositions!$M$9="Benefic",CALC_PlanetPositions!$M$9="Yogakaraka"),CALC_PlanetPositions!$B$9=CALC_SuryaLagna!$E$11,CALC_SuryaLagna!$D$11&lt;&gt;"Mars"),AND(OR(CALC_PlanetPositions!$M$10="Benefic",CALC_PlanetPositions!$M$10="Yogakaraka"),CALC_PlanetPositions!$B$10=CALC_SuryaLagna!$E$11,CALC_SuryaLagna!$D$11&lt;&gt;"Mercury"),AND(OR(CALC_PlanetPositions!$M$11="Benefic",CALC_PlanetPositions!$M$11="Yogakaraka"),CALC_PlanetPositions!$B$11=CALC_SuryaLagna!$E$11,CALC_SuryaLagna!$D$11&lt;&gt;"Jupiter"),AND(OR(CALC_PlanetPositions!$M$12="Benefic",CALC_PlanetPositions!$M$12="Yogakaraka"),CALC_PlanetPositions!$B$12=CALC_SuryaLagna!$E$11,CALC_SuryaLagna!$D$11&lt;&gt;"Venus"),AND(OR(CALC_PlanetPositions!$M$13="Benefic",CALC_PlanetPositions!$M$13="Yogakaraka"),CALC_PlanetPositions!$B$13=CALC_SuryaLagna!$E$11,CALC_SuryaLagna!$D$11&lt;&gt;"Saturn")),1,0),0))*IF(OR(AND(CALC_PlanetPositions!$M$7="Yogakaraka",CALC_PlanetPositions!$B$7=CALC_SuryaLagna!$E$11,CALC_SuryaLagna!$D$11&lt;&gt;"Sun"),AND(CALC_PlanetPositions!$M$8="Yogakaraka",CALC_PlanetPositions!$B$8=CALC_SuryaLagna!$E$11,CALC_SuryaLagna!$D$11&lt;&gt;"Moon"),AND(CALC_PlanetPositions!$M$9="Yogakaraka",CALC_PlanetPositions!$B$9=CALC_SuryaLagna!$E$11,CALC_SuryaLagna!$D$11&lt;&gt;"Mars"),AND(CALC_PlanetPositions!$M$10="Yogakaraka",CALC_PlanetPositions!$B$10=CALC_SuryaLagna!$E$11,CALC_SuryaLagna!$D$11&lt;&gt;"Mercury"),AND(CALC_PlanetPositions!$M$11="Yogakaraka",CALC_PlanetPositions!$B$11=CALC_SuryaLagna!$E$11,CALC_SuryaLagna!$D$11&lt;&gt;"Jupiter"),AND(CALC_PlanetPositions!$M$12="Yogakaraka",CALC_PlanetPositions!$B$12=CALC_SuryaLagna!$E$11,CALC_SuryaLagna!$D$11&lt;&gt;"Venus"),AND(CALC_PlanetPositions!$M$13="Yogakaraka",CALC_PlanetPositions!$B$13=CALC_SuryaLagna!$E$11,CALC_SuryaLagna!$D$11&lt;&gt;"Saturn")),1.5,1),0)</f>
        <v>1.5</v>
      </c>
      <c r="D11" s="403" t="s">
        <v>4616</v>
      </c>
    </row>
    <row r="12" spans="1:12" ht="27.75" customHeight="1" x14ac:dyDescent="0.2">
      <c r="A12" s="1119" t="s">
        <v>4617</v>
      </c>
      <c r="B12" s="357" t="s">
        <v>4542</v>
      </c>
      <c r="C12" s="1117">
        <f>IFERROR((IFERROR(IF(OR(AND(OR(CALC_PlanetPositions!$M$7="Benefic",CALC_PlanetPositions!$M$7="Yogakaraka"),INDEX(REF_Aspects!$D$5:$O$13,1,MOD(CALC_SuryaLagna!$F$11-(MOD(MATCH(CALC_PlanetPositions!$B$7,{"Aries","Taurus","Gemini","Cancer","Leo","Virgo","Libra","Scorpio","Sagittarius","Capricorn","Aquarius","Pisces"},0)-MATCH(CALC_PlanetPositions!$B$7,{"Aries","Taurus","Gemini","Cancer","Leo","Virgo","Libra","Scorpio","Sagittarius","Capricorn","Aquarius","Pisces"},0),12)+1),12)+1)="FULL",NOT(CALC_PlanetPositions!$B$7=CALC_SuryaLagna!$E$11)),AND(OR(CALC_PlanetPositions!$M$8="Benefic",CALC_PlanetPositions!$M$8="Yogakaraka"),INDEX(REF_Aspects!$D$5:$O$13,2,MOD(CALC_SuryaLagna!$F$11-(MOD(MATCH(CALC_PlanetPositions!$B$8,{"Aries","Taurus","Gemini","Cancer","Leo","Virgo","Libra","Scorpio","Sagittarius","Capricorn","Aquarius","Pisces"},0)-MATCH(CALC_PlanetPositions!$B$7,{"Aries","Taurus","Gemini","Cancer","Leo","Virgo","Libra","Scorpio","Sagittarius","Capricorn","Aquarius","Pisces"},0),12)+1),12)+1)="FULL",NOT(CALC_PlanetPositions!$B$8=CALC_SuryaLagna!$E$11)),AND(OR(CALC_PlanetPositions!$M$9="Benefic",CALC_PlanetPositions!$M$9="Yogakaraka"),INDEX(REF_Aspects!$D$5:$O$13,3,MOD(CALC_SuryaLagna!$F$11-(MOD(MATCH(CALC_PlanetPositions!$B$9,{"Aries","Taurus","Gemini","Cancer","Leo","Virgo","Libra","Scorpio","Sagittarius","Capricorn","Aquarius","Pisces"},0)-MATCH(CALC_PlanetPositions!$B$7,{"Aries","Taurus","Gemini","Cancer","Leo","Virgo","Libra","Scorpio","Sagittarius","Capricorn","Aquarius","Pisces"},0),12)+1),12)+1)="FULL",NOT(CALC_PlanetPositions!$B$9=CALC_SuryaLagna!$E$11)),AND(OR(CALC_PlanetPositions!$M$10="Benefic",CALC_PlanetPositions!$M$10="Yogakaraka"),INDEX(REF_Aspects!$D$5:$O$13,4,MOD(CALC_SuryaLagna!$F$11-(MOD(MATCH(CALC_PlanetPositions!$B$10,{"Aries","Taurus","Gemini","Cancer","Leo","Virgo","Libra","Scorpio","Sagittarius","Capricorn","Aquarius","Pisces"},0)-MATCH(CALC_PlanetPositions!$B$7,{"Aries","Taurus","Gemini","Cancer","Leo","Virgo","Libra","Scorpio","Sagittarius","Capricorn","Aquarius","Pisces"},0),12)+1),12)+1)="FULL",NOT(CALC_PlanetPositions!$B$10=CALC_SuryaLagna!$E$11)),AND(OR(CALC_PlanetPositions!$M$11="Benefic",CALC_PlanetPositions!$M$11="Yogakaraka"),INDEX(REF_Aspects!$D$5:$O$13,5,MOD(CALC_SuryaLagna!$F$11-(MOD(MATCH(CALC_PlanetPositions!$B$11,{"Aries","Taurus","Gemini","Cancer","Leo","Virgo","Libra","Scorpio","Sagittarius","Capricorn","Aquarius","Pisces"},0)-MATCH(CALC_PlanetPositions!$B$7,{"Aries","Taurus","Gemini","Cancer","Leo","Virgo","Libra","Scorpio","Sagittarius","Capricorn","Aquarius","Pisces"},0),12)+1),12)+1)="FULL",NOT(CALC_PlanetPositions!$B$11=CALC_SuryaLagna!$E$11)),AND(OR(CALC_PlanetPositions!$M$12="Benefic",CALC_PlanetPositions!$M$12="Yogakaraka"),INDEX(REF_Aspects!$D$5:$O$13,6,MOD(CALC_SuryaLagna!$F$11-(MOD(MATCH(CALC_PlanetPositions!$B$12,{"Aries","Taurus","Gemini","Cancer","Leo","Virgo","Libra","Scorpio","Sagittarius","Capricorn","Aquarius","Pisces"},0)-MATCH(CALC_PlanetPositions!$B$7,{"Aries","Taurus","Gemini","Cancer","Leo","Virgo","Libra","Scorpio","Sagittarius","Capricorn","Aquarius","Pisces"},0),12)+1),12)+1)="FULL",NOT(CALC_PlanetPositions!$B$12=CALC_SuryaLagna!$E$11)),AND(OR(CALC_PlanetPositions!$M$13="Benefic",CALC_PlanetPositions!$M$13="Yogakaraka"),INDEX(REF_Aspects!$D$5:$O$13,7,MOD(CALC_SuryaLagna!$F$11-(MOD(MATCH(CALC_PlanetPositions!$B$13,{"Aries","Taurus","Gemini","Cancer","Leo","Virgo","Libra","Scorpio","Sagittarius","Capricorn","Aquarius","Pisces"},0)-MATCH(CALC_PlanetPositions!$B$7,{"Aries","Taurus","Gemini","Cancer","Leo","Virgo","Libra","Scorpio","Sagittarius","Capricorn","Aquarius","Pisces"},0),12)+1),12)+1)="FULL",NOT(CALC_PlanetPositions!$B$13=CALC_SuryaLagna!$E$11)),AND(FALSE(),INDEX(REF_Aspects!$D$5:$O$13,8,MOD(CALC_SuryaLagna!$F$11-(MOD(MATCH(CALC_PlanetPositions!$B$14,{"Aries","Taurus","Gemini","Cancer","Leo","Virgo","Libra","Scorpio","Sagittarius","Capricorn","Aquarius","Pisces"},0)-MATCH(CALC_PlanetPositions!$B$7,{"Aries","Taurus","Gemini","Cancer","Leo","Virgo","Libra","Scorpio","Sagittarius","Capricorn","Aquarius","Pisces"},0),12)+1),12)+1)="FULL",NOT(CALC_PlanetPositions!$B$14=CALC_SuryaLagna!$E$11)),AND(FALSE(),INDEX(REF_Aspects!$D$5:$O$13,9,MOD(CALC_SuryaLagna!$F$11-(MOD(MATCH(CALC_PlanetPositions!$B$15,{"Aries","Taurus","Gemini","Cancer","Leo","Virgo","Libra","Scorpio","Sagittarius","Capricorn","Aquarius","Pisces"},0)-MATCH(CALC_PlanetPositions!$B$7,{"Aries","Taurus","Gemini","Cancer","Leo","Virgo","Libra","Scorpio","Sagittarius","Capricorn","Aquarius","Pisces"},0),12)+1),12)+1)="FULL",NOT(CALC_PlanetPositions!$B$15=CALC_SuryaLagna!$E$11))),1,0),0))*0.5,0)</f>
        <v>0</v>
      </c>
      <c r="D12" s="400" t="s">
        <v>4618</v>
      </c>
    </row>
    <row r="13" spans="1:12" ht="27.75" customHeight="1" x14ac:dyDescent="0.2">
      <c r="A13" s="1119"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$11-2,12)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$11-2,12)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$11-2,12)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$11-2,12)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$11-2,12)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$11-2,12)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$11-2,12)+1)),AND(FALSE(),MOD(MATCH(CALC_PlanetPositions!$B$14,{"Aries","Taurus","Gemini","Cancer","Leo","Virgo","Libra","Scorpio","Sagittarius","Capricorn","Aquarius","Pisces"},0)-MATCH(CALC_PlanetPositions!$B$7,{"Aries","Taurus","Gemini","Cancer","Leo","Virgo","Libra","Scorpio","Sagittarius","Capricorn","Aquarius","Pisces"},0),12)+1=(MOD(CALC_SuryaLagna!$F$11-2,12)+1)),AND(FALSE(),MOD(MATCH(CALC_PlanetPositions!$B$15,{"Aries","Taurus","Gemini","Cancer","Leo","Virgo","Libra","Scorpio","Sagittarius","Capricorn","Aquarius","Pisces"},0)-MATCH(CALC_PlanetPositions!$B$7,{"Aries","Taurus","Gemini","Cancer","Leo","Virgo","Libra","Scorpio","Sagittarius","Capricorn","Aquarius","Pisces"},0),12)+1=(MOD(CALC_SuryaLagna!$F$11-2,12)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$11,12)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$11,12)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$11,12)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$11,12)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$11,12)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$11,12)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$11,12)+1)),AND(FALSE(),MOD(MATCH(CALC_PlanetPositions!$B$14,{"Aries","Taurus","Gemini","Cancer","Leo","Virgo","Libra","Scorpio","Sagittarius","Capricorn","Aquarius","Pisces"},0)-MATCH(CALC_PlanetPositions!$B$7,{"Aries","Taurus","Gemini","Cancer","Leo","Virgo","Libra","Scorpio","Sagittarius","Capricorn","Aquarius","Pisces"},0),12)+1=(MOD(CALC_SuryaLagna!$F$11,12)+1)),AND(FALSE(),MOD(MATCH(CALC_PlanetPositions!$B$15,{"Aries","Taurus","Gemini","Cancer","Leo","Virgo","Libra","Scorpio","Sagittarius","Capricorn","Aquarius","Pisces"},0)-MATCH(CALC_PlanetPositions!$B$7,{"Aries","Taurus","Gemini","Cancer","Leo","Virgo","Libra","Scorpio","Sagittarius","Capricorn","Aquarius","Pisces"},0),12)+1=(MOD(CALC_SuryaLagna!$F$11,12)+1)))),1,0),0))*IF(REF_Config!$B$6="KP",0.75,IF(REF_Config!$B$6="Jaimini",0.5,0.75)),0)</f>
        <v>0</v>
      </c>
      <c r="D13" s="403" t="s">
        <v>4620</v>
      </c>
    </row>
    <row r="14" spans="1:12" ht="15.75" customHeight="1" x14ac:dyDescent="0.2">
      <c r="A14" s="1598" t="s">
        <v>4621</v>
      </c>
      <c r="B14" s="1598"/>
      <c r="C14" s="1598"/>
      <c r="D14" s="1598"/>
    </row>
    <row r="15" spans="1:12" ht="27.75" customHeight="1" x14ac:dyDescent="0.2">
      <c r="A15" s="1119"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8),AND(CALC_PlanetPositions!$M$8="Malefic",(MOD(MATCH(CALC_PlanetPositions!$B$8,{"Aries","Taurus","Gemini","Cancer","Leo","Virgo","Libra","Scorpio","Sagittarius","Capricorn","Aquarius","Pisces"},0)-MATCH(CALC_PlanetPositions!$B$7,{"Aries","Taurus","Gemini","Cancer","Leo","Virgo","Libra","Scorpio","Sagittarius","Capricorn","Aquarius","Pisces"},0),12)+1)=8),AND(CALC_PlanetPositions!$M$9="Malefic",(MOD(MATCH(CALC_PlanetPositions!$B$9,{"Aries","Taurus","Gemini","Cancer","Leo","Virgo","Libra","Scorpio","Sagittarius","Capricorn","Aquarius","Pisces"},0)-MATCH(CALC_PlanetPositions!$B$7,{"Aries","Taurus","Gemini","Cancer","Leo","Virgo","Libra","Scorpio","Sagittarius","Capricorn","Aquarius","Pisces"},0),12)+1)=8),AND(CALC_PlanetPositions!$M$10="Malefic",(MOD(MATCH(CALC_PlanetPositions!$B$10,{"Aries","Taurus","Gemini","Cancer","Leo","Virgo","Libra","Scorpio","Sagittarius","Capricorn","Aquarius","Pisces"},0)-MATCH(CALC_PlanetPositions!$B$7,{"Aries","Taurus","Gemini","Cancer","Leo","Virgo","Libra","Scorpio","Sagittarius","Capricorn","Aquarius","Pisces"},0),12)+1)=8),AND(CALC_PlanetPositions!$M$11="Malefic",(MOD(MATCH(CALC_PlanetPositions!$B$11,{"Aries","Taurus","Gemini","Cancer","Leo","Virgo","Libra","Scorpio","Sagittarius","Capricorn","Aquarius","Pisces"},0)-MATCH(CALC_PlanetPositions!$B$7,{"Aries","Taurus","Gemini","Cancer","Leo","Virgo","Libra","Scorpio","Sagittarius","Capricorn","Aquarius","Pisces"},0),12)+1)=8),AND(CALC_PlanetPositions!$M$12="Malefic",(MOD(MATCH(CALC_PlanetPositions!$B$12,{"Aries","Taurus","Gemini","Cancer","Leo","Virgo","Libra","Scorpio","Sagittarius","Capricorn","Aquarius","Pisces"},0)-MATCH(CALC_PlanetPositions!$B$7,{"Aries","Taurus","Gemini","Cancer","Leo","Virgo","Libra","Scorpio","Sagittarius","Capricorn","Aquarius","Pisces"},0),12)+1)=8),AND(CALC_PlanetPositions!$M$13="Malefic",(MOD(MATCH(CALC_PlanetPositions!$B$13,{"Aries","Taurus","Gemini","Cancer","Leo","Virgo","Libra","Scorpio","Sagittarius","Capricorn","Aquarius","Pisces"},0)-MATCH(CALC_PlanetPositions!$B$7,{"Aries","Taurus","Gemini","Cancer","Leo","Virgo","Libra","Scorpio","Sagittarius","Capricorn","Aquarius","Pisces"},0),12)+1)=8),AND(TRUE(),(MOD(MATCH(CALC_PlanetPositions!$B$14,{"Aries","Taurus","Gemini","Cancer","Leo","Virgo","Libra","Scorpio","Sagittarius","Capricorn","Aquarius","Pisces"},0)-MATCH(CALC_PlanetPositions!$B$7,{"Aries","Taurus","Gemini","Cancer","Leo","Virgo","Libra","Scorpio","Sagittarius","Capricorn","Aquarius","Pisces"},0),12)+1)=8),AND(TRUE(),(MOD(MATCH(CALC_PlanetPositions!$B$15,{"Aries","Taurus","Gemini","Cancer","Leo","Virgo","Libra","Scorpio","Sagittarius","Capricorn","Aquarius","Pisces"},0)-MATCH(CALC_PlanetPositions!$B$7,{"Aries","Taurus","Gemini","Cancer","Leo","Virgo","Libra","Scorpio","Sagittarius","Capricorn","Aquarius","Pisces"},0),12)+1)=8)),1,0),0))*-1,0)</f>
        <v>0</v>
      </c>
      <c r="D15" s="400" t="s">
        <v>4623</v>
      </c>
    </row>
    <row r="16" spans="1:12" ht="27.75" customHeight="1" x14ac:dyDescent="0.2">
      <c r="A16" s="1119" t="s">
        <v>4624</v>
      </c>
      <c r="B16" s="203" t="s">
        <v>4548</v>
      </c>
      <c r="C16" s="1118">
        <f>IFERROR((IFERROR(IF(OR(AND(CALC_PlanetPositions!$M$7="Malefic",INDEX(REF_Aspects!$D$5:$O$13,1,MOD(8-(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8)),AND(CALC_PlanetPositions!$M$8="Malefic",INDEX(REF_Aspects!$D$5:$O$13,2,MOD(8-(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8)),AND(CALC_PlanetPositions!$M$9="Malefic",INDEX(REF_Aspects!$D$5:$O$13,3,MOD(8-(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8)),AND(CALC_PlanetPositions!$M$10="Malefic",INDEX(REF_Aspects!$D$5:$O$13,4,MOD(8-(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8)),AND(CALC_PlanetPositions!$M$11="Malefic",INDEX(REF_Aspects!$D$5:$O$13,5,MOD(8-(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8)),AND(CALC_PlanetPositions!$M$12="Malefic",INDEX(REF_Aspects!$D$5:$O$13,6,MOD(8-(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8)),AND(CALC_PlanetPositions!$M$13="Malefic",INDEX(REF_Aspects!$D$5:$O$13,7,MOD(8-(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8)),AND(TRUE(),INDEX(REF_Aspects!$D$5:$O$13,8,MOD(8-(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8)),AND(TRUE(),INDEX(REF_Aspects!$D$5:$O$13,9,MOD(8-(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8))),1,0),0))*-1,0)</f>
        <v>-1</v>
      </c>
      <c r="D16" s="403" t="s">
        <v>4625</v>
      </c>
    </row>
    <row r="17" spans="1:7" ht="27.75" customHeight="1" x14ac:dyDescent="0.2">
      <c r="A17" s="1119" t="s">
        <v>4626</v>
      </c>
      <c r="B17" s="357" t="s">
        <v>3062</v>
      </c>
      <c r="C17" s="1117">
        <v>0</v>
      </c>
      <c r="D17" s="400" t="s">
        <v>4627</v>
      </c>
    </row>
    <row r="18" spans="1:7" ht="27.75" customHeight="1" x14ac:dyDescent="0.2">
      <c r="A18" s="1119"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(8-2,12)+1)),AND(CALC_PlanetPositions!$M$8="Malefic",MOD(MATCH(CALC_PlanetPositions!$B$8,{"Aries","Taurus","Gemini","Cancer","Leo","Virgo","Libra","Scorpio","Sagittarius","Capricorn","Aquarius","Pisces"},0)-MATCH(CALC_PlanetPositions!$B$7,{"Aries","Taurus","Gemini","Cancer","Leo","Virgo","Libra","Scorpio","Sagittarius","Capricorn","Aquarius","Pisces"},0),12)+1=(MOD(8-2,12)+1)),AND(CALC_PlanetPositions!$M$9="Malefic",MOD(MATCH(CALC_PlanetPositions!$B$9,{"Aries","Taurus","Gemini","Cancer","Leo","Virgo","Libra","Scorpio","Sagittarius","Capricorn","Aquarius","Pisces"},0)-MATCH(CALC_PlanetPositions!$B$7,{"Aries","Taurus","Gemini","Cancer","Leo","Virgo","Libra","Scorpio","Sagittarius","Capricorn","Aquarius","Pisces"},0),12)+1=(MOD(8-2,12)+1)),AND(CALC_PlanetPositions!$M$10="Malefic",MOD(MATCH(CALC_PlanetPositions!$B$10,{"Aries","Taurus","Gemini","Cancer","Leo","Virgo","Libra","Scorpio","Sagittarius","Capricorn","Aquarius","Pisces"},0)-MATCH(CALC_PlanetPositions!$B$7,{"Aries","Taurus","Gemini","Cancer","Leo","Virgo","Libra","Scorpio","Sagittarius","Capricorn","Aquarius","Pisces"},0),12)+1=(MOD(8-2,12)+1)),AND(CALC_PlanetPositions!$M$11="Malefic",MOD(MATCH(CALC_PlanetPositions!$B$11,{"Aries","Taurus","Gemini","Cancer","Leo","Virgo","Libra","Scorpio","Sagittarius","Capricorn","Aquarius","Pisces"},0)-MATCH(CALC_PlanetPositions!$B$7,{"Aries","Taurus","Gemini","Cancer","Leo","Virgo","Libra","Scorpio","Sagittarius","Capricorn","Aquarius","Pisces"},0),12)+1=(MOD(8-2,12)+1)),AND(CALC_PlanetPositions!$M$12="Malefic",MOD(MATCH(CALC_PlanetPositions!$B$12,{"Aries","Taurus","Gemini","Cancer","Leo","Virgo","Libra","Scorpio","Sagittarius","Capricorn","Aquarius","Pisces"},0)-MATCH(CALC_PlanetPositions!$B$7,{"Aries","Taurus","Gemini","Cancer","Leo","Virgo","Libra","Scorpio","Sagittarius","Capricorn","Aquarius","Pisces"},0),12)+1=(MOD(8-2,12)+1)),AND(CALC_PlanetPositions!$M$13="Malefic",MOD(MATCH(CALC_PlanetPositions!$B$13,{"Aries","Taurus","Gemini","Cancer","Leo","Virgo","Libra","Scorpio","Sagittarius","Capricorn","Aquarius","Pisces"},0)-MATCH(CALC_PlanetPositions!$B$7,{"Aries","Taurus","Gemini","Cancer","Leo","Virgo","Libra","Scorpio","Sagittarius","Capricorn","Aquarius","Pisces"},0),12)+1=(MOD(8-2,12)+1)),AND(TRUE(),MOD(MATCH(CALC_PlanetPositions!$B$14,{"Aries","Taurus","Gemini","Cancer","Leo","Virgo","Libra","Scorpio","Sagittarius","Capricorn","Aquarius","Pisces"},0)-MATCH(CALC_PlanetPositions!$B$7,{"Aries","Taurus","Gemini","Cancer","Leo","Virgo","Libra","Scorpio","Sagittarius","Capricorn","Aquarius","Pisces"},0),12)+1=(MOD(8-2,12)+1)),AND(TRUE(),MOD(MATCH(CALC_PlanetPositions!$B$15,{"Aries","Taurus","Gemini","Cancer","Leo","Virgo","Libra","Scorpio","Sagittarius","Capricorn","Aquarius","Pisces"},0)-MATCH(CALC_PlanetPositions!$B$7,{"Aries","Taurus","Gemini","Cancer","Leo","Virgo","Libra","Scorpio","Sagittarius","Capricorn","Aquarius","Pisces"},0),12)+1=(MOD(8-2,12)+1))),OR(AND(CALC_PlanetPositions!$M$7="Malefic",MOD(MATCH(CALC_PlanetPositions!$B$7,{"Aries","Taurus","Gemini","Cancer","Leo","Virgo","Libra","Scorpio","Sagittarius","Capricorn","Aquarius","Pisces"},0)-MATCH(CALC_PlanetPositions!$B$7,{"Aries","Taurus","Gemini","Cancer","Leo","Virgo","Libra","Scorpio","Sagittarius","Capricorn","Aquarius","Pisces"},0),12)+1=(MOD(8,12)+1)),AND(CALC_PlanetPositions!$M$8="Malefic",MOD(MATCH(CALC_PlanetPositions!$B$8,{"Aries","Taurus","Gemini","Cancer","Leo","Virgo","Libra","Scorpio","Sagittarius","Capricorn","Aquarius","Pisces"},0)-MATCH(CALC_PlanetPositions!$B$7,{"Aries","Taurus","Gemini","Cancer","Leo","Virgo","Libra","Scorpio","Sagittarius","Capricorn","Aquarius","Pisces"},0),12)+1=(MOD(8,12)+1)),AND(CALC_PlanetPositions!$M$9="Malefic",MOD(MATCH(CALC_PlanetPositions!$B$9,{"Aries","Taurus","Gemini","Cancer","Leo","Virgo","Libra","Scorpio","Sagittarius","Capricorn","Aquarius","Pisces"},0)-MATCH(CALC_PlanetPositions!$B$7,{"Aries","Taurus","Gemini","Cancer","Leo","Virgo","Libra","Scorpio","Sagittarius","Capricorn","Aquarius","Pisces"},0),12)+1=(MOD(8,12)+1)),AND(CALC_PlanetPositions!$M$10="Malefic",MOD(MATCH(CALC_PlanetPositions!$B$10,{"Aries","Taurus","Gemini","Cancer","Leo","Virgo","Libra","Scorpio","Sagittarius","Capricorn","Aquarius","Pisces"},0)-MATCH(CALC_PlanetPositions!$B$7,{"Aries","Taurus","Gemini","Cancer","Leo","Virgo","Libra","Scorpio","Sagittarius","Capricorn","Aquarius","Pisces"},0),12)+1=(MOD(8,12)+1)),AND(CALC_PlanetPositions!$M$11="Malefic",MOD(MATCH(CALC_PlanetPositions!$B$11,{"Aries","Taurus","Gemini","Cancer","Leo","Virgo","Libra","Scorpio","Sagittarius","Capricorn","Aquarius","Pisces"},0)-MATCH(CALC_PlanetPositions!$B$7,{"Aries","Taurus","Gemini","Cancer","Leo","Virgo","Libra","Scorpio","Sagittarius","Capricorn","Aquarius","Pisces"},0),12)+1=(MOD(8,12)+1)),AND(CALC_PlanetPositions!$M$12="Malefic",MOD(MATCH(CALC_PlanetPositions!$B$12,{"Aries","Taurus","Gemini","Cancer","Leo","Virgo","Libra","Scorpio","Sagittarius","Capricorn","Aquarius","Pisces"},0)-MATCH(CALC_PlanetPositions!$B$7,{"Aries","Taurus","Gemini","Cancer","Leo","Virgo","Libra","Scorpio","Sagittarius","Capricorn","Aquarius","Pisces"},0),12)+1=(MOD(8,12)+1)),AND(CALC_PlanetPositions!$M$13="Malefic",MOD(MATCH(CALC_PlanetPositions!$B$13,{"Aries","Taurus","Gemini","Cancer","Leo","Virgo","Libra","Scorpio","Sagittarius","Capricorn","Aquarius","Pisces"},0)-MATCH(CALC_PlanetPositions!$B$7,{"Aries","Taurus","Gemini","Cancer","Leo","Virgo","Libra","Scorpio","Sagittarius","Capricorn","Aquarius","Pisces"},0),12)+1=(MOD(8,12)+1)),AND(TRUE(),MOD(MATCH(CALC_PlanetPositions!$B$14,{"Aries","Taurus","Gemini","Cancer","Leo","Virgo","Libra","Scorpio","Sagittarius","Capricorn","Aquarius","Pisces"},0)-MATCH(CALC_PlanetPositions!$B$7,{"Aries","Taurus","Gemini","Cancer","Leo","Virgo","Libra","Scorpio","Sagittarius","Capricorn","Aquarius","Pisces"},0),12)+1=(MOD(8,12)+1)),AND(TRUE(),MOD(MATCH(CALC_PlanetPositions!$B$15,{"Aries","Taurus","Gemini","Cancer","Leo","Virgo","Libra","Scorpio","Sagittarius","Capricorn","Aquarius","Pisces"},0)-MATCH(CALC_PlanetPositions!$B$7,{"Aries","Taurus","Gemini","Cancer","Leo","Virgo","Libra","Scorpio","Sagittarius","Capricorn","Aquarius","Pisces"},0),12)+1=(MOD(8,12)+1)))),1,0),0))*IF(REF_Config!$B$6="KP",-0.75,IF(REF_Config!$B$6="Jaimini",-0.5,-0.75)),0)</f>
        <v>0</v>
      </c>
      <c r="D18" s="403" t="s">
        <v>4629</v>
      </c>
    </row>
    <row r="19" spans="1:7" ht="15.75" customHeight="1" x14ac:dyDescent="0.2">
      <c r="A19" s="1594" t="s">
        <v>3624</v>
      </c>
      <c r="B19" s="1594"/>
      <c r="C19" s="1594"/>
      <c r="D19" s="1594"/>
    </row>
    <row r="20" spans="1:7" ht="27.75" customHeight="1" x14ac:dyDescent="0.2">
      <c r="A20" s="1119" t="s">
        <v>4630</v>
      </c>
      <c r="B20" s="357" t="s">
        <v>4555</v>
      </c>
      <c r="C20" s="1117">
        <v>0</v>
      </c>
      <c r="D20" s="400" t="s">
        <v>4631</v>
      </c>
    </row>
    <row r="21" spans="1:7" ht="27.75" customHeight="1" x14ac:dyDescent="0.2">
      <c r="A21" s="1119" t="s">
        <v>4632</v>
      </c>
      <c r="B21" s="203" t="s">
        <v>4633</v>
      </c>
      <c r="C21" s="1118">
        <f>IFERROR((IFERROR(IF(OR(AND(CALC_PlanetPositions!$M$7="Malefic",INDEX(REF_Aspects!$D$5:$O$13,1,MOD(CALC_SuryaLagna!$F$11-(MOD(MATCH(CALC_PlanetPositions!$B$7,{"Aries","Taurus","Gemini","Cancer","Leo","Virgo","Libra","Scorpio","Sagittarius","Capricorn","Aquarius","Pisces"},0)-MATCH(CALC_PlanetPositions!$B$7,{"Aries","Taurus","Gemini","Cancer","Leo","Virgo","Libra","Scorpio","Sagittarius","Capricorn","Aquarius","Pisces"},0),12)+1),12)+1)="FULL",NOT(CALC_PlanetPositions!$B$7=CALC_SuryaLagna!$E$11)),AND(CALC_PlanetPositions!$M$8="Malefic",INDEX(REF_Aspects!$D$5:$O$13,2,MOD(CALC_SuryaLagna!$F$11-(MOD(MATCH(CALC_PlanetPositions!$B$8,{"Aries","Taurus","Gemini","Cancer","Leo","Virgo","Libra","Scorpio","Sagittarius","Capricorn","Aquarius","Pisces"},0)-MATCH(CALC_PlanetPositions!$B$7,{"Aries","Taurus","Gemini","Cancer","Leo","Virgo","Libra","Scorpio","Sagittarius","Capricorn","Aquarius","Pisces"},0),12)+1),12)+1)="FULL",NOT(CALC_PlanetPositions!$B$8=CALC_SuryaLagna!$E$11)),AND(CALC_PlanetPositions!$M$9="Malefic",INDEX(REF_Aspects!$D$5:$O$13,3,MOD(CALC_SuryaLagna!$F$11-(MOD(MATCH(CALC_PlanetPositions!$B$9,{"Aries","Taurus","Gemini","Cancer","Leo","Virgo","Libra","Scorpio","Sagittarius","Capricorn","Aquarius","Pisces"},0)-MATCH(CALC_PlanetPositions!$B$7,{"Aries","Taurus","Gemini","Cancer","Leo","Virgo","Libra","Scorpio","Sagittarius","Capricorn","Aquarius","Pisces"},0),12)+1),12)+1)="FULL",NOT(CALC_PlanetPositions!$B$9=CALC_SuryaLagna!$E$11)),AND(CALC_PlanetPositions!$M$10="Malefic",INDEX(REF_Aspects!$D$5:$O$13,4,MOD(CALC_SuryaLagna!$F$11-(MOD(MATCH(CALC_PlanetPositions!$B$10,{"Aries","Taurus","Gemini","Cancer","Leo","Virgo","Libra","Scorpio","Sagittarius","Capricorn","Aquarius","Pisces"},0)-MATCH(CALC_PlanetPositions!$B$7,{"Aries","Taurus","Gemini","Cancer","Leo","Virgo","Libra","Scorpio","Sagittarius","Capricorn","Aquarius","Pisces"},0),12)+1),12)+1)="FULL",NOT(CALC_PlanetPositions!$B$10=CALC_SuryaLagna!$E$11)),AND(CALC_PlanetPositions!$M$11="Malefic",INDEX(REF_Aspects!$D$5:$O$13,5,MOD(CALC_SuryaLagna!$F$11-(MOD(MATCH(CALC_PlanetPositions!$B$11,{"Aries","Taurus","Gemini","Cancer","Leo","Virgo","Libra","Scorpio","Sagittarius","Capricorn","Aquarius","Pisces"},0)-MATCH(CALC_PlanetPositions!$B$7,{"Aries","Taurus","Gemini","Cancer","Leo","Virgo","Libra","Scorpio","Sagittarius","Capricorn","Aquarius","Pisces"},0),12)+1),12)+1)="FULL",NOT(CALC_PlanetPositions!$B$11=CALC_SuryaLagna!$E$11)),AND(CALC_PlanetPositions!$M$12="Malefic",INDEX(REF_Aspects!$D$5:$O$13,6,MOD(CALC_SuryaLagna!$F$11-(MOD(MATCH(CALC_PlanetPositions!$B$12,{"Aries","Taurus","Gemini","Cancer","Leo","Virgo","Libra","Scorpio","Sagittarius","Capricorn","Aquarius","Pisces"},0)-MATCH(CALC_PlanetPositions!$B$7,{"Aries","Taurus","Gemini","Cancer","Leo","Virgo","Libra","Scorpio","Sagittarius","Capricorn","Aquarius","Pisces"},0),12)+1),12)+1)="FULL",NOT(CALC_PlanetPositions!$B$12=CALC_SuryaLagna!$E$11)),AND(CALC_PlanetPositions!$M$13="Malefic",INDEX(REF_Aspects!$D$5:$O$13,7,MOD(CALC_SuryaLagna!$F$11-(MOD(MATCH(CALC_PlanetPositions!$B$13,{"Aries","Taurus","Gemini","Cancer","Leo","Virgo","Libra","Scorpio","Sagittarius","Capricorn","Aquarius","Pisces"},0)-MATCH(CALC_PlanetPositions!$B$7,{"Aries","Taurus","Gemini","Cancer","Leo","Virgo","Libra","Scorpio","Sagittarius","Capricorn","Aquarius","Pisces"},0),12)+1),12)+1)="FULL",NOT(CALC_PlanetPositions!$B$13=CALC_SuryaLagna!$E$11)),AND(TRUE(),INDEX(REF_Aspects!$D$5:$O$13,8,MOD(CALC_SuryaLagna!$F$11-(MOD(MATCH(CALC_PlanetPositions!$B$14,{"Aries","Taurus","Gemini","Cancer","Leo","Virgo","Libra","Scorpio","Sagittarius","Capricorn","Aquarius","Pisces"},0)-MATCH(CALC_PlanetPositions!$B$7,{"Aries","Taurus","Gemini","Cancer","Leo","Virgo","Libra","Scorpio","Sagittarius","Capricorn","Aquarius","Pisces"},0),12)+1),12)+1)="FULL",NOT(CALC_PlanetPositions!$B$14=CALC_SuryaLagna!$E$11)),AND(TRUE(),INDEX(REF_Aspects!$D$5:$O$13,9,MOD(CALC_SuryaLagna!$F$11-(MOD(MATCH(CALC_PlanetPositions!$B$15,{"Aries","Taurus","Gemini","Cancer","Leo","Virgo","Libra","Scorpio","Sagittarius","Capricorn","Aquarius","Pisces"},0)-MATCH(CALC_PlanetPositions!$B$7,{"Aries","Taurus","Gemini","Cancer","Leo","Virgo","Libra","Scorpio","Sagittarius","Capricorn","Aquarius","Pisces"},0),12)+1),12)+1)="FULL",NOT(CALC_PlanetPositions!$B$15=CALC_SuryaLagna!$E$11))),1,0),0))*-0.5,0)</f>
        <v>-0.5</v>
      </c>
      <c r="D21" s="403" t="s">
        <v>4634</v>
      </c>
    </row>
    <row r="22" spans="1:7" ht="27.75" customHeight="1" x14ac:dyDescent="0.2">
      <c r="A22" s="1119" t="s">
        <v>4635</v>
      </c>
      <c r="B22" s="357" t="s">
        <v>3042</v>
      </c>
      <c r="C22" s="1117">
        <f>IFERROR((IFERROR(IF(CALC_SuryaLagna!$I$11="Yes",1,0),0))*IF(REF_Config!$B$6="KP",-1.75,IF(REF_Config!$B$6="Jaimini",-2,-2)),0)</f>
        <v>0</v>
      </c>
      <c r="D22" s="400" t="s">
        <v>4636</v>
      </c>
    </row>
    <row r="23" spans="1:7" ht="27.75" customHeight="1" x14ac:dyDescent="0.2">
      <c r="A23" s="1119" t="s">
        <v>4637</v>
      </c>
      <c r="B23" s="203" t="s">
        <v>3059</v>
      </c>
      <c r="C23" s="1118">
        <f>IFERROR((IFERROR(IF(OR(AND(CALC_SuryaLagna!$E$9=CALC_SuryaLagna!$E$11,CALC_SuryaLagna!$D$9&lt;&gt;CALC_SuryaLagna!$D$11),AND(CALC_SuryaLagna!$E$11=CALC_SuryaLagna!$E$11,CALC_SuryaLagna!$D$11&lt;&gt;CALC_SuryaLagna!$D$11),AND(CALC_SuryaLagna!$E$15=CALC_SuryaLagna!$E$11,CALC_SuryaLagna!$D$15&lt;&gt;CALC_SuryaLagna!$D$11)),1,0),0))*-1,0)</f>
        <v>-1</v>
      </c>
      <c r="D23" s="403" t="s">
        <v>4638</v>
      </c>
    </row>
    <row r="24" spans="1:7" ht="15.75" customHeight="1" x14ac:dyDescent="0.2">
      <c r="A24" s="1484" t="s">
        <v>4639</v>
      </c>
      <c r="B24" s="1484"/>
      <c r="C24" s="1484"/>
      <c r="D24" s="1484"/>
    </row>
    <row r="25" spans="1:7" ht="27.75" customHeight="1" x14ac:dyDescent="0.2">
      <c r="A25" s="1119" t="s">
        <v>4640</v>
      </c>
      <c r="B25" s="357" t="s">
        <v>3084</v>
      </c>
      <c r="C25" s="1117">
        <f>IFERROR(IF(CALC_KarakMap!$M$12&gt;0,CALC_KarakMap!$M$12,0),0)</f>
        <v>0</v>
      </c>
      <c r="D25" s="400" t="s">
        <v>4641</v>
      </c>
    </row>
    <row r="26" spans="1:7" ht="27.75" customHeight="1" x14ac:dyDescent="0.2">
      <c r="A26" s="1119" t="s">
        <v>4642</v>
      </c>
      <c r="B26" s="203" t="s">
        <v>4564</v>
      </c>
      <c r="C26" s="1118">
        <f>IFERROR(IF(CALC_KarakMap!$M$12&lt;0,CALC_KarakMap!$M$12,0),0)</f>
        <v>0</v>
      </c>
      <c r="D26" s="403" t="s">
        <v>4643</v>
      </c>
    </row>
    <row r="27" spans="1:7" ht="27.75" customHeight="1" x14ac:dyDescent="0.2">
      <c r="A27" s="1119" t="s">
        <v>4644</v>
      </c>
      <c r="B27" s="296" t="s">
        <v>3624</v>
      </c>
      <c r="C27" s="1117">
        <f>IFERROR(IF(OR(CALC_SuryaLagna!$D$11="Sun",CALC_SuryaLagna!$D$11="Rahu",CALC_SuryaLagna!$D$11="Ketu"),0,IF(CALC_SuryaLagna!$D$11="Moon",IF(CALC_CombustionCheck!$G$4="Cazimi ✓",0.5,IF(CALC_CombustionCheck!$F$4="COMBUST ⚠",-1,0)),IF(CALC_SuryaLagna!$D$11="Mars",IF(CALC_CombustionCheck!$G$5="Cazimi ✓",0.5,IF(AND(CALC_CombustionCheck!$F$5="COMBUST ⚠",CALC_RetrogradeFix!$F$6="Rx ✓"),-0.5,IF(CALC_CombustionCheck!$F$5="COMBUST ⚠",-1,0))),IF(CALC_SuryaLagna!$D$11="Mercury",IF(CALC_CombustionCheck!$G$6="Cazimi ✓",0.5,IF(AND(CALC_CombustionCheck!$F$6="COMBUST ⚠",CALC_RetrogradeFix!$F$7="Rx ✓"),-0.5,IF(CALC_CombustionCheck!$F$6="COMBUST ⚠",-1,0))),IF(CALC_SuryaLagna!$D$11="Jupiter",IF(CALC_CombustionCheck!$G$7="Cazimi ✓",0.5,IF(AND(CALC_CombustionCheck!$F$7="COMBUST ⚠",CALC_RetrogradeFix!$F$8="Rx ✓"),-0.5,IF(CALC_CombustionCheck!$F$7="COMBUST ⚠",-1,0))),IF(CALC_SuryaLagna!$D$11="Venus",IF(CALC_CombustionCheck!$G$8="Cazimi ✓",0.5,IF(AND(CALC_CombustionCheck!$F$8="COMBUST ⚠",CALC_RetrogradeFix!$F$9="Rx ✓"),-0.5,IF(CALC_CombustionCheck!$F$8="COMBUST ⚠",-1,0))),IF(CALC_SuryaLagna!$D$11="Saturn",IF(CALC_CombustionCheck!$G$9="Cazimi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SuryaLagna!$D$11="Rahu",CALC_SuryaLagna!$D$11="Ketu"),0,IF(ISNUMBER(MATCH(CALC_SuryaLagna!$D$11,{"Sun","Moon","Mars","Mercury","Jupiter","Venus","Saturn"},0)),IF(INDEX(CALC_DigBala!$F$4:$F$10,MATCH(CALC_SuryaLagna!$D$11,{"Sun","Moon","Mars","Mercury","Jupiter","Venus","Saturn"},0))="Yes",0.5,0),0)),0)</f>
        <v>0</v>
      </c>
      <c r="D28" s="400" t="s">
        <v>4647</v>
      </c>
    </row>
    <row r="29" spans="1:7" ht="27.75" customHeight="1" x14ac:dyDescent="0.2">
      <c r="A29" s="1120" t="s">
        <v>4648</v>
      </c>
      <c r="B29" s="296" t="s">
        <v>3372</v>
      </c>
      <c r="C29" s="1117">
        <f>IFERROR(IF(COUNTIFS(REF_PushkaraNavamsha!$A$4:$A$27,CALC_SuryaLagna!$E$11,REF_PushkaraNavamsha!$B$4:$B$27,INDEX(CALC_PlanetPositions!$G$7:$G$15,MATCH(CALC_SuryaLagna!$D$11,CALC_PlanetPositions!$A$7:$A$15,0)))&gt;0,0.5,0),0)</f>
        <v>0</v>
      </c>
      <c r="D29" s="400" t="s">
        <v>4649</v>
      </c>
    </row>
    <row r="30" spans="1:7" ht="25.5" customHeight="1" x14ac:dyDescent="0.2">
      <c r="A30" s="147" t="s">
        <v>4650</v>
      </c>
      <c r="B30" s="1121" t="s">
        <v>4651</v>
      </c>
      <c r="C30" s="1122">
        <f>IFERROR(IF(ISNUMBER(MATCH(CALC_SuryaLagna!$D$11,{"Sun","Moon","Mars","Mercury","Jupiter","Venus","Saturn"},0)),INDEX(CALC_RetrogradeFix!$G$4:$G$10,MATCH(CALC_SuryaLagna!$D$11,{"Sun","Moon","Mars","Mercury","Jupiter","Venus","Saturn"},0)),0),0)</f>
        <v>0</v>
      </c>
      <c r="D30" s="1123" t="s">
        <v>4652</v>
      </c>
    </row>
    <row r="31" spans="1:7" ht="18" customHeight="1" x14ac:dyDescent="0.2">
      <c r="A31" s="1555" t="s">
        <v>4653</v>
      </c>
      <c r="B31" s="1555"/>
      <c r="C31" s="1555"/>
      <c r="D31" s="1555"/>
      <c r="E31" s="1124" t="s">
        <v>4654</v>
      </c>
      <c r="F31" s="1125">
        <f>IFERROR(IF(CALC_Ashtakavarga!I$12&gt;28,0.5,IF(CALC_Ashtakavarga!I$12&lt;22,-0.5,0)),0)</f>
        <v>-0.5</v>
      </c>
      <c r="G31" s="1126" t="s">
        <v>4655</v>
      </c>
    </row>
    <row r="32" spans="1:7" ht="18" customHeight="1" x14ac:dyDescent="0.2">
      <c r="A32" s="189" t="s">
        <v>3367</v>
      </c>
      <c r="B32" s="1127" t="s">
        <v>4656</v>
      </c>
      <c r="C32" s="1128">
        <f>IFERROR(SUM(C5:C7),0)</f>
        <v>1.5</v>
      </c>
      <c r="D32" s="1129"/>
    </row>
    <row r="33" spans="1:4" ht="18" customHeight="1" x14ac:dyDescent="0.2">
      <c r="A33" s="189" t="s">
        <v>3372</v>
      </c>
      <c r="B33" s="1127" t="s">
        <v>4657</v>
      </c>
      <c r="C33" s="1128">
        <f>IFERROR(SUM(C9:C13,C28:C30,F31,0),0)</f>
        <v>3.5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1.5</v>
      </c>
      <c r="D37" s="1129"/>
    </row>
    <row r="38" spans="1:4" ht="21.75" customHeight="1" x14ac:dyDescent="0.2">
      <c r="A38" s="89" t="s">
        <v>4661</v>
      </c>
      <c r="B38" s="1129"/>
      <c r="C38" s="1131">
        <f>IFERROR(MAX(-10,MIN(10,C37)),0)</f>
        <v>1.5</v>
      </c>
      <c r="D38" s="1132"/>
    </row>
    <row r="39" spans="1:4" ht="18" customHeight="1" x14ac:dyDescent="0.2">
      <c r="A39" s="517" t="s">
        <v>4662</v>
      </c>
      <c r="B39" s="1129"/>
      <c r="C39" s="1133">
        <f>IFERROR(CALC_LagneshStrength!$I$4,0)</f>
        <v>0</v>
      </c>
      <c r="D39" s="1129"/>
    </row>
    <row r="40" spans="1:4" ht="25.5" customHeight="1" x14ac:dyDescent="0.2">
      <c r="A40" s="1145" t="s">
        <v>4663</v>
      </c>
      <c r="B40" s="1129"/>
      <c r="C40" s="1146">
        <f>IFERROR(MAX(-10,MIN(10,C38+C39+C41)),0)</f>
        <v>1.5</v>
      </c>
      <c r="D40" s="1147" t="str">
        <f>IFERROR(IF(C40&gt;=7,"Excellent — Longevity domain very strong",IF(C40&gt;=4,"Good — Longevity domain strong",IF(C40&gt;=1,"Moderate",IF(C40&gt;=-2,"Mixed — Longevity has challenges",IF(C40&gt;=-5,"Weak","Very weak — Longevity heavily afflicted"))))),"—")</f>
        <v>Moderate</v>
      </c>
    </row>
    <row r="41" spans="1:4" ht="18" customHeight="1" x14ac:dyDescent="0.2">
      <c r="A41" s="622" t="s">
        <v>4681</v>
      </c>
      <c r="B41" s="904" t="s">
        <v>4705</v>
      </c>
      <c r="C41" s="1160">
        <v>0</v>
      </c>
      <c r="D41" s="550" t="s">
        <v>4720</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4721</v>
      </c>
      <c r="B1" s="1518"/>
      <c r="C1" s="1518"/>
      <c r="D1" s="1518"/>
      <c r="L1" s="544" t="s">
        <v>2214</v>
      </c>
    </row>
    <row r="2" spans="1:12" ht="19.5" customHeight="1" x14ac:dyDescent="0.2">
      <c r="A2" s="1595" t="str">
        <f>IFERROR("Surya Lagna: "&amp;CALC_PlanetPositions!$B$7&amp;"  ·  H9 sign: "&amp;CALC_SuryaLagna!$C$12,"—")</f>
        <v>Surya Lagna: Cancer  ·  H9 sign: Pisces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7" t="s">
        <v>4605</v>
      </c>
      <c r="B5" s="357" t="s">
        <v>4529</v>
      </c>
      <c r="C5" s="1117">
        <f>IFERROR((IFERROR(IF(INDEX(REF_Zodiac!$D$17:$O$17,MATCH(CALC_SuryaLagna!$C$12,REF_Zodiac!$D$3:$O$3,0))="Gentle",1,0),0))*0.5,0)</f>
        <v>0.5</v>
      </c>
      <c r="D5" s="400" t="s">
        <v>4606</v>
      </c>
    </row>
    <row r="6" spans="1:12" ht="27.75" customHeight="1" x14ac:dyDescent="0.2">
      <c r="A6" s="127"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27" t="s">
        <v>4609</v>
      </c>
      <c r="B7" s="357" t="s">
        <v>4534</v>
      </c>
      <c r="C7" s="1117">
        <f>IFERROR((IFERROR(IF(OR(AND(OR(CALC_PlanetPositions!$M$7="Benefic",CALC_PlanetPositions!$M$7="Yogakaraka"),INDEX(REF_Aspects!$D$5:$O$13,1,MOD(9-(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9)),AND(OR(CALC_PlanetPositions!$M$8="Benefic",CALC_PlanetPositions!$M$8="Yogakaraka"),INDEX(REF_Aspects!$D$5:$O$13,2,MOD(9-(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9)),AND(OR(CALC_PlanetPositions!$M$9="Benefic",CALC_PlanetPositions!$M$9="Yogakaraka"),INDEX(REF_Aspects!$D$5:$O$13,3,MOD(9-(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9)),AND(OR(CALC_PlanetPositions!$M$10="Benefic",CALC_PlanetPositions!$M$10="Yogakaraka"),INDEX(REF_Aspects!$D$5:$O$13,4,MOD(9-(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9)),AND(OR(CALC_PlanetPositions!$M$11="Benefic",CALC_PlanetPositions!$M$11="Yogakaraka"),INDEX(REF_Aspects!$D$5:$O$13,5,MOD(9-(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9)),AND(OR(CALC_PlanetPositions!$M$12="Benefic",CALC_PlanetPositions!$M$12="Yogakaraka"),INDEX(REF_Aspects!$D$5:$O$13,6,MOD(9-(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9)),AND(OR(CALC_PlanetPositions!$M$13="Benefic",CALC_PlanetPositions!$M$13="Yogakaraka"),INDEX(REF_Aspects!$D$5:$O$13,7,MOD(9-(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9)),AND(FALSE(),INDEX(REF_Aspects!$D$5:$O$13,8,MOD(9-(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9)),AND(FALSE(),INDEX(REF_Aspects!$D$5:$O$13,9,MOD(9-(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9))),1,0),0))*IF(REF_Config!$B$6="KP",0.5,IF(REF_Config!$B$6="Jaimini",0.75,0.75)),0)</f>
        <v>0</v>
      </c>
      <c r="D7" s="400" t="s">
        <v>4610</v>
      </c>
    </row>
    <row r="8" spans="1:12" ht="15.75" customHeight="1" x14ac:dyDescent="0.2">
      <c r="A8" s="1597" t="s">
        <v>3372</v>
      </c>
      <c r="B8" s="1597"/>
      <c r="C8" s="1597"/>
      <c r="D8" s="1597"/>
    </row>
    <row r="9" spans="1:12" ht="27.75" customHeight="1" x14ac:dyDescent="0.2">
      <c r="A9" s="127" t="s">
        <v>4611</v>
      </c>
      <c r="B9" s="203" t="s">
        <v>4537</v>
      </c>
      <c r="C9" s="1118">
        <f>IFERROR(IF(AND(OR(CALC_SuryaLagna!$G$12="Yes",CALC_SuryaLagna!$H$12="Yes"),NOT(CALC_SuryaLagna!$I$12="Yes")),1,0)*IF(REF_Config!$B$6="KP",1.5,IF(REF_Config!$B$6="Jaimini",1.5,2)),0)</f>
        <v>2</v>
      </c>
      <c r="D9" s="403" t="s">
        <v>4612</v>
      </c>
    </row>
    <row r="10" spans="1:12" ht="27.75" customHeight="1" x14ac:dyDescent="0.2">
      <c r="A10" s="127" t="s">
        <v>4613</v>
      </c>
      <c r="B10" s="357" t="s">
        <v>3093</v>
      </c>
      <c r="C10" s="1117">
        <f>IFERROR((IFERROR(IF(OR(AND(CALC_SuryaLagna!$E$4=CALC_SuryaLagna!$E$12,CALC_SuryaLagna!$D$4&lt;&gt;CALC_SuryaLagna!$D$12),AND(CALC_SuryaLagna!$E$7=CALC_SuryaLagna!$E$12,CALC_SuryaLagna!$D$7&lt;&gt;CALC_SuryaLagna!$D$12),AND(CALC_SuryaLagna!$E$8=CALC_SuryaLagna!$E$12,CALC_SuryaLagna!$D$8&lt;&gt;CALC_SuryaLagna!$D$12),AND(CALC_SuryaLagna!$E$10=CALC_SuryaLagna!$E$12,CALC_SuryaLagna!$D$10&lt;&gt;CALC_SuryaLagna!$D$12),AND(CALC_SuryaLagna!$E$12=CALC_SuryaLagna!$E$12,CALC_SuryaLagna!$D$12&lt;&gt;CALC_SuryaLagna!$D$12),AND(CALC_SuryaLagna!$E$13=CALC_SuryaLagna!$E$12,CALC_SuryaLagna!$D$13&lt;&gt;CALC_SuryaLagna!$D$12)),1,0),0))*0.5,0)</f>
        <v>0</v>
      </c>
      <c r="D10" s="400" t="s">
        <v>4614</v>
      </c>
    </row>
    <row r="11" spans="1:12" ht="27.75" customHeight="1" x14ac:dyDescent="0.2">
      <c r="A11" s="127" t="s">
        <v>4615</v>
      </c>
      <c r="B11" s="203" t="s">
        <v>4540</v>
      </c>
      <c r="C11" s="1118">
        <f>IFERROR((IFERROR(IF(OR(AND(OR(CALC_PlanetPositions!$M$7="Benefic",CALC_PlanetPositions!$M$7="Yogakaraka"),CALC_PlanetPositions!$B$7=CALC_SuryaLagna!$E$12,CALC_SuryaLagna!$D$12&lt;&gt;"Sun"),AND(OR(CALC_PlanetPositions!$M$8="Benefic",CALC_PlanetPositions!$M$8="Yogakaraka"),CALC_PlanetPositions!$B$8=CALC_SuryaLagna!$E$12,CALC_SuryaLagna!$D$12&lt;&gt;"Moon"),AND(OR(CALC_PlanetPositions!$M$9="Benefic",CALC_PlanetPositions!$M$9="Yogakaraka"),CALC_PlanetPositions!$B$9=CALC_SuryaLagna!$E$12,CALC_SuryaLagna!$D$12&lt;&gt;"Mars"),AND(OR(CALC_PlanetPositions!$M$10="Benefic",CALC_PlanetPositions!$M$10="Yogakaraka"),CALC_PlanetPositions!$B$10=CALC_SuryaLagna!$E$12,CALC_SuryaLagna!$D$12&lt;&gt;"Mercury"),AND(OR(CALC_PlanetPositions!$M$11="Benefic",CALC_PlanetPositions!$M$11="Yogakaraka"),CALC_PlanetPositions!$B$11=CALC_SuryaLagna!$E$12,CALC_SuryaLagna!$D$12&lt;&gt;"Jupiter"),AND(OR(CALC_PlanetPositions!$M$12="Benefic",CALC_PlanetPositions!$M$12="Yogakaraka"),CALC_PlanetPositions!$B$12=CALC_SuryaLagna!$E$12,CALC_SuryaLagna!$D$12&lt;&gt;"Venus"),AND(OR(CALC_PlanetPositions!$M$13="Benefic",CALC_PlanetPositions!$M$13="Yogakaraka"),CALC_PlanetPositions!$B$13=CALC_SuryaLagna!$E$12,CALC_SuryaLagna!$D$12&lt;&gt;"Saturn")),1,0),0))*IF(OR(AND(CALC_PlanetPositions!$M$7="Yogakaraka",CALC_PlanetPositions!$B$7=CALC_SuryaLagna!$E$12,CALC_SuryaLagna!$D$12&lt;&gt;"Sun"),AND(CALC_PlanetPositions!$M$8="Yogakaraka",CALC_PlanetPositions!$B$8=CALC_SuryaLagna!$E$12,CALC_SuryaLagna!$D$12&lt;&gt;"Moon"),AND(CALC_PlanetPositions!$M$9="Yogakaraka",CALC_PlanetPositions!$B$9=CALC_SuryaLagna!$E$12,CALC_SuryaLagna!$D$12&lt;&gt;"Mars"),AND(CALC_PlanetPositions!$M$10="Yogakaraka",CALC_PlanetPositions!$B$10=CALC_SuryaLagna!$E$12,CALC_SuryaLagna!$D$12&lt;&gt;"Mercury"),AND(CALC_PlanetPositions!$M$11="Yogakaraka",CALC_PlanetPositions!$B$11=CALC_SuryaLagna!$E$12,CALC_SuryaLagna!$D$12&lt;&gt;"Jupiter"),AND(CALC_PlanetPositions!$M$12="Yogakaraka",CALC_PlanetPositions!$B$12=CALC_SuryaLagna!$E$12,CALC_SuryaLagna!$D$12&lt;&gt;"Venus"),AND(CALC_PlanetPositions!$M$13="Yogakaraka",CALC_PlanetPositions!$B$13=CALC_SuryaLagna!$E$12,CALC_SuryaLagna!$D$12&lt;&gt;"Saturn")),1.5,1),0)</f>
        <v>0</v>
      </c>
      <c r="D11" s="403" t="s">
        <v>4616</v>
      </c>
    </row>
    <row r="12" spans="1:12" ht="27.75" customHeight="1" x14ac:dyDescent="0.2">
      <c r="A12" s="127" t="s">
        <v>4617</v>
      </c>
      <c r="B12" s="357" t="s">
        <v>4542</v>
      </c>
      <c r="C12" s="1117">
        <f>IFERROR((IFERROR(IF(OR(AND(OR(CALC_PlanetPositions!$M$7="Benefic",CALC_PlanetPositions!$M$7="Yogakaraka"),INDEX(REF_Aspects!$D$5:$O$13,1,MOD(CALC_SuryaLagna!$F$12-(MOD(MATCH(CALC_PlanetPositions!$B$7,{"Aries","Taurus","Gemini","Cancer","Leo","Virgo","Libra","Scorpio","Sagittarius","Capricorn","Aquarius","Pisces"},0)-MATCH(CALC_PlanetPositions!$B$7,{"Aries","Taurus","Gemini","Cancer","Leo","Virgo","Libra","Scorpio","Sagittarius","Capricorn","Aquarius","Pisces"},0),12)+1),12)+1)="FULL",NOT(CALC_PlanetPositions!$B$7=CALC_SuryaLagna!$E$12)),AND(OR(CALC_PlanetPositions!$M$8="Benefic",CALC_PlanetPositions!$M$8="Yogakaraka"),INDEX(REF_Aspects!$D$5:$O$13,2,MOD(CALC_SuryaLagna!$F$12-(MOD(MATCH(CALC_PlanetPositions!$B$8,{"Aries","Taurus","Gemini","Cancer","Leo","Virgo","Libra","Scorpio","Sagittarius","Capricorn","Aquarius","Pisces"},0)-MATCH(CALC_PlanetPositions!$B$7,{"Aries","Taurus","Gemini","Cancer","Leo","Virgo","Libra","Scorpio","Sagittarius","Capricorn","Aquarius","Pisces"},0),12)+1),12)+1)="FULL",NOT(CALC_PlanetPositions!$B$8=CALC_SuryaLagna!$E$12)),AND(OR(CALC_PlanetPositions!$M$9="Benefic",CALC_PlanetPositions!$M$9="Yogakaraka"),INDEX(REF_Aspects!$D$5:$O$13,3,MOD(CALC_SuryaLagna!$F$12-(MOD(MATCH(CALC_PlanetPositions!$B$9,{"Aries","Taurus","Gemini","Cancer","Leo","Virgo","Libra","Scorpio","Sagittarius","Capricorn","Aquarius","Pisces"},0)-MATCH(CALC_PlanetPositions!$B$7,{"Aries","Taurus","Gemini","Cancer","Leo","Virgo","Libra","Scorpio","Sagittarius","Capricorn","Aquarius","Pisces"},0),12)+1),12)+1)="FULL",NOT(CALC_PlanetPositions!$B$9=CALC_SuryaLagna!$E$12)),AND(OR(CALC_PlanetPositions!$M$10="Benefic",CALC_PlanetPositions!$M$10="Yogakaraka"),INDEX(REF_Aspects!$D$5:$O$13,4,MOD(CALC_SuryaLagna!$F$12-(MOD(MATCH(CALC_PlanetPositions!$B$10,{"Aries","Taurus","Gemini","Cancer","Leo","Virgo","Libra","Scorpio","Sagittarius","Capricorn","Aquarius","Pisces"},0)-MATCH(CALC_PlanetPositions!$B$7,{"Aries","Taurus","Gemini","Cancer","Leo","Virgo","Libra","Scorpio","Sagittarius","Capricorn","Aquarius","Pisces"},0),12)+1),12)+1)="FULL",NOT(CALC_PlanetPositions!$B$10=CALC_SuryaLagna!$E$12)),AND(OR(CALC_PlanetPositions!$M$11="Benefic",CALC_PlanetPositions!$M$11="Yogakaraka"),INDEX(REF_Aspects!$D$5:$O$13,5,MOD(CALC_SuryaLagna!$F$12-(MOD(MATCH(CALC_PlanetPositions!$B$11,{"Aries","Taurus","Gemini","Cancer","Leo","Virgo","Libra","Scorpio","Sagittarius","Capricorn","Aquarius","Pisces"},0)-MATCH(CALC_PlanetPositions!$B$7,{"Aries","Taurus","Gemini","Cancer","Leo","Virgo","Libra","Scorpio","Sagittarius","Capricorn","Aquarius","Pisces"},0),12)+1),12)+1)="FULL",NOT(CALC_PlanetPositions!$B$11=CALC_SuryaLagna!$E$12)),AND(OR(CALC_PlanetPositions!$M$12="Benefic",CALC_PlanetPositions!$M$12="Yogakaraka"),INDEX(REF_Aspects!$D$5:$O$13,6,MOD(CALC_SuryaLagna!$F$12-(MOD(MATCH(CALC_PlanetPositions!$B$12,{"Aries","Taurus","Gemini","Cancer","Leo","Virgo","Libra","Scorpio","Sagittarius","Capricorn","Aquarius","Pisces"},0)-MATCH(CALC_PlanetPositions!$B$7,{"Aries","Taurus","Gemini","Cancer","Leo","Virgo","Libra","Scorpio","Sagittarius","Capricorn","Aquarius","Pisces"},0),12)+1),12)+1)="FULL",NOT(CALC_PlanetPositions!$B$12=CALC_SuryaLagna!$E$12)),AND(OR(CALC_PlanetPositions!$M$13="Benefic",CALC_PlanetPositions!$M$13="Yogakaraka"),INDEX(REF_Aspects!$D$5:$O$13,7,MOD(CALC_SuryaLagna!$F$12-(MOD(MATCH(CALC_PlanetPositions!$B$13,{"Aries","Taurus","Gemini","Cancer","Leo","Virgo","Libra","Scorpio","Sagittarius","Capricorn","Aquarius","Pisces"},0)-MATCH(CALC_PlanetPositions!$B$7,{"Aries","Taurus","Gemini","Cancer","Leo","Virgo","Libra","Scorpio","Sagittarius","Capricorn","Aquarius","Pisces"},0),12)+1),12)+1)="FULL",NOT(CALC_PlanetPositions!$B$13=CALC_SuryaLagna!$E$12)),AND(FALSE(),INDEX(REF_Aspects!$D$5:$O$13,8,MOD(CALC_SuryaLagna!$F$12-(MOD(MATCH(CALC_PlanetPositions!$B$14,{"Aries","Taurus","Gemini","Cancer","Leo","Virgo","Libra","Scorpio","Sagittarius","Capricorn","Aquarius","Pisces"},0)-MATCH(CALC_PlanetPositions!$B$7,{"Aries","Taurus","Gemini","Cancer","Leo","Virgo","Libra","Scorpio","Sagittarius","Capricorn","Aquarius","Pisces"},0),12)+1),12)+1)="FULL",NOT(CALC_PlanetPositions!$B$14=CALC_SuryaLagna!$E$12)),AND(FALSE(),INDEX(REF_Aspects!$D$5:$O$13,9,MOD(CALC_SuryaLagna!$F$12-(MOD(MATCH(CALC_PlanetPositions!$B$15,{"Aries","Taurus","Gemini","Cancer","Leo","Virgo","Libra","Scorpio","Sagittarius","Capricorn","Aquarius","Pisces"},0)-MATCH(CALC_PlanetPositions!$B$7,{"Aries","Taurus","Gemini","Cancer","Leo","Virgo","Libra","Scorpio","Sagittarius","Capricorn","Aquarius","Pisces"},0),12)+1),12)+1)="FULL",NOT(CALC_PlanetPositions!$B$15=CALC_SuryaLagna!$E$12))),1,0),0))*0.5,0)</f>
        <v>0</v>
      </c>
      <c r="D12" s="400" t="s">
        <v>4618</v>
      </c>
    </row>
    <row r="13" spans="1:12" ht="27.75" customHeight="1" x14ac:dyDescent="0.2">
      <c r="A13" s="127"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$12-2,12)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$12-2,12)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$12-2,12)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$12-2,12)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$12-2,12)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$12-2,12)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$12-2,12)+1)),AND(FALSE(),MOD(MATCH(CALC_PlanetPositions!$B$14,{"Aries","Taurus","Gemini","Cancer","Leo","Virgo","Libra","Scorpio","Sagittarius","Capricorn","Aquarius","Pisces"},0)-MATCH(CALC_PlanetPositions!$B$7,{"Aries","Taurus","Gemini","Cancer","Leo","Virgo","Libra","Scorpio","Sagittarius","Capricorn","Aquarius","Pisces"},0),12)+1=(MOD(CALC_SuryaLagna!$F$12-2,12)+1)),AND(FALSE(),MOD(MATCH(CALC_PlanetPositions!$B$15,{"Aries","Taurus","Gemini","Cancer","Leo","Virgo","Libra","Scorpio","Sagittarius","Capricorn","Aquarius","Pisces"},0)-MATCH(CALC_PlanetPositions!$B$7,{"Aries","Taurus","Gemini","Cancer","Leo","Virgo","Libra","Scorpio","Sagittarius","Capricorn","Aquarius","Pisces"},0),12)+1=(MOD(CALC_SuryaLagna!$F$12-2,12)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$12,12)+1)),AND(FALSE(),MOD(MATCH(CALC_PlanetPositions!$B$14,{"Aries","Taurus","Gemini","Cancer","Leo","Virgo","Libra","Scorpio","Sagittarius","Capricorn","Aquarius","Pisces"},0)-MATCH(CALC_PlanetPositions!$B$7,{"Aries","Taurus","Gemini","Cancer","Leo","Virgo","Libra","Scorpio","Sagittarius","Capricorn","Aquarius","Pisces"},0),12)+1=(MOD(CALC_SuryaLagna!$F$12,12)+1)),AND(FALSE(),MOD(MATCH(CALC_PlanetPositions!$B$15,{"Aries","Taurus","Gemini","Cancer","Leo","Virgo","Libra","Scorpio","Sagittarius","Capricorn","Aquarius","Pisces"},0)-MATCH(CALC_PlanetPositions!$B$7,{"Aries","Taurus","Gemini","Cancer","Leo","Virgo","Libra","Scorpio","Sagittarius","Capricorn","Aquarius","Pisces"},0),12)+1=(MOD(CALC_SuryaLagna!$F$12,12)+1)))),1,0),0))*IF(REF_Config!$B$6="KP",0.75,IF(REF_Config!$B$6="Jaimini",0.5,0.75)),0)</f>
        <v>0</v>
      </c>
      <c r="D13" s="403" t="s">
        <v>4620</v>
      </c>
    </row>
    <row r="14" spans="1:12" ht="15.75" customHeight="1" x14ac:dyDescent="0.2">
      <c r="A14" s="1598" t="s">
        <v>4621</v>
      </c>
      <c r="B14" s="1598"/>
      <c r="C14" s="1598"/>
      <c r="D14" s="1598"/>
    </row>
    <row r="15" spans="1:12" ht="27.75" customHeight="1" x14ac:dyDescent="0.2">
      <c r="A15" s="127"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9),AND(CALC_PlanetPositions!$M$8="Malefic",(MOD(MATCH(CALC_PlanetPositions!$B$8,{"Aries","Taurus","Gemini","Cancer","Leo","Virgo","Libra","Scorpio","Sagittarius","Capricorn","Aquarius","Pisces"},0)-MATCH(CALC_PlanetPositions!$B$7,{"Aries","Taurus","Gemini","Cancer","Leo","Virgo","Libra","Scorpio","Sagittarius","Capricorn","Aquarius","Pisces"},0),12)+1)=9),AND(CALC_PlanetPositions!$M$9="Malefic",(MOD(MATCH(CALC_PlanetPositions!$B$9,{"Aries","Taurus","Gemini","Cancer","Leo","Virgo","Libra","Scorpio","Sagittarius","Capricorn","Aquarius","Pisces"},0)-MATCH(CALC_PlanetPositions!$B$7,{"Aries","Taurus","Gemini","Cancer","Leo","Virgo","Libra","Scorpio","Sagittarius","Capricorn","Aquarius","Pisces"},0),12)+1)=9),AND(CALC_PlanetPositions!$M$10="Malefic",(MOD(MATCH(CALC_PlanetPositions!$B$10,{"Aries","Taurus","Gemini","Cancer","Leo","Virgo","Libra","Scorpio","Sagittarius","Capricorn","Aquarius","Pisces"},0)-MATCH(CALC_PlanetPositions!$B$7,{"Aries","Taurus","Gemini","Cancer","Leo","Virgo","Libra","Scorpio","Sagittarius","Capricorn","Aquarius","Pisces"},0),12)+1)=9),AND(CALC_PlanetPositions!$M$11="Malefic",(MOD(MATCH(CALC_PlanetPositions!$B$11,{"Aries","Taurus","Gemini","Cancer","Leo","Virgo","Libra","Scorpio","Sagittarius","Capricorn","Aquarius","Pisces"},0)-MATCH(CALC_PlanetPositions!$B$7,{"Aries","Taurus","Gemini","Cancer","Leo","Virgo","Libra","Scorpio","Sagittarius","Capricorn","Aquarius","Pisces"},0),12)+1)=9),AND(CALC_PlanetPositions!$M$12="Malefic",(MOD(MATCH(CALC_PlanetPositions!$B$12,{"Aries","Taurus","Gemini","Cancer","Leo","Virgo","Libra","Scorpio","Sagittarius","Capricorn","Aquarius","Pisces"},0)-MATCH(CALC_PlanetPositions!$B$7,{"Aries","Taurus","Gemini","Cancer","Leo","Virgo","Libra","Scorpio","Sagittarius","Capricorn","Aquarius","Pisces"},0),12)+1)=9),AND(CALC_PlanetPositions!$M$13="Malefic",(MOD(MATCH(CALC_PlanetPositions!$B$13,{"Aries","Taurus","Gemini","Cancer","Leo","Virgo","Libra","Scorpio","Sagittarius","Capricorn","Aquarius","Pisces"},0)-MATCH(CALC_PlanetPositions!$B$7,{"Aries","Taurus","Gemini","Cancer","Leo","Virgo","Libra","Scorpio","Sagittarius","Capricorn","Aquarius","Pisces"},0),12)+1)=9),AND(TRUE(),(MOD(MATCH(CALC_PlanetPositions!$B$14,{"Aries","Taurus","Gemini","Cancer","Leo","Virgo","Libra","Scorpio","Sagittarius","Capricorn","Aquarius","Pisces"},0)-MATCH(CALC_PlanetPositions!$B$7,{"Aries","Taurus","Gemini","Cancer","Leo","Virgo","Libra","Scorpio","Sagittarius","Capricorn","Aquarius","Pisces"},0),12)+1)=9),AND(TRUE(),(MOD(MATCH(CALC_PlanetPositions!$B$15,{"Aries","Taurus","Gemini","Cancer","Leo","Virgo","Libra","Scorpio","Sagittarius","Capricorn","Aquarius","Pisces"},0)-MATCH(CALC_PlanetPositions!$B$7,{"Aries","Taurus","Gemini","Cancer","Leo","Virgo","Libra","Scorpio","Sagittarius","Capricorn","Aquarius","Pisces"},0),12)+1)=9)),1,0),0))*-1,0)</f>
        <v>0</v>
      </c>
      <c r="D15" s="400" t="s">
        <v>4623</v>
      </c>
    </row>
    <row r="16" spans="1:12" ht="27.75" customHeight="1" x14ac:dyDescent="0.2">
      <c r="A16" s="127" t="s">
        <v>4624</v>
      </c>
      <c r="B16" s="203" t="s">
        <v>4548</v>
      </c>
      <c r="C16" s="1118">
        <f>IFERROR((IFERROR(IF(OR(AND(CALC_PlanetPositions!$M$7="Malefic",INDEX(REF_Aspects!$D$5:$O$13,1,MOD(9-(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9)),AND(CALC_PlanetPositions!$M$8="Malefic",INDEX(REF_Aspects!$D$5:$O$13,2,MOD(9-(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9)),AND(CALC_PlanetPositions!$M$9="Malefic",INDEX(REF_Aspects!$D$5:$O$13,3,MOD(9-(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9)),AND(CALC_PlanetPositions!$M$10="Malefic",INDEX(REF_Aspects!$D$5:$O$13,4,MOD(9-(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9)),AND(CALC_PlanetPositions!$M$11="Malefic",INDEX(REF_Aspects!$D$5:$O$13,5,MOD(9-(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9)),AND(CALC_PlanetPositions!$M$12="Malefic",INDEX(REF_Aspects!$D$5:$O$13,6,MOD(9-(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9)),AND(CALC_PlanetPositions!$M$13="Malefic",INDEX(REF_Aspects!$D$5:$O$13,7,MOD(9-(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9)),AND(TRUE(),INDEX(REF_Aspects!$D$5:$O$13,8,MOD(9-(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9)),AND(TRUE(),INDEX(REF_Aspects!$D$5:$O$13,9,MOD(9-(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9))),1,0),0))*-1,0)</f>
        <v>-1</v>
      </c>
      <c r="D16" s="403" t="s">
        <v>4625</v>
      </c>
    </row>
    <row r="17" spans="1:7" ht="27.75" customHeight="1" x14ac:dyDescent="0.2">
      <c r="A17" s="127" t="s">
        <v>4626</v>
      </c>
      <c r="B17" s="357" t="s">
        <v>3062</v>
      </c>
      <c r="C17" s="1117">
        <v>0</v>
      </c>
      <c r="D17" s="400" t="s">
        <v>4627</v>
      </c>
    </row>
    <row r="18" spans="1:7" ht="27.75" customHeight="1" x14ac:dyDescent="0.2">
      <c r="A18" s="127"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(9-2,12)+1)),AND(CALC_PlanetPositions!$M$8="Malefic",MOD(MATCH(CALC_PlanetPositions!$B$8,{"Aries","Taurus","Gemini","Cancer","Leo","Virgo","Libra","Scorpio","Sagittarius","Capricorn","Aquarius","Pisces"},0)-MATCH(CALC_PlanetPositions!$B$7,{"Aries","Taurus","Gemini","Cancer","Leo","Virgo","Libra","Scorpio","Sagittarius","Capricorn","Aquarius","Pisces"},0),12)+1=(MOD(9-2,12)+1)),AND(CALC_PlanetPositions!$M$9="Malefic",MOD(MATCH(CALC_PlanetPositions!$B$9,{"Aries","Taurus","Gemini","Cancer","Leo","Virgo","Libra","Scorpio","Sagittarius","Capricorn","Aquarius","Pisces"},0)-MATCH(CALC_PlanetPositions!$B$7,{"Aries","Taurus","Gemini","Cancer","Leo","Virgo","Libra","Scorpio","Sagittarius","Capricorn","Aquarius","Pisces"},0),12)+1=(MOD(9-2,12)+1)),AND(CALC_PlanetPositions!$M$10="Malefic",MOD(MATCH(CALC_PlanetPositions!$B$10,{"Aries","Taurus","Gemini","Cancer","Leo","Virgo","Libra","Scorpio","Sagittarius","Capricorn","Aquarius","Pisces"},0)-MATCH(CALC_PlanetPositions!$B$7,{"Aries","Taurus","Gemini","Cancer","Leo","Virgo","Libra","Scorpio","Sagittarius","Capricorn","Aquarius","Pisces"},0),12)+1=(MOD(9-2,12)+1)),AND(CALC_PlanetPositions!$M$11="Malefic",MOD(MATCH(CALC_PlanetPositions!$B$11,{"Aries","Taurus","Gemini","Cancer","Leo","Virgo","Libra","Scorpio","Sagittarius","Capricorn","Aquarius","Pisces"},0)-MATCH(CALC_PlanetPositions!$B$7,{"Aries","Taurus","Gemini","Cancer","Leo","Virgo","Libra","Scorpio","Sagittarius","Capricorn","Aquarius","Pisces"},0),12)+1=(MOD(9-2,12)+1)),AND(CALC_PlanetPositions!$M$12="Malefic",MOD(MATCH(CALC_PlanetPositions!$B$12,{"Aries","Taurus","Gemini","Cancer","Leo","Virgo","Libra","Scorpio","Sagittarius","Capricorn","Aquarius","Pisces"},0)-MATCH(CALC_PlanetPositions!$B$7,{"Aries","Taurus","Gemini","Cancer","Leo","Virgo","Libra","Scorpio","Sagittarius","Capricorn","Aquarius","Pisces"},0),12)+1=(MOD(9-2,12)+1)),AND(CALC_PlanetPositions!$M$13="Malefic",MOD(MATCH(CALC_PlanetPositions!$B$13,{"Aries","Taurus","Gemini","Cancer","Leo","Virgo","Libra","Scorpio","Sagittarius","Capricorn","Aquarius","Pisces"},0)-MATCH(CALC_PlanetPositions!$B$7,{"Aries","Taurus","Gemini","Cancer","Leo","Virgo","Libra","Scorpio","Sagittarius","Capricorn","Aquarius","Pisces"},0),12)+1=(MOD(9-2,12)+1)),AND(TRUE(),MOD(MATCH(CALC_PlanetPositions!$B$14,{"Aries","Taurus","Gemini","Cancer","Leo","Virgo","Libra","Scorpio","Sagittarius","Capricorn","Aquarius","Pisces"},0)-MATCH(CALC_PlanetPositions!$B$7,{"Aries","Taurus","Gemini","Cancer","Leo","Virgo","Libra","Scorpio","Sagittarius","Capricorn","Aquarius","Pisces"},0),12)+1=(MOD(9-2,12)+1)),AND(TRUE(),MOD(MATCH(CALC_PlanetPositions!$B$15,{"Aries","Taurus","Gemini","Cancer","Leo","Virgo","Libra","Scorpio","Sagittarius","Capricorn","Aquarius","Pisces"},0)-MATCH(CALC_PlanetPositions!$B$7,{"Aries","Taurus","Gemini","Cancer","Leo","Virgo","Libra","Scorpio","Sagittarius","Capricorn","Aquarius","Pisces"},0),12)+1=(MOD(9-2,12)+1))),OR(AND(CALC_PlanetPositions!$M$7="Malefic",MOD(MATCH(CALC_PlanetPositions!$B$7,{"Aries","Taurus","Gemini","Cancer","Leo","Virgo","Libra","Scorpio","Sagittarius","Capricorn","Aquarius","Pisces"},0)-MATCH(CALC_PlanetPositions!$B$7,{"Aries","Taurus","Gemini","Cancer","Leo","Virgo","Libra","Scorpio","Sagittarius","Capricorn","Aquarius","Pisces"},0),12)+1=(MOD(9,12)+1)),AND(CALC_PlanetPositions!$M$8="Malefic",MOD(MATCH(CALC_PlanetPositions!$B$8,{"Aries","Taurus","Gemini","Cancer","Leo","Virgo","Libra","Scorpio","Sagittarius","Capricorn","Aquarius","Pisces"},0)-MATCH(CALC_PlanetPositions!$B$7,{"Aries","Taurus","Gemini","Cancer","Leo","Virgo","Libra","Scorpio","Sagittarius","Capricorn","Aquarius","Pisces"},0),12)+1=(MOD(9,12)+1)),AND(CALC_PlanetPositions!$M$9="Malefic",MOD(MATCH(CALC_PlanetPositions!$B$9,{"Aries","Taurus","Gemini","Cancer","Leo","Virgo","Libra","Scorpio","Sagittarius","Capricorn","Aquarius","Pisces"},0)-MATCH(CALC_PlanetPositions!$B$7,{"Aries","Taurus","Gemini","Cancer","Leo","Virgo","Libra","Scorpio","Sagittarius","Capricorn","Aquarius","Pisces"},0),12)+1=(MOD(9,12)+1)),AND(CALC_PlanetPositions!$M$10="Malefic",MOD(MATCH(CALC_PlanetPositions!$B$10,{"Aries","Taurus","Gemini","Cancer","Leo","Virgo","Libra","Scorpio","Sagittarius","Capricorn","Aquarius","Pisces"},0)-MATCH(CALC_PlanetPositions!$B$7,{"Aries","Taurus","Gemini","Cancer","Leo","Virgo","Libra","Scorpio","Sagittarius","Capricorn","Aquarius","Pisces"},0),12)+1=(MOD(9,12)+1)),AND(CALC_PlanetPositions!$M$11="Malefic",MOD(MATCH(CALC_PlanetPositions!$B$11,{"Aries","Taurus","Gemini","Cancer","Leo","Virgo","Libra","Scorpio","Sagittarius","Capricorn","Aquarius","Pisces"},0)-MATCH(CALC_PlanetPositions!$B$7,{"Aries","Taurus","Gemini","Cancer","Leo","Virgo","Libra","Scorpio","Sagittarius","Capricorn","Aquarius","Pisces"},0),12)+1=(MOD(9,12)+1)),AND(CALC_PlanetPositions!$M$12="Malefic",MOD(MATCH(CALC_PlanetPositions!$B$12,{"Aries","Taurus","Gemini","Cancer","Leo","Virgo","Libra","Scorpio","Sagittarius","Capricorn","Aquarius","Pisces"},0)-MATCH(CALC_PlanetPositions!$B$7,{"Aries","Taurus","Gemini","Cancer","Leo","Virgo","Libra","Scorpio","Sagittarius","Capricorn","Aquarius","Pisces"},0),12)+1=(MOD(9,12)+1)),AND(CALC_PlanetPositions!$M$13="Malefic",MOD(MATCH(CALC_PlanetPositions!$B$13,{"Aries","Taurus","Gemini","Cancer","Leo","Virgo","Libra","Scorpio","Sagittarius","Capricorn","Aquarius","Pisces"},0)-MATCH(CALC_PlanetPositions!$B$7,{"Aries","Taurus","Gemini","Cancer","Leo","Virgo","Libra","Scorpio","Sagittarius","Capricorn","Aquarius","Pisces"},0),12)+1=(MOD(9,12)+1)),AND(TRUE(),MOD(MATCH(CALC_PlanetPositions!$B$14,{"Aries","Taurus","Gemini","Cancer","Leo","Virgo","Libra","Scorpio","Sagittarius","Capricorn","Aquarius","Pisces"},0)-MATCH(CALC_PlanetPositions!$B$7,{"Aries","Taurus","Gemini","Cancer","Leo","Virgo","Libra","Scorpio","Sagittarius","Capricorn","Aquarius","Pisces"},0),12)+1=(MOD(9,12)+1)),AND(TRUE(),MOD(MATCH(CALC_PlanetPositions!$B$15,{"Aries","Taurus","Gemini","Cancer","Leo","Virgo","Libra","Scorpio","Sagittarius","Capricorn","Aquarius","Pisces"},0)-MATCH(CALC_PlanetPositions!$B$7,{"Aries","Taurus","Gemini","Cancer","Leo","Virgo","Libra","Scorpio","Sagittarius","Capricorn","Aquarius","Pisces"},0),12)+1=(MOD(9,12)+1)))),1,0),0))*IF(REF_Config!$B$6="KP",-0.75,IF(REF_Config!$B$6="Jaimini",-0.5,-0.75)),0)</f>
        <v>0</v>
      </c>
      <c r="D18" s="403" t="s">
        <v>4629</v>
      </c>
    </row>
    <row r="19" spans="1:7" ht="15.75" customHeight="1" x14ac:dyDescent="0.2">
      <c r="A19" s="1594" t="s">
        <v>3624</v>
      </c>
      <c r="B19" s="1594"/>
      <c r="C19" s="1594"/>
      <c r="D19" s="1594"/>
    </row>
    <row r="20" spans="1:7" ht="27.75" customHeight="1" x14ac:dyDescent="0.2">
      <c r="A20" s="127" t="s">
        <v>4630</v>
      </c>
      <c r="B20" s="357" t="s">
        <v>4555</v>
      </c>
      <c r="C20" s="1117">
        <v>0</v>
      </c>
      <c r="D20" s="400" t="s">
        <v>4631</v>
      </c>
    </row>
    <row r="21" spans="1:7" ht="27.75" customHeight="1" x14ac:dyDescent="0.2">
      <c r="A21" s="127" t="s">
        <v>4632</v>
      </c>
      <c r="B21" s="203" t="s">
        <v>4633</v>
      </c>
      <c r="C21" s="1118">
        <f>IFERROR((IFERROR(IF(OR(AND(CALC_PlanetPositions!$M$7="Malefic",INDEX(REF_Aspects!$D$5:$O$13,1,MOD(CALC_SuryaLagna!$F$12-(MOD(MATCH(CALC_PlanetPositions!$B$7,{"Aries","Taurus","Gemini","Cancer","Leo","Virgo","Libra","Scorpio","Sagittarius","Capricorn","Aquarius","Pisces"},0)-MATCH(CALC_PlanetPositions!$B$7,{"Aries","Taurus","Gemini","Cancer","Leo","Virgo","Libra","Scorpio","Sagittarius","Capricorn","Aquarius","Pisces"},0),12)+1),12)+1)="FULL",NOT(CALC_PlanetPositions!$B$7=CALC_SuryaLagna!$E$12)),AND(CALC_PlanetPositions!$M$8="Malefic",INDEX(REF_Aspects!$D$5:$O$13,2,MOD(CALC_SuryaLagna!$F$12-(MOD(MATCH(CALC_PlanetPositions!$B$8,{"Aries","Taurus","Gemini","Cancer","Leo","Virgo","Libra","Scorpio","Sagittarius","Capricorn","Aquarius","Pisces"},0)-MATCH(CALC_PlanetPositions!$B$7,{"Aries","Taurus","Gemini","Cancer","Leo","Virgo","Libra","Scorpio","Sagittarius","Capricorn","Aquarius","Pisces"},0),12)+1),12)+1)="FULL",NOT(CALC_PlanetPositions!$B$8=CALC_SuryaLagna!$E$12)),AND(CALC_PlanetPositions!$M$9="Malefic",INDEX(REF_Aspects!$D$5:$O$13,3,MOD(CALC_SuryaLagna!$F$12-(MOD(MATCH(CALC_PlanetPositions!$B$9,{"Aries","Taurus","Gemini","Cancer","Leo","Virgo","Libra","Scorpio","Sagittarius","Capricorn","Aquarius","Pisces"},0)-MATCH(CALC_PlanetPositions!$B$7,{"Aries","Taurus","Gemini","Cancer","Leo","Virgo","Libra","Scorpio","Sagittarius","Capricorn","Aquarius","Pisces"},0),12)+1),12)+1)="FULL",NOT(CALC_PlanetPositions!$B$9=CALC_SuryaLagna!$E$12)),AND(CALC_PlanetPositions!$M$10="Malefic",INDEX(REF_Aspects!$D$5:$O$13,4,MOD(CALC_SuryaLagna!$F$12-(MOD(MATCH(CALC_PlanetPositions!$B$10,{"Aries","Taurus","Gemini","Cancer","Leo","Virgo","Libra","Scorpio","Sagittarius","Capricorn","Aquarius","Pisces"},0)-MATCH(CALC_PlanetPositions!$B$7,{"Aries","Taurus","Gemini","Cancer","Leo","Virgo","Libra","Scorpio","Sagittarius","Capricorn","Aquarius","Pisces"},0),12)+1),12)+1)="FULL",NOT(CALC_PlanetPositions!$B$10=CALC_SuryaLagna!$E$12)),AND(CALC_PlanetPositions!$M$11="Malefic",INDEX(REF_Aspects!$D$5:$O$13,5,MOD(CALC_SuryaLagna!$F$12-(MOD(MATCH(CALC_PlanetPositions!$B$11,{"Aries","Taurus","Gemini","Cancer","Leo","Virgo","Libra","Scorpio","Sagittarius","Capricorn","Aquarius","Pisces"},0)-MATCH(CALC_PlanetPositions!$B$7,{"Aries","Taurus","Gemini","Cancer","Leo","Virgo","Libra","Scorpio","Sagittarius","Capricorn","Aquarius","Pisces"},0),12)+1),12)+1)="FULL",NOT(CALC_PlanetPositions!$B$11=CALC_SuryaLagna!$E$12)),AND(CALC_PlanetPositions!$M$12="Malefic",INDEX(REF_Aspects!$D$5:$O$13,6,MOD(CALC_SuryaLagna!$F$12-(MOD(MATCH(CALC_PlanetPositions!$B$12,{"Aries","Taurus","Gemini","Cancer","Leo","Virgo","Libra","Scorpio","Sagittarius","Capricorn","Aquarius","Pisces"},0)-MATCH(CALC_PlanetPositions!$B$7,{"Aries","Taurus","Gemini","Cancer","Leo","Virgo","Libra","Scorpio","Sagittarius","Capricorn","Aquarius","Pisces"},0),12)+1),12)+1)="FULL",NOT(CALC_PlanetPositions!$B$12=CALC_SuryaLagna!$E$12)),AND(CALC_PlanetPositions!$M$13="Malefic",INDEX(REF_Aspects!$D$5:$O$13,7,MOD(CALC_SuryaLagna!$F$12-(MOD(MATCH(CALC_PlanetPositions!$B$13,{"Aries","Taurus","Gemini","Cancer","Leo","Virgo","Libra","Scorpio","Sagittarius","Capricorn","Aquarius","Pisces"},0)-MATCH(CALC_PlanetPositions!$B$7,{"Aries","Taurus","Gemini","Cancer","Leo","Virgo","Libra","Scorpio","Sagittarius","Capricorn","Aquarius","Pisces"},0),12)+1),12)+1)="FULL",NOT(CALC_PlanetPositions!$B$13=CALC_SuryaLagna!$E$12)),AND(TRUE(),INDEX(REF_Aspects!$D$5:$O$13,8,MOD(CALC_SuryaLagna!$F$12-(MOD(MATCH(CALC_PlanetPositions!$B$14,{"Aries","Taurus","Gemini","Cancer","Leo","Virgo","Libra","Scorpio","Sagittarius","Capricorn","Aquarius","Pisces"},0)-MATCH(CALC_PlanetPositions!$B$7,{"Aries","Taurus","Gemini","Cancer","Leo","Virgo","Libra","Scorpio","Sagittarius","Capricorn","Aquarius","Pisces"},0),12)+1),12)+1)="FULL",NOT(CALC_PlanetPositions!$B$14=CALC_SuryaLagna!$E$12)),AND(TRUE(),INDEX(REF_Aspects!$D$5:$O$13,9,MOD(CALC_SuryaLagna!$F$12-(MOD(MATCH(CALC_PlanetPositions!$B$15,{"Aries","Taurus","Gemini","Cancer","Leo","Virgo","Libra","Scorpio","Sagittarius","Capricorn","Aquarius","Pisces"},0)-MATCH(CALC_PlanetPositions!$B$7,{"Aries","Taurus","Gemini","Cancer","Leo","Virgo","Libra","Scorpio","Sagittarius","Capricorn","Aquarius","Pisces"},0),12)+1),12)+1)="FULL",NOT(CALC_PlanetPositions!$B$15=CALC_SuryaLagna!$E$12))),1,0),0))*-0.5,0)</f>
        <v>0</v>
      </c>
      <c r="D21" s="403" t="s">
        <v>4634</v>
      </c>
    </row>
    <row r="22" spans="1:7" ht="27.75" customHeight="1" x14ac:dyDescent="0.2">
      <c r="A22" s="127" t="s">
        <v>4635</v>
      </c>
      <c r="B22" s="357" t="s">
        <v>3042</v>
      </c>
      <c r="C22" s="1117">
        <f>IFERROR((IFERROR(IF(CALC_SuryaLagna!$I$12="Yes",1,0),0))*IF(REF_Config!$B$6="KP",-1.75,IF(REF_Config!$B$6="Jaimini",-2,-2)),0)</f>
        <v>0</v>
      </c>
      <c r="D22" s="400" t="s">
        <v>4636</v>
      </c>
    </row>
    <row r="23" spans="1:7" ht="27.75" customHeight="1" x14ac:dyDescent="0.2">
      <c r="A23" s="127" t="s">
        <v>4637</v>
      </c>
      <c r="B23" s="203" t="s">
        <v>3059</v>
      </c>
      <c r="C23" s="1118">
        <f>IFERROR((IFERROR(IF(OR(AND(CALC_SuryaLagna!$E$9=CALC_SuryaLagna!$E$12,CALC_SuryaLagna!$D$9&lt;&gt;CALC_SuryaLagna!$D$12),AND(CALC_SuryaLagna!$E$11=CALC_SuryaLagna!$E$12,CALC_SuryaLagna!$D$11&lt;&gt;CALC_SuryaLagna!$D$12),AND(CALC_SuryaLagna!$E$15=CALC_SuryaLagna!$E$12,CALC_SuryaLagna!$D$15&lt;&gt;CALC_SuryaLagna!$D$12)),1,0),0))*-1,0)</f>
        <v>0</v>
      </c>
      <c r="D23" s="403" t="s">
        <v>4638</v>
      </c>
    </row>
    <row r="24" spans="1:7" ht="15.75" customHeight="1" x14ac:dyDescent="0.2">
      <c r="A24" s="1484" t="s">
        <v>4639</v>
      </c>
      <c r="B24" s="1484"/>
      <c r="C24" s="1484"/>
      <c r="D24" s="1484"/>
    </row>
    <row r="25" spans="1:7" ht="27.75" customHeight="1" x14ac:dyDescent="0.2">
      <c r="A25" s="127" t="s">
        <v>4640</v>
      </c>
      <c r="B25" s="357" t="s">
        <v>3084</v>
      </c>
      <c r="C25" s="1117">
        <f>IFERROR(IF(CALC_KarakMap!$M$13&gt;0,CALC_KarakMap!$M$13,0),0)</f>
        <v>0</v>
      </c>
      <c r="D25" s="400" t="s">
        <v>4641</v>
      </c>
    </row>
    <row r="26" spans="1:7" ht="27.75" customHeight="1" x14ac:dyDescent="0.2">
      <c r="A26" s="127" t="s">
        <v>4642</v>
      </c>
      <c r="B26" s="203" t="s">
        <v>4564</v>
      </c>
      <c r="C26" s="1118">
        <f>IFERROR(IF(CALC_KarakMap!$M$13&lt;0,CALC_KarakMap!$M$13,0),0)</f>
        <v>-0.5</v>
      </c>
      <c r="D26" s="403" t="s">
        <v>4643</v>
      </c>
    </row>
    <row r="27" spans="1:7" ht="27.75" customHeight="1" x14ac:dyDescent="0.2">
      <c r="A27" s="1119" t="s">
        <v>4644</v>
      </c>
      <c r="B27" s="296" t="s">
        <v>3624</v>
      </c>
      <c r="C27" s="1117">
        <f>IFERROR(IF(OR(CALC_SuryaLagna!$D$12="Sun",CALC_SuryaLagna!$D$12="Rahu",CALC_SuryaLagna!$D$12="Ketu"),0,IF(CALC_SuryaLagna!$D$12="Moon",IF(CALC_CombustionCheck!$G$4="Cazimi ✓",0.5,IF(CALC_CombustionCheck!$F$4="COMBUST ⚠",-1,0)),IF(CALC_SuryaLagna!$D$12="Mars",IF(CALC_CombustionCheck!$G$5="Cazimi ✓",0.5,IF(AND(CALC_CombustionCheck!$F$5="COMBUST ⚠",CALC_RetrogradeFix!$F$6="Rx ✓"),-0.5,IF(CALC_CombustionCheck!$F$5="COMBUST ⚠",-1,0))),IF(CALC_SuryaLagna!$D$12="Mercury",IF(CALC_CombustionCheck!$G$6="Cazimi ✓",0.5,IF(AND(CALC_CombustionCheck!$F$6="COMBUST ⚠",CALC_RetrogradeFix!$F$7="Rx ✓"),-0.5,IF(CALC_CombustionCheck!$F$6="COMBUST ⚠",-1,0))),IF(CALC_SuryaLagna!$D$12="Jupiter",IF(CALC_CombustionCheck!$G$7="Cazimi ✓",0.5,IF(AND(CALC_CombustionCheck!$F$7="COMBUST ⚠",CALC_RetrogradeFix!$F$8="Rx ✓"),-0.5,IF(CALC_CombustionCheck!$F$7="COMBUST ⚠",-1,0))),IF(CALC_SuryaLagna!$D$12="Venus",IF(CALC_CombustionCheck!$G$8="Cazimi ✓",0.5,IF(AND(CALC_CombustionCheck!$F$8="COMBUST ⚠",CALC_RetrogradeFix!$F$9="Rx ✓"),-0.5,IF(CALC_CombustionCheck!$F$8="COMBUST ⚠",-1,0))),IF(CALC_SuryaLagna!$D$12="Saturn",IF(CALC_CombustionCheck!$G$9="Cazimi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SuryaLagna!$D$12="Rahu",CALC_SuryaLagna!$D$12="Ketu"),0,IF(ISNUMBER(MATCH(CALC_SuryaLagna!$D$12,{"Sun","Moon","Mars","Mercury","Jupiter","Venus","Saturn"},0)),IF(INDEX(CALC_DigBala!$F$4:$F$10,MATCH(CALC_SuryaLagna!$D$12,{"Sun","Moon","Mars","Mercury","Jupiter","Venus","Saturn"},0))="Yes",0.5,0),0)),0)</f>
        <v>0</v>
      </c>
      <c r="D28" s="400" t="s">
        <v>4647</v>
      </c>
    </row>
    <row r="29" spans="1:7" ht="27.75" customHeight="1" x14ac:dyDescent="0.2">
      <c r="A29" s="1120" t="s">
        <v>4648</v>
      </c>
      <c r="B29" s="296" t="s">
        <v>3372</v>
      </c>
      <c r="C29" s="1117">
        <f>IFERROR(IF(COUNTIFS(REF_PushkaraNavamsha!$A$4:$A$27,CALC_SuryaLagna!$E$12,REF_PushkaraNavamsha!$B$4:$B$27,INDEX(CALC_PlanetPositions!$G$7:$G$15,MATCH(CALC_SuryaLagna!$D$12,CALC_PlanetPositions!$A$7:$A$15,0)))&gt;0,0.5,0),0)</f>
        <v>0.5</v>
      </c>
      <c r="D29" s="400" t="s">
        <v>4649</v>
      </c>
    </row>
    <row r="30" spans="1:7" ht="25.5" customHeight="1" x14ac:dyDescent="0.2">
      <c r="A30" s="147" t="s">
        <v>4650</v>
      </c>
      <c r="B30" s="1121" t="s">
        <v>4651</v>
      </c>
      <c r="C30" s="1122">
        <f>IFERROR(IF(ISNUMBER(MATCH(CALC_SuryaLagna!$D$12,{"Sun","Moon","Mars","Mercury","Jupiter","Venus","Saturn"},0)),INDEX(CALC_RetrogradeFix!$G$4:$G$10,MATCH(CALC_SuryaLagna!$D$12,{"Sun","Moon","Mars","Mercury","Jupiter","Venus","Saturn"},0)),0),0)</f>
        <v>0</v>
      </c>
      <c r="D30" s="1123" t="s">
        <v>4652</v>
      </c>
    </row>
    <row r="31" spans="1:7" ht="18" customHeight="1" x14ac:dyDescent="0.2">
      <c r="A31" s="1555" t="s">
        <v>4653</v>
      </c>
      <c r="B31" s="1555"/>
      <c r="C31" s="1555"/>
      <c r="D31" s="1555"/>
      <c r="E31" s="1124" t="s">
        <v>4654</v>
      </c>
      <c r="F31" s="1125">
        <f>IFERROR(IF(CALC_Ashtakavarga!J$12&gt;28,0.5,IF(CALC_Ashtakavarga!J$12&lt;22,-0.5,0)),0)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2</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0</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2.5</v>
      </c>
      <c r="D37" s="1129"/>
    </row>
    <row r="38" spans="1:4" ht="21.75" customHeight="1" x14ac:dyDescent="0.2">
      <c r="A38" s="89" t="s">
        <v>4661</v>
      </c>
      <c r="B38" s="1129"/>
      <c r="C38" s="1131">
        <f>IFERROR(MAX(-10,MIN(10,C37)),0)</f>
        <v>2.5</v>
      </c>
      <c r="D38" s="1132"/>
    </row>
    <row r="39" spans="1:4" ht="18" customHeight="1" x14ac:dyDescent="0.2">
      <c r="A39" s="517" t="s">
        <v>4662</v>
      </c>
      <c r="B39" s="1129"/>
      <c r="C39" s="1133">
        <f>IFERROR(CALC_LagneshStrength!$I$4,0)</f>
        <v>0</v>
      </c>
      <c r="D39" s="1129"/>
    </row>
    <row r="40" spans="1:4" ht="25.5" customHeight="1" x14ac:dyDescent="0.2">
      <c r="A40" s="1" t="s">
        <v>4663</v>
      </c>
      <c r="B40" s="1129"/>
      <c r="C40" s="1140">
        <f>IFERROR(MAX(-10,MIN(10,C38+C39+C41)),0)</f>
        <v>2.5</v>
      </c>
      <c r="D40" s="1141" t="str">
        <f>IFERROR(IF(C40&gt;=7,"Excellent — Fortune domain very strong",IF(C40&gt;=4,"Good — Fortune domain strong",IF(C40&gt;=1,"Moderate",IF(C40&gt;=-2,"Mixed — Fortune has challenges",IF(C40&gt;=-5,"Weak","Very weak — Fortune heavily afflicted"))))),"—")</f>
        <v>Moderate</v>
      </c>
    </row>
    <row r="41" spans="1:4" ht="18" customHeight="1" x14ac:dyDescent="0.2">
      <c r="A41" s="622" t="s">
        <v>4681</v>
      </c>
      <c r="B41" s="904" t="s">
        <v>4705</v>
      </c>
      <c r="C41" s="1160">
        <v>0</v>
      </c>
      <c r="D41" s="550" t="s">
        <v>4722</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4723</v>
      </c>
      <c r="B1" s="1518"/>
      <c r="C1" s="1518"/>
      <c r="D1" s="1518"/>
      <c r="L1" s="544" t="s">
        <v>2214</v>
      </c>
    </row>
    <row r="2" spans="1:12" ht="19.5" customHeight="1" x14ac:dyDescent="0.2">
      <c r="A2" s="1595" t="str">
        <f>IFERROR("Surya Lagna: "&amp;CALC_PlanetPositions!$B$7&amp;"  ·  H10 sign: "&amp;CALC_SuryaLagna!$C$13,"—")</f>
        <v>Surya Lagna: Cancer  ·  H10 sign: Aries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4" t="s">
        <v>4605</v>
      </c>
      <c r="B5" s="357" t="s">
        <v>4529</v>
      </c>
      <c r="C5" s="1117">
        <f>IFERROR((IFERROR(IF(INDEX(REF_Zodiac!$D$17:$O$17,MATCH(CALC_SuryaLagna!$C$13,REF_Zodiac!$D$3:$O$3,0))="Gentle",1,0),0))*0.5,0)</f>
        <v>0</v>
      </c>
      <c r="D5" s="400" t="s">
        <v>4606</v>
      </c>
    </row>
    <row r="6" spans="1:12" ht="27.75" customHeight="1" x14ac:dyDescent="0.2">
      <c r="A6" s="124"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24" t="s">
        <v>4609</v>
      </c>
      <c r="B7" s="357" t="s">
        <v>4534</v>
      </c>
      <c r="C7" s="1117">
        <f>IFERROR((IFERROR(IF(OR(AND(OR(CALC_PlanetPositions!$M$7="Benefic",CALC_PlanetPositions!$M$7="Yogakaraka"),INDEX(REF_Aspects!$D$5:$O$13,1,MOD(10-(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10)),AND(OR(CALC_PlanetPositions!$M$8="Benefic",CALC_PlanetPositions!$M$8="Yogakaraka"),INDEX(REF_Aspects!$D$5:$O$13,2,MOD(10-(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10)),AND(OR(CALC_PlanetPositions!$M$9="Benefic",CALC_PlanetPositions!$M$9="Yogakaraka"),INDEX(REF_Aspects!$D$5:$O$13,3,MOD(10-(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10)),AND(OR(CALC_PlanetPositions!$M$10="Benefic",CALC_PlanetPositions!$M$10="Yogakaraka"),INDEX(REF_Aspects!$D$5:$O$13,4,MOD(10-(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10)),AND(OR(CALC_PlanetPositions!$M$11="Benefic",CALC_PlanetPositions!$M$11="Yogakaraka"),INDEX(REF_Aspects!$D$5:$O$13,5,MOD(10-(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10)),AND(OR(CALC_PlanetPositions!$M$12="Benefic",CALC_PlanetPositions!$M$12="Yogakaraka"),INDEX(REF_Aspects!$D$5:$O$13,6,MOD(10-(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10)),AND(OR(CALC_PlanetPositions!$M$13="Benefic",CALC_PlanetPositions!$M$13="Yogakaraka"),INDEX(REF_Aspects!$D$5:$O$13,7,MOD(10-(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10)),AND(FALSE(),INDEX(REF_Aspects!$D$5:$O$13,8,MOD(10-(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10)),AND(FALSE(),INDEX(REF_Aspects!$D$5:$O$13,9,MOD(10-(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10))),1,0),0))*IF(REF_Config!$B$6="KP",0.5,IF(REF_Config!$B$6="Jaimini",0.75,0.75)),0)</f>
        <v>0.75</v>
      </c>
      <c r="D7" s="400" t="s">
        <v>4610</v>
      </c>
    </row>
    <row r="8" spans="1:12" ht="15.75" customHeight="1" x14ac:dyDescent="0.2">
      <c r="A8" s="1597" t="s">
        <v>3372</v>
      </c>
      <c r="B8" s="1597"/>
      <c r="C8" s="1597"/>
      <c r="D8" s="1597"/>
    </row>
    <row r="9" spans="1:12" ht="27.75" customHeight="1" x14ac:dyDescent="0.2">
      <c r="A9" s="124" t="s">
        <v>4611</v>
      </c>
      <c r="B9" s="203" t="s">
        <v>4537</v>
      </c>
      <c r="C9" s="1118">
        <f>IFERROR(IF(AND(OR(CALC_SuryaLagna!$G$13="Yes",CALC_SuryaLagna!$H$13="Yes"),NOT(CALC_SuryaLagna!$I$13="Yes")),1,0)*IF(REF_Config!$B$6="KP",1.5,IF(REF_Config!$B$6="Jaimini",1.5,2)),0)</f>
        <v>0</v>
      </c>
      <c r="D9" s="403" t="s">
        <v>4612</v>
      </c>
    </row>
    <row r="10" spans="1:12" ht="27.75" customHeight="1" x14ac:dyDescent="0.2">
      <c r="A10" s="124" t="s">
        <v>4613</v>
      </c>
      <c r="B10" s="357" t="s">
        <v>3093</v>
      </c>
      <c r="C10" s="1117">
        <f>IFERROR((IFERROR(IF(OR(AND(CALC_SuryaLagna!$E$4=CALC_SuryaLagna!$E$13,CALC_SuryaLagna!$D$4&lt;&gt;CALC_SuryaLagna!$D$13),AND(CALC_SuryaLagna!$E$7=CALC_SuryaLagna!$E$13,CALC_SuryaLagna!$D$7&lt;&gt;CALC_SuryaLagna!$D$13),AND(CALC_SuryaLagna!$E$8=CALC_SuryaLagna!$E$13,CALC_SuryaLagna!$D$8&lt;&gt;CALC_SuryaLagna!$D$13),AND(CALC_SuryaLagna!$E$10=CALC_SuryaLagna!$E$13,CALC_SuryaLagna!$D$10&lt;&gt;CALC_SuryaLagna!$D$13),AND(CALC_SuryaLagna!$E$12=CALC_SuryaLagna!$E$13,CALC_SuryaLagna!$D$12&lt;&gt;CALC_SuryaLagna!$D$13),AND(CALC_SuryaLagna!$E$13=CALC_SuryaLagna!$E$13,CALC_SuryaLagna!$D$13&lt;&gt;CALC_SuryaLagna!$D$13)),1,0),0))*0.5,0)</f>
        <v>0</v>
      </c>
      <c r="D10" s="400" t="s">
        <v>4614</v>
      </c>
    </row>
    <row r="11" spans="1:12" ht="27.75" customHeight="1" x14ac:dyDescent="0.2">
      <c r="A11" s="124" t="s">
        <v>4615</v>
      </c>
      <c r="B11" s="203" t="s">
        <v>4540</v>
      </c>
      <c r="C11" s="1118">
        <f>IFERROR((IFERROR(IF(OR(AND(OR(CALC_PlanetPositions!$M$7="Benefic",CALC_PlanetPositions!$M$7="Yogakaraka"),CALC_PlanetPositions!$B$7=CALC_SuryaLagna!$E$13,CALC_SuryaLagna!$D$13&lt;&gt;"Sun"),AND(OR(CALC_PlanetPositions!$M$8="Benefic",CALC_PlanetPositions!$M$8="Yogakaraka"),CALC_PlanetPositions!$B$8=CALC_SuryaLagna!$E$13,CALC_SuryaLagna!$D$13&lt;&gt;"Moon"),AND(OR(CALC_PlanetPositions!$M$9="Benefic",CALC_PlanetPositions!$M$9="Yogakaraka"),CALC_PlanetPositions!$B$9=CALC_SuryaLagna!$E$13,CALC_SuryaLagna!$D$13&lt;&gt;"Mars"),AND(OR(CALC_PlanetPositions!$M$10="Benefic",CALC_PlanetPositions!$M$10="Yogakaraka"),CALC_PlanetPositions!$B$10=CALC_SuryaLagna!$E$13,CALC_SuryaLagna!$D$13&lt;&gt;"Mercury"),AND(OR(CALC_PlanetPositions!$M$11="Benefic",CALC_PlanetPositions!$M$11="Yogakaraka"),CALC_PlanetPositions!$B$11=CALC_SuryaLagna!$E$13,CALC_SuryaLagna!$D$13&lt;&gt;"Jupiter"),AND(OR(CALC_PlanetPositions!$M$12="Benefic",CALC_PlanetPositions!$M$12="Yogakaraka"),CALC_PlanetPositions!$B$12=CALC_SuryaLagna!$E$13,CALC_SuryaLagna!$D$13&lt;&gt;"Venus"),AND(OR(CALC_PlanetPositions!$M$13="Benefic",CALC_PlanetPositions!$M$13="Yogakaraka"),CALC_PlanetPositions!$B$13=CALC_SuryaLagna!$E$13,CALC_SuryaLagna!$D$13&lt;&gt;"Saturn")),1,0),0))*IF(OR(AND(CALC_PlanetPositions!$M$7="Yogakaraka",CALC_PlanetPositions!$B$7=CALC_SuryaLagna!$E$13,CALC_SuryaLagna!$D$13&lt;&gt;"Sun"),AND(CALC_PlanetPositions!$M$8="Yogakaraka",CALC_PlanetPositions!$B$8=CALC_SuryaLagna!$E$13,CALC_SuryaLagna!$D$13&lt;&gt;"Moon"),AND(CALC_PlanetPositions!$M$9="Yogakaraka",CALC_PlanetPositions!$B$9=CALC_SuryaLagna!$E$13,CALC_SuryaLagna!$D$13&lt;&gt;"Mars"),AND(CALC_PlanetPositions!$M$10="Yogakaraka",CALC_PlanetPositions!$B$10=CALC_SuryaLagna!$E$13,CALC_SuryaLagna!$D$13&lt;&gt;"Mercury"),AND(CALC_PlanetPositions!$M$11="Yogakaraka",CALC_PlanetPositions!$B$11=CALC_SuryaLagna!$E$13,CALC_SuryaLagna!$D$13&lt;&gt;"Jupiter"),AND(CALC_PlanetPositions!$M$12="Yogakaraka",CALC_PlanetPositions!$B$12=CALC_SuryaLagna!$E$13,CALC_SuryaLagna!$D$13&lt;&gt;"Venus"),AND(CALC_PlanetPositions!$M$13="Yogakaraka",CALC_PlanetPositions!$B$13=CALC_SuryaLagna!$E$13,CALC_SuryaLagna!$D$13&lt;&gt;"Saturn")),1.5,1),0)</f>
        <v>0</v>
      </c>
      <c r="D11" s="403" t="s">
        <v>4616</v>
      </c>
    </row>
    <row r="12" spans="1:12" ht="27.75" customHeight="1" x14ac:dyDescent="0.2">
      <c r="A12" s="124" t="s">
        <v>4617</v>
      </c>
      <c r="B12" s="357" t="s">
        <v>4542</v>
      </c>
      <c r="C12" s="1117">
        <f>IFERROR((IFERROR(IF(OR(AND(OR(CALC_PlanetPositions!$M$7="Benefic",CALC_PlanetPositions!$M$7="Yogakaraka"),INDEX(REF_Aspects!$D$5:$O$13,1,MOD(CALC_SuryaLagna!$F$13-(MOD(MATCH(CALC_PlanetPositions!$B$7,{"Aries","Taurus","Gemini","Cancer","Leo","Virgo","Libra","Scorpio","Sagittarius","Capricorn","Aquarius","Pisces"},0)-MATCH(CALC_PlanetPositions!$B$7,{"Aries","Taurus","Gemini","Cancer","Leo","Virgo","Libra","Scorpio","Sagittarius","Capricorn","Aquarius","Pisces"},0),12)+1),12)+1)="FULL",NOT(CALC_PlanetPositions!$B$7=CALC_SuryaLagna!$E$13)),AND(OR(CALC_PlanetPositions!$M$8="Benefic",CALC_PlanetPositions!$M$8="Yogakaraka"),INDEX(REF_Aspects!$D$5:$O$13,2,MOD(CALC_SuryaLagna!$F$13-(MOD(MATCH(CALC_PlanetPositions!$B$8,{"Aries","Taurus","Gemini","Cancer","Leo","Virgo","Libra","Scorpio","Sagittarius","Capricorn","Aquarius","Pisces"},0)-MATCH(CALC_PlanetPositions!$B$7,{"Aries","Taurus","Gemini","Cancer","Leo","Virgo","Libra","Scorpio","Sagittarius","Capricorn","Aquarius","Pisces"},0),12)+1),12)+1)="FULL",NOT(CALC_PlanetPositions!$B$8=CALC_SuryaLagna!$E$13)),AND(OR(CALC_PlanetPositions!$M$9="Benefic",CALC_PlanetPositions!$M$9="Yogakaraka"),INDEX(REF_Aspects!$D$5:$O$13,3,MOD(CALC_SuryaLagna!$F$13-(MOD(MATCH(CALC_PlanetPositions!$B$9,{"Aries","Taurus","Gemini","Cancer","Leo","Virgo","Libra","Scorpio","Sagittarius","Capricorn","Aquarius","Pisces"},0)-MATCH(CALC_PlanetPositions!$B$7,{"Aries","Taurus","Gemini","Cancer","Leo","Virgo","Libra","Scorpio","Sagittarius","Capricorn","Aquarius","Pisces"},0),12)+1),12)+1)="FULL",NOT(CALC_PlanetPositions!$B$9=CALC_SuryaLagna!$E$13)),AND(OR(CALC_PlanetPositions!$M$10="Benefic",CALC_PlanetPositions!$M$10="Yogakaraka"),INDEX(REF_Aspects!$D$5:$O$13,4,MOD(CALC_SuryaLagna!$F$13-(MOD(MATCH(CALC_PlanetPositions!$B$10,{"Aries","Taurus","Gemini","Cancer","Leo","Virgo","Libra","Scorpio","Sagittarius","Capricorn","Aquarius","Pisces"},0)-MATCH(CALC_PlanetPositions!$B$7,{"Aries","Taurus","Gemini","Cancer","Leo","Virgo","Libra","Scorpio","Sagittarius","Capricorn","Aquarius","Pisces"},0),12)+1),12)+1)="FULL",NOT(CALC_PlanetPositions!$B$10=CALC_SuryaLagna!$E$13)),AND(OR(CALC_PlanetPositions!$M$11="Benefic",CALC_PlanetPositions!$M$11="Yogakaraka"),INDEX(REF_Aspects!$D$5:$O$13,5,MOD(CALC_SuryaLagna!$F$13-(MOD(MATCH(CALC_PlanetPositions!$B$11,{"Aries","Taurus","Gemini","Cancer","Leo","Virgo","Libra","Scorpio","Sagittarius","Capricorn","Aquarius","Pisces"},0)-MATCH(CALC_PlanetPositions!$B$7,{"Aries","Taurus","Gemini","Cancer","Leo","Virgo","Libra","Scorpio","Sagittarius","Capricorn","Aquarius","Pisces"},0),12)+1),12)+1)="FULL",NOT(CALC_PlanetPositions!$B$11=CALC_SuryaLagna!$E$13)),AND(OR(CALC_PlanetPositions!$M$12="Benefic",CALC_PlanetPositions!$M$12="Yogakaraka"),INDEX(REF_Aspects!$D$5:$O$13,6,MOD(CALC_SuryaLagna!$F$13-(MOD(MATCH(CALC_PlanetPositions!$B$12,{"Aries","Taurus","Gemini","Cancer","Leo","Virgo","Libra","Scorpio","Sagittarius","Capricorn","Aquarius","Pisces"},0)-MATCH(CALC_PlanetPositions!$B$7,{"Aries","Taurus","Gemini","Cancer","Leo","Virgo","Libra","Scorpio","Sagittarius","Capricorn","Aquarius","Pisces"},0),12)+1),12)+1)="FULL",NOT(CALC_PlanetPositions!$B$12=CALC_SuryaLagna!$E$13)),AND(OR(CALC_PlanetPositions!$M$13="Benefic",CALC_PlanetPositions!$M$13="Yogakaraka"),INDEX(REF_Aspects!$D$5:$O$13,7,MOD(CALC_SuryaLagna!$F$13-(MOD(MATCH(CALC_PlanetPositions!$B$13,{"Aries","Taurus","Gemini","Cancer","Leo","Virgo","Libra","Scorpio","Sagittarius","Capricorn","Aquarius","Pisces"},0)-MATCH(CALC_PlanetPositions!$B$7,{"Aries","Taurus","Gemini","Cancer","Leo","Virgo","Libra","Scorpio","Sagittarius","Capricorn","Aquarius","Pisces"},0),12)+1),12)+1)="FULL",NOT(CALC_PlanetPositions!$B$13=CALC_SuryaLagna!$E$13)),AND(FALSE(),INDEX(REF_Aspects!$D$5:$O$13,8,MOD(CALC_SuryaLagna!$F$13-(MOD(MATCH(CALC_PlanetPositions!$B$14,{"Aries","Taurus","Gemini","Cancer","Leo","Virgo","Libra","Scorpio","Sagittarius","Capricorn","Aquarius","Pisces"},0)-MATCH(CALC_PlanetPositions!$B$7,{"Aries","Taurus","Gemini","Cancer","Leo","Virgo","Libra","Scorpio","Sagittarius","Capricorn","Aquarius","Pisces"},0),12)+1),12)+1)="FULL",NOT(CALC_PlanetPositions!$B$14=CALC_SuryaLagna!$E$13)),AND(FALSE(),INDEX(REF_Aspects!$D$5:$O$13,9,MOD(CALC_SuryaLagna!$F$13-(MOD(MATCH(CALC_PlanetPositions!$B$15,{"Aries","Taurus","Gemini","Cancer","Leo","Virgo","Libra","Scorpio","Sagittarius","Capricorn","Aquarius","Pisces"},0)-MATCH(CALC_PlanetPositions!$B$7,{"Aries","Taurus","Gemini","Cancer","Leo","Virgo","Libra","Scorpio","Sagittarius","Capricorn","Aquarius","Pisces"},0),12)+1),12)+1)="FULL",NOT(CALC_PlanetPositions!$B$15=CALC_SuryaLagna!$E$13))),1,0),0))*0.5,0)</f>
        <v>0</v>
      </c>
      <c r="D12" s="400" t="s">
        <v>4618</v>
      </c>
    </row>
    <row r="13" spans="1:12" ht="27.75" customHeight="1" x14ac:dyDescent="0.2">
      <c r="A13" s="124"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$13-2,12)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$13-2,12)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$13-2,12)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$13-2,12)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$13-2,12)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$13-2,12)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$13-2,12)+1)),AND(FALSE(),MOD(MATCH(CALC_PlanetPositions!$B$14,{"Aries","Taurus","Gemini","Cancer","Leo","Virgo","Libra","Scorpio","Sagittarius","Capricorn","Aquarius","Pisces"},0)-MATCH(CALC_PlanetPositions!$B$7,{"Aries","Taurus","Gemini","Cancer","Leo","Virgo","Libra","Scorpio","Sagittarius","Capricorn","Aquarius","Pisces"},0),12)+1=(MOD(CALC_SuryaLagna!$F$13-2,12)+1)),AND(FALSE(),MOD(MATCH(CALC_PlanetPositions!$B$15,{"Aries","Taurus","Gemini","Cancer","Leo","Virgo","Libra","Scorpio","Sagittarius","Capricorn","Aquarius","Pisces"},0)-MATCH(CALC_PlanetPositions!$B$7,{"Aries","Taurus","Gemini","Cancer","Leo","Virgo","Libra","Scorpio","Sagittarius","Capricorn","Aquarius","Pisces"},0),12)+1=(MOD(CALC_SuryaLagna!$F$13-2,12)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$13,12)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$13,12)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$13,12)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$13,12)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$13,12)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$13,12)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$13,12)+1)),AND(FALSE(),MOD(MATCH(CALC_PlanetPositions!$B$14,{"Aries","Taurus","Gemini","Cancer","Leo","Virgo","Libra","Scorpio","Sagittarius","Capricorn","Aquarius","Pisces"},0)-MATCH(CALC_PlanetPositions!$B$7,{"Aries","Taurus","Gemini","Cancer","Leo","Virgo","Libra","Scorpio","Sagittarius","Capricorn","Aquarius","Pisces"},0),12)+1=(MOD(CALC_SuryaLagna!$F$13,12)+1)),AND(FALSE(),MOD(MATCH(CALC_PlanetPositions!$B$15,{"Aries","Taurus","Gemini","Cancer","Leo","Virgo","Libra","Scorpio","Sagittarius","Capricorn","Aquarius","Pisces"},0)-MATCH(CALC_PlanetPositions!$B$7,{"Aries","Taurus","Gemini","Cancer","Leo","Virgo","Libra","Scorpio","Sagittarius","Capricorn","Aquarius","Pisces"},0),12)+1=(MOD(CALC_SuryaLagna!$F$13,12)+1)))),1,0),0))*IF(REF_Config!$B$6="KP",0.75,IF(REF_Config!$B$6="Jaimini",0.5,0.75)),0)</f>
        <v>0</v>
      </c>
      <c r="D13" s="403" t="s">
        <v>4620</v>
      </c>
    </row>
    <row r="14" spans="1:12" ht="15.75" customHeight="1" x14ac:dyDescent="0.2">
      <c r="A14" s="1598" t="s">
        <v>4621</v>
      </c>
      <c r="B14" s="1598"/>
      <c r="C14" s="1598"/>
      <c r="D14" s="1598"/>
    </row>
    <row r="15" spans="1:12" ht="27.75" customHeight="1" x14ac:dyDescent="0.2">
      <c r="A15" s="124"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10),AND(CALC_PlanetPositions!$M$8="Malefic",(MOD(MATCH(CALC_PlanetPositions!$B$8,{"Aries","Taurus","Gemini","Cancer","Leo","Virgo","Libra","Scorpio","Sagittarius","Capricorn","Aquarius","Pisces"},0)-MATCH(CALC_PlanetPositions!$B$7,{"Aries","Taurus","Gemini","Cancer","Leo","Virgo","Libra","Scorpio","Sagittarius","Capricorn","Aquarius","Pisces"},0),12)+1)=10),AND(CALC_PlanetPositions!$M$9="Malefic",(MOD(MATCH(CALC_PlanetPositions!$B$9,{"Aries","Taurus","Gemini","Cancer","Leo","Virgo","Libra","Scorpio","Sagittarius","Capricorn","Aquarius","Pisces"},0)-MATCH(CALC_PlanetPositions!$B$7,{"Aries","Taurus","Gemini","Cancer","Leo","Virgo","Libra","Scorpio","Sagittarius","Capricorn","Aquarius","Pisces"},0),12)+1)=10),AND(CALC_PlanetPositions!$M$10="Malefic",(MOD(MATCH(CALC_PlanetPositions!$B$10,{"Aries","Taurus","Gemini","Cancer","Leo","Virgo","Libra","Scorpio","Sagittarius","Capricorn","Aquarius","Pisces"},0)-MATCH(CALC_PlanetPositions!$B$7,{"Aries","Taurus","Gemini","Cancer","Leo","Virgo","Libra","Scorpio","Sagittarius","Capricorn","Aquarius","Pisces"},0),12)+1)=10),AND(CALC_PlanetPositions!$M$11="Malefic",(MOD(MATCH(CALC_PlanetPositions!$B$11,{"Aries","Taurus","Gemini","Cancer","Leo","Virgo","Libra","Scorpio","Sagittarius","Capricorn","Aquarius","Pisces"},0)-MATCH(CALC_PlanetPositions!$B$7,{"Aries","Taurus","Gemini","Cancer","Leo","Virgo","Libra","Scorpio","Sagittarius","Capricorn","Aquarius","Pisces"},0),12)+1)=10),AND(CALC_PlanetPositions!$M$12="Malefic",(MOD(MATCH(CALC_PlanetPositions!$B$12,{"Aries","Taurus","Gemini","Cancer","Leo","Virgo","Libra","Scorpio","Sagittarius","Capricorn","Aquarius","Pisces"},0)-MATCH(CALC_PlanetPositions!$B$7,{"Aries","Taurus","Gemini","Cancer","Leo","Virgo","Libra","Scorpio","Sagittarius","Capricorn","Aquarius","Pisces"},0),12)+1)=10),AND(CALC_PlanetPositions!$M$13="Malefic",(MOD(MATCH(CALC_PlanetPositions!$B$13,{"Aries","Taurus","Gemini","Cancer","Leo","Virgo","Libra","Scorpio","Sagittarius","Capricorn","Aquarius","Pisces"},0)-MATCH(CALC_PlanetPositions!$B$7,{"Aries","Taurus","Gemini","Cancer","Leo","Virgo","Libra","Scorpio","Sagittarius","Capricorn","Aquarius","Pisces"},0),12)+1)=10),AND(TRUE(),(MOD(MATCH(CALC_PlanetPositions!$B$14,{"Aries","Taurus","Gemini","Cancer","Leo","Virgo","Libra","Scorpio","Sagittarius","Capricorn","Aquarius","Pisces"},0)-MATCH(CALC_PlanetPositions!$B$7,{"Aries","Taurus","Gemini","Cancer","Leo","Virgo","Libra","Scorpio","Sagittarius","Capricorn","Aquarius","Pisces"},0),12)+1)=10),AND(TRUE(),(MOD(MATCH(CALC_PlanetPositions!$B$15,{"Aries","Taurus","Gemini","Cancer","Leo","Virgo","Libra","Scorpio","Sagittarius","Capricorn","Aquarius","Pisces"},0)-MATCH(CALC_PlanetPositions!$B$7,{"Aries","Taurus","Gemini","Cancer","Leo","Virgo","Libra","Scorpio","Sagittarius","Capricorn","Aquarius","Pisces"},0),12)+1)=10)),1,0),0))*-1,0)</f>
        <v>0</v>
      </c>
      <c r="D15" s="400" t="s">
        <v>4623</v>
      </c>
    </row>
    <row r="16" spans="1:12" ht="27.75" customHeight="1" x14ac:dyDescent="0.2">
      <c r="A16" s="124" t="s">
        <v>4624</v>
      </c>
      <c r="B16" s="203" t="s">
        <v>4548</v>
      </c>
      <c r="C16" s="1118">
        <f>IFERROR((IFERROR(IF(OR(AND(CALC_PlanetPositions!$M$7="Malefic",INDEX(REF_Aspects!$D$5:$O$13,1,MOD(10-(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10)),AND(CALC_PlanetPositions!$M$8="Malefic",INDEX(REF_Aspects!$D$5:$O$13,2,MOD(10-(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10)),AND(CALC_PlanetPositions!$M$9="Malefic",INDEX(REF_Aspects!$D$5:$O$13,3,MOD(10-(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10)),AND(CALC_PlanetPositions!$M$10="Malefic",INDEX(REF_Aspects!$D$5:$O$13,4,MOD(10-(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10)),AND(CALC_PlanetPositions!$M$11="Malefic",INDEX(REF_Aspects!$D$5:$O$13,5,MOD(10-(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10)),AND(CALC_PlanetPositions!$M$12="Malefic",INDEX(REF_Aspects!$D$5:$O$13,6,MOD(10-(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10)),AND(CALC_PlanetPositions!$M$13="Malefic",INDEX(REF_Aspects!$D$5:$O$13,7,MOD(10-(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10)),AND(TRUE(),INDEX(REF_Aspects!$D$5:$O$13,8,MOD(10-(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10)),AND(TRUE(),INDEX(REF_Aspects!$D$5:$O$13,9,MOD(10-(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10))),1,0),0))*-1,0)</f>
        <v>-1</v>
      </c>
      <c r="D16" s="403" t="s">
        <v>4625</v>
      </c>
    </row>
    <row r="17" spans="1:7" ht="27.75" customHeight="1" x14ac:dyDescent="0.2">
      <c r="A17" s="124" t="s">
        <v>4626</v>
      </c>
      <c r="B17" s="357" t="s">
        <v>3062</v>
      </c>
      <c r="C17" s="1117">
        <v>0</v>
      </c>
      <c r="D17" s="400" t="s">
        <v>4627</v>
      </c>
    </row>
    <row r="18" spans="1:7" ht="27.75" customHeight="1" x14ac:dyDescent="0.2">
      <c r="A18" s="124"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(10-2,12)+1)),AND(CALC_PlanetPositions!$M$8="Malefic",MOD(MATCH(CALC_PlanetPositions!$B$8,{"Aries","Taurus","Gemini","Cancer","Leo","Virgo","Libra","Scorpio","Sagittarius","Capricorn","Aquarius","Pisces"},0)-MATCH(CALC_PlanetPositions!$B$7,{"Aries","Taurus","Gemini","Cancer","Leo","Virgo","Libra","Scorpio","Sagittarius","Capricorn","Aquarius","Pisces"},0),12)+1=(MOD(10-2,12)+1)),AND(CALC_PlanetPositions!$M$9="Malefic",MOD(MATCH(CALC_PlanetPositions!$B$9,{"Aries","Taurus","Gemini","Cancer","Leo","Virgo","Libra","Scorpio","Sagittarius","Capricorn","Aquarius","Pisces"},0)-MATCH(CALC_PlanetPositions!$B$7,{"Aries","Taurus","Gemini","Cancer","Leo","Virgo","Libra","Scorpio","Sagittarius","Capricorn","Aquarius","Pisces"},0),12)+1=(MOD(10-2,12)+1)),AND(CALC_PlanetPositions!$M$10="Malefic",MOD(MATCH(CALC_PlanetPositions!$B$10,{"Aries","Taurus","Gemini","Cancer","Leo","Virgo","Libra","Scorpio","Sagittarius","Capricorn","Aquarius","Pisces"},0)-MATCH(CALC_PlanetPositions!$B$7,{"Aries","Taurus","Gemini","Cancer","Leo","Virgo","Libra","Scorpio","Sagittarius","Capricorn","Aquarius","Pisces"},0),12)+1=(MOD(10-2,12)+1)),AND(CALC_PlanetPositions!$M$11="Malefic",MOD(MATCH(CALC_PlanetPositions!$B$11,{"Aries","Taurus","Gemini","Cancer","Leo","Virgo","Libra","Scorpio","Sagittarius","Capricorn","Aquarius","Pisces"},0)-MATCH(CALC_PlanetPositions!$B$7,{"Aries","Taurus","Gemini","Cancer","Leo","Virgo","Libra","Scorpio","Sagittarius","Capricorn","Aquarius","Pisces"},0),12)+1=(MOD(10-2,12)+1)),AND(CALC_PlanetPositions!$M$12="Malefic",MOD(MATCH(CALC_PlanetPositions!$B$12,{"Aries","Taurus","Gemini","Cancer","Leo","Virgo","Libra","Scorpio","Sagittarius","Capricorn","Aquarius","Pisces"},0)-MATCH(CALC_PlanetPositions!$B$7,{"Aries","Taurus","Gemini","Cancer","Leo","Virgo","Libra","Scorpio","Sagittarius","Capricorn","Aquarius","Pisces"},0),12)+1=(MOD(10-2,12)+1)),AND(CALC_PlanetPositions!$M$13="Malefic",MOD(MATCH(CALC_PlanetPositions!$B$13,{"Aries","Taurus","Gemini","Cancer","Leo","Virgo","Libra","Scorpio","Sagittarius","Capricorn","Aquarius","Pisces"},0)-MATCH(CALC_PlanetPositions!$B$7,{"Aries","Taurus","Gemini","Cancer","Leo","Virgo","Libra","Scorpio","Sagittarius","Capricorn","Aquarius","Pisces"},0),12)+1=(MOD(10-2,12)+1)),AND(TRUE(),MOD(MATCH(CALC_PlanetPositions!$B$14,{"Aries","Taurus","Gemini","Cancer","Leo","Virgo","Libra","Scorpio","Sagittarius","Capricorn","Aquarius","Pisces"},0)-MATCH(CALC_PlanetPositions!$B$7,{"Aries","Taurus","Gemini","Cancer","Leo","Virgo","Libra","Scorpio","Sagittarius","Capricorn","Aquarius","Pisces"},0),12)+1=(MOD(10-2,12)+1)),AND(TRUE(),MOD(MATCH(CALC_PlanetPositions!$B$15,{"Aries","Taurus","Gemini","Cancer","Leo","Virgo","Libra","Scorpio","Sagittarius","Capricorn","Aquarius","Pisces"},0)-MATCH(CALC_PlanetPositions!$B$7,{"Aries","Taurus","Gemini","Cancer","Leo","Virgo","Libra","Scorpio","Sagittarius","Capricorn","Aquarius","Pisces"},0),12)+1=(MOD(10-2,12)+1))),OR(AND(CALC_PlanetPositions!$M$7="Malefic",MOD(MATCH(CALC_PlanetPositions!$B$7,{"Aries","Taurus","Gemini","Cancer","Leo","Virgo","Libra","Scorpio","Sagittarius","Capricorn","Aquarius","Pisces"},0)-MATCH(CALC_PlanetPositions!$B$7,{"Aries","Taurus","Gemini","Cancer","Leo","Virgo","Libra","Scorpio","Sagittarius","Capricorn","Aquarius","Pisces"},0),12)+1=(MOD(10,12)+1)),AND(CALC_PlanetPositions!$M$8="Malefic",MOD(MATCH(CALC_PlanetPositions!$B$8,{"Aries","Taurus","Gemini","Cancer","Leo","Virgo","Libra","Scorpio","Sagittarius","Capricorn","Aquarius","Pisces"},0)-MATCH(CALC_PlanetPositions!$B$7,{"Aries","Taurus","Gemini","Cancer","Leo","Virgo","Libra","Scorpio","Sagittarius","Capricorn","Aquarius","Pisces"},0),12)+1=(MOD(10,12)+1)),AND(CALC_PlanetPositions!$M$9="Malefic",MOD(MATCH(CALC_PlanetPositions!$B$9,{"Aries","Taurus","Gemini","Cancer","Leo","Virgo","Libra","Scorpio","Sagittarius","Capricorn","Aquarius","Pisces"},0)-MATCH(CALC_PlanetPositions!$B$7,{"Aries","Taurus","Gemini","Cancer","Leo","Virgo","Libra","Scorpio","Sagittarius","Capricorn","Aquarius","Pisces"},0),12)+1=(MOD(10,12)+1)),AND(CALC_PlanetPositions!$M$10="Malefic",MOD(MATCH(CALC_PlanetPositions!$B$10,{"Aries","Taurus","Gemini","Cancer","Leo","Virgo","Libra","Scorpio","Sagittarius","Capricorn","Aquarius","Pisces"},0)-MATCH(CALC_PlanetPositions!$B$7,{"Aries","Taurus","Gemini","Cancer","Leo","Virgo","Libra","Scorpio","Sagittarius","Capricorn","Aquarius","Pisces"},0),12)+1=(MOD(10,12)+1)),AND(CALC_PlanetPositions!$M$11="Malefic",MOD(MATCH(CALC_PlanetPositions!$B$11,{"Aries","Taurus","Gemini","Cancer","Leo","Virgo","Libra","Scorpio","Sagittarius","Capricorn","Aquarius","Pisces"},0)-MATCH(CALC_PlanetPositions!$B$7,{"Aries","Taurus","Gemini","Cancer","Leo","Virgo","Libra","Scorpio","Sagittarius","Capricorn","Aquarius","Pisces"},0),12)+1=(MOD(10,12)+1)),AND(CALC_PlanetPositions!$M$12="Malefic",MOD(MATCH(CALC_PlanetPositions!$B$12,{"Aries","Taurus","Gemini","Cancer","Leo","Virgo","Libra","Scorpio","Sagittarius","Capricorn","Aquarius","Pisces"},0)-MATCH(CALC_PlanetPositions!$B$7,{"Aries","Taurus","Gemini","Cancer","Leo","Virgo","Libra","Scorpio","Sagittarius","Capricorn","Aquarius","Pisces"},0),12)+1=(MOD(10,12)+1)),AND(CALC_PlanetPositions!$M$13="Malefic",MOD(MATCH(CALC_PlanetPositions!$B$13,{"Aries","Taurus","Gemini","Cancer","Leo","Virgo","Libra","Scorpio","Sagittarius","Capricorn","Aquarius","Pisces"},0)-MATCH(CALC_PlanetPositions!$B$7,{"Aries","Taurus","Gemini","Cancer","Leo","Virgo","Libra","Scorpio","Sagittarius","Capricorn","Aquarius","Pisces"},0),12)+1=(MOD(10,12)+1)),AND(TRUE(),MOD(MATCH(CALC_PlanetPositions!$B$14,{"Aries","Taurus","Gemini","Cancer","Leo","Virgo","Libra","Scorpio","Sagittarius","Capricorn","Aquarius","Pisces"},0)-MATCH(CALC_PlanetPositions!$B$7,{"Aries","Taurus","Gemini","Cancer","Leo","Virgo","Libra","Scorpio","Sagittarius","Capricorn","Aquarius","Pisces"},0),12)+1=(MOD(10,12)+1)),AND(TRUE(),MOD(MATCH(CALC_PlanetPositions!$B$15,{"Aries","Taurus","Gemini","Cancer","Leo","Virgo","Libra","Scorpio","Sagittarius","Capricorn","Aquarius","Pisces"},0)-MATCH(CALC_PlanetPositions!$B$7,{"Aries","Taurus","Gemini","Cancer","Leo","Virgo","Libra","Scorpio","Sagittarius","Capricorn","Aquarius","Pisces"},0),12)+1=(MOD(10,12)+1)))),1,0),0))*IF(REF_Config!$B$6="KP",-0.75,IF(REF_Config!$B$6="Jaimini",-0.5,-0.75)),0)</f>
        <v>0</v>
      </c>
      <c r="D18" s="403" t="s">
        <v>4629</v>
      </c>
    </row>
    <row r="19" spans="1:7" ht="15.75" customHeight="1" x14ac:dyDescent="0.2">
      <c r="A19" s="1594" t="s">
        <v>3624</v>
      </c>
      <c r="B19" s="1594"/>
      <c r="C19" s="1594"/>
      <c r="D19" s="1594"/>
    </row>
    <row r="20" spans="1:7" ht="27.75" customHeight="1" x14ac:dyDescent="0.2">
      <c r="A20" s="124" t="s">
        <v>4630</v>
      </c>
      <c r="B20" s="357" t="s">
        <v>4555</v>
      </c>
      <c r="C20" s="1117">
        <v>0</v>
      </c>
      <c r="D20" s="400" t="s">
        <v>4631</v>
      </c>
    </row>
    <row r="21" spans="1:7" ht="27.75" customHeight="1" x14ac:dyDescent="0.2">
      <c r="A21" s="124" t="s">
        <v>4632</v>
      </c>
      <c r="B21" s="203" t="s">
        <v>4633</v>
      </c>
      <c r="C21" s="1118">
        <f>IFERROR((IFERROR(IF(OR(AND(CALC_PlanetPositions!$M$7="Malefic",INDEX(REF_Aspects!$D$5:$O$13,1,MOD(CALC_SuryaLagna!$F$13-(MOD(MATCH(CALC_PlanetPositions!$B$7,{"Aries","Taurus","Gemini","Cancer","Leo","Virgo","Libra","Scorpio","Sagittarius","Capricorn","Aquarius","Pisces"},0)-MATCH(CALC_PlanetPositions!$B$7,{"Aries","Taurus","Gemini","Cancer","Leo","Virgo","Libra","Scorpio","Sagittarius","Capricorn","Aquarius","Pisces"},0),12)+1),12)+1)="FULL",NOT(CALC_PlanetPositions!$B$7=CALC_SuryaLagna!$E$13)),AND(CALC_PlanetPositions!$M$8="Malefic",INDEX(REF_Aspects!$D$5:$O$13,2,MOD(CALC_SuryaLagna!$F$13-(MOD(MATCH(CALC_PlanetPositions!$B$8,{"Aries","Taurus","Gemini","Cancer","Leo","Virgo","Libra","Scorpio","Sagittarius","Capricorn","Aquarius","Pisces"},0)-MATCH(CALC_PlanetPositions!$B$7,{"Aries","Taurus","Gemini","Cancer","Leo","Virgo","Libra","Scorpio","Sagittarius","Capricorn","Aquarius","Pisces"},0),12)+1),12)+1)="FULL",NOT(CALC_PlanetPositions!$B$8=CALC_SuryaLagna!$E$13)),AND(CALC_PlanetPositions!$M$9="Malefic",INDEX(REF_Aspects!$D$5:$O$13,3,MOD(CALC_SuryaLagna!$F$13-(MOD(MATCH(CALC_PlanetPositions!$B$9,{"Aries","Taurus","Gemini","Cancer","Leo","Virgo","Libra","Scorpio","Sagittarius","Capricorn","Aquarius","Pisces"},0)-MATCH(CALC_PlanetPositions!$B$7,{"Aries","Taurus","Gemini","Cancer","Leo","Virgo","Libra","Scorpio","Sagittarius","Capricorn","Aquarius","Pisces"},0),12)+1),12)+1)="FULL",NOT(CALC_PlanetPositions!$B$9=CALC_SuryaLagna!$E$13)),AND(CALC_PlanetPositions!$M$10="Malefic",INDEX(REF_Aspects!$D$5:$O$13,4,MOD(CALC_SuryaLagna!$F$13-(MOD(MATCH(CALC_PlanetPositions!$B$10,{"Aries","Taurus","Gemini","Cancer","Leo","Virgo","Libra","Scorpio","Sagittarius","Capricorn","Aquarius","Pisces"},0)-MATCH(CALC_PlanetPositions!$B$7,{"Aries","Taurus","Gemini","Cancer","Leo","Virgo","Libra","Scorpio","Sagittarius","Capricorn","Aquarius","Pisces"},0),12)+1),12)+1)="FULL",NOT(CALC_PlanetPositions!$B$10=CALC_SuryaLagna!$E$13)),AND(CALC_PlanetPositions!$M$11="Malefic",INDEX(REF_Aspects!$D$5:$O$13,5,MOD(CALC_SuryaLagna!$F$13-(MOD(MATCH(CALC_PlanetPositions!$B$11,{"Aries","Taurus","Gemini","Cancer","Leo","Virgo","Libra","Scorpio","Sagittarius","Capricorn","Aquarius","Pisces"},0)-MATCH(CALC_PlanetPositions!$B$7,{"Aries","Taurus","Gemini","Cancer","Leo","Virgo","Libra","Scorpio","Sagittarius","Capricorn","Aquarius","Pisces"},0),12)+1),12)+1)="FULL",NOT(CALC_PlanetPositions!$B$11=CALC_SuryaLagna!$E$13)),AND(CALC_PlanetPositions!$M$12="Malefic",INDEX(REF_Aspects!$D$5:$O$13,6,MOD(CALC_SuryaLagna!$F$13-(MOD(MATCH(CALC_PlanetPositions!$B$12,{"Aries","Taurus","Gemini","Cancer","Leo","Virgo","Libra","Scorpio","Sagittarius","Capricorn","Aquarius","Pisces"},0)-MATCH(CALC_PlanetPositions!$B$7,{"Aries","Taurus","Gemini","Cancer","Leo","Virgo","Libra","Scorpio","Sagittarius","Capricorn","Aquarius","Pisces"},0),12)+1),12)+1)="FULL",NOT(CALC_PlanetPositions!$B$12=CALC_SuryaLagna!$E$13)),AND(CALC_PlanetPositions!$M$13="Malefic",INDEX(REF_Aspects!$D$5:$O$13,7,MOD(CALC_SuryaLagna!$F$13-(MOD(MATCH(CALC_PlanetPositions!$B$13,{"Aries","Taurus","Gemini","Cancer","Leo","Virgo","Libra","Scorpio","Sagittarius","Capricorn","Aquarius","Pisces"},0)-MATCH(CALC_PlanetPositions!$B$7,{"Aries","Taurus","Gemini","Cancer","Leo","Virgo","Libra","Scorpio","Sagittarius","Capricorn","Aquarius","Pisces"},0),12)+1),12)+1)="FULL",NOT(CALC_PlanetPositions!$B$13=CALC_SuryaLagna!$E$13)),AND(TRUE(),INDEX(REF_Aspects!$D$5:$O$13,8,MOD(CALC_SuryaLagna!$F$13-(MOD(MATCH(CALC_PlanetPositions!$B$14,{"Aries","Taurus","Gemini","Cancer","Leo","Virgo","Libra","Scorpio","Sagittarius","Capricorn","Aquarius","Pisces"},0)-MATCH(CALC_PlanetPositions!$B$7,{"Aries","Taurus","Gemini","Cancer","Leo","Virgo","Libra","Scorpio","Sagittarius","Capricorn","Aquarius","Pisces"},0),12)+1),12)+1)="FULL",NOT(CALC_PlanetPositions!$B$14=CALC_SuryaLagna!$E$13)),AND(TRUE(),INDEX(REF_Aspects!$D$5:$O$13,9,MOD(CALC_SuryaLagna!$F$13-(MOD(MATCH(CALC_PlanetPositions!$B$15,{"Aries","Taurus","Gemini","Cancer","Leo","Virgo","Libra","Scorpio","Sagittarius","Capricorn","Aquarius","Pisces"},0)-MATCH(CALC_PlanetPositions!$B$7,{"Aries","Taurus","Gemini","Cancer","Leo","Virgo","Libra","Scorpio","Sagittarius","Capricorn","Aquarius","Pisces"},0),12)+1),12)+1)="FULL",NOT(CALC_PlanetPositions!$B$15=CALC_SuryaLagna!$E$13))),1,0),0))*-0.5,0)</f>
        <v>-0.5</v>
      </c>
      <c r="D21" s="403" t="s">
        <v>4634</v>
      </c>
    </row>
    <row r="22" spans="1:7" ht="27.75" customHeight="1" x14ac:dyDescent="0.2">
      <c r="A22" s="124" t="s">
        <v>4635</v>
      </c>
      <c r="B22" s="357" t="s">
        <v>3042</v>
      </c>
      <c r="C22" s="1117">
        <f>IFERROR((IFERROR(IF(CALC_SuryaLagna!$I$13="Yes",1,0),0))*IF(REF_Config!$B$6="KP",-1.75,IF(REF_Config!$B$6="Jaimini",-2,-2)),0)</f>
        <v>-2</v>
      </c>
      <c r="D22" s="400" t="s">
        <v>4636</v>
      </c>
    </row>
    <row r="23" spans="1:7" ht="27.75" customHeight="1" x14ac:dyDescent="0.2">
      <c r="A23" s="124" t="s">
        <v>4637</v>
      </c>
      <c r="B23" s="203" t="s">
        <v>3059</v>
      </c>
      <c r="C23" s="1118">
        <f>IFERROR((IFERROR(IF(OR(AND(CALC_SuryaLagna!$E$9=CALC_SuryaLagna!$E$13,CALC_SuryaLagna!$D$9&lt;&gt;CALC_SuryaLagna!$D$13),AND(CALC_SuryaLagna!$E$11=CALC_SuryaLagna!$E$13,CALC_SuryaLagna!$D$11&lt;&gt;CALC_SuryaLagna!$D$13),AND(CALC_SuryaLagna!$E$15=CALC_SuryaLagna!$E$13,CALC_SuryaLagna!$D$15&lt;&gt;CALC_SuryaLagna!$D$13)),1,0),0))*-1,0)</f>
        <v>0</v>
      </c>
      <c r="D23" s="403" t="s">
        <v>4638</v>
      </c>
    </row>
    <row r="24" spans="1:7" ht="15.75" customHeight="1" x14ac:dyDescent="0.2">
      <c r="A24" s="1484" t="s">
        <v>4639</v>
      </c>
      <c r="B24" s="1484"/>
      <c r="C24" s="1484"/>
      <c r="D24" s="1484"/>
    </row>
    <row r="25" spans="1:7" ht="27.75" customHeight="1" x14ac:dyDescent="0.2">
      <c r="A25" s="124" t="s">
        <v>4640</v>
      </c>
      <c r="B25" s="357" t="s">
        <v>3084</v>
      </c>
      <c r="C25" s="1117">
        <f>IFERROR(IF(CALC_KarakMap!$M$14&gt;0,CALC_KarakMap!$M$14,0),0)</f>
        <v>0</v>
      </c>
      <c r="D25" s="400" t="s">
        <v>4641</v>
      </c>
    </row>
    <row r="26" spans="1:7" ht="27.75" customHeight="1" x14ac:dyDescent="0.2">
      <c r="A26" s="124" t="s">
        <v>4642</v>
      </c>
      <c r="B26" s="203" t="s">
        <v>4564</v>
      </c>
      <c r="C26" s="1118">
        <f>IFERROR(IF(CALC_KarakMap!$M$14&lt;0,CALC_KarakMap!$M$14,0),0)</f>
        <v>0</v>
      </c>
      <c r="D26" s="403" t="s">
        <v>4643</v>
      </c>
    </row>
    <row r="27" spans="1:7" ht="27.75" customHeight="1" x14ac:dyDescent="0.2">
      <c r="A27" s="1119" t="s">
        <v>4644</v>
      </c>
      <c r="B27" s="296" t="s">
        <v>3624</v>
      </c>
      <c r="C27" s="1117">
        <f>IFERROR(IF(OR(CALC_SuryaLagna!$D$13="Sun",CALC_SuryaLagna!$D$13="Rahu",CALC_SuryaLagna!$D$13="Ketu"),0,IF(CALC_SuryaLagna!$D$13="Moon",IF(CALC_CombustionCheck!$G$4="Cazimi ✓",0.5,IF(CALC_CombustionCheck!$F$4="COMBUST ⚠",-1,0)),IF(CALC_SuryaLagna!$D$13="Mars",IF(CALC_CombustionCheck!$G$5="Cazimi ✓",0.5,IF(AND(CALC_CombustionCheck!$F$5="COMBUST ⚠",CALC_RetrogradeFix!$F$6="Rx ✓"),-0.5,IF(CALC_CombustionCheck!$F$5="COMBUST ⚠",-1,0))),IF(CALC_SuryaLagna!$D$13="Mercury",IF(CALC_CombustionCheck!$G$6="Cazimi ✓",0.5,IF(AND(CALC_CombustionCheck!$F$6="COMBUST ⚠",CALC_RetrogradeFix!$F$7="Rx ✓"),-0.5,IF(CALC_CombustionCheck!$F$6="COMBUST ⚠",-1,0))),IF(CALC_SuryaLagna!$D$13="Jupiter",IF(CALC_CombustionCheck!$G$7="Cazimi ✓",0.5,IF(AND(CALC_CombustionCheck!$F$7="COMBUST ⚠",CALC_RetrogradeFix!$F$8="Rx ✓"),-0.5,IF(CALC_CombustionCheck!$F$7="COMBUST ⚠",-1,0))),IF(CALC_SuryaLagna!$D$13="Venus",IF(CALC_CombustionCheck!$G$8="Cazimi ✓",0.5,IF(AND(CALC_CombustionCheck!$F$8="COMBUST ⚠",CALC_RetrogradeFix!$F$9="Rx ✓"),-0.5,IF(CALC_CombustionCheck!$F$8="COMBUST ⚠",-1,0))),IF(CALC_SuryaLagna!$D$13="Saturn",IF(CALC_CombustionCheck!$G$9="Cazimi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SuryaLagna!$D$13="Rahu",CALC_SuryaLagna!$D$13="Ketu"),0,IF(ISNUMBER(MATCH(CALC_SuryaLagna!$D$13,{"Sun","Moon","Mars","Mercury","Jupiter","Venus","Saturn"},0)),IF(INDEX(CALC_DigBala!$F$4:$F$10,MATCH(CALC_SuryaLagna!$D$13,{"Sun","Moon","Mars","Mercury","Jupiter","Venus","Saturn"},0))="Yes",0.5,0),0)),0)</f>
        <v>0</v>
      </c>
      <c r="D28" s="400" t="s">
        <v>4647</v>
      </c>
    </row>
    <row r="29" spans="1:7" ht="27.75" customHeight="1" x14ac:dyDescent="0.2">
      <c r="A29" s="1120" t="s">
        <v>4648</v>
      </c>
      <c r="B29" s="296" t="s">
        <v>3372</v>
      </c>
      <c r="C29" s="1117">
        <f>IFERROR(IF(COUNTIFS(REF_PushkaraNavamsha!$A$4:$A$27,CALC_SuryaLagna!$E$13,REF_PushkaraNavamsha!$B$4:$B$27,INDEX(CALC_PlanetPositions!$G$7:$G$15,MATCH(CALC_SuryaLagna!$D$13,CALC_PlanetPositions!$A$7:$A$15,0)))&gt;0,0.5,0),0)</f>
        <v>0</v>
      </c>
      <c r="D29" s="400" t="s">
        <v>4649</v>
      </c>
    </row>
    <row r="30" spans="1:7" ht="25.5" customHeight="1" x14ac:dyDescent="0.2">
      <c r="A30" s="147" t="s">
        <v>4650</v>
      </c>
      <c r="B30" s="1121" t="s">
        <v>4651</v>
      </c>
      <c r="C30" s="1122">
        <f>IFERROR(IF(ISNUMBER(MATCH(CALC_SuryaLagna!$D$13,{"Sun","Moon","Mars","Mercury","Jupiter","Venus","Saturn"},0)),INDEX(CALC_RetrogradeFix!$G$4:$G$10,MATCH(CALC_SuryaLagna!$D$13,{"Sun","Moon","Mars","Mercury","Jupiter","Venus","Saturn"},0)),0),0)</f>
        <v>0</v>
      </c>
      <c r="D30" s="1123" t="s">
        <v>4652</v>
      </c>
    </row>
    <row r="31" spans="1:7" ht="18" customHeight="1" x14ac:dyDescent="0.2">
      <c r="A31" s="1555" t="s">
        <v>4653</v>
      </c>
      <c r="B31" s="1555"/>
      <c r="C31" s="1555"/>
      <c r="D31" s="1555"/>
      <c r="E31" s="1124" t="s">
        <v>4654</v>
      </c>
      <c r="F31" s="1125">
        <f>IFERROR(IF(CALC_Ashtakavarga!K$12&gt;28,0.5,IF(CALC_Ashtakavarga!K$12&lt;22,-0.5,0)),0)</f>
        <v>-0.5</v>
      </c>
      <c r="G31" s="1126" t="s">
        <v>4655</v>
      </c>
    </row>
    <row r="32" spans="1:7" ht="18" customHeight="1" x14ac:dyDescent="0.2">
      <c r="A32" s="189" t="s">
        <v>3367</v>
      </c>
      <c r="B32" s="1127" t="s">
        <v>4656</v>
      </c>
      <c r="C32" s="1128">
        <f>IFERROR(SUM(C5:C7),0)</f>
        <v>2.25</v>
      </c>
      <c r="D32" s="1129"/>
    </row>
    <row r="33" spans="1:4" ht="18" customHeight="1" x14ac:dyDescent="0.2">
      <c r="A33" s="189" t="s">
        <v>3372</v>
      </c>
      <c r="B33" s="1127" t="s">
        <v>4657</v>
      </c>
      <c r="C33" s="1128">
        <f>IFERROR(SUM(C9:C13,C28:C30,F31,0),0)</f>
        <v>-0.5</v>
      </c>
      <c r="D33" s="1129"/>
    </row>
    <row r="34" spans="1:4" ht="18" customHeight="1" x14ac:dyDescent="0.2">
      <c r="A34" s="189" t="s">
        <v>4621</v>
      </c>
      <c r="B34" s="1127" t="s">
        <v>4658</v>
      </c>
      <c r="C34" s="1128">
        <f>IFERROR(SUM(C15:C18),0)</f>
        <v>-1</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-1.75</v>
      </c>
      <c r="D37" s="1129"/>
    </row>
    <row r="38" spans="1:4" ht="21.75" customHeight="1" x14ac:dyDescent="0.2">
      <c r="A38" s="89" t="s">
        <v>4661</v>
      </c>
      <c r="B38" s="1129"/>
      <c r="C38" s="1131">
        <f>IFERROR(MAX(-10,MIN(10,C37)),0)</f>
        <v>-1.75</v>
      </c>
      <c r="D38" s="1132"/>
    </row>
    <row r="39" spans="1:4" ht="18" customHeight="1" x14ac:dyDescent="0.2">
      <c r="A39" s="517" t="s">
        <v>4662</v>
      </c>
      <c r="B39" s="1129"/>
      <c r="C39" s="1133">
        <f>IFERROR(CALC_LagneshStrength!$I$4,0)</f>
        <v>0</v>
      </c>
      <c r="D39" s="1129"/>
    </row>
    <row r="40" spans="1:4" ht="25.5" customHeight="1" x14ac:dyDescent="0.2">
      <c r="A40" s="1137" t="s">
        <v>4663</v>
      </c>
      <c r="B40" s="1129"/>
      <c r="C40" s="1138">
        <f>IFERROR(MAX(-10,MIN(10,C38+C39+C41)),0)</f>
        <v>-1.5</v>
      </c>
      <c r="D40" s="1139" t="str">
        <f>IFERROR(IF(C40&gt;=7,"Excellent — Career domain very strong",IF(C40&gt;=4,"Good — Career domain strong",IF(C40&gt;=1,"Moderate",IF(C40&gt;=-2,"Mixed — Career has challenges",IF(C40&gt;=-5,"Weak","Very weak — Career heavily afflicted"))))),"—")</f>
        <v>Mixed — Career has challenges</v>
      </c>
    </row>
    <row r="41" spans="1:4" ht="18" customHeight="1" x14ac:dyDescent="0.2">
      <c r="A41" s="622" t="s">
        <v>4686</v>
      </c>
      <c r="B41" s="904" t="s">
        <v>4705</v>
      </c>
      <c r="C41" s="1160">
        <v>0.25</v>
      </c>
      <c r="D41" s="550" t="s">
        <v>4724</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4725</v>
      </c>
      <c r="B1" s="1518"/>
      <c r="C1" s="1518"/>
      <c r="D1" s="1518"/>
      <c r="L1" s="544" t="s">
        <v>2214</v>
      </c>
    </row>
    <row r="2" spans="1:12" ht="19.5" customHeight="1" x14ac:dyDescent="0.2">
      <c r="A2" s="1595" t="str">
        <f>IFERROR("Surya Lagna: "&amp;CALC_PlanetPositions!$B$7&amp;"  ·  H11 sign: "&amp;CALC_SuryaLagna!$C$14,"—")</f>
        <v>Surya Lagna: Cancer  ·  H11 sign: Taurus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55" t="s">
        <v>4605</v>
      </c>
      <c r="B5" s="357" t="s">
        <v>4529</v>
      </c>
      <c r="C5" s="1117">
        <f>IFERROR((IFERROR(IF(INDEX(REF_Zodiac!$D$17:$O$17,MATCH(CALC_SuryaLagna!$C$14,REF_Zodiac!$D$3:$O$3,0))="Gentle",1,0),0))*0.5,0)</f>
        <v>0.5</v>
      </c>
      <c r="D5" s="400" t="s">
        <v>4606</v>
      </c>
    </row>
    <row r="6" spans="1:12" ht="27.75" customHeight="1" x14ac:dyDescent="0.2">
      <c r="A6" s="1155"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155" t="s">
        <v>4609</v>
      </c>
      <c r="B7" s="357" t="s">
        <v>4534</v>
      </c>
      <c r="C7" s="1117">
        <f>IFERROR((IFERROR(IF(OR(AND(OR(CALC_PlanetPositions!$M$7="Benefic",CALC_PlanetPositions!$M$7="Yogakaraka"),INDEX(REF_Aspects!$D$5:$O$13,1,MOD(11-(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11)),AND(OR(CALC_PlanetPositions!$M$8="Benefic",CALC_PlanetPositions!$M$8="Yogakaraka"),INDEX(REF_Aspects!$D$5:$O$13,2,MOD(11-(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11)),AND(OR(CALC_PlanetPositions!$M$9="Benefic",CALC_PlanetPositions!$M$9="Yogakaraka"),INDEX(REF_Aspects!$D$5:$O$13,3,MOD(11-(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11)),AND(OR(CALC_PlanetPositions!$M$10="Benefic",CALC_PlanetPositions!$M$10="Yogakaraka"),INDEX(REF_Aspects!$D$5:$O$13,4,MOD(11-(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11)),AND(OR(CALC_PlanetPositions!$M$11="Benefic",CALC_PlanetPositions!$M$11="Yogakaraka"),INDEX(REF_Aspects!$D$5:$O$13,5,MOD(11-(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11)),AND(OR(CALC_PlanetPositions!$M$12="Benefic",CALC_PlanetPositions!$M$12="Yogakaraka"),INDEX(REF_Aspects!$D$5:$O$13,6,MOD(11-(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11)),AND(OR(CALC_PlanetPositions!$M$13="Benefic",CALC_PlanetPositions!$M$13="Yogakaraka"),INDEX(REF_Aspects!$D$5:$O$13,7,MOD(11-(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11)),AND(FALSE(),INDEX(REF_Aspects!$D$5:$O$13,8,MOD(11-(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11)),AND(FALSE(),INDEX(REF_Aspects!$D$5:$O$13,9,MOD(11-(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11))),1,0),0))*IF(REF_Config!$B$6="KP",0.5,IF(REF_Config!$B$6="Jaimini",0.75,0.75)),0)</f>
        <v>0</v>
      </c>
      <c r="D7" s="400" t="s">
        <v>4610</v>
      </c>
    </row>
    <row r="8" spans="1:12" ht="15.75" customHeight="1" x14ac:dyDescent="0.2">
      <c r="A8" s="1597" t="s">
        <v>3372</v>
      </c>
      <c r="B8" s="1597"/>
      <c r="C8" s="1597"/>
      <c r="D8" s="1597"/>
    </row>
    <row r="9" spans="1:12" ht="27.75" customHeight="1" x14ac:dyDescent="0.2">
      <c r="A9" s="1155" t="s">
        <v>4611</v>
      </c>
      <c r="B9" s="203" t="s">
        <v>4537</v>
      </c>
      <c r="C9" s="1118">
        <f>IFERROR(IF(AND(OR(CALC_SuryaLagna!$G$14="Yes",CALC_SuryaLagna!$H$14="Yes"),NOT(CALC_SuryaLagna!$I$14="Yes")),1,0)*IF(REF_Config!$B$6="KP",1.5,IF(REF_Config!$B$6="Jaimini",1.5,2)),0)</f>
        <v>2</v>
      </c>
      <c r="D9" s="403" t="s">
        <v>4612</v>
      </c>
    </row>
    <row r="10" spans="1:12" ht="27.75" customHeight="1" x14ac:dyDescent="0.2">
      <c r="A10" s="1155" t="s">
        <v>4613</v>
      </c>
      <c r="B10" s="357" t="s">
        <v>3093</v>
      </c>
      <c r="C10" s="1117">
        <f>IFERROR((IFERROR(IF(OR(AND(CALC_SuryaLagna!$E$4=CALC_SuryaLagna!$E$14,CALC_SuryaLagna!$D$4&lt;&gt;CALC_SuryaLagna!$D$14),AND(CALC_SuryaLagna!$E$7=CALC_SuryaLagna!$E$14,CALC_SuryaLagna!$D$7&lt;&gt;CALC_SuryaLagna!$D$14),AND(CALC_SuryaLagna!$E$8=CALC_SuryaLagna!$E$14,CALC_SuryaLagna!$D$8&lt;&gt;CALC_SuryaLagna!$D$14),AND(CALC_SuryaLagna!$E$10=CALC_SuryaLagna!$E$14,CALC_SuryaLagna!$D$10&lt;&gt;CALC_SuryaLagna!$D$14),AND(CALC_SuryaLagna!$E$12=CALC_SuryaLagna!$E$14,CALC_SuryaLagna!$D$12&lt;&gt;CALC_SuryaLagna!$D$14),AND(CALC_SuryaLagna!$E$13=CALC_SuryaLagna!$E$14,CALC_SuryaLagna!$D$13&lt;&gt;CALC_SuryaLagna!$D$14)),1,0),0))*0.5,0)</f>
        <v>0.5</v>
      </c>
      <c r="D10" s="400" t="s">
        <v>4614</v>
      </c>
    </row>
    <row r="11" spans="1:12" ht="27.75" customHeight="1" x14ac:dyDescent="0.2">
      <c r="A11" s="1155" t="s">
        <v>4615</v>
      </c>
      <c r="B11" s="203" t="s">
        <v>4540</v>
      </c>
      <c r="C11" s="1118">
        <f>IFERROR((IFERROR(IF(OR(AND(OR(CALC_PlanetPositions!$M$7="Benefic",CALC_PlanetPositions!$M$7="Yogakaraka"),CALC_PlanetPositions!$B$7=CALC_SuryaLagna!$E$14,CALC_SuryaLagna!$D$14&lt;&gt;"Sun"),AND(OR(CALC_PlanetPositions!$M$8="Benefic",CALC_PlanetPositions!$M$8="Yogakaraka"),CALC_PlanetPositions!$B$8=CALC_SuryaLagna!$E$14,CALC_SuryaLagna!$D$14&lt;&gt;"Moon"),AND(OR(CALC_PlanetPositions!$M$9="Benefic",CALC_PlanetPositions!$M$9="Yogakaraka"),CALC_PlanetPositions!$B$9=CALC_SuryaLagna!$E$14,CALC_SuryaLagna!$D$14&lt;&gt;"Mars"),AND(OR(CALC_PlanetPositions!$M$10="Benefic",CALC_PlanetPositions!$M$10="Yogakaraka"),CALC_PlanetPositions!$B$10=CALC_SuryaLagna!$E$14,CALC_SuryaLagna!$D$14&lt;&gt;"Mercury"),AND(OR(CALC_PlanetPositions!$M$11="Benefic",CALC_PlanetPositions!$M$11="Yogakaraka"),CALC_PlanetPositions!$B$11=CALC_SuryaLagna!$E$14,CALC_SuryaLagna!$D$14&lt;&gt;"Jupiter"),AND(OR(CALC_PlanetPositions!$M$12="Benefic",CALC_PlanetPositions!$M$12="Yogakaraka"),CALC_PlanetPositions!$B$12=CALC_SuryaLagna!$E$14,CALC_SuryaLagna!$D$14&lt;&gt;"Venus"),AND(OR(CALC_PlanetPositions!$M$13="Benefic",CALC_PlanetPositions!$M$13="Yogakaraka"),CALC_PlanetPositions!$B$13=CALC_SuryaLagna!$E$14,CALC_SuryaLagna!$D$14&lt;&gt;"Saturn")),1,0),0))*IF(OR(AND(CALC_PlanetPositions!$M$7="Yogakaraka",CALC_PlanetPositions!$B$7=CALC_SuryaLagna!$E$14,CALC_SuryaLagna!$D$14&lt;&gt;"Sun"),AND(CALC_PlanetPositions!$M$8="Yogakaraka",CALC_PlanetPositions!$B$8=CALC_SuryaLagna!$E$14,CALC_SuryaLagna!$D$14&lt;&gt;"Moon"),AND(CALC_PlanetPositions!$M$9="Yogakaraka",CALC_PlanetPositions!$B$9=CALC_SuryaLagna!$E$14,CALC_SuryaLagna!$D$14&lt;&gt;"Mars"),AND(CALC_PlanetPositions!$M$10="Yogakaraka",CALC_PlanetPositions!$B$10=CALC_SuryaLagna!$E$14,CALC_SuryaLagna!$D$14&lt;&gt;"Mercury"),AND(CALC_PlanetPositions!$M$11="Yogakaraka",CALC_PlanetPositions!$B$11=CALC_SuryaLagna!$E$14,CALC_SuryaLagna!$D$14&lt;&gt;"Jupiter"),AND(CALC_PlanetPositions!$M$12="Yogakaraka",CALC_PlanetPositions!$B$12=CALC_SuryaLagna!$E$14,CALC_SuryaLagna!$D$14&lt;&gt;"Venus"),AND(CALC_PlanetPositions!$M$13="Yogakaraka",CALC_PlanetPositions!$B$13=CALC_SuryaLagna!$E$14,CALC_SuryaLagna!$D$14&lt;&gt;"Saturn")),1.5,1),0)</f>
        <v>1.5</v>
      </c>
      <c r="D11" s="403" t="s">
        <v>4616</v>
      </c>
    </row>
    <row r="12" spans="1:12" ht="27.75" customHeight="1" x14ac:dyDescent="0.2">
      <c r="A12" s="1155" t="s">
        <v>4617</v>
      </c>
      <c r="B12" s="357" t="s">
        <v>4542</v>
      </c>
      <c r="C12" s="1117">
        <f>IFERROR((IFERROR(IF(OR(AND(OR(CALC_PlanetPositions!$M$7="Benefic",CALC_PlanetPositions!$M$7="Yogakaraka"),INDEX(REF_Aspects!$D$5:$O$13,1,MOD(CALC_SuryaLagna!$F$14-(MOD(MATCH(CALC_PlanetPositions!$B$7,{"Aries","Taurus","Gemini","Cancer","Leo","Virgo","Libra","Scorpio","Sagittarius","Capricorn","Aquarius","Pisces"},0)-MATCH(CALC_PlanetPositions!$B$7,{"Aries","Taurus","Gemini","Cancer","Leo","Virgo","Libra","Scorpio","Sagittarius","Capricorn","Aquarius","Pisces"},0),12)+1),12)+1)="FULL",NOT(CALC_PlanetPositions!$B$7=CALC_SuryaLagna!$E$14)),AND(OR(CALC_PlanetPositions!$M$8="Benefic",CALC_PlanetPositions!$M$8="Yogakaraka"),INDEX(REF_Aspects!$D$5:$O$13,2,MOD(CALC_SuryaLagna!$F$14-(MOD(MATCH(CALC_PlanetPositions!$B$8,{"Aries","Taurus","Gemini","Cancer","Leo","Virgo","Libra","Scorpio","Sagittarius","Capricorn","Aquarius","Pisces"},0)-MATCH(CALC_PlanetPositions!$B$7,{"Aries","Taurus","Gemini","Cancer","Leo","Virgo","Libra","Scorpio","Sagittarius","Capricorn","Aquarius","Pisces"},0),12)+1),12)+1)="FULL",NOT(CALC_PlanetPositions!$B$8=CALC_SuryaLagna!$E$14)),AND(OR(CALC_PlanetPositions!$M$9="Benefic",CALC_PlanetPositions!$M$9="Yogakaraka"),INDEX(REF_Aspects!$D$5:$O$13,3,MOD(CALC_SuryaLagna!$F$14-(MOD(MATCH(CALC_PlanetPositions!$B$9,{"Aries","Taurus","Gemini","Cancer","Leo","Virgo","Libra","Scorpio","Sagittarius","Capricorn","Aquarius","Pisces"},0)-MATCH(CALC_PlanetPositions!$B$7,{"Aries","Taurus","Gemini","Cancer","Leo","Virgo","Libra","Scorpio","Sagittarius","Capricorn","Aquarius","Pisces"},0),12)+1),12)+1)="FULL",NOT(CALC_PlanetPositions!$B$9=CALC_SuryaLagna!$E$14)),AND(OR(CALC_PlanetPositions!$M$10="Benefic",CALC_PlanetPositions!$M$10="Yogakaraka"),INDEX(REF_Aspects!$D$5:$O$13,4,MOD(CALC_SuryaLagna!$F$14-(MOD(MATCH(CALC_PlanetPositions!$B$10,{"Aries","Taurus","Gemini","Cancer","Leo","Virgo","Libra","Scorpio","Sagittarius","Capricorn","Aquarius","Pisces"},0)-MATCH(CALC_PlanetPositions!$B$7,{"Aries","Taurus","Gemini","Cancer","Leo","Virgo","Libra","Scorpio","Sagittarius","Capricorn","Aquarius","Pisces"},0),12)+1),12)+1)="FULL",NOT(CALC_PlanetPositions!$B$10=CALC_SuryaLagna!$E$14)),AND(OR(CALC_PlanetPositions!$M$11="Benefic",CALC_PlanetPositions!$M$11="Yogakaraka"),INDEX(REF_Aspects!$D$5:$O$13,5,MOD(CALC_SuryaLagna!$F$14-(MOD(MATCH(CALC_PlanetPositions!$B$11,{"Aries","Taurus","Gemini","Cancer","Leo","Virgo","Libra","Scorpio","Sagittarius","Capricorn","Aquarius","Pisces"},0)-MATCH(CALC_PlanetPositions!$B$7,{"Aries","Taurus","Gemini","Cancer","Leo","Virgo","Libra","Scorpio","Sagittarius","Capricorn","Aquarius","Pisces"},0),12)+1),12)+1)="FULL",NOT(CALC_PlanetPositions!$B$11=CALC_SuryaLagna!$E$14)),AND(OR(CALC_PlanetPositions!$M$12="Benefic",CALC_PlanetPositions!$M$12="Yogakaraka"),INDEX(REF_Aspects!$D$5:$O$13,6,MOD(CALC_SuryaLagna!$F$14-(MOD(MATCH(CALC_PlanetPositions!$B$12,{"Aries","Taurus","Gemini","Cancer","Leo","Virgo","Libra","Scorpio","Sagittarius","Capricorn","Aquarius","Pisces"},0)-MATCH(CALC_PlanetPositions!$B$7,{"Aries","Taurus","Gemini","Cancer","Leo","Virgo","Libra","Scorpio","Sagittarius","Capricorn","Aquarius","Pisces"},0),12)+1),12)+1)="FULL",NOT(CALC_PlanetPositions!$B$12=CALC_SuryaLagna!$E$14)),AND(OR(CALC_PlanetPositions!$M$13="Benefic",CALC_PlanetPositions!$M$13="Yogakaraka"),INDEX(REF_Aspects!$D$5:$O$13,7,MOD(CALC_SuryaLagna!$F$14-(MOD(MATCH(CALC_PlanetPositions!$B$13,{"Aries","Taurus","Gemini","Cancer","Leo","Virgo","Libra","Scorpio","Sagittarius","Capricorn","Aquarius","Pisces"},0)-MATCH(CALC_PlanetPositions!$B$7,{"Aries","Taurus","Gemini","Cancer","Leo","Virgo","Libra","Scorpio","Sagittarius","Capricorn","Aquarius","Pisces"},0),12)+1),12)+1)="FULL",NOT(CALC_PlanetPositions!$B$13=CALC_SuryaLagna!$E$14)),AND(FALSE(),INDEX(REF_Aspects!$D$5:$O$13,8,MOD(CALC_SuryaLagna!$F$14-(MOD(MATCH(CALC_PlanetPositions!$B$14,{"Aries","Taurus","Gemini","Cancer","Leo","Virgo","Libra","Scorpio","Sagittarius","Capricorn","Aquarius","Pisces"},0)-MATCH(CALC_PlanetPositions!$B$7,{"Aries","Taurus","Gemini","Cancer","Leo","Virgo","Libra","Scorpio","Sagittarius","Capricorn","Aquarius","Pisces"},0),12)+1),12)+1)="FULL",NOT(CALC_PlanetPositions!$B$14=CALC_SuryaLagna!$E$14)),AND(FALSE(),INDEX(REF_Aspects!$D$5:$O$13,9,MOD(CALC_SuryaLagna!$F$14-(MOD(MATCH(CALC_PlanetPositions!$B$15,{"Aries","Taurus","Gemini","Cancer","Leo","Virgo","Libra","Scorpio","Sagittarius","Capricorn","Aquarius","Pisces"},0)-MATCH(CALC_PlanetPositions!$B$7,{"Aries","Taurus","Gemini","Cancer","Leo","Virgo","Libra","Scorpio","Sagittarius","Capricorn","Aquarius","Pisces"},0),12)+1),12)+1)="FULL",NOT(CALC_PlanetPositions!$B$15=CALC_SuryaLagna!$E$14))),1,0),0))*0.5,0)</f>
        <v>0</v>
      </c>
      <c r="D12" s="400" t="s">
        <v>4618</v>
      </c>
    </row>
    <row r="13" spans="1:12" ht="27.75" customHeight="1" x14ac:dyDescent="0.2">
      <c r="A13" s="1155"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$14-2,12)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$14-2,12)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$14-2,12)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$14-2,12)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$14-2,12)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$14-2,12)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$14-2,12)+1)),AND(FALSE(),MOD(MATCH(CALC_PlanetPositions!$B$14,{"Aries","Taurus","Gemini","Cancer","Leo","Virgo","Libra","Scorpio","Sagittarius","Capricorn","Aquarius","Pisces"},0)-MATCH(CALC_PlanetPositions!$B$7,{"Aries","Taurus","Gemini","Cancer","Leo","Virgo","Libra","Scorpio","Sagittarius","Capricorn","Aquarius","Pisces"},0),12)+1=(MOD(CALC_SuryaLagna!$F$14-2,12)+1)),AND(FALSE(),MOD(MATCH(CALC_PlanetPositions!$B$15,{"Aries","Taurus","Gemini","Cancer","Leo","Virgo","Libra","Scorpio","Sagittarius","Capricorn","Aquarius","Pisces"},0)-MATCH(CALC_PlanetPositions!$B$7,{"Aries","Taurus","Gemini","Cancer","Leo","Virgo","Libra","Scorpio","Sagittarius","Capricorn","Aquarius","Pisces"},0),12)+1=(MOD(CALC_SuryaLagna!$F$14-2,12)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$14,12)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$14,12)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$14,12)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$14,12)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$14,12)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$14,12)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$14,12)+1)),AND(FALSE(),MOD(MATCH(CALC_PlanetPositions!$B$14,{"Aries","Taurus","Gemini","Cancer","Leo","Virgo","Libra","Scorpio","Sagittarius","Capricorn","Aquarius","Pisces"},0)-MATCH(CALC_PlanetPositions!$B$7,{"Aries","Taurus","Gemini","Cancer","Leo","Virgo","Libra","Scorpio","Sagittarius","Capricorn","Aquarius","Pisces"},0),12)+1=(MOD(CALC_SuryaLagna!$F$14,12)+1)),AND(FALSE(),MOD(MATCH(CALC_PlanetPositions!$B$15,{"Aries","Taurus","Gemini","Cancer","Leo","Virgo","Libra","Scorpio","Sagittarius","Capricorn","Aquarius","Pisces"},0)-MATCH(CALC_PlanetPositions!$B$7,{"Aries","Taurus","Gemini","Cancer","Leo","Virgo","Libra","Scorpio","Sagittarius","Capricorn","Aquarius","Pisces"},0),12)+1=(MOD(CALC_SuryaLagna!$F$14,12)+1)))),1,0),0))*IF(REF_Config!$B$6="KP",0.75,IF(REF_Config!$B$6="Jaimini",0.5,0.75)),0)</f>
        <v>0</v>
      </c>
      <c r="D13" s="403" t="s">
        <v>4620</v>
      </c>
    </row>
    <row r="14" spans="1:12" ht="15.75" customHeight="1" x14ac:dyDescent="0.2">
      <c r="A14" s="1598" t="s">
        <v>4621</v>
      </c>
      <c r="B14" s="1598"/>
      <c r="C14" s="1598"/>
      <c r="D14" s="1598"/>
    </row>
    <row r="15" spans="1:12" ht="27.75" customHeight="1" x14ac:dyDescent="0.2">
      <c r="A15" s="1155"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11),AND(CALC_PlanetPositions!$M$8="Malefic",(MOD(MATCH(CALC_PlanetPositions!$B$8,{"Aries","Taurus","Gemini","Cancer","Leo","Virgo","Libra","Scorpio","Sagittarius","Capricorn","Aquarius","Pisces"},0)-MATCH(CALC_PlanetPositions!$B$7,{"Aries","Taurus","Gemini","Cancer","Leo","Virgo","Libra","Scorpio","Sagittarius","Capricorn","Aquarius","Pisces"},0),12)+1)=11),AND(CALC_PlanetPositions!$M$9="Malefic",(MOD(MATCH(CALC_PlanetPositions!$B$9,{"Aries","Taurus","Gemini","Cancer","Leo","Virgo","Libra","Scorpio","Sagittarius","Capricorn","Aquarius","Pisces"},0)-MATCH(CALC_PlanetPositions!$B$7,{"Aries","Taurus","Gemini","Cancer","Leo","Virgo","Libra","Scorpio","Sagittarius","Capricorn","Aquarius","Pisces"},0),12)+1)=11),AND(CALC_PlanetPositions!$M$10="Malefic",(MOD(MATCH(CALC_PlanetPositions!$B$10,{"Aries","Taurus","Gemini","Cancer","Leo","Virgo","Libra","Scorpio","Sagittarius","Capricorn","Aquarius","Pisces"},0)-MATCH(CALC_PlanetPositions!$B$7,{"Aries","Taurus","Gemini","Cancer","Leo","Virgo","Libra","Scorpio","Sagittarius","Capricorn","Aquarius","Pisces"},0),12)+1)=11),AND(CALC_PlanetPositions!$M$11="Malefic",(MOD(MATCH(CALC_PlanetPositions!$B$11,{"Aries","Taurus","Gemini","Cancer","Leo","Virgo","Libra","Scorpio","Sagittarius","Capricorn","Aquarius","Pisces"},0)-MATCH(CALC_PlanetPositions!$B$7,{"Aries","Taurus","Gemini","Cancer","Leo","Virgo","Libra","Scorpio","Sagittarius","Capricorn","Aquarius","Pisces"},0),12)+1)=11),AND(CALC_PlanetPositions!$M$12="Malefic",(MOD(MATCH(CALC_PlanetPositions!$B$12,{"Aries","Taurus","Gemini","Cancer","Leo","Virgo","Libra","Scorpio","Sagittarius","Capricorn","Aquarius","Pisces"},0)-MATCH(CALC_PlanetPositions!$B$7,{"Aries","Taurus","Gemini","Cancer","Leo","Virgo","Libra","Scorpio","Sagittarius","Capricorn","Aquarius","Pisces"},0),12)+1)=11),AND(CALC_PlanetPositions!$M$13="Malefic",(MOD(MATCH(CALC_PlanetPositions!$B$13,{"Aries","Taurus","Gemini","Cancer","Leo","Virgo","Libra","Scorpio","Sagittarius","Capricorn","Aquarius","Pisces"},0)-MATCH(CALC_PlanetPositions!$B$7,{"Aries","Taurus","Gemini","Cancer","Leo","Virgo","Libra","Scorpio","Sagittarius","Capricorn","Aquarius","Pisces"},0),12)+1)=11),AND(TRUE(),(MOD(MATCH(CALC_PlanetPositions!$B$14,{"Aries","Taurus","Gemini","Cancer","Leo","Virgo","Libra","Scorpio","Sagittarius","Capricorn","Aquarius","Pisces"},0)-MATCH(CALC_PlanetPositions!$B$7,{"Aries","Taurus","Gemini","Cancer","Leo","Virgo","Libra","Scorpio","Sagittarius","Capricorn","Aquarius","Pisces"},0),12)+1)=11),AND(TRUE(),(MOD(MATCH(CALC_PlanetPositions!$B$15,{"Aries","Taurus","Gemini","Cancer","Leo","Virgo","Libra","Scorpio","Sagittarius","Capricorn","Aquarius","Pisces"},0)-MATCH(CALC_PlanetPositions!$B$7,{"Aries","Taurus","Gemini","Cancer","Leo","Virgo","Libra","Scorpio","Sagittarius","Capricorn","Aquarius","Pisces"},0),12)+1)=11)),1,0),0))*-1,0)</f>
        <v>-1</v>
      </c>
      <c r="D15" s="400" t="s">
        <v>4623</v>
      </c>
    </row>
    <row r="16" spans="1:12" ht="27.75" customHeight="1" x14ac:dyDescent="0.2">
      <c r="A16" s="1155" t="s">
        <v>4624</v>
      </c>
      <c r="B16" s="203" t="s">
        <v>4548</v>
      </c>
      <c r="C16" s="1118">
        <f>IFERROR((IFERROR(IF(OR(AND(CALC_PlanetPositions!$M$7="Malefic",INDEX(REF_Aspects!$D$5:$O$13,1,MOD(11-(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11)),AND(CALC_PlanetPositions!$M$8="Malefic",INDEX(REF_Aspects!$D$5:$O$13,2,MOD(11-(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11)),AND(CALC_PlanetPositions!$M$9="Malefic",INDEX(REF_Aspects!$D$5:$O$13,3,MOD(11-(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11)),AND(CALC_PlanetPositions!$M$10="Malefic",INDEX(REF_Aspects!$D$5:$O$13,4,MOD(11-(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11)),AND(CALC_PlanetPositions!$M$11="Malefic",INDEX(REF_Aspects!$D$5:$O$13,5,MOD(11-(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11)),AND(CALC_PlanetPositions!$M$12="Malefic",INDEX(REF_Aspects!$D$5:$O$13,6,MOD(11-(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11)),AND(CALC_PlanetPositions!$M$13="Malefic",INDEX(REF_Aspects!$D$5:$O$13,7,MOD(11-(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11)),AND(TRUE(),INDEX(REF_Aspects!$D$5:$O$13,8,MOD(11-(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11)),AND(TRUE(),INDEX(REF_Aspects!$D$5:$O$13,9,MOD(11-(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11))),1,0),0))*-1,0)</f>
        <v>-1</v>
      </c>
      <c r="D16" s="403" t="s">
        <v>4625</v>
      </c>
    </row>
    <row r="17" spans="1:7" ht="27.75" customHeight="1" x14ac:dyDescent="0.2">
      <c r="A17" s="1155" t="s">
        <v>4626</v>
      </c>
      <c r="B17" s="357" t="s">
        <v>3062</v>
      </c>
      <c r="C17" s="1117">
        <v>0</v>
      </c>
      <c r="D17" s="400" t="s">
        <v>4627</v>
      </c>
    </row>
    <row r="18" spans="1:7" ht="27.75" customHeight="1" x14ac:dyDescent="0.2">
      <c r="A18" s="1155"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(11-2,12)+1)),AND(CALC_PlanetPositions!$M$8="Malefic",MOD(MATCH(CALC_PlanetPositions!$B$8,{"Aries","Taurus","Gemini","Cancer","Leo","Virgo","Libra","Scorpio","Sagittarius","Capricorn","Aquarius","Pisces"},0)-MATCH(CALC_PlanetPositions!$B$7,{"Aries","Taurus","Gemini","Cancer","Leo","Virgo","Libra","Scorpio","Sagittarius","Capricorn","Aquarius","Pisces"},0),12)+1=(MOD(11-2,12)+1)),AND(CALC_PlanetPositions!$M$9="Malefic",MOD(MATCH(CALC_PlanetPositions!$B$9,{"Aries","Taurus","Gemini","Cancer","Leo","Virgo","Libra","Scorpio","Sagittarius","Capricorn","Aquarius","Pisces"},0)-MATCH(CALC_PlanetPositions!$B$7,{"Aries","Taurus","Gemini","Cancer","Leo","Virgo","Libra","Scorpio","Sagittarius","Capricorn","Aquarius","Pisces"},0),12)+1=(MOD(11-2,12)+1)),AND(CALC_PlanetPositions!$M$10="Malefic",MOD(MATCH(CALC_PlanetPositions!$B$10,{"Aries","Taurus","Gemini","Cancer","Leo","Virgo","Libra","Scorpio","Sagittarius","Capricorn","Aquarius","Pisces"},0)-MATCH(CALC_PlanetPositions!$B$7,{"Aries","Taurus","Gemini","Cancer","Leo","Virgo","Libra","Scorpio","Sagittarius","Capricorn","Aquarius","Pisces"},0),12)+1=(MOD(11-2,12)+1)),AND(CALC_PlanetPositions!$M$11="Malefic",MOD(MATCH(CALC_PlanetPositions!$B$11,{"Aries","Taurus","Gemini","Cancer","Leo","Virgo","Libra","Scorpio","Sagittarius","Capricorn","Aquarius","Pisces"},0)-MATCH(CALC_PlanetPositions!$B$7,{"Aries","Taurus","Gemini","Cancer","Leo","Virgo","Libra","Scorpio","Sagittarius","Capricorn","Aquarius","Pisces"},0),12)+1=(MOD(11-2,12)+1)),AND(CALC_PlanetPositions!$M$12="Malefic",MOD(MATCH(CALC_PlanetPositions!$B$12,{"Aries","Taurus","Gemini","Cancer","Leo","Virgo","Libra","Scorpio","Sagittarius","Capricorn","Aquarius","Pisces"},0)-MATCH(CALC_PlanetPositions!$B$7,{"Aries","Taurus","Gemini","Cancer","Leo","Virgo","Libra","Scorpio","Sagittarius","Capricorn","Aquarius","Pisces"},0),12)+1=(MOD(11-2,12)+1)),AND(CALC_PlanetPositions!$M$13="Malefic",MOD(MATCH(CALC_PlanetPositions!$B$13,{"Aries","Taurus","Gemini","Cancer","Leo","Virgo","Libra","Scorpio","Sagittarius","Capricorn","Aquarius","Pisces"},0)-MATCH(CALC_PlanetPositions!$B$7,{"Aries","Taurus","Gemini","Cancer","Leo","Virgo","Libra","Scorpio","Sagittarius","Capricorn","Aquarius","Pisces"},0),12)+1=(MOD(11-2,12)+1)),AND(TRUE(),MOD(MATCH(CALC_PlanetPositions!$B$14,{"Aries","Taurus","Gemini","Cancer","Leo","Virgo","Libra","Scorpio","Sagittarius","Capricorn","Aquarius","Pisces"},0)-MATCH(CALC_PlanetPositions!$B$7,{"Aries","Taurus","Gemini","Cancer","Leo","Virgo","Libra","Scorpio","Sagittarius","Capricorn","Aquarius","Pisces"},0),12)+1=(MOD(11-2,12)+1)),AND(TRUE(),MOD(MATCH(CALC_PlanetPositions!$B$15,{"Aries","Taurus","Gemini","Cancer","Leo","Virgo","Libra","Scorpio","Sagittarius","Capricorn","Aquarius","Pisces"},0)-MATCH(CALC_PlanetPositions!$B$7,{"Aries","Taurus","Gemini","Cancer","Leo","Virgo","Libra","Scorpio","Sagittarius","Capricorn","Aquarius","Pisces"},0),12)+1=(MOD(11-2,12)+1))),OR(AND(CALC_PlanetPositions!$M$7="Malefic",MOD(MATCH(CALC_PlanetPositions!$B$7,{"Aries","Taurus","Gemini","Cancer","Leo","Virgo","Libra","Scorpio","Sagittarius","Capricorn","Aquarius","Pisces"},0)-MATCH(CALC_PlanetPositions!$B$7,{"Aries","Taurus","Gemini","Cancer","Leo","Virgo","Libra","Scorpio","Sagittarius","Capricorn","Aquarius","Pisces"},0),12)+1=(MOD(11,12)+1)),AND(CALC_PlanetPositions!$M$8="Malefic",MOD(MATCH(CALC_PlanetPositions!$B$8,{"Aries","Taurus","Gemini","Cancer","Leo","Virgo","Libra","Scorpio","Sagittarius","Capricorn","Aquarius","Pisces"},0)-MATCH(CALC_PlanetPositions!$B$7,{"Aries","Taurus","Gemini","Cancer","Leo","Virgo","Libra","Scorpio","Sagittarius","Capricorn","Aquarius","Pisces"},0),12)+1=(MOD(11,12)+1)),AND(CALC_PlanetPositions!$M$9="Malefic",MOD(MATCH(CALC_PlanetPositions!$B$9,{"Aries","Taurus","Gemini","Cancer","Leo","Virgo","Libra","Scorpio","Sagittarius","Capricorn","Aquarius","Pisces"},0)-MATCH(CALC_PlanetPositions!$B$7,{"Aries","Taurus","Gemini","Cancer","Leo","Virgo","Libra","Scorpio","Sagittarius","Capricorn","Aquarius","Pisces"},0),12)+1=(MOD(11,12)+1)),AND(CALC_PlanetPositions!$M$10="Malefic",MOD(MATCH(CALC_PlanetPositions!$B$10,{"Aries","Taurus","Gemini","Cancer","Leo","Virgo","Libra","Scorpio","Sagittarius","Capricorn","Aquarius","Pisces"},0)-MATCH(CALC_PlanetPositions!$B$7,{"Aries","Taurus","Gemini","Cancer","Leo","Virgo","Libra","Scorpio","Sagittarius","Capricorn","Aquarius","Pisces"},0),12)+1=(MOD(11,12)+1)),AND(CALC_PlanetPositions!$M$11="Malefic",MOD(MATCH(CALC_PlanetPositions!$B$11,{"Aries","Taurus","Gemini","Cancer","Leo","Virgo","Libra","Scorpio","Sagittarius","Capricorn","Aquarius","Pisces"},0)-MATCH(CALC_PlanetPositions!$B$7,{"Aries","Taurus","Gemini","Cancer","Leo","Virgo","Libra","Scorpio","Sagittarius","Capricorn","Aquarius","Pisces"},0),12)+1=(MOD(11,12)+1)),AND(CALC_PlanetPositions!$M$12="Malefic",MOD(MATCH(CALC_PlanetPositions!$B$12,{"Aries","Taurus","Gemini","Cancer","Leo","Virgo","Libra","Scorpio","Sagittarius","Capricorn","Aquarius","Pisces"},0)-MATCH(CALC_PlanetPositions!$B$7,{"Aries","Taurus","Gemini","Cancer","Leo","Virgo","Libra","Scorpio","Sagittarius","Capricorn","Aquarius","Pisces"},0),12)+1=(MOD(11,12)+1)),AND(CALC_PlanetPositions!$M$13="Malefic",MOD(MATCH(CALC_PlanetPositions!$B$13,{"Aries","Taurus","Gemini","Cancer","Leo","Virgo","Libra","Scorpio","Sagittarius","Capricorn","Aquarius","Pisces"},0)-MATCH(CALC_PlanetPositions!$B$7,{"Aries","Taurus","Gemini","Cancer","Leo","Virgo","Libra","Scorpio","Sagittarius","Capricorn","Aquarius","Pisces"},0),12)+1=(MOD(11,12)+1)),AND(TRUE(),MOD(MATCH(CALC_PlanetPositions!$B$14,{"Aries","Taurus","Gemini","Cancer","Leo","Virgo","Libra","Scorpio","Sagittarius","Capricorn","Aquarius","Pisces"},0)-MATCH(CALC_PlanetPositions!$B$7,{"Aries","Taurus","Gemini","Cancer","Leo","Virgo","Libra","Scorpio","Sagittarius","Capricorn","Aquarius","Pisces"},0),12)+1=(MOD(11,12)+1)),AND(TRUE(),MOD(MATCH(CALC_PlanetPositions!$B$15,{"Aries","Taurus","Gemini","Cancer","Leo","Virgo","Libra","Scorpio","Sagittarius","Capricorn","Aquarius","Pisces"},0)-MATCH(CALC_PlanetPositions!$B$7,{"Aries","Taurus","Gemini","Cancer","Leo","Virgo","Libra","Scorpio","Sagittarius","Capricorn","Aquarius","Pisces"},0),12)+1=(MOD(11,12)+1)))),1,0),0))*IF(REF_Config!$B$6="KP",-0.75,IF(REF_Config!$B$6="Jaimini",-0.5,-0.75)),0)</f>
        <v>0</v>
      </c>
      <c r="D18" s="403" t="s">
        <v>4629</v>
      </c>
    </row>
    <row r="19" spans="1:7" ht="15.75" customHeight="1" x14ac:dyDescent="0.2">
      <c r="A19" s="1594" t="s">
        <v>3624</v>
      </c>
      <c r="B19" s="1594"/>
      <c r="C19" s="1594"/>
      <c r="D19" s="1594"/>
    </row>
    <row r="20" spans="1:7" ht="27.75" customHeight="1" x14ac:dyDescent="0.2">
      <c r="A20" s="1155" t="s">
        <v>4630</v>
      </c>
      <c r="B20" s="357" t="s">
        <v>4555</v>
      </c>
      <c r="C20" s="1117">
        <v>0</v>
      </c>
      <c r="D20" s="400" t="s">
        <v>4631</v>
      </c>
    </row>
    <row r="21" spans="1:7" ht="27.75" customHeight="1" x14ac:dyDescent="0.2">
      <c r="A21" s="1155" t="s">
        <v>4632</v>
      </c>
      <c r="B21" s="203" t="s">
        <v>4633</v>
      </c>
      <c r="C21" s="1118">
        <f>IFERROR((IFERROR(IF(OR(AND(CALC_PlanetPositions!$M$7="Malefic",INDEX(REF_Aspects!$D$5:$O$13,1,MOD(CALC_SuryaLagna!$F$14-(MOD(MATCH(CALC_PlanetPositions!$B$7,{"Aries","Taurus","Gemini","Cancer","Leo","Virgo","Libra","Scorpio","Sagittarius","Capricorn","Aquarius","Pisces"},0)-MATCH(CALC_PlanetPositions!$B$7,{"Aries","Taurus","Gemini","Cancer","Leo","Virgo","Libra","Scorpio","Sagittarius","Capricorn","Aquarius","Pisces"},0),12)+1),12)+1)="FULL",NOT(CALC_PlanetPositions!$B$7=CALC_SuryaLagna!$E$14)),AND(CALC_PlanetPositions!$M$8="Malefic",INDEX(REF_Aspects!$D$5:$O$13,2,MOD(CALC_SuryaLagna!$F$14-(MOD(MATCH(CALC_PlanetPositions!$B$8,{"Aries","Taurus","Gemini","Cancer","Leo","Virgo","Libra","Scorpio","Sagittarius","Capricorn","Aquarius","Pisces"},0)-MATCH(CALC_PlanetPositions!$B$7,{"Aries","Taurus","Gemini","Cancer","Leo","Virgo","Libra","Scorpio","Sagittarius","Capricorn","Aquarius","Pisces"},0),12)+1),12)+1)="FULL",NOT(CALC_PlanetPositions!$B$8=CALC_SuryaLagna!$E$14)),AND(CALC_PlanetPositions!$M$9="Malefic",INDEX(REF_Aspects!$D$5:$O$13,3,MOD(CALC_SuryaLagna!$F$14-(MOD(MATCH(CALC_PlanetPositions!$B$9,{"Aries","Taurus","Gemini","Cancer","Leo","Virgo","Libra","Scorpio","Sagittarius","Capricorn","Aquarius","Pisces"},0)-MATCH(CALC_PlanetPositions!$B$7,{"Aries","Taurus","Gemini","Cancer","Leo","Virgo","Libra","Scorpio","Sagittarius","Capricorn","Aquarius","Pisces"},0),12)+1),12)+1)="FULL",NOT(CALC_PlanetPositions!$B$9=CALC_SuryaLagna!$E$14)),AND(CALC_PlanetPositions!$M$10="Malefic",INDEX(REF_Aspects!$D$5:$O$13,4,MOD(CALC_SuryaLagna!$F$14-(MOD(MATCH(CALC_PlanetPositions!$B$10,{"Aries","Taurus","Gemini","Cancer","Leo","Virgo","Libra","Scorpio","Sagittarius","Capricorn","Aquarius","Pisces"},0)-MATCH(CALC_PlanetPositions!$B$7,{"Aries","Taurus","Gemini","Cancer","Leo","Virgo","Libra","Scorpio","Sagittarius","Capricorn","Aquarius","Pisces"},0),12)+1),12)+1)="FULL",NOT(CALC_PlanetPositions!$B$10=CALC_SuryaLagna!$E$14)),AND(CALC_PlanetPositions!$M$11="Malefic",INDEX(REF_Aspects!$D$5:$O$13,5,MOD(CALC_SuryaLagna!$F$14-(MOD(MATCH(CALC_PlanetPositions!$B$11,{"Aries","Taurus","Gemini","Cancer","Leo","Virgo","Libra","Scorpio","Sagittarius","Capricorn","Aquarius","Pisces"},0)-MATCH(CALC_PlanetPositions!$B$7,{"Aries","Taurus","Gemini","Cancer","Leo","Virgo","Libra","Scorpio","Sagittarius","Capricorn","Aquarius","Pisces"},0),12)+1),12)+1)="FULL",NOT(CALC_PlanetPositions!$B$11=CALC_SuryaLagna!$E$14)),AND(CALC_PlanetPositions!$M$12="Malefic",INDEX(REF_Aspects!$D$5:$O$13,6,MOD(CALC_SuryaLagna!$F$14-(MOD(MATCH(CALC_PlanetPositions!$B$12,{"Aries","Taurus","Gemini","Cancer","Leo","Virgo","Libra","Scorpio","Sagittarius","Capricorn","Aquarius","Pisces"},0)-MATCH(CALC_PlanetPositions!$B$7,{"Aries","Taurus","Gemini","Cancer","Leo","Virgo","Libra","Scorpio","Sagittarius","Capricorn","Aquarius","Pisces"},0),12)+1),12)+1)="FULL",NOT(CALC_PlanetPositions!$B$12=CALC_SuryaLagna!$E$14)),AND(CALC_PlanetPositions!$M$13="Malefic",INDEX(REF_Aspects!$D$5:$O$13,7,MOD(CALC_SuryaLagna!$F$14-(MOD(MATCH(CALC_PlanetPositions!$B$13,{"Aries","Taurus","Gemini","Cancer","Leo","Virgo","Libra","Scorpio","Sagittarius","Capricorn","Aquarius","Pisces"},0)-MATCH(CALC_PlanetPositions!$B$7,{"Aries","Taurus","Gemini","Cancer","Leo","Virgo","Libra","Scorpio","Sagittarius","Capricorn","Aquarius","Pisces"},0),12)+1),12)+1)="FULL",NOT(CALC_PlanetPositions!$B$13=CALC_SuryaLagna!$E$14)),AND(TRUE(),INDEX(REF_Aspects!$D$5:$O$13,8,MOD(CALC_SuryaLagna!$F$14-(MOD(MATCH(CALC_PlanetPositions!$B$14,{"Aries","Taurus","Gemini","Cancer","Leo","Virgo","Libra","Scorpio","Sagittarius","Capricorn","Aquarius","Pisces"},0)-MATCH(CALC_PlanetPositions!$B$7,{"Aries","Taurus","Gemini","Cancer","Leo","Virgo","Libra","Scorpio","Sagittarius","Capricorn","Aquarius","Pisces"},0),12)+1),12)+1)="FULL",NOT(CALC_PlanetPositions!$B$14=CALC_SuryaLagna!$E$14)),AND(TRUE(),INDEX(REF_Aspects!$D$5:$O$13,9,MOD(CALC_SuryaLagna!$F$14-(MOD(MATCH(CALC_PlanetPositions!$B$15,{"Aries","Taurus","Gemini","Cancer","Leo","Virgo","Libra","Scorpio","Sagittarius","Capricorn","Aquarius","Pisces"},0)-MATCH(CALC_PlanetPositions!$B$7,{"Aries","Taurus","Gemini","Cancer","Leo","Virgo","Libra","Scorpio","Sagittarius","Capricorn","Aquarius","Pisces"},0),12)+1),12)+1)="FULL",NOT(CALC_PlanetPositions!$B$15=CALC_SuryaLagna!$E$14))),1,0),0))*-0.5,0)</f>
        <v>-0.5</v>
      </c>
      <c r="D21" s="403" t="s">
        <v>4634</v>
      </c>
    </row>
    <row r="22" spans="1:7" ht="27.75" customHeight="1" x14ac:dyDescent="0.2">
      <c r="A22" s="1155" t="s">
        <v>4635</v>
      </c>
      <c r="B22" s="357" t="s">
        <v>3042</v>
      </c>
      <c r="C22" s="1117">
        <f>IFERROR((IFERROR(IF(CALC_SuryaLagna!$I$14="Yes",1,0),0))*IF(REF_Config!$B$6="KP",-1.75,IF(REF_Config!$B$6="Jaimini",-2,-2)),0)</f>
        <v>0</v>
      </c>
      <c r="D22" s="400" t="s">
        <v>4636</v>
      </c>
    </row>
    <row r="23" spans="1:7" ht="27.75" customHeight="1" x14ac:dyDescent="0.2">
      <c r="A23" s="1155" t="s">
        <v>4637</v>
      </c>
      <c r="B23" s="203" t="s">
        <v>3059</v>
      </c>
      <c r="C23" s="1118">
        <f>IFERROR((IFERROR(IF(OR(AND(CALC_SuryaLagna!$E$9=CALC_SuryaLagna!$E$14,CALC_SuryaLagna!$D$9&lt;&gt;CALC_SuryaLagna!$D$14),AND(CALC_SuryaLagna!$E$11=CALC_SuryaLagna!$E$14,CALC_SuryaLagna!$D$11&lt;&gt;CALC_SuryaLagna!$D$14),AND(CALC_SuryaLagna!$E$15=CALC_SuryaLagna!$E$14,CALC_SuryaLagna!$D$15&lt;&gt;CALC_SuryaLagna!$D$14)),1,0),0))*-1,0)</f>
        <v>-1</v>
      </c>
      <c r="D23" s="403" t="s">
        <v>4638</v>
      </c>
    </row>
    <row r="24" spans="1:7" ht="15.75" customHeight="1" x14ac:dyDescent="0.2">
      <c r="A24" s="1484" t="s">
        <v>4639</v>
      </c>
      <c r="B24" s="1484"/>
      <c r="C24" s="1484"/>
      <c r="D24" s="1484"/>
    </row>
    <row r="25" spans="1:7" ht="27.75" customHeight="1" x14ac:dyDescent="0.2">
      <c r="A25" s="1155" t="s">
        <v>4640</v>
      </c>
      <c r="B25" s="357" t="s">
        <v>3084</v>
      </c>
      <c r="C25" s="1117">
        <f>IFERROR(IF(CALC_KarakMap!$M$15&gt;0,CALC_KarakMap!$M$15,0),0)</f>
        <v>0</v>
      </c>
      <c r="D25" s="400" t="s">
        <v>4641</v>
      </c>
    </row>
    <row r="26" spans="1:7" ht="27.75" customHeight="1" x14ac:dyDescent="0.2">
      <c r="A26" s="1155" t="s">
        <v>4642</v>
      </c>
      <c r="B26" s="203" t="s">
        <v>4564</v>
      </c>
      <c r="C26" s="1118">
        <f>IFERROR(IF(CALC_KarakMap!$M$15&lt;0,CALC_KarakMap!$M$15,0),0)</f>
        <v>-0.5</v>
      </c>
      <c r="D26" s="403" t="s">
        <v>4643</v>
      </c>
    </row>
    <row r="27" spans="1:7" ht="27.75" customHeight="1" x14ac:dyDescent="0.2">
      <c r="A27" s="1119" t="s">
        <v>4644</v>
      </c>
      <c r="B27" s="296" t="s">
        <v>3624</v>
      </c>
      <c r="C27" s="1117">
        <f>IFERROR(IF(OR(CALC_SuryaLagna!$D$14="Sun",CALC_SuryaLagna!$D$14="Rahu",CALC_SuryaLagna!$D$14="Ketu"),0,IF(CALC_SuryaLagna!$D$14="Moon",IF(CALC_CombustionCheck!$G$4="Cazimi ✓",0.5,IF(CALC_CombustionCheck!$F$4="COMBUST ⚠",-1,0)),IF(CALC_SuryaLagna!$D$14="Mars",IF(CALC_CombustionCheck!$G$5="Cazimi ✓",0.5,IF(AND(CALC_CombustionCheck!$F$5="COMBUST ⚠",CALC_RetrogradeFix!$F$6="Rx ✓"),-0.5,IF(CALC_CombustionCheck!$F$5="COMBUST ⚠",-1,0))),IF(CALC_SuryaLagna!$D$14="Mercury",IF(CALC_CombustionCheck!$G$6="Cazimi ✓",0.5,IF(AND(CALC_CombustionCheck!$F$6="COMBUST ⚠",CALC_RetrogradeFix!$F$7="Rx ✓"),-0.5,IF(CALC_CombustionCheck!$F$6="COMBUST ⚠",-1,0))),IF(CALC_SuryaLagna!$D$14="Jupiter",IF(CALC_CombustionCheck!$G$7="Cazimi ✓",0.5,IF(AND(CALC_CombustionCheck!$F$7="COMBUST ⚠",CALC_RetrogradeFix!$F$8="Rx ✓"),-0.5,IF(CALC_CombustionCheck!$F$7="COMBUST ⚠",-1,0))),IF(CALC_SuryaLagna!$D$14="Venus",IF(CALC_CombustionCheck!$G$8="Cazimi ✓",0.5,IF(AND(CALC_CombustionCheck!$F$8="COMBUST ⚠",CALC_RetrogradeFix!$F$9="Rx ✓"),-0.5,IF(CALC_CombustionCheck!$F$8="COMBUST ⚠",-1,0))),IF(CALC_SuryaLagna!$D$14="Saturn",IF(CALC_CombustionCheck!$G$9="Cazimi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SuryaLagna!$D$14="Rahu",CALC_SuryaLagna!$D$14="Ketu"),0,IF(ISNUMBER(MATCH(CALC_SuryaLagna!$D$14,{"Sun","Moon","Mars","Mercury","Jupiter","Venus","Saturn"},0)),IF(INDEX(CALC_DigBala!$F$4:$F$10,MATCH(CALC_SuryaLagna!$D$14,{"Sun","Moon","Mars","Mercury","Jupiter","Venus","Saturn"},0))="Yes",0.5,0),0)),0)</f>
        <v>0</v>
      </c>
      <c r="D28" s="400" t="s">
        <v>4647</v>
      </c>
    </row>
    <row r="29" spans="1:7" ht="27.75" customHeight="1" x14ac:dyDescent="0.2">
      <c r="A29" s="1120" t="s">
        <v>4648</v>
      </c>
      <c r="B29" s="296" t="s">
        <v>3372</v>
      </c>
      <c r="C29" s="1117">
        <f>IFERROR(IF(COUNTIFS(REF_PushkaraNavamsha!$A$4:$A$27,CALC_SuryaLagna!$E$14,REF_PushkaraNavamsha!$B$4:$B$27,INDEX(CALC_PlanetPositions!$G$7:$G$15,MATCH(CALC_SuryaLagna!$D$14,CALC_PlanetPositions!$A$7:$A$15,0)))&gt;0,0.5,0),0)</f>
        <v>0</v>
      </c>
      <c r="D29" s="400" t="s">
        <v>4649</v>
      </c>
    </row>
    <row r="30" spans="1:7" ht="25.5" customHeight="1" x14ac:dyDescent="0.2">
      <c r="A30" s="147" t="s">
        <v>4650</v>
      </c>
      <c r="B30" s="1121" t="s">
        <v>4651</v>
      </c>
      <c r="C30" s="1122">
        <f>IFERROR(IF(ISNUMBER(MATCH(CALC_SuryaLagna!$D$14,{"Sun","Moon","Mars","Mercury","Jupiter","Venus","Saturn"},0)),INDEX(CALC_RetrogradeFix!$G$4:$G$10,MATCH(CALC_SuryaLagna!$D$14,{"Sun","Moon","Mars","Mercury","Jupiter","Venus","Saturn"},0)),0),0)</f>
        <v>0</v>
      </c>
      <c r="D30" s="1123" t="s">
        <v>4652</v>
      </c>
    </row>
    <row r="31" spans="1:7" ht="18" customHeight="1" x14ac:dyDescent="0.2">
      <c r="A31" s="1555" t="s">
        <v>4653</v>
      </c>
      <c r="B31" s="1555"/>
      <c r="C31" s="1555"/>
      <c r="D31" s="1555"/>
      <c r="E31" s="1124" t="s">
        <v>4654</v>
      </c>
      <c r="F31" s="1125">
        <f>IFERROR(IF(CALC_Ashtakavarga!L$12&gt;28,0.5,IF(CALC_Ashtakavarga!L$12&lt;22,-0.5,0)),0)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3.5</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IFERROR(SUM(C20:C23,C27),0)</f>
        <v>-2.5</v>
      </c>
      <c r="D35" s="1129"/>
    </row>
    <row r="36" spans="1:4" ht="18" customHeight="1" x14ac:dyDescent="0.2">
      <c r="A36" s="189" t="s">
        <v>4639</v>
      </c>
      <c r="B36" s="1127" t="s">
        <v>4660</v>
      </c>
      <c r="C36" s="1128">
        <f>IFERROR(SUM(C25:C26),0)</f>
        <v>-0.5</v>
      </c>
      <c r="D36" s="1129"/>
    </row>
    <row r="37" spans="1:4" ht="21.75" customHeight="1" x14ac:dyDescent="0.2">
      <c r="A37" s="764" t="s">
        <v>4435</v>
      </c>
      <c r="B37" s="1129"/>
      <c r="C37" s="1130">
        <f>IFERROR(C32+C33+C34+C35+C36,0)</f>
        <v>0.5</v>
      </c>
      <c r="D37" s="1129"/>
    </row>
    <row r="38" spans="1:4" ht="21.75" customHeight="1" x14ac:dyDescent="0.2">
      <c r="A38" s="89" t="s">
        <v>4661</v>
      </c>
      <c r="B38" s="1129"/>
      <c r="C38" s="1131">
        <f>IFERROR(MAX(-10,MIN(10,C37)),0)</f>
        <v>0.5</v>
      </c>
      <c r="D38" s="1132"/>
    </row>
    <row r="39" spans="1:4" ht="18" customHeight="1" x14ac:dyDescent="0.2">
      <c r="A39" s="517" t="s">
        <v>4662</v>
      </c>
      <c r="B39" s="1129"/>
      <c r="C39" s="1133">
        <f>IFERROR(CALC_LagneshStrength!$I$4,0)</f>
        <v>0</v>
      </c>
      <c r="D39" s="1129"/>
    </row>
    <row r="40" spans="1:4" ht="25.5" customHeight="1" x14ac:dyDescent="0.2">
      <c r="A40" s="1137" t="s">
        <v>4663</v>
      </c>
      <c r="B40" s="1129"/>
      <c r="C40" s="1138">
        <f>IFERROR(MAX(-10,MIN(10,C38+C39+C41)),0)</f>
        <v>0.5</v>
      </c>
      <c r="D40" s="1139" t="str">
        <f>IFERROR(IF(C40&gt;=7,"Excellent — Gains domain very strong",IF(C40&gt;=4,"Good — Gains domain strong",IF(C40&gt;=1,"Moderate",IF(C40&gt;=-2,"Mixed — Gains has challenges",IF(C40&gt;=-5,"Weak","Very weak — Gains heavily afflicted"))))),"—")</f>
        <v>Mixed — Gains has challenges</v>
      </c>
    </row>
    <row r="41" spans="1:4" ht="18" customHeight="1" x14ac:dyDescent="0.2">
      <c r="A41" s="622" t="s">
        <v>4681</v>
      </c>
      <c r="B41" s="904" t="s">
        <v>4705</v>
      </c>
      <c r="C41" s="1160">
        <v>0</v>
      </c>
      <c r="D41" s="550" t="s">
        <v>4726</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4727</v>
      </c>
      <c r="B1" s="1518"/>
      <c r="C1" s="1518"/>
      <c r="D1" s="1518"/>
      <c r="L1" s="544" t="s">
        <v>2214</v>
      </c>
    </row>
    <row r="2" spans="1:12" ht="19.5" customHeight="1" x14ac:dyDescent="0.2">
      <c r="A2" s="1595" t="str">
        <f>IFERROR("Surya Lagna: "&amp;CALC_PlanetPositions!$B$7&amp;"  ·  H12 sign: "&amp;CALC_SuryaLagna!$C$15,"—")</f>
        <v>Surya Lagna: Cancer  ·  H12 sign: Gemini</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156" t="s">
        <v>4605</v>
      </c>
      <c r="B5" s="357" t="s">
        <v>4529</v>
      </c>
      <c r="C5" s="1117">
        <f>IFERROR((IFERROR(IF(INDEX(REF_Zodiac!$D$17:$O$17,MATCH(CALC_SuryaLagna!$C$15,REF_Zodiac!$D$3:$O$3,0))="Gentle",1,0),0))*0.5,0)</f>
        <v>0.5</v>
      </c>
      <c r="D5" s="400" t="s">
        <v>4606</v>
      </c>
    </row>
    <row r="6" spans="1:12" ht="27.75" customHeight="1" x14ac:dyDescent="0.2">
      <c r="A6" s="1156" t="s">
        <v>4607</v>
      </c>
      <c r="B6" s="203" t="s">
        <v>4531</v>
      </c>
      <c r="C6" s="1118">
        <f>IFERROR((IFERROR(IF(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1)),1,0),0))*IF(OR(AND(CALC_PlanetPositions!$M$7="Yogakaraka",(MOD(MATCH(CALC_PlanetPositions!$B$7,{"Aries","Taurus","Gemini","Cancer","Leo","Virgo","Libra","Scorpio","Sagittarius","Capricorn","Aquarius","Pisces"},0)-MATCH(CALC_PlanetPositions!$B$7,{"Aries","Taurus","Gemini","Cancer","Leo","Virgo","Libra","Scorpio","Sagittarius","Capricorn","Aquarius","Pisces"},0),12)+1)=1),AND(CALC_PlanetPositions!$M$8="Yogakaraka",(MOD(MATCH(CALC_PlanetPositions!$B$8,{"Aries","Taurus","Gemini","Cancer","Leo","Virgo","Libra","Scorpio","Sagittarius","Capricorn","Aquarius","Pisces"},0)-MATCH(CALC_PlanetPositions!$B$7,{"Aries","Taurus","Gemini","Cancer","Leo","Virgo","Libra","Scorpio","Sagittarius","Capricorn","Aquarius","Pisces"},0),12)+1)=1),AND(CALC_PlanetPositions!$M$9="Yogakaraka",(MOD(MATCH(CALC_PlanetPositions!$B$9,{"Aries","Taurus","Gemini","Cancer","Leo","Virgo","Libra","Scorpio","Sagittarius","Capricorn","Aquarius","Pisces"},0)-MATCH(CALC_PlanetPositions!$B$7,{"Aries","Taurus","Gemini","Cancer","Leo","Virgo","Libra","Scorpio","Sagittarius","Capricorn","Aquarius","Pisces"},0),12)+1)=1),AND(CALC_PlanetPositions!$M$10="Yogakaraka",(MOD(MATCH(CALC_PlanetPositions!$B$10,{"Aries","Taurus","Gemini","Cancer","Leo","Virgo","Libra","Scorpio","Sagittarius","Capricorn","Aquarius","Pisces"},0)-MATCH(CALC_PlanetPositions!$B$7,{"Aries","Taurus","Gemini","Cancer","Leo","Virgo","Libra","Scorpio","Sagittarius","Capricorn","Aquarius","Pisces"},0),12)+1)=1),AND(CALC_PlanetPositions!$M$11="Yogakaraka",(MOD(MATCH(CALC_PlanetPositions!$B$11,{"Aries","Taurus","Gemini","Cancer","Leo","Virgo","Libra","Scorpio","Sagittarius","Capricorn","Aquarius","Pisces"},0)-MATCH(CALC_PlanetPositions!$B$7,{"Aries","Taurus","Gemini","Cancer","Leo","Virgo","Libra","Scorpio","Sagittarius","Capricorn","Aquarius","Pisces"},0),12)+1)=1),AND(CALC_PlanetPositions!$M$12="Yogakaraka",(MOD(MATCH(CALC_PlanetPositions!$B$12,{"Aries","Taurus","Gemini","Cancer","Leo","Virgo","Libra","Scorpio","Sagittarius","Capricorn","Aquarius","Pisces"},0)-MATCH(CALC_PlanetPositions!$B$7,{"Aries","Taurus","Gemini","Cancer","Leo","Virgo","Libra","Scorpio","Sagittarius","Capricorn","Aquarius","Pisces"},0),12)+1)=1),AND(CALC_PlanetPositions!$M$13="Yogakaraka",(MOD(MATCH(CALC_PlanetPositions!$B$13,{"Aries","Taurus","Gemini","Cancer","Leo","Virgo","Libra","Scorpio","Sagittarius","Capricorn","Aquarius","Pisces"},0)-MATCH(CALC_PlanetPositions!$B$7,{"Aries","Taurus","Gemini","Cancer","Leo","Virgo","Libra","Scorpio","Sagittarius","Capricorn","Aquarius","Pisces"},0),12)+1)=1)),1.5,1),0)</f>
        <v>1.5</v>
      </c>
      <c r="D6" s="403" t="s">
        <v>4608</v>
      </c>
    </row>
    <row r="7" spans="1:12" ht="27.75" customHeight="1" x14ac:dyDescent="0.2">
      <c r="A7" s="1156" t="s">
        <v>4609</v>
      </c>
      <c r="B7" s="357" t="s">
        <v>4534</v>
      </c>
      <c r="C7" s="1117">
        <f>IFERROR((IFERROR(IF(OR(AND(OR(CALC_PlanetPositions!$M$7="Benefic",CALC_PlanetPositions!$M$7="Yogakaraka"),INDEX(REF_Aspects!$D$5:$O$13,1,MOD(12-(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12)),AND(OR(CALC_PlanetPositions!$M$8="Benefic",CALC_PlanetPositions!$M$8="Yogakaraka"),INDEX(REF_Aspects!$D$5:$O$13,2,MOD(12-(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12)),AND(OR(CALC_PlanetPositions!$M$9="Benefic",CALC_PlanetPositions!$M$9="Yogakaraka"),INDEX(REF_Aspects!$D$5:$O$13,3,MOD(12-(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12)),AND(OR(CALC_PlanetPositions!$M$10="Benefic",CALC_PlanetPositions!$M$10="Yogakaraka"),INDEX(REF_Aspects!$D$5:$O$13,4,MOD(12-(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12)),AND(OR(CALC_PlanetPositions!$M$11="Benefic",CALC_PlanetPositions!$M$11="Yogakaraka"),INDEX(REF_Aspects!$D$5:$O$13,5,MOD(12-(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12)),AND(OR(CALC_PlanetPositions!$M$12="Benefic",CALC_PlanetPositions!$M$12="Yogakaraka"),INDEX(REF_Aspects!$D$5:$O$13,6,MOD(12-(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12)),AND(OR(CALC_PlanetPositions!$M$13="Benefic",CALC_PlanetPositions!$M$13="Yogakaraka"),INDEX(REF_Aspects!$D$5:$O$13,7,MOD(12-(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12)),AND(FALSE(),INDEX(REF_Aspects!$D$5:$O$13,8,MOD(12-(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12)),AND(FALSE(),INDEX(REF_Aspects!$D$5:$O$13,9,MOD(12-(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12))),1,0),0))*IF(REF_Config!$B$6="KP",0.5,IF(REF_Config!$B$6="Jaimini",0.75,0.75)),0)</f>
        <v>0</v>
      </c>
      <c r="D7" s="400" t="s">
        <v>4610</v>
      </c>
    </row>
    <row r="8" spans="1:12" ht="15.75" customHeight="1" x14ac:dyDescent="0.2">
      <c r="A8" s="1597" t="s">
        <v>3372</v>
      </c>
      <c r="B8" s="1597"/>
      <c r="C8" s="1597"/>
      <c r="D8" s="1597"/>
    </row>
    <row r="9" spans="1:12" ht="27.75" customHeight="1" x14ac:dyDescent="0.2">
      <c r="A9" s="1156" t="s">
        <v>4611</v>
      </c>
      <c r="B9" s="203" t="s">
        <v>4537</v>
      </c>
      <c r="C9" s="1118">
        <f>IFERROR(IF(AND(OR(CALC_SuryaLagna!$G$15="Yes",CALC_SuryaLagna!$H$15="Yes"),NOT(CALC_SuryaLagna!$I$15="Yes")),1,0)*IF(REF_Config!$B$6="KP",1.5,IF(REF_Config!$B$6="Jaimini",1.5,2)),0)</f>
        <v>2</v>
      </c>
      <c r="D9" s="403" t="s">
        <v>4612</v>
      </c>
    </row>
    <row r="10" spans="1:12" ht="27.75" customHeight="1" x14ac:dyDescent="0.2">
      <c r="A10" s="1156" t="s">
        <v>4613</v>
      </c>
      <c r="B10" s="357" t="s">
        <v>3093</v>
      </c>
      <c r="C10" s="1117">
        <f>IFERROR((IFERROR(IF(OR(AND(CALC_SuryaLagna!$E$4=CALC_SuryaLagna!$E$15,CALC_SuryaLagna!$D$4&lt;&gt;CALC_SuryaLagna!$D$15),AND(CALC_SuryaLagna!$E$7=CALC_SuryaLagna!$E$15,CALC_SuryaLagna!$D$7&lt;&gt;CALC_SuryaLagna!$D$15),AND(CALC_SuryaLagna!$E$8=CALC_SuryaLagna!$E$15,CALC_SuryaLagna!$D$8&lt;&gt;CALC_SuryaLagna!$D$15),AND(CALC_SuryaLagna!$E$10=CALC_SuryaLagna!$E$15,CALC_SuryaLagna!$D$10&lt;&gt;CALC_SuryaLagna!$D$15),AND(CALC_SuryaLagna!$E$12=CALC_SuryaLagna!$E$15,CALC_SuryaLagna!$D$12&lt;&gt;CALC_SuryaLagna!$D$15),AND(CALC_SuryaLagna!$E$13=CALC_SuryaLagna!$E$15,CALC_SuryaLagna!$D$13&lt;&gt;CALC_SuryaLagna!$D$15)),1,0),0))*0.5,0)</f>
        <v>0.5</v>
      </c>
      <c r="D10" s="400" t="s">
        <v>4614</v>
      </c>
    </row>
    <row r="11" spans="1:12" ht="27.75" customHeight="1" x14ac:dyDescent="0.2">
      <c r="A11" s="1156" t="s">
        <v>4615</v>
      </c>
      <c r="B11" s="203" t="s">
        <v>4540</v>
      </c>
      <c r="C11" s="1118">
        <f>IFERROR((IFERROR(IF(OR(AND(OR(CALC_PlanetPositions!$M$7="Benefic",CALC_PlanetPositions!$M$7="Yogakaraka"),CALC_PlanetPositions!$B$7=CALC_SuryaLagna!$E$15,CALC_SuryaLagna!$D$15&lt;&gt;"Sun"),AND(OR(CALC_PlanetPositions!$M$8="Benefic",CALC_PlanetPositions!$M$8="Yogakaraka"),CALC_PlanetPositions!$B$8=CALC_SuryaLagna!$E$15,CALC_SuryaLagna!$D$15&lt;&gt;"Moon"),AND(OR(CALC_PlanetPositions!$M$9="Benefic",CALC_PlanetPositions!$M$9="Yogakaraka"),CALC_PlanetPositions!$B$9=CALC_SuryaLagna!$E$15,CALC_SuryaLagna!$D$15&lt;&gt;"Mars"),AND(OR(CALC_PlanetPositions!$M$10="Benefic",CALC_PlanetPositions!$M$10="Yogakaraka"),CALC_PlanetPositions!$B$10=CALC_SuryaLagna!$E$15,CALC_SuryaLagna!$D$15&lt;&gt;"Mercury"),AND(OR(CALC_PlanetPositions!$M$11="Benefic",CALC_PlanetPositions!$M$11="Yogakaraka"),CALC_PlanetPositions!$B$11=CALC_SuryaLagna!$E$15,CALC_SuryaLagna!$D$15&lt;&gt;"Jupiter"),AND(OR(CALC_PlanetPositions!$M$12="Benefic",CALC_PlanetPositions!$M$12="Yogakaraka"),CALC_PlanetPositions!$B$12=CALC_SuryaLagna!$E$15,CALC_SuryaLagna!$D$15&lt;&gt;"Venus"),AND(OR(CALC_PlanetPositions!$M$13="Benefic",CALC_PlanetPositions!$M$13="Yogakaraka"),CALC_PlanetPositions!$B$13=CALC_SuryaLagna!$E$15,CALC_SuryaLagna!$D$15&lt;&gt;"Saturn")),1,0),0))*IF(OR(AND(CALC_PlanetPositions!$M$7="Yogakaraka",CALC_PlanetPositions!$B$7=CALC_SuryaLagna!$E$15,CALC_SuryaLagna!$D$15&lt;&gt;"Sun"),AND(CALC_PlanetPositions!$M$8="Yogakaraka",CALC_PlanetPositions!$B$8=CALC_SuryaLagna!$E$15,CALC_SuryaLagna!$D$15&lt;&gt;"Moon"),AND(CALC_PlanetPositions!$M$9="Yogakaraka",CALC_PlanetPositions!$B$9=CALC_SuryaLagna!$E$15,CALC_SuryaLagna!$D$15&lt;&gt;"Mars"),AND(CALC_PlanetPositions!$M$10="Yogakaraka",CALC_PlanetPositions!$B$10=CALC_SuryaLagna!$E$15,CALC_SuryaLagna!$D$15&lt;&gt;"Mercury"),AND(CALC_PlanetPositions!$M$11="Yogakaraka",CALC_PlanetPositions!$B$11=CALC_SuryaLagna!$E$15,CALC_SuryaLagna!$D$15&lt;&gt;"Jupiter"),AND(CALC_PlanetPositions!$M$12="Yogakaraka",CALC_PlanetPositions!$B$12=CALC_SuryaLagna!$E$15,CALC_SuryaLagna!$D$15&lt;&gt;"Venus"),AND(CALC_PlanetPositions!$M$13="Yogakaraka",CALC_PlanetPositions!$B$13=CALC_SuryaLagna!$E$15,CALC_SuryaLagna!$D$15&lt;&gt;"Saturn")),1.5,1),0)</f>
        <v>1.5</v>
      </c>
      <c r="D11" s="403" t="s">
        <v>4616</v>
      </c>
    </row>
    <row r="12" spans="1:12" ht="27.75" customHeight="1" x14ac:dyDescent="0.2">
      <c r="A12" s="1156" t="s">
        <v>4617</v>
      </c>
      <c r="B12" s="357" t="s">
        <v>4542</v>
      </c>
      <c r="C12" s="1117">
        <f>IFERROR((IFERROR(IF(OR(AND(OR(CALC_PlanetPositions!$M$7="Benefic",CALC_PlanetPositions!$M$7="Yogakaraka"),INDEX(REF_Aspects!$D$5:$O$13,1,MOD(CALC_SuryaLagna!$F$15-(MOD(MATCH(CALC_PlanetPositions!$B$7,{"Aries","Taurus","Gemini","Cancer","Leo","Virgo","Libra","Scorpio","Sagittarius","Capricorn","Aquarius","Pisces"},0)-MATCH(CALC_PlanetPositions!$B$7,{"Aries","Taurus","Gemini","Cancer","Leo","Virgo","Libra","Scorpio","Sagittarius","Capricorn","Aquarius","Pisces"},0),12)+1),12)+1)="FULL",NOT(CALC_PlanetPositions!$B$7=CALC_SuryaLagna!$E$15)),AND(OR(CALC_PlanetPositions!$M$8="Benefic",CALC_PlanetPositions!$M$8="Yogakaraka"),INDEX(REF_Aspects!$D$5:$O$13,2,MOD(CALC_SuryaLagna!$F$15-(MOD(MATCH(CALC_PlanetPositions!$B$8,{"Aries","Taurus","Gemini","Cancer","Leo","Virgo","Libra","Scorpio","Sagittarius","Capricorn","Aquarius","Pisces"},0)-MATCH(CALC_PlanetPositions!$B$7,{"Aries","Taurus","Gemini","Cancer","Leo","Virgo","Libra","Scorpio","Sagittarius","Capricorn","Aquarius","Pisces"},0),12)+1),12)+1)="FULL",NOT(CALC_PlanetPositions!$B$8=CALC_SuryaLagna!$E$15)),AND(OR(CALC_PlanetPositions!$M$9="Benefic",CALC_PlanetPositions!$M$9="Yogakaraka"),INDEX(REF_Aspects!$D$5:$O$13,3,MOD(CALC_SuryaLagna!$F$15-(MOD(MATCH(CALC_PlanetPositions!$B$9,{"Aries","Taurus","Gemini","Cancer","Leo","Virgo","Libra","Scorpio","Sagittarius","Capricorn","Aquarius","Pisces"},0)-MATCH(CALC_PlanetPositions!$B$7,{"Aries","Taurus","Gemini","Cancer","Leo","Virgo","Libra","Scorpio","Sagittarius","Capricorn","Aquarius","Pisces"},0),12)+1),12)+1)="FULL",NOT(CALC_PlanetPositions!$B$9=CALC_SuryaLagna!$E$15)),AND(OR(CALC_PlanetPositions!$M$10="Benefic",CALC_PlanetPositions!$M$10="Yogakaraka"),INDEX(REF_Aspects!$D$5:$O$13,4,MOD(CALC_SuryaLagna!$F$15-(MOD(MATCH(CALC_PlanetPositions!$B$10,{"Aries","Taurus","Gemini","Cancer","Leo","Virgo","Libra","Scorpio","Sagittarius","Capricorn","Aquarius","Pisces"},0)-MATCH(CALC_PlanetPositions!$B$7,{"Aries","Taurus","Gemini","Cancer","Leo","Virgo","Libra","Scorpio","Sagittarius","Capricorn","Aquarius","Pisces"},0),12)+1),12)+1)="FULL",NOT(CALC_PlanetPositions!$B$10=CALC_SuryaLagna!$E$15)),AND(OR(CALC_PlanetPositions!$M$11="Benefic",CALC_PlanetPositions!$M$11="Yogakaraka"),INDEX(REF_Aspects!$D$5:$O$13,5,MOD(CALC_SuryaLagna!$F$15-(MOD(MATCH(CALC_PlanetPositions!$B$11,{"Aries","Taurus","Gemini","Cancer","Leo","Virgo","Libra","Scorpio","Sagittarius","Capricorn","Aquarius","Pisces"},0)-MATCH(CALC_PlanetPositions!$B$7,{"Aries","Taurus","Gemini","Cancer","Leo","Virgo","Libra","Scorpio","Sagittarius","Capricorn","Aquarius","Pisces"},0),12)+1),12)+1)="FULL",NOT(CALC_PlanetPositions!$B$11=CALC_SuryaLagna!$E$15)),AND(OR(CALC_PlanetPositions!$M$12="Benefic",CALC_PlanetPositions!$M$12="Yogakaraka"),INDEX(REF_Aspects!$D$5:$O$13,6,MOD(CALC_SuryaLagna!$F$15-(MOD(MATCH(CALC_PlanetPositions!$B$12,{"Aries","Taurus","Gemini","Cancer","Leo","Virgo","Libra","Scorpio","Sagittarius","Capricorn","Aquarius","Pisces"},0)-MATCH(CALC_PlanetPositions!$B$7,{"Aries","Taurus","Gemini","Cancer","Leo","Virgo","Libra","Scorpio","Sagittarius","Capricorn","Aquarius","Pisces"},0),12)+1),12)+1)="FULL",NOT(CALC_PlanetPositions!$B$12=CALC_SuryaLagna!$E$15)),AND(OR(CALC_PlanetPositions!$M$13="Benefic",CALC_PlanetPositions!$M$13="Yogakaraka"),INDEX(REF_Aspects!$D$5:$O$13,7,MOD(CALC_SuryaLagna!$F$15-(MOD(MATCH(CALC_PlanetPositions!$B$13,{"Aries","Taurus","Gemini","Cancer","Leo","Virgo","Libra","Scorpio","Sagittarius","Capricorn","Aquarius","Pisces"},0)-MATCH(CALC_PlanetPositions!$B$7,{"Aries","Taurus","Gemini","Cancer","Leo","Virgo","Libra","Scorpio","Sagittarius","Capricorn","Aquarius","Pisces"},0),12)+1),12)+1)="FULL",NOT(CALC_PlanetPositions!$B$13=CALC_SuryaLagna!$E$15)),AND(FALSE(),INDEX(REF_Aspects!$D$5:$O$13,8,MOD(CALC_SuryaLagna!$F$15-(MOD(MATCH(CALC_PlanetPositions!$B$14,{"Aries","Taurus","Gemini","Cancer","Leo","Virgo","Libra","Scorpio","Sagittarius","Capricorn","Aquarius","Pisces"},0)-MATCH(CALC_PlanetPositions!$B$7,{"Aries","Taurus","Gemini","Cancer","Leo","Virgo","Libra","Scorpio","Sagittarius","Capricorn","Aquarius","Pisces"},0),12)+1),12)+1)="FULL",NOT(CALC_PlanetPositions!$B$14=CALC_SuryaLagna!$E$15)),AND(FALSE(),INDEX(REF_Aspects!$D$5:$O$13,9,MOD(CALC_SuryaLagna!$F$15-(MOD(MATCH(CALC_PlanetPositions!$B$15,{"Aries","Taurus","Gemini","Cancer","Leo","Virgo","Libra","Scorpio","Sagittarius","Capricorn","Aquarius","Pisces"},0)-MATCH(CALC_PlanetPositions!$B$7,{"Aries","Taurus","Gemini","Cancer","Leo","Virgo","Libra","Scorpio","Sagittarius","Capricorn","Aquarius","Pisces"},0),12)+1),12)+1)="FULL",NOT(CALC_PlanetPositions!$B$15=CALC_SuryaLagna!$E$15))),1,0),0))*0.5,0)</f>
        <v>0</v>
      </c>
      <c r="D12" s="400" t="s">
        <v>4618</v>
      </c>
    </row>
    <row r="13" spans="1:12" ht="27.75" customHeight="1" x14ac:dyDescent="0.2">
      <c r="A13" s="1156" t="s">
        <v>4619</v>
      </c>
      <c r="B13" s="203" t="s">
        <v>3034</v>
      </c>
      <c r="C13" s="1118">
        <f>IFERROR((IFERROR(IF(AND(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$15-2,12)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$15-2,12)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$15-2,12)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$15-2,12)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$15-2,12)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$15-2,12)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$15-2,12)+1)),AND(FALSE(),MOD(MATCH(CALC_PlanetPositions!$B$14,{"Aries","Taurus","Gemini","Cancer","Leo","Virgo","Libra","Scorpio","Sagittarius","Capricorn","Aquarius","Pisces"},0)-MATCH(CALC_PlanetPositions!$B$7,{"Aries","Taurus","Gemini","Cancer","Leo","Virgo","Libra","Scorpio","Sagittarius","Capricorn","Aquarius","Pisces"},0),12)+1=(MOD(CALC_SuryaLagna!$F$15-2,12)+1)),AND(FALSE(),MOD(MATCH(CALC_PlanetPositions!$B$15,{"Aries","Taurus","Gemini","Cancer","Leo","Virgo","Libra","Scorpio","Sagittarius","Capricorn","Aquarius","Pisces"},0)-MATCH(CALC_PlanetPositions!$B$7,{"Aries","Taurus","Gemini","Cancer","Leo","Virgo","Libra","Scorpio","Sagittarius","Capricorn","Aquarius","Pisces"},0),12)+1=(MOD(CALC_SuryaLagna!$F$15-2,12)+1))),OR(AND(OR(CALC_PlanetPositions!$M$7="Benefic",CALC_PlanetPositions!$M$7="Yogakaraka"),MOD(MATCH(CALC_PlanetPositions!$B$7,{"Aries","Taurus","Gemini","Cancer","Leo","Virgo","Libra","Scorpio","Sagittarius","Capricorn","Aquarius","Pisces"},0)-MATCH(CALC_PlanetPositions!$B$7,{"Aries","Taurus","Gemini","Cancer","Leo","Virgo","Libra","Scorpio","Sagittarius","Capricorn","Aquarius","Pisces"},0),12)+1=(MOD(CALC_SuryaLagna!$F$15,12)+1)),AND(OR(CALC_PlanetPositions!$M$8="Benefic",CALC_PlanetPositions!$M$8="Yogakaraka"),MOD(MATCH(CALC_PlanetPositions!$B$8,{"Aries","Taurus","Gemini","Cancer","Leo","Virgo","Libra","Scorpio","Sagittarius","Capricorn","Aquarius","Pisces"},0)-MATCH(CALC_PlanetPositions!$B$7,{"Aries","Taurus","Gemini","Cancer","Leo","Virgo","Libra","Scorpio","Sagittarius","Capricorn","Aquarius","Pisces"},0),12)+1=(MOD(CALC_SuryaLagna!$F$15,12)+1)),AND(OR(CALC_PlanetPositions!$M$9="Benefic",CALC_PlanetPositions!$M$9="Yogakaraka"),MOD(MATCH(CALC_PlanetPositions!$B$9,{"Aries","Taurus","Gemini","Cancer","Leo","Virgo","Libra","Scorpio","Sagittarius","Capricorn","Aquarius","Pisces"},0)-MATCH(CALC_PlanetPositions!$B$7,{"Aries","Taurus","Gemini","Cancer","Leo","Virgo","Libra","Scorpio","Sagittarius","Capricorn","Aquarius","Pisces"},0),12)+1=(MOD(CALC_SuryaLagna!$F$15,12)+1)),AND(OR(CALC_PlanetPositions!$M$10="Benefic",CALC_PlanetPositions!$M$10="Yogakaraka"),MOD(MATCH(CALC_PlanetPositions!$B$10,{"Aries","Taurus","Gemini","Cancer","Leo","Virgo","Libra","Scorpio","Sagittarius","Capricorn","Aquarius","Pisces"},0)-MATCH(CALC_PlanetPositions!$B$7,{"Aries","Taurus","Gemini","Cancer","Leo","Virgo","Libra","Scorpio","Sagittarius","Capricorn","Aquarius","Pisces"},0),12)+1=(MOD(CALC_SuryaLagna!$F$15,12)+1)),AND(OR(CALC_PlanetPositions!$M$11="Benefic",CALC_PlanetPositions!$M$11="Yogakaraka"),MOD(MATCH(CALC_PlanetPositions!$B$11,{"Aries","Taurus","Gemini","Cancer","Leo","Virgo","Libra","Scorpio","Sagittarius","Capricorn","Aquarius","Pisces"},0)-MATCH(CALC_PlanetPositions!$B$7,{"Aries","Taurus","Gemini","Cancer","Leo","Virgo","Libra","Scorpio","Sagittarius","Capricorn","Aquarius","Pisces"},0),12)+1=(MOD(CALC_SuryaLagna!$F$15,12)+1)),AND(OR(CALC_PlanetPositions!$M$12="Benefic",CALC_PlanetPositions!$M$12="Yogakaraka"),MOD(MATCH(CALC_PlanetPositions!$B$12,{"Aries","Taurus","Gemini","Cancer","Leo","Virgo","Libra","Scorpio","Sagittarius","Capricorn","Aquarius","Pisces"},0)-MATCH(CALC_PlanetPositions!$B$7,{"Aries","Taurus","Gemini","Cancer","Leo","Virgo","Libra","Scorpio","Sagittarius","Capricorn","Aquarius","Pisces"},0),12)+1=(MOD(CALC_SuryaLagna!$F$15,12)+1)),AND(OR(CALC_PlanetPositions!$M$13="Benefic",CALC_PlanetPositions!$M$13="Yogakaraka"),MOD(MATCH(CALC_PlanetPositions!$B$13,{"Aries","Taurus","Gemini","Cancer","Leo","Virgo","Libra","Scorpio","Sagittarius","Capricorn","Aquarius","Pisces"},0)-MATCH(CALC_PlanetPositions!$B$7,{"Aries","Taurus","Gemini","Cancer","Leo","Virgo","Libra","Scorpio","Sagittarius","Capricorn","Aquarius","Pisces"},0),12)+1=(MOD(CALC_SuryaLagna!$F$15,12)+1)),AND(FALSE(),MOD(MATCH(CALC_PlanetPositions!$B$14,{"Aries","Taurus","Gemini","Cancer","Leo","Virgo","Libra","Scorpio","Sagittarius","Capricorn","Aquarius","Pisces"},0)-MATCH(CALC_PlanetPositions!$B$7,{"Aries","Taurus","Gemini","Cancer","Leo","Virgo","Libra","Scorpio","Sagittarius","Capricorn","Aquarius","Pisces"},0),12)+1=(MOD(CALC_SuryaLagna!$F$15,12)+1)),AND(FALSE(),MOD(MATCH(CALC_PlanetPositions!$B$15,{"Aries","Taurus","Gemini","Cancer","Leo","Virgo","Libra","Scorpio","Sagittarius","Capricorn","Aquarius","Pisces"},0)-MATCH(CALC_PlanetPositions!$B$7,{"Aries","Taurus","Gemini","Cancer","Leo","Virgo","Libra","Scorpio","Sagittarius","Capricorn","Aquarius","Pisces"},0),12)+1=(MOD(CALC_SuryaLagna!$F$15,12)+1)))),1,0),0))*IF(REF_Config!$B$6="KP",0.75,IF(REF_Config!$B$6="Jaimini",0.5,0.75)),0)</f>
        <v>0</v>
      </c>
      <c r="D13" s="403" t="s">
        <v>4620</v>
      </c>
    </row>
    <row r="14" spans="1:12" ht="15.75" customHeight="1" x14ac:dyDescent="0.2">
      <c r="A14" s="1598" t="s">
        <v>4621</v>
      </c>
      <c r="B14" s="1598"/>
      <c r="C14" s="1598"/>
      <c r="D14" s="1598"/>
    </row>
    <row r="15" spans="1:12" ht="27.75" customHeight="1" x14ac:dyDescent="0.2">
      <c r="A15" s="1156" t="s">
        <v>4622</v>
      </c>
      <c r="B15" s="357" t="s">
        <v>4546</v>
      </c>
      <c r="C15" s="1117">
        <f>IFERROR((IFERROR(IF(OR(AND(CALC_PlanetPositions!$M$7="Malefic",(MOD(MATCH(CALC_PlanetPositions!$B$7,{"Aries","Taurus","Gemini","Cancer","Leo","Virgo","Libra","Scorpio","Sagittarius","Capricorn","Aquarius","Pisces"},0)-MATCH(CALC_PlanetPositions!$B$7,{"Aries","Taurus","Gemini","Cancer","Leo","Virgo","Libra","Scorpio","Sagittarius","Capricorn","Aquarius","Pisces"},0),12)+1)=12),AND(CALC_PlanetPositions!$M$8="Malefic",(MOD(MATCH(CALC_PlanetPositions!$B$8,{"Aries","Taurus","Gemini","Cancer","Leo","Virgo","Libra","Scorpio","Sagittarius","Capricorn","Aquarius","Pisces"},0)-MATCH(CALC_PlanetPositions!$B$7,{"Aries","Taurus","Gemini","Cancer","Leo","Virgo","Libra","Scorpio","Sagittarius","Capricorn","Aquarius","Pisces"},0),12)+1)=12),AND(CALC_PlanetPositions!$M$9="Malefic",(MOD(MATCH(CALC_PlanetPositions!$B$9,{"Aries","Taurus","Gemini","Cancer","Leo","Virgo","Libra","Scorpio","Sagittarius","Capricorn","Aquarius","Pisces"},0)-MATCH(CALC_PlanetPositions!$B$7,{"Aries","Taurus","Gemini","Cancer","Leo","Virgo","Libra","Scorpio","Sagittarius","Capricorn","Aquarius","Pisces"},0),12)+1)=12),AND(CALC_PlanetPositions!$M$10="Malefic",(MOD(MATCH(CALC_PlanetPositions!$B$10,{"Aries","Taurus","Gemini","Cancer","Leo","Virgo","Libra","Scorpio","Sagittarius","Capricorn","Aquarius","Pisces"},0)-MATCH(CALC_PlanetPositions!$B$7,{"Aries","Taurus","Gemini","Cancer","Leo","Virgo","Libra","Scorpio","Sagittarius","Capricorn","Aquarius","Pisces"},0),12)+1)=12),AND(CALC_PlanetPositions!$M$11="Malefic",(MOD(MATCH(CALC_PlanetPositions!$B$11,{"Aries","Taurus","Gemini","Cancer","Leo","Virgo","Libra","Scorpio","Sagittarius","Capricorn","Aquarius","Pisces"},0)-MATCH(CALC_PlanetPositions!$B$7,{"Aries","Taurus","Gemini","Cancer","Leo","Virgo","Libra","Scorpio","Sagittarius","Capricorn","Aquarius","Pisces"},0),12)+1)=12),AND(CALC_PlanetPositions!$M$12="Malefic",(MOD(MATCH(CALC_PlanetPositions!$B$12,{"Aries","Taurus","Gemini","Cancer","Leo","Virgo","Libra","Scorpio","Sagittarius","Capricorn","Aquarius","Pisces"},0)-MATCH(CALC_PlanetPositions!$B$7,{"Aries","Taurus","Gemini","Cancer","Leo","Virgo","Libra","Scorpio","Sagittarius","Capricorn","Aquarius","Pisces"},0),12)+1)=12),AND(CALC_PlanetPositions!$M$13="Malefic",(MOD(MATCH(CALC_PlanetPositions!$B$13,{"Aries","Taurus","Gemini","Cancer","Leo","Virgo","Libra","Scorpio","Sagittarius","Capricorn","Aquarius","Pisces"},0)-MATCH(CALC_PlanetPositions!$B$7,{"Aries","Taurus","Gemini","Cancer","Leo","Virgo","Libra","Scorpio","Sagittarius","Capricorn","Aquarius","Pisces"},0),12)+1)=12),AND(TRUE(),(MOD(MATCH(CALC_PlanetPositions!$B$14,{"Aries","Taurus","Gemini","Cancer","Leo","Virgo","Libra","Scorpio","Sagittarius","Capricorn","Aquarius","Pisces"},0)-MATCH(CALC_PlanetPositions!$B$7,{"Aries","Taurus","Gemini","Cancer","Leo","Virgo","Libra","Scorpio","Sagittarius","Capricorn","Aquarius","Pisces"},0),12)+1)=12),AND(TRUE(),(MOD(MATCH(CALC_PlanetPositions!$B$15,{"Aries","Taurus","Gemini","Cancer","Leo","Virgo","Libra","Scorpio","Sagittarius","Capricorn","Aquarius","Pisces"},0)-MATCH(CALC_PlanetPositions!$B$7,{"Aries","Taurus","Gemini","Cancer","Leo","Virgo","Libra","Scorpio","Sagittarius","Capricorn","Aquarius","Pisces"},0),12)+1)=12)),1,0),0))*-1,0)</f>
        <v>-1</v>
      </c>
      <c r="D15" s="400" t="s">
        <v>4623</v>
      </c>
    </row>
    <row r="16" spans="1:12" ht="27.75" customHeight="1" x14ac:dyDescent="0.2">
      <c r="A16" s="1156" t="s">
        <v>4624</v>
      </c>
      <c r="B16" s="203" t="s">
        <v>4548</v>
      </c>
      <c r="C16" s="1118">
        <f>IFERROR((IFERROR(IF(OR(AND(CALC_PlanetPositions!$M$7="Malefic",INDEX(REF_Aspects!$D$5:$O$13,1,MOD(12-(MOD(MATCH(CALC_PlanetPositions!$B$7,{"Aries","Taurus","Gemini","Cancer","Leo","Virgo","Libra","Scorpio","Sagittarius","Capricorn","Aquarius","Pisces"},0)-MATCH(CALC_PlanetPositions!$B$7,{"Aries","Taurus","Gemini","Cancer","Leo","Virgo","Libra","Scorpio","Sagittarius","Capricorn","Aquarius","Pisces"},0),12)+1),12)+1)="FULL",NOT((MOD(MATCH(CALC_PlanetPositions!$B$7,{"Aries","Taurus","Gemini","Cancer","Leo","Virgo","Libra","Scorpio","Sagittarius","Capricorn","Aquarius","Pisces"},0)-MATCH(CALC_PlanetPositions!$B$7,{"Aries","Taurus","Gemini","Cancer","Leo","Virgo","Libra","Scorpio","Sagittarius","Capricorn","Aquarius","Pisces"},0),12)+1)=12)),AND(CALC_PlanetPositions!$M$8="Malefic",INDEX(REF_Aspects!$D$5:$O$13,2,MOD(12-(MOD(MATCH(CALC_PlanetPositions!$B$8,{"Aries","Taurus","Gemini","Cancer","Leo","Virgo","Libra","Scorpio","Sagittarius","Capricorn","Aquarius","Pisces"},0)-MATCH(CALC_PlanetPositions!$B$7,{"Aries","Taurus","Gemini","Cancer","Leo","Virgo","Libra","Scorpio","Sagittarius","Capricorn","Aquarius","Pisces"},0),12)+1),12)+1)="FULL",NOT((MOD(MATCH(CALC_PlanetPositions!$B$8,{"Aries","Taurus","Gemini","Cancer","Leo","Virgo","Libra","Scorpio","Sagittarius","Capricorn","Aquarius","Pisces"},0)-MATCH(CALC_PlanetPositions!$B$7,{"Aries","Taurus","Gemini","Cancer","Leo","Virgo","Libra","Scorpio","Sagittarius","Capricorn","Aquarius","Pisces"},0),12)+1)=12)),AND(CALC_PlanetPositions!$M$9="Malefic",INDEX(REF_Aspects!$D$5:$O$13,3,MOD(12-(MOD(MATCH(CALC_PlanetPositions!$B$9,{"Aries","Taurus","Gemini","Cancer","Leo","Virgo","Libra","Scorpio","Sagittarius","Capricorn","Aquarius","Pisces"},0)-MATCH(CALC_PlanetPositions!$B$7,{"Aries","Taurus","Gemini","Cancer","Leo","Virgo","Libra","Scorpio","Sagittarius","Capricorn","Aquarius","Pisces"},0),12)+1),12)+1)="FULL",NOT((MOD(MATCH(CALC_PlanetPositions!$B$9,{"Aries","Taurus","Gemini","Cancer","Leo","Virgo","Libra","Scorpio","Sagittarius","Capricorn","Aquarius","Pisces"},0)-MATCH(CALC_PlanetPositions!$B$7,{"Aries","Taurus","Gemini","Cancer","Leo","Virgo","Libra","Scorpio","Sagittarius","Capricorn","Aquarius","Pisces"},0),12)+1)=12)),AND(CALC_PlanetPositions!$M$10="Malefic",INDEX(REF_Aspects!$D$5:$O$13,4,MOD(12-(MOD(MATCH(CALC_PlanetPositions!$B$10,{"Aries","Taurus","Gemini","Cancer","Leo","Virgo","Libra","Scorpio","Sagittarius","Capricorn","Aquarius","Pisces"},0)-MATCH(CALC_PlanetPositions!$B$7,{"Aries","Taurus","Gemini","Cancer","Leo","Virgo","Libra","Scorpio","Sagittarius","Capricorn","Aquarius","Pisces"},0),12)+1),12)+1)="FULL",NOT((MOD(MATCH(CALC_PlanetPositions!$B$10,{"Aries","Taurus","Gemini","Cancer","Leo","Virgo","Libra","Scorpio","Sagittarius","Capricorn","Aquarius","Pisces"},0)-MATCH(CALC_PlanetPositions!$B$7,{"Aries","Taurus","Gemini","Cancer","Leo","Virgo","Libra","Scorpio","Sagittarius","Capricorn","Aquarius","Pisces"},0),12)+1)=12)),AND(CALC_PlanetPositions!$M$11="Malefic",INDEX(REF_Aspects!$D$5:$O$13,5,MOD(12-(MOD(MATCH(CALC_PlanetPositions!$B$11,{"Aries","Taurus","Gemini","Cancer","Leo","Virgo","Libra","Scorpio","Sagittarius","Capricorn","Aquarius","Pisces"},0)-MATCH(CALC_PlanetPositions!$B$7,{"Aries","Taurus","Gemini","Cancer","Leo","Virgo","Libra","Scorpio","Sagittarius","Capricorn","Aquarius","Pisces"},0),12)+1),12)+1)="FULL",NOT((MOD(MATCH(CALC_PlanetPositions!$B$11,{"Aries","Taurus","Gemini","Cancer","Leo","Virgo","Libra","Scorpio","Sagittarius","Capricorn","Aquarius","Pisces"},0)-MATCH(CALC_PlanetPositions!$B$7,{"Aries","Taurus","Gemini","Cancer","Leo","Virgo","Libra","Scorpio","Sagittarius","Capricorn","Aquarius","Pisces"},0),12)+1)=12)),AND(CALC_PlanetPositions!$M$12="Malefic",INDEX(REF_Aspects!$D$5:$O$13,6,MOD(12-(MOD(MATCH(CALC_PlanetPositions!$B$12,{"Aries","Taurus","Gemini","Cancer","Leo","Virgo","Libra","Scorpio","Sagittarius","Capricorn","Aquarius","Pisces"},0)-MATCH(CALC_PlanetPositions!$B$7,{"Aries","Taurus","Gemini","Cancer","Leo","Virgo","Libra","Scorpio","Sagittarius","Capricorn","Aquarius","Pisces"},0),12)+1),12)+1)="FULL",NOT((MOD(MATCH(CALC_PlanetPositions!$B$12,{"Aries","Taurus","Gemini","Cancer","Leo","Virgo","Libra","Scorpio","Sagittarius","Capricorn","Aquarius","Pisces"},0)-MATCH(CALC_PlanetPositions!$B$7,{"Aries","Taurus","Gemini","Cancer","Leo","Virgo","Libra","Scorpio","Sagittarius","Capricorn","Aquarius","Pisces"},0),12)+1)=12)),AND(CALC_PlanetPositions!$M$13="Malefic",INDEX(REF_Aspects!$D$5:$O$13,7,MOD(12-(MOD(MATCH(CALC_PlanetPositions!$B$13,{"Aries","Taurus","Gemini","Cancer","Leo","Virgo","Libra","Scorpio","Sagittarius","Capricorn","Aquarius","Pisces"},0)-MATCH(CALC_PlanetPositions!$B$7,{"Aries","Taurus","Gemini","Cancer","Leo","Virgo","Libra","Scorpio","Sagittarius","Capricorn","Aquarius","Pisces"},0),12)+1),12)+1)="FULL",NOT((MOD(MATCH(CALC_PlanetPositions!$B$13,{"Aries","Taurus","Gemini","Cancer","Leo","Virgo","Libra","Scorpio","Sagittarius","Capricorn","Aquarius","Pisces"},0)-MATCH(CALC_PlanetPositions!$B$7,{"Aries","Taurus","Gemini","Cancer","Leo","Virgo","Libra","Scorpio","Sagittarius","Capricorn","Aquarius","Pisces"},0),12)+1)=12)),AND(TRUE(),INDEX(REF_Aspects!$D$5:$O$13,8,MOD(12-(MOD(MATCH(CALC_PlanetPositions!$B$14,{"Aries","Taurus","Gemini","Cancer","Leo","Virgo","Libra","Scorpio","Sagittarius","Capricorn","Aquarius","Pisces"},0)-MATCH(CALC_PlanetPositions!$B$7,{"Aries","Taurus","Gemini","Cancer","Leo","Virgo","Libra","Scorpio","Sagittarius","Capricorn","Aquarius","Pisces"},0),12)+1),12)+1)="FULL",NOT((MOD(MATCH(CALC_PlanetPositions!$B$14,{"Aries","Taurus","Gemini","Cancer","Leo","Virgo","Libra","Scorpio","Sagittarius","Capricorn","Aquarius","Pisces"},0)-MATCH(CALC_PlanetPositions!$B$7,{"Aries","Taurus","Gemini","Cancer","Leo","Virgo","Libra","Scorpio","Sagittarius","Capricorn","Aquarius","Pisces"},0),12)+1)=12)),AND(TRUE(),INDEX(REF_Aspects!$D$5:$O$13,9,MOD(12-(MOD(MATCH(CALC_PlanetPositions!$B$15,{"Aries","Taurus","Gemini","Cancer","Leo","Virgo","Libra","Scorpio","Sagittarius","Capricorn","Aquarius","Pisces"},0)-MATCH(CALC_PlanetPositions!$B$7,{"Aries","Taurus","Gemini","Cancer","Leo","Virgo","Libra","Scorpio","Sagittarius","Capricorn","Aquarius","Pisces"},0),12)+1),12)+1)="FULL",NOT((MOD(MATCH(CALC_PlanetPositions!$B$15,{"Aries","Taurus","Gemini","Cancer","Leo","Virgo","Libra","Scorpio","Sagittarius","Capricorn","Aquarius","Pisces"},0)-MATCH(CALC_PlanetPositions!$B$7,{"Aries","Taurus","Gemini","Cancer","Leo","Virgo","Libra","Scorpio","Sagittarius","Capricorn","Aquarius","Pisces"},0),12)+1)=12))),1,0),0))*-1,0)</f>
        <v>-1</v>
      </c>
      <c r="D16" s="403" t="s">
        <v>4625</v>
      </c>
    </row>
    <row r="17" spans="1:7" ht="27.75" customHeight="1" x14ac:dyDescent="0.2">
      <c r="A17" s="1156" t="s">
        <v>4626</v>
      </c>
      <c r="B17" s="357" t="s">
        <v>3062</v>
      </c>
      <c r="C17" s="1117">
        <v>0</v>
      </c>
      <c r="D17" s="400" t="s">
        <v>4627</v>
      </c>
    </row>
    <row r="18" spans="1:7" ht="27.75" customHeight="1" x14ac:dyDescent="0.2">
      <c r="A18" s="1156" t="s">
        <v>4628</v>
      </c>
      <c r="B18" s="203" t="s">
        <v>4552</v>
      </c>
      <c r="C18" s="1118">
        <f>IFERROR((IFERROR(IF(AND(OR(AND(CALC_PlanetPositions!$M$7="Malefic",MOD(MATCH(CALC_PlanetPositions!$B$7,{"Aries","Taurus","Gemini","Cancer","Leo","Virgo","Libra","Scorpio","Sagittarius","Capricorn","Aquarius","Pisces"},0)-MATCH(CALC_PlanetPositions!$B$7,{"Aries","Taurus","Gemini","Cancer","Leo","Virgo","Libra","Scorpio","Sagittarius","Capricorn","Aquarius","Pisces"},0),12)+1=(MOD(12-2,12)+1)),AND(CALC_PlanetPositions!$M$8="Malefic",MOD(MATCH(CALC_PlanetPositions!$B$8,{"Aries","Taurus","Gemini","Cancer","Leo","Virgo","Libra","Scorpio","Sagittarius","Capricorn","Aquarius","Pisces"},0)-MATCH(CALC_PlanetPositions!$B$7,{"Aries","Taurus","Gemini","Cancer","Leo","Virgo","Libra","Scorpio","Sagittarius","Capricorn","Aquarius","Pisces"},0),12)+1=(MOD(12-2,12)+1)),AND(CALC_PlanetPositions!$M$9="Malefic",MOD(MATCH(CALC_PlanetPositions!$B$9,{"Aries","Taurus","Gemini","Cancer","Leo","Virgo","Libra","Scorpio","Sagittarius","Capricorn","Aquarius","Pisces"},0)-MATCH(CALC_PlanetPositions!$B$7,{"Aries","Taurus","Gemini","Cancer","Leo","Virgo","Libra","Scorpio","Sagittarius","Capricorn","Aquarius","Pisces"},0),12)+1=(MOD(12-2,12)+1)),AND(CALC_PlanetPositions!$M$10="Malefic",MOD(MATCH(CALC_PlanetPositions!$B$10,{"Aries","Taurus","Gemini","Cancer","Leo","Virgo","Libra","Scorpio","Sagittarius","Capricorn","Aquarius","Pisces"},0)-MATCH(CALC_PlanetPositions!$B$7,{"Aries","Taurus","Gemini","Cancer","Leo","Virgo","Libra","Scorpio","Sagittarius","Capricorn","Aquarius","Pisces"},0),12)+1=(MOD(12-2,12)+1)),AND(CALC_PlanetPositions!$M$11="Malefic",MOD(MATCH(CALC_PlanetPositions!$B$11,{"Aries","Taurus","Gemini","Cancer","Leo","Virgo","Libra","Scorpio","Sagittarius","Capricorn","Aquarius","Pisces"},0)-MATCH(CALC_PlanetPositions!$B$7,{"Aries","Taurus","Gemini","Cancer","Leo","Virgo","Libra","Scorpio","Sagittarius","Capricorn","Aquarius","Pisces"},0),12)+1=(MOD(12-2,12)+1)),AND(CALC_PlanetPositions!$M$12="Malefic",MOD(MATCH(CALC_PlanetPositions!$B$12,{"Aries","Taurus","Gemini","Cancer","Leo","Virgo","Libra","Scorpio","Sagittarius","Capricorn","Aquarius","Pisces"},0)-MATCH(CALC_PlanetPositions!$B$7,{"Aries","Taurus","Gemini","Cancer","Leo","Virgo","Libra","Scorpio","Sagittarius","Capricorn","Aquarius","Pisces"},0),12)+1=(MOD(12-2,12)+1)),AND(CALC_PlanetPositions!$M$13="Malefic",MOD(MATCH(CALC_PlanetPositions!$B$13,{"Aries","Taurus","Gemini","Cancer","Leo","Virgo","Libra","Scorpio","Sagittarius","Capricorn","Aquarius","Pisces"},0)-MATCH(CALC_PlanetPositions!$B$7,{"Aries","Taurus","Gemini","Cancer","Leo","Virgo","Libra","Scorpio","Sagittarius","Capricorn","Aquarius","Pisces"},0),12)+1=(MOD(12-2,12)+1)),AND(TRUE(),MOD(MATCH(CALC_PlanetPositions!$B$14,{"Aries","Taurus","Gemini","Cancer","Leo","Virgo","Libra","Scorpio","Sagittarius","Capricorn","Aquarius","Pisces"},0)-MATCH(CALC_PlanetPositions!$B$7,{"Aries","Taurus","Gemini","Cancer","Leo","Virgo","Libra","Scorpio","Sagittarius","Capricorn","Aquarius","Pisces"},0),12)+1=(MOD(12-2,12)+1)),AND(TRUE(),MOD(MATCH(CALC_PlanetPositions!$B$15,{"Aries","Taurus","Gemini","Cancer","Leo","Virgo","Libra","Scorpio","Sagittarius","Capricorn","Aquarius","Pisces"},0)-MATCH(CALC_PlanetPositions!$B$7,{"Aries","Taurus","Gemini","Cancer","Leo","Virgo","Libra","Scorpio","Sagittarius","Capricorn","Aquarius","Pisces"},0),12)+1=(MOD(12-2,12)+1))),OR(AND(CALC_PlanetPositions!$M$7="Malefic",MOD(MATCH(CALC_PlanetPositions!$B$7,{"Aries","Taurus","Gemini","Cancer","Leo","Virgo","Libra","Scorpio","Sagittarius","Capricorn","Aquarius","Pisces"},0)-MATCH(CALC_PlanetPositions!$B$7,{"Aries","Taurus","Gemini","Cancer","Leo","Virgo","Libra","Scorpio","Sagittarius","Capricorn","Aquarius","Pisces"},0),12)+1=(1)),AND(CALC_PlanetPositions!$M$8="Malefic",MOD(MATCH(CALC_PlanetPositions!$B$8,{"Aries","Taurus","Gemini","Cancer","Leo","Virgo","Libra","Scorpio","Sagittarius","Capricorn","Aquarius","Pisces"},0)-MATCH(CALC_PlanetPositions!$B$7,{"Aries","Taurus","Gemini","Cancer","Leo","Virgo","Libra","Scorpio","Sagittarius","Capricorn","Aquarius","Pisces"},0),12)+1=(1)),AND(CALC_PlanetPositions!$M$9="Malefic",MOD(MATCH(CALC_PlanetPositions!$B$9,{"Aries","Taurus","Gemini","Cancer","Leo","Virgo","Libra","Scorpio","Sagittarius","Capricorn","Aquarius","Pisces"},0)-MATCH(CALC_PlanetPositions!$B$7,{"Aries","Taurus","Gemini","Cancer","Leo","Virgo","Libra","Scorpio","Sagittarius","Capricorn","Aquarius","Pisces"},0),12)+1=(1)),AND(CALC_PlanetPositions!$M$10="Malefic",MOD(MATCH(CALC_PlanetPositions!$B$10,{"Aries","Taurus","Gemini","Cancer","Leo","Virgo","Libra","Scorpio","Sagittarius","Capricorn","Aquarius","Pisces"},0)-MATCH(CALC_PlanetPositions!$B$7,{"Aries","Taurus","Gemini","Cancer","Leo","Virgo","Libra","Scorpio","Sagittarius","Capricorn","Aquarius","Pisces"},0),12)+1=(1)),AND(CALC_PlanetPositions!$M$11="Malefic",MOD(MATCH(CALC_PlanetPositions!$B$11,{"Aries","Taurus","Gemini","Cancer","Leo","Virgo","Libra","Scorpio","Sagittarius","Capricorn","Aquarius","Pisces"},0)-MATCH(CALC_PlanetPositions!$B$7,{"Aries","Taurus","Gemini","Cancer","Leo","Virgo","Libra","Scorpio","Sagittarius","Capricorn","Aquarius","Pisces"},0),12)+1=(1)),AND(CALC_PlanetPositions!$M$12="Malefic",MOD(MATCH(CALC_PlanetPositions!$B$12,{"Aries","Taurus","Gemini","Cancer","Leo","Virgo","Libra","Scorpio","Sagittarius","Capricorn","Aquarius","Pisces"},0)-MATCH(CALC_PlanetPositions!$B$7,{"Aries","Taurus","Gemini","Cancer","Leo","Virgo","Libra","Scorpio","Sagittarius","Capricorn","Aquarius","Pisces"},0),12)+1=(1)),AND(CALC_PlanetPositions!$M$13="Malefic",MOD(MATCH(CALC_PlanetPositions!$B$13,{"Aries","Taurus","Gemini","Cancer","Leo","Virgo","Libra","Scorpio","Sagittarius","Capricorn","Aquarius","Pisces"},0)-MATCH(CALC_PlanetPositions!$B$7,{"Aries","Taurus","Gemini","Cancer","Leo","Virgo","Libra","Scorpio","Sagittarius","Capricorn","Aquarius","Pisces"},0),12)+1=(1)),AND(TRUE(),MOD(MATCH(CALC_PlanetPositions!$B$14,{"Aries","Taurus","Gemini","Cancer","Leo","Virgo","Libra","Scorpio","Sagittarius","Capricorn","Aquarius","Pisces"},0)-MATCH(CALC_PlanetPositions!$B$7,{"Aries","Taurus","Gemini","Cancer","Leo","Virgo","Libra","Scorpio","Sagittarius","Capricorn","Aquarius","Pisces"},0),12)+1=(1)),AND(TRUE(),MOD(MATCH(CALC_PlanetPositions!$B$15,{"Aries","Taurus","Gemini","Cancer","Leo","Virgo","Libra","Scorpio","Sagittarius","Capricorn","Aquarius","Pisces"},0)-MATCH(CALC_PlanetPositions!$B$7,{"Aries","Taurus","Gemini","Cancer","Leo","Virgo","Libra","Scorpio","Sagittarius","Capricorn","Aquarius","Pisces"},0),12)+1=(1)))),1,0),0))*IF(REF_Config!$B$6="KP",-0.75,IF(REF_Config!$B$6="Jaimini",-0.5,-0.75)),0)</f>
        <v>-0.75</v>
      </c>
      <c r="D18" s="403" t="s">
        <v>4629</v>
      </c>
    </row>
    <row r="19" spans="1:7" ht="15.75" customHeight="1" x14ac:dyDescent="0.2">
      <c r="A19" s="1594" t="s">
        <v>3624</v>
      </c>
      <c r="B19" s="1594"/>
      <c r="C19" s="1594"/>
      <c r="D19" s="1594"/>
    </row>
    <row r="20" spans="1:7" ht="27.75" customHeight="1" x14ac:dyDescent="0.2">
      <c r="A20" s="1156" t="s">
        <v>4630</v>
      </c>
      <c r="B20" s="357" t="s">
        <v>4555</v>
      </c>
      <c r="C20" s="1117">
        <v>0</v>
      </c>
      <c r="D20" s="400" t="s">
        <v>4631</v>
      </c>
    </row>
    <row r="21" spans="1:7" ht="27.75" customHeight="1" x14ac:dyDescent="0.2">
      <c r="A21" s="1156" t="s">
        <v>4632</v>
      </c>
      <c r="B21" s="203" t="s">
        <v>4633</v>
      </c>
      <c r="C21" s="1118">
        <f>IFERROR((IFERROR(IF(OR(AND(CALC_PlanetPositions!$M$7="Malefic",INDEX(REF_Aspects!$D$5:$O$13,1,MOD(CALC_SuryaLagna!$F$15-(MOD(MATCH(CALC_PlanetPositions!$B$7,{"Aries","Taurus","Gemini","Cancer","Leo","Virgo","Libra","Scorpio","Sagittarius","Capricorn","Aquarius","Pisces"},0)-MATCH(CALC_PlanetPositions!$B$7,{"Aries","Taurus","Gemini","Cancer","Leo","Virgo","Libra","Scorpio","Sagittarius","Capricorn","Aquarius","Pisces"},0),12)+1),12)+1)="FULL",NOT(CALC_PlanetPositions!$B$7=CALC_SuryaLagna!$E$15)),AND(CALC_PlanetPositions!$M$8="Malefic",INDEX(REF_Aspects!$D$5:$O$13,2,MOD(CALC_SuryaLagna!$F$15-(MOD(MATCH(CALC_PlanetPositions!$B$8,{"Aries","Taurus","Gemini","Cancer","Leo","Virgo","Libra","Scorpio","Sagittarius","Capricorn","Aquarius","Pisces"},0)-MATCH(CALC_PlanetPositions!$B$7,{"Aries","Taurus","Gemini","Cancer","Leo","Virgo","Libra","Scorpio","Sagittarius","Capricorn","Aquarius","Pisces"},0),12)+1),12)+1)="FULL",NOT(CALC_PlanetPositions!$B$8=CALC_SuryaLagna!$E$15)),AND(CALC_PlanetPositions!$M$9="Malefic",INDEX(REF_Aspects!$D$5:$O$13,3,MOD(CALC_SuryaLagna!$F$15-(MOD(MATCH(CALC_PlanetPositions!$B$9,{"Aries","Taurus","Gemini","Cancer","Leo","Virgo","Libra","Scorpio","Sagittarius","Capricorn","Aquarius","Pisces"},0)-MATCH(CALC_PlanetPositions!$B$7,{"Aries","Taurus","Gemini","Cancer","Leo","Virgo","Libra","Scorpio","Sagittarius","Capricorn","Aquarius","Pisces"},0),12)+1),12)+1)="FULL",NOT(CALC_PlanetPositions!$B$9=CALC_SuryaLagna!$E$15)),AND(CALC_PlanetPositions!$M$10="Malefic",INDEX(REF_Aspects!$D$5:$O$13,4,MOD(CALC_SuryaLagna!$F$15-(MOD(MATCH(CALC_PlanetPositions!$B$10,{"Aries","Taurus","Gemini","Cancer","Leo","Virgo","Libra","Scorpio","Sagittarius","Capricorn","Aquarius","Pisces"},0)-MATCH(CALC_PlanetPositions!$B$7,{"Aries","Taurus","Gemini","Cancer","Leo","Virgo","Libra","Scorpio","Sagittarius","Capricorn","Aquarius","Pisces"},0),12)+1),12)+1)="FULL",NOT(CALC_PlanetPositions!$B$10=CALC_SuryaLagna!$E$15)),AND(CALC_PlanetPositions!$M$11="Malefic",INDEX(REF_Aspects!$D$5:$O$13,5,MOD(CALC_SuryaLagna!$F$15-(MOD(MATCH(CALC_PlanetPositions!$B$11,{"Aries","Taurus","Gemini","Cancer","Leo","Virgo","Libra","Scorpio","Sagittarius","Capricorn","Aquarius","Pisces"},0)-MATCH(CALC_PlanetPositions!$B$7,{"Aries","Taurus","Gemini","Cancer","Leo","Virgo","Libra","Scorpio","Sagittarius","Capricorn","Aquarius","Pisces"},0),12)+1),12)+1)="FULL",NOT(CALC_PlanetPositions!$B$11=CALC_SuryaLagna!$E$15)),AND(CALC_PlanetPositions!$M$12="Malefic",INDEX(REF_Aspects!$D$5:$O$13,6,MOD(CALC_SuryaLagna!$F$15-(MOD(MATCH(CALC_PlanetPositions!$B$12,{"Aries","Taurus","Gemini","Cancer","Leo","Virgo","Libra","Scorpio","Sagittarius","Capricorn","Aquarius","Pisces"},0)-MATCH(CALC_PlanetPositions!$B$7,{"Aries","Taurus","Gemini","Cancer","Leo","Virgo","Libra","Scorpio","Sagittarius","Capricorn","Aquarius","Pisces"},0),12)+1),12)+1)="FULL",NOT(CALC_PlanetPositions!$B$12=CALC_SuryaLagna!$E$15)),AND(CALC_PlanetPositions!$M$13="Malefic",INDEX(REF_Aspects!$D$5:$O$13,7,MOD(CALC_SuryaLagna!$F$15-(MOD(MATCH(CALC_PlanetPositions!$B$13,{"Aries","Taurus","Gemini","Cancer","Leo","Virgo","Libra","Scorpio","Sagittarius","Capricorn","Aquarius","Pisces"},0)-MATCH(CALC_PlanetPositions!$B$7,{"Aries","Taurus","Gemini","Cancer","Leo","Virgo","Libra","Scorpio","Sagittarius","Capricorn","Aquarius","Pisces"},0),12)+1),12)+1)="FULL",NOT(CALC_PlanetPositions!$B$13=CALC_SuryaLagna!$E$15)),AND(TRUE(),INDEX(REF_Aspects!$D$5:$O$13,8,MOD(CALC_SuryaLagna!$F$15-(MOD(MATCH(CALC_PlanetPositions!$B$14,{"Aries","Taurus","Gemini","Cancer","Leo","Virgo","Libra","Scorpio","Sagittarius","Capricorn","Aquarius","Pisces"},0)-MATCH(CALC_PlanetPositions!$B$7,{"Aries","Taurus","Gemini","Cancer","Leo","Virgo","Libra","Scorpio","Sagittarius","Capricorn","Aquarius","Pisces"},0),12)+1),12)+1)="FULL",NOT(CALC_PlanetPositions!$B$14=CALC_SuryaLagna!$E$15)),AND(TRUE(),INDEX(REF_Aspects!$D$5:$O$13,9,MOD(CALC_SuryaLagna!$F$15-(MOD(MATCH(CALC_PlanetPositions!$B$15,{"Aries","Taurus","Gemini","Cancer","Leo","Virgo","Libra","Scorpio","Sagittarius","Capricorn","Aquarius","Pisces"},0)-MATCH(CALC_PlanetPositions!$B$7,{"Aries","Taurus","Gemini","Cancer","Leo","Virgo","Libra","Scorpio","Sagittarius","Capricorn","Aquarius","Pisces"},0),12)+1),12)+1)="FULL",NOT(CALC_PlanetPositions!$B$15=CALC_SuryaLagna!$E$15))),1,0),0))*-0.5,0)</f>
        <v>-0.5</v>
      </c>
      <c r="D21" s="403" t="s">
        <v>4634</v>
      </c>
    </row>
    <row r="22" spans="1:7" ht="27.75" customHeight="1" x14ac:dyDescent="0.2">
      <c r="A22" s="1156" t="s">
        <v>4635</v>
      </c>
      <c r="B22" s="357" t="s">
        <v>3042</v>
      </c>
      <c r="C22" s="1117">
        <f>IFERROR((IFERROR(IF(CALC_SuryaLagna!$I$15="Yes",1,0),0))*IF(REF_Config!$B$6="KP",-1.75,IF(REF_Config!$B$6="Jaimini",-2,-2)),0)</f>
        <v>0</v>
      </c>
      <c r="D22" s="400" t="s">
        <v>4636</v>
      </c>
    </row>
    <row r="23" spans="1:7" ht="27.75" customHeight="1" x14ac:dyDescent="0.2">
      <c r="A23" s="1156" t="s">
        <v>4637</v>
      </c>
      <c r="B23" s="203" t="s">
        <v>3059</v>
      </c>
      <c r="C23" s="1118">
        <f>IFERROR((IFERROR(IF(OR(AND(CALC_SuryaLagna!$E$9=CALC_SuryaLagna!$E$15,CALC_SuryaLagna!$D$9&lt;&gt;CALC_SuryaLagna!$D$15),AND(CALC_SuryaLagna!$E$11=CALC_SuryaLagna!$E$15,CALC_SuryaLagna!$D$11&lt;&gt;CALC_SuryaLagna!$D$15),AND(CALC_SuryaLagna!$E$15=CALC_SuryaLagna!$E$15,CALC_SuryaLagna!$D$15&lt;&gt;CALC_SuryaLagna!$D$15)),1,0),0))*-1,0)</f>
        <v>-1</v>
      </c>
      <c r="D23" s="403" t="s">
        <v>4638</v>
      </c>
    </row>
    <row r="24" spans="1:7" ht="15.75" customHeight="1" x14ac:dyDescent="0.2">
      <c r="A24" s="1484" t="s">
        <v>4639</v>
      </c>
      <c r="B24" s="1484"/>
      <c r="C24" s="1484"/>
      <c r="D24" s="1484"/>
    </row>
    <row r="25" spans="1:7" ht="27.75" customHeight="1" x14ac:dyDescent="0.2">
      <c r="A25" s="1156" t="s">
        <v>4640</v>
      </c>
      <c r="B25" s="357" t="s">
        <v>3084</v>
      </c>
      <c r="C25" s="1117">
        <f>IFERROR(IF(CALC_KarakMap!$M$16&gt;0,CALC_KarakMap!$M$16,0),0)</f>
        <v>0</v>
      </c>
      <c r="D25" s="400" t="s">
        <v>4641</v>
      </c>
    </row>
    <row r="26" spans="1:7" ht="27.75" customHeight="1" x14ac:dyDescent="0.2">
      <c r="A26" s="1156" t="s">
        <v>4642</v>
      </c>
      <c r="B26" s="203" t="s">
        <v>4564</v>
      </c>
      <c r="C26" s="1118">
        <f>IFERROR(IF(CALC_KarakMap!$M$16&lt;0,CALC_KarakMap!$M$16,0),0)</f>
        <v>0</v>
      </c>
      <c r="D26" s="403" t="s">
        <v>4643</v>
      </c>
    </row>
    <row r="27" spans="1:7" ht="27.75" customHeight="1" x14ac:dyDescent="0.2">
      <c r="A27" s="1119" t="s">
        <v>4644</v>
      </c>
      <c r="B27" s="296" t="s">
        <v>3624</v>
      </c>
      <c r="C27" s="1117">
        <f>IFERROR(IF(OR(CALC_SuryaLagna!$D$15="Sun",CALC_SuryaLagna!$D$15="Rahu",CALC_SuryaLagna!$D$15="Ketu"),0,IF(CALC_SuryaLagna!$D$15="Moon",IF(CALC_CombustionCheck!$G$4="Cazimi ✓",0.5,IF(CALC_CombustionCheck!$F$4="COMBUST ⚠",-1,0)),IF(CALC_SuryaLagna!$D$15="Mars",IF(CALC_CombustionCheck!$G$5="Cazimi ✓",0.5,IF(AND(CALC_CombustionCheck!$F$5="COMBUST ⚠",CALC_RetrogradeFix!$F$6="Rx ✓"),-0.5,IF(CALC_CombustionCheck!$F$5="COMBUST ⚠",-1,0))),IF(CALC_SuryaLagna!$D$15="Mercury",IF(CALC_CombustionCheck!$G$6="Cazimi ✓",0.5,IF(AND(CALC_CombustionCheck!$F$6="COMBUST ⚠",CALC_RetrogradeFix!$F$7="Rx ✓"),-0.5,IF(CALC_CombustionCheck!$F$6="COMBUST ⚠",-1,0))),IF(CALC_SuryaLagna!$D$15="Jupiter",IF(CALC_CombustionCheck!$G$7="Cazimi ✓",0.5,IF(AND(CALC_CombustionCheck!$F$7="COMBUST ⚠",CALC_RetrogradeFix!$F$8="Rx ✓"),-0.5,IF(CALC_CombustionCheck!$F$7="COMBUST ⚠",-1,0))),IF(CALC_SuryaLagna!$D$15="Venus",IF(CALC_CombustionCheck!$G$8="Cazimi ✓",0.5,IF(AND(CALC_CombustionCheck!$F$8="COMBUST ⚠",CALC_RetrogradeFix!$F$9="Rx ✓"),-0.5,IF(CALC_CombustionCheck!$F$8="COMBUST ⚠",-1,0))),IF(CALC_SuryaLagna!$D$15="Saturn",IF(CALC_CombustionCheck!$G$9="Cazimi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SuryaLagna!$D$15="Rahu",CALC_SuryaLagna!$D$15="Ketu"),0,IF(ISNUMBER(MATCH(CALC_SuryaLagna!$D$15,{"Sun","Moon","Mars","Mercury","Jupiter","Venus","Saturn"},0)),IF(INDEX(CALC_DigBala!$F$4:$F$10,MATCH(CALC_SuryaLagna!$D$15,{"Sun","Moon","Mars","Mercury","Jupiter","Venus","Saturn"},0))="Yes",0.5,0),0)),0)</f>
        <v>0</v>
      </c>
      <c r="D28" s="400" t="s">
        <v>4647</v>
      </c>
    </row>
    <row r="29" spans="1:7" ht="27.75" customHeight="1" x14ac:dyDescent="0.2">
      <c r="A29" s="1120" t="s">
        <v>4648</v>
      </c>
      <c r="B29" s="296" t="s">
        <v>3372</v>
      </c>
      <c r="C29" s="1117">
        <f>IFERROR(IF(COUNTIFS(REF_PushkaraNavamsha!$A$4:$A$27,CALC_SuryaLagna!$E$15,REF_PushkaraNavamsha!$B$4:$B$27,INDEX(CALC_PlanetPositions!$G$7:$G$15,MATCH(CALC_SuryaLagna!$D$15,CALC_PlanetPositions!$A$7:$A$15,0)))&gt;0,0.5,0),0)</f>
        <v>0.5</v>
      </c>
      <c r="D29" s="400" t="s">
        <v>4649</v>
      </c>
    </row>
    <row r="30" spans="1:7" ht="25.5" customHeight="1" x14ac:dyDescent="0.2">
      <c r="A30" s="147" t="s">
        <v>4650</v>
      </c>
      <c r="B30" s="1121" t="s">
        <v>4651</v>
      </c>
      <c r="C30" s="1122">
        <f>IFERROR(IF(ISNUMBER(MATCH(CALC_SuryaLagna!$D$15,{"Sun","Moon","Mars","Mercury","Jupiter","Venus","Saturn"},0)),INDEX(CALC_RetrogradeFix!$G$4:$G$10,MATCH(CALC_SuryaLagna!$D$15,{"Sun","Moon","Mars","Mercury","Jupiter","Venus","Saturn"},0)),0),0)</f>
        <v>0</v>
      </c>
      <c r="D30" s="1123" t="s">
        <v>4652</v>
      </c>
    </row>
    <row r="31" spans="1:7" ht="18" customHeight="1" x14ac:dyDescent="0.2">
      <c r="A31" s="1555" t="s">
        <v>4653</v>
      </c>
      <c r="B31" s="1555"/>
      <c r="C31" s="1555"/>
      <c r="D31" s="1555"/>
      <c r="E31" s="1124" t="s">
        <v>4654</v>
      </c>
      <c r="F31" s="1125">
        <f>IFERROR(IF(CALC_Ashtakavarga!M$12&gt;28,0.5,IF(CALC_Ashtakavarga!M$12&lt;22,-0.5,0)),0)</f>
        <v>-0.5</v>
      </c>
      <c r="G31" s="1126" t="s">
        <v>4655</v>
      </c>
    </row>
    <row r="32" spans="1:7" ht="18" customHeight="1" x14ac:dyDescent="0.2">
      <c r="A32" s="189" t="s">
        <v>3367</v>
      </c>
      <c r="B32" s="1127" t="s">
        <v>4656</v>
      </c>
      <c r="C32" s="1128">
        <f>IFERROR(SUM(C5:C7),0)</f>
        <v>2</v>
      </c>
      <c r="D32" s="1129"/>
    </row>
    <row r="33" spans="1:4" ht="18" customHeight="1" x14ac:dyDescent="0.2">
      <c r="A33" s="189" t="s">
        <v>3372</v>
      </c>
      <c r="B33" s="1127" t="s">
        <v>4657</v>
      </c>
      <c r="C33" s="1128">
        <f>IFERROR(SUM(C9:C13,C28:C30,F31,0),0)</f>
        <v>4</v>
      </c>
      <c r="D33" s="1129"/>
    </row>
    <row r="34" spans="1:4" ht="18" customHeight="1" x14ac:dyDescent="0.2">
      <c r="A34" s="189" t="s">
        <v>4621</v>
      </c>
      <c r="B34" s="1127" t="s">
        <v>4658</v>
      </c>
      <c r="C34" s="1128">
        <f>IFERROR(SUM(C15:C18),0)</f>
        <v>-2.75</v>
      </c>
      <c r="D34" s="1129"/>
    </row>
    <row r="35" spans="1:4" ht="18" customHeight="1" x14ac:dyDescent="0.2">
      <c r="A35" s="189" t="s">
        <v>3624</v>
      </c>
      <c r="B35" s="1127" t="s">
        <v>4659</v>
      </c>
      <c r="C35" s="1128">
        <f>IFERROR(SUM(C20:C23,C27),0)</f>
        <v>-1.5</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IFERROR(C32+C33+C34+C35+C36,0)</f>
        <v>1.75</v>
      </c>
      <c r="D37" s="1129"/>
    </row>
    <row r="38" spans="1:4" ht="21.75" customHeight="1" x14ac:dyDescent="0.2">
      <c r="A38" s="89" t="s">
        <v>4661</v>
      </c>
      <c r="B38" s="1129"/>
      <c r="C38" s="1131">
        <f>IFERROR(MAX(-10,MIN(10,C37)),0)</f>
        <v>1.75</v>
      </c>
      <c r="D38" s="1132"/>
    </row>
    <row r="39" spans="1:4" ht="18" customHeight="1" x14ac:dyDescent="0.2">
      <c r="A39" s="517" t="s">
        <v>4662</v>
      </c>
      <c r="B39" s="1129"/>
      <c r="C39" s="1133">
        <f>IFERROR(CALC_LagneshStrength!$I$4,0)</f>
        <v>0</v>
      </c>
      <c r="D39" s="1129"/>
    </row>
    <row r="40" spans="1:4" ht="25.5" customHeight="1" x14ac:dyDescent="0.2">
      <c r="A40" s="1157" t="s">
        <v>4663</v>
      </c>
      <c r="B40" s="1129"/>
      <c r="C40" s="1158">
        <f>IFERROR(MAX(-10,MIN(10,C38+C39+C41)),0)</f>
        <v>1.75</v>
      </c>
      <c r="D40" s="1159" t="str">
        <f>IFERROR(IF(C40&gt;=7,"Excellent — Liberation domain very strong",IF(C40&gt;=4,"Good — Liberation domain strong",IF(C40&gt;=1,"Moderate",IF(C40&gt;=-2,"Mixed — Liberation has challenges",IF(C40&gt;=-5,"Weak","Very weak — Liberation heavily afflicted"))))),"—")</f>
        <v>Moderate</v>
      </c>
    </row>
    <row r="41" spans="1:4" ht="18" customHeight="1" x14ac:dyDescent="0.2">
      <c r="A41" s="622" t="s">
        <v>4681</v>
      </c>
      <c r="B41" s="904" t="s">
        <v>4705</v>
      </c>
      <c r="C41" s="1160">
        <v>0</v>
      </c>
      <c r="D41" s="550" t="s">
        <v>4728</v>
      </c>
    </row>
    <row r="42" spans="1:4" ht="15.75" customHeight="1" x14ac:dyDescent="0.2">
      <c r="A42" s="938" t="s">
        <v>4664</v>
      </c>
      <c r="B42" s="1129"/>
      <c r="C42" s="938" t="str">
        <f>IFERROR(IF(AND(C32&gt;0,C33&gt;0,C34=0,C35=0),"Nirvivad ✓","Vivadit"),"—")</f>
        <v>Vivadit</v>
      </c>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4729</v>
      </c>
      <c r="B1" s="1518"/>
      <c r="C1" s="1518"/>
      <c r="D1" s="1518"/>
      <c r="L1" s="544" t="s">
        <v>2214</v>
      </c>
    </row>
    <row r="2" spans="1:12" ht="19.5" customHeight="1" x14ac:dyDescent="0.2">
      <c r="A2" s="1595" t="str">
        <f>IFERROR("D9 Lagna: "&amp;CALC_D9_BhaveshMap!$C$5&amp;"  ·  H1 — Self","← Enter chart")</f>
        <v>D9 Lagna: Pisces  ·  H1 — Self</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IFERROR((IFERROR(IF(INDEX(REF_Zodiac!$D$17:$O$17,MATCH(CALC_D9_BhaveshMap!$C$5,REF_Zodiac!$D$3:$O$3,0))="Gentle",1,0),0))*0.5,0)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IFERROR(IF(AND(OR(CALC_D9_BhaveshMap!$I$5="Yes",CALC_D9_BhaveshMap!$J$5="Yes"),NOT(CALC_D9_BhaveshMap!$K$5="Yes")),1,0)*IF(REF_Config!$B$6="KP",1.5,IF(REF_Config!$B$6="Jaimini",1.5,2)),0)</f>
        <v>0</v>
      </c>
      <c r="D9" s="403" t="s">
        <v>4612</v>
      </c>
    </row>
    <row r="10" spans="1:12" ht="27.75" customHeight="1" x14ac:dyDescent="0.2">
      <c r="A10" s="121" t="s">
        <v>4613</v>
      </c>
      <c r="B10" s="357" t="s">
        <v>3093</v>
      </c>
      <c r="C10" s="1117">
        <f ca="1">IFERROR((IFERROR(IF(OR(AND(CALC_D9_BhaveshMap!$G$5=CALC_D9_BhaveshMap!$G$5,CALC_D9_BhaveshMap!$D$5&lt;&gt;CALC_D9_BhaveshMap!$D$5),AND(CALC_D9_BhaveshMap!$G$8=CALC_D9_BhaveshMap!$G$5,CALC_D9_BhaveshMap!$D$8&lt;&gt;CALC_D9_BhaveshMap!$D$5),AND(CALC_D9_BhaveshMap!$G$9=CALC_D9_BhaveshMap!$G$5,CALC_D9_BhaveshMap!$D$9&lt;&gt;CALC_D9_BhaveshMap!$D$5),AND(CALC_D9_BhaveshMap!$G$11=CALC_D9_BhaveshMap!$G$5,CALC_D9_BhaveshMap!$D$11&lt;&gt;CALC_D9_BhaveshMap!$D$5),AND(CALC_D9_BhaveshMap!$G$13=CALC_D9_BhaveshMap!$G$5,CALC_D9_BhaveshMap!$D$13&lt;&gt;CALC_D9_BhaveshMap!$D$5),AND(CALC_D9_BhaveshMap!$G$14=CALC_D9_BhaveshMap!$G$5,CALC_D9_BhaveshMap!$D$14&lt;&gt;CALC_D9_BhaveshMap!$D$5)),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$5,CALC_D9_BhaveshMap!$D$5&lt;&gt;"Sun"),AND(OR(CALC_PlanetPositions!$M$8="Benefic",CALC_PlanetPositions!$M$8="Yogakaraka"),CALC_PlanetPositions!$B$8=CALC_D9_BhaveshMap!$G$5,CALC_D9_BhaveshMap!$D$5&lt;&gt;"Moon"),AND(OR(CALC_PlanetPositions!$M$9="Benefic",CALC_PlanetPositions!$M$9="Yogakaraka"),CALC_PlanetPositions!$B$9=CALC_D9_BhaveshMap!$G$5,CALC_D9_BhaveshMap!$D$5&lt;&gt;"Mars"),AND(OR(CALC_PlanetPositions!$M$10="Benefic",CALC_PlanetPositions!$M$10="Yogakaraka"),CALC_PlanetPositions!$B$10=CALC_D9_BhaveshMap!$G$5,CALC_D9_BhaveshMap!$D$5&lt;&gt;"Mercury"),AND(OR(CALC_PlanetPositions!$M$11="Benefic",CALC_PlanetPositions!$M$11="Yogakaraka"),CALC_PlanetPositions!$B$11=CALC_D9_BhaveshMap!$G$5,CALC_D9_BhaveshMap!$D$5&lt;&gt;"Jupiter"),AND(OR(CALC_PlanetPositions!$M$12="Benefic",CALC_PlanetPositions!$M$12="Yogakaraka"),CALC_PlanetPositions!$B$12=CALC_D9_BhaveshMap!$G$5,CALC_D9_BhaveshMap!$D$5&lt;&gt;"Venus"),AND(OR(CALC_PlanetPositions!$M$13="Benefic",CALC_PlanetPositions!$M$13="Yogakaraka"),CALC_PlanetPositions!$B$13=CALC_D9_BhaveshMap!$G$5,CALC_D9_BhaveshMap!$D$5&lt;&gt;"Saturn")),1,0),0))*IF(OR(AND(CALC_PlanetPositions!$M$7="Yogakaraka",CALC_PlanetPositions!$B$7=CALC_D9_BhaveshMap!$G$5,CALC_D9_BhaveshMap!$D$5&lt;&gt;"Sun"),AND(CALC_PlanetPositions!$M$8="Yogakaraka",CALC_PlanetPositions!$B$8=CALC_D9_BhaveshMap!$G$5,CALC_D9_BhaveshMap!$D$5&lt;&gt;"Moon"),AND(CALC_PlanetPositions!$M$9="Yogakaraka",CALC_PlanetPositions!$B$9=CALC_D9_BhaveshMap!$G$5,CALC_D9_BhaveshMap!$D$5&lt;&gt;"Mars"),AND(CALC_PlanetPositions!$M$10="Yogakaraka",CALC_PlanetPositions!$B$10=CALC_D9_BhaveshMap!$G$5,CALC_D9_BhaveshMap!$D$5&lt;&gt;"Mercury"),AND(CALC_PlanetPositions!$M$11="Yogakaraka",CALC_PlanetPositions!$B$11=CALC_D9_BhaveshMap!$G$5,CALC_D9_BhaveshMap!$D$5&lt;&gt;"Jupiter"),AND(CALC_PlanetPositions!$M$12="Yogakaraka",CALC_PlanetPositions!$B$12=CALC_D9_BhaveshMap!$G$5,CALC_D9_BhaveshMap!$D$5&lt;&gt;"Venus"),AND(CALC_PlanetPositions!$M$13="Yogakaraka",CALC_PlanetPositions!$B$13=CALC_D9_BhaveshMap!$G$5,CALC_D9_BhaveshMap!$D$5&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$5-(MOD(MATCH(CALC_PlanetPositions!$B$7,{"Aries","Taurus","Gemini","Cancer","Leo","Virgo","Libra","Scorpio","Sagittarius","Capricorn","Aquarius","Pisces"},0)-MATCH(INPUT_Chart!$C$5,{"Aries","Taurus","Gemini","Cancer","Leo","Virgo","Libra","Scorpio","Sagittarius","Capricorn","Aquarius","Pisces"},0),12)+1),12)+1)="FULL",NOT(CALC_PlanetPositions!$B$7=CALC_D9_BhaveshMap!$G$5)),AND(OR(CALC_PlanetPositions!$M$8="Benefic",CALC_PlanetPositions!$M$8="Yogakaraka"),INDEX(REF_Aspects!$D$5:$O$13,2,MOD(CALC_D9_BhaveshMap!$H$5-(MOD(MATCH(CALC_PlanetPositions!$B$8,{"Aries","Taurus","Gemini","Cancer","Leo","Virgo","Libra","Scorpio","Sagittarius","Capricorn","Aquarius","Pisces"},0)-MATCH(INPUT_Chart!$C$5,{"Aries","Taurus","Gemini","Cancer","Leo","Virgo","Libra","Scorpio","Sagittarius","Capricorn","Aquarius","Pisces"},0),12)+1),12)+1)="FULL",NOT(CALC_PlanetPositions!$B$8=CALC_D9_BhaveshMap!$G$5)),AND(OR(CALC_PlanetPositions!$M$9="Benefic",CALC_PlanetPositions!$M$9="Yogakaraka"),INDEX(REF_Aspects!$D$5:$O$13,3,MOD(CALC_D9_BhaveshMap!$H$5-(MOD(MATCH(CALC_PlanetPositions!$B$9,{"Aries","Taurus","Gemini","Cancer","Leo","Virgo","Libra","Scorpio","Sagittarius","Capricorn","Aquarius","Pisces"},0)-MATCH(INPUT_Chart!$C$5,{"Aries","Taurus","Gemini","Cancer","Leo","Virgo","Libra","Scorpio","Sagittarius","Capricorn","Aquarius","Pisces"},0),12)+1),12)+1)="FULL",NOT(CALC_PlanetPositions!$B$9=CALC_D9_BhaveshMap!$G$5)),AND(OR(CALC_PlanetPositions!$M$10="Benefic",CALC_PlanetPositions!$M$10="Yogakaraka"),INDEX(REF_Aspects!$D$5:$O$13,4,MOD(CALC_D9_BhaveshMap!$H$5-(MOD(MATCH(CALC_PlanetPositions!$B$10,{"Aries","Taurus","Gemini","Cancer","Leo","Virgo","Libra","Scorpio","Sagittarius","Capricorn","Aquarius","Pisces"},0)-MATCH(INPUT_Chart!$C$5,{"Aries","Taurus","Gemini","Cancer","Leo","Virgo","Libra","Scorpio","Sagittarius","Capricorn","Aquarius","Pisces"},0),12)+1),12)+1)="FULL",NOT(CALC_PlanetPositions!$B$10=CALC_D9_BhaveshMap!$G$5)),AND(OR(CALC_PlanetPositions!$M$11="Benefic",CALC_PlanetPositions!$M$11="Yogakaraka"),INDEX(REF_Aspects!$D$5:$O$13,5,MOD(CALC_D9_BhaveshMap!$H$5-(MOD(MATCH(CALC_PlanetPositions!$B$11,{"Aries","Taurus","Gemini","Cancer","Leo","Virgo","Libra","Scorpio","Sagittarius","Capricorn","Aquarius","Pisces"},0)-MATCH(INPUT_Chart!$C$5,{"Aries","Taurus","Gemini","Cancer","Leo","Virgo","Libra","Scorpio","Sagittarius","Capricorn","Aquarius","Pisces"},0),12)+1),12)+1)="FULL",NOT(CALC_PlanetPositions!$B$11=CALC_D9_BhaveshMap!$G$5)),AND(OR(CALC_PlanetPositions!$M$12="Benefic",CALC_PlanetPositions!$M$12="Yogakaraka"),INDEX(REF_Aspects!$D$5:$O$13,6,MOD(CALC_D9_BhaveshMap!$H$5-(MOD(MATCH(CALC_PlanetPositions!$B$12,{"Aries","Taurus","Gemini","Cancer","Leo","Virgo","Libra","Scorpio","Sagittarius","Capricorn","Aquarius","Pisces"},0)-MATCH(INPUT_Chart!$C$5,{"Aries","Taurus","Gemini","Cancer","Leo","Virgo","Libra","Scorpio","Sagittarius","Capricorn","Aquarius","Pisces"},0),12)+1),12)+1)="FULL",NOT(CALC_PlanetPositions!$B$12=CALC_D9_BhaveshMap!$G$5)),AND(OR(CALC_PlanetPositions!$M$13="Benefic",CALC_PlanetPositions!$M$13="Yogakaraka"),INDEX(REF_Aspects!$D$5:$O$13,7,MOD(CALC_D9_BhaveshMap!$H$5-(MOD(MATCH(CALC_PlanetPositions!$B$13,{"Aries","Taurus","Gemini","Cancer","Leo","Virgo","Libra","Scorpio","Sagittarius","Capricorn","Aquarius","Pisces"},0)-MATCH(INPUT_Chart!$C$5,{"Aries","Taurus","Gemini","Cancer","Leo","Virgo","Libra","Scorpio","Sagittarius","Capricorn","Aquarius","Pisces"},0),12)+1),12)+1)="FULL",NOT(CALC_PlanetPositions!$B$13=CALC_D9_BhaveshMap!$G$5)),AND(FALSE(),INDEX(REF_Aspects!$D$5:$O$13,8,MOD(CALC_D9_BhaveshMap!$H$5-(MOD(MATCH(CALC_PlanetPositions!$B$14,{"Aries","Taurus","Gemini","Cancer","Leo","Virgo","Libra","Scorpio","Sagittarius","Capricorn","Aquarius","Pisces"},0)-MATCH(INPUT_Chart!$C$5,{"Aries","Taurus","Gemini","Cancer","Leo","Virgo","Libra","Scorpio","Sagittarius","Capricorn","Aquarius","Pisces"},0),12)+1),12)+1)="FULL",NOT(CALC_PlanetPositions!$B$14=CALC_D9_BhaveshMap!$G$5)),AND(FALSE(),INDEX(REF_Aspects!$D$5:$O$13,9,MOD(CALC_D9_BhaveshMap!$H$5-(MOD(MATCH(CALC_PlanetPositions!$B$15,{"Aries","Taurus","Gemini","Cancer","Leo","Virgo","Libra","Scorpio","Sagittarius","Capricorn","Aquarius","Pisces"},0)-MATCH(INPUT_Chart!$C$5,{"Aries","Taurus","Gemini","Cancer","Leo","Virgo","Libra","Scorpio","Sagittarius","Capricorn","Aquarius","Pisces"},0),12)+1),12)+1)="FULL",NOT(CALC_PlanetPositions!$B$15=CALC_D9_BhaveshMap!$G$5))),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$5-2,12)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$5-2,12)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$5-2,12)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$5-2,12)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$5-2,12)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$5-2,12)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$5-2,12)+1)),AND(FALSE(),MOD(MATCH(CALC_PlanetPositions!$B$14,{"Aries","Taurus","Gemini","Cancer","Leo","Virgo","Libra","Scorpio","Sagittarius","Capricorn","Aquarius","Pisces"},0)-MATCH(INPUT_Chart!$C$5,{"Aries","Taurus","Gemini","Cancer","Leo","Virgo","Libra","Scorpio","Sagittarius","Capricorn","Aquarius","Pisces"},0),12)+1=(MOD(CALC_D9_BhaveshMap!$H$5-2,12)+1)),AND(FALSE(),MOD(MATCH(CALC_PlanetPositions!$B$15,{"Aries","Taurus","Gemini","Cancer","Leo","Virgo","Libra","Scorpio","Sagittarius","Capricorn","Aquarius","Pisces"},0)-MATCH(INPUT_Chart!$C$5,{"Aries","Taurus","Gemini","Cancer","Leo","Virgo","Libra","Scorpio","Sagittarius","Capricorn","Aquarius","Pisces"},0),12)+1=(MOD(CALC_D9_BhaveshMap!$H$5-2,12)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$5,12)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$5,12)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$5,12)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$5,12)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$5,12)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$5,12)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$5,12)+1)),AND(FALSE(),MOD(MATCH(CALC_PlanetPositions!$B$14,{"Aries","Taurus","Gemini","Cancer","Leo","Virgo","Libra","Scorpio","Sagittarius","Capricorn","Aquarius","Pisces"},0)-MATCH(INPUT_Chart!$C$5,{"Aries","Taurus","Gemini","Cancer","Leo","Virgo","Libra","Scorpio","Sagittarius","Capricorn","Aquarius","Pisces"},0),12)+1=(MOD(CALC_D9_BhaveshMap!$H$5,12)+1)),AND(FALSE(),MOD(MATCH(CALC_PlanetPositions!$B$15,{"Aries","Taurus","Gemini","Cancer","Leo","Virgo","Libra","Scorpio","Sagittarius","Capricorn","Aquarius","Pisces"},0)-MATCH(INPUT_Chart!$C$5,{"Aries","Taurus","Gemini","Cancer","Leo","Virgo","Libra","Scorpio","Sagittarius","Capricorn","Aquarius","Pisces"},0),12)+1=(MOD(CALC_D9_BhaveshMap!$H$5,12)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$5-(MOD(MATCH(CALC_PlanetPositions!$B$7,{"Aries","Taurus","Gemini","Cancer","Leo","Virgo","Libra","Scorpio","Sagittarius","Capricorn","Aquarius","Pisces"},0)-MATCH(INPUT_Chart!$C$5,{"Aries","Taurus","Gemini","Cancer","Leo","Virgo","Libra","Scorpio","Sagittarius","Capricorn","Aquarius","Pisces"},0),12)+1),12)+1)="FULL",NOT(CALC_PlanetPositions!$B$7=CALC_D9_BhaveshMap!$G$5)),AND(CALC_PlanetPositions!$M$8="Malefic",INDEX(REF_Aspects!$D$5:$O$13,2,MOD(CALC_D9_BhaveshMap!$H$5-(MOD(MATCH(CALC_PlanetPositions!$B$8,{"Aries","Taurus","Gemini","Cancer","Leo","Virgo","Libra","Scorpio","Sagittarius","Capricorn","Aquarius","Pisces"},0)-MATCH(INPUT_Chart!$C$5,{"Aries","Taurus","Gemini","Cancer","Leo","Virgo","Libra","Scorpio","Sagittarius","Capricorn","Aquarius","Pisces"},0),12)+1),12)+1)="FULL",NOT(CALC_PlanetPositions!$B$8=CALC_D9_BhaveshMap!$G$5)),AND(CALC_PlanetPositions!$M$9="Malefic",INDEX(REF_Aspects!$D$5:$O$13,3,MOD(CALC_D9_BhaveshMap!$H$5-(MOD(MATCH(CALC_PlanetPositions!$B$9,{"Aries","Taurus","Gemini","Cancer","Leo","Virgo","Libra","Scorpio","Sagittarius","Capricorn","Aquarius","Pisces"},0)-MATCH(INPUT_Chart!$C$5,{"Aries","Taurus","Gemini","Cancer","Leo","Virgo","Libra","Scorpio","Sagittarius","Capricorn","Aquarius","Pisces"},0),12)+1),12)+1)="FULL",NOT(CALC_PlanetPositions!$B$9=CALC_D9_BhaveshMap!$G$5)),AND(CALC_PlanetPositions!$M$10="Malefic",INDEX(REF_Aspects!$D$5:$O$13,4,MOD(CALC_D9_BhaveshMap!$H$5-(MOD(MATCH(CALC_PlanetPositions!$B$10,{"Aries","Taurus","Gemini","Cancer","Leo","Virgo","Libra","Scorpio","Sagittarius","Capricorn","Aquarius","Pisces"},0)-MATCH(INPUT_Chart!$C$5,{"Aries","Taurus","Gemini","Cancer","Leo","Virgo","Libra","Scorpio","Sagittarius","Capricorn","Aquarius","Pisces"},0),12)+1),12)+1)="FULL",NOT(CALC_PlanetPositions!$B$10=CALC_D9_BhaveshMap!$G$5)),AND(CALC_PlanetPositions!$M$11="Malefic",INDEX(REF_Aspects!$D$5:$O$13,5,MOD(CALC_D9_BhaveshMap!$H$5-(MOD(MATCH(CALC_PlanetPositions!$B$11,{"Aries","Taurus","Gemini","Cancer","Leo","Virgo","Libra","Scorpio","Sagittarius","Capricorn","Aquarius","Pisces"},0)-MATCH(INPUT_Chart!$C$5,{"Aries","Taurus","Gemini","Cancer","Leo","Virgo","Libra","Scorpio","Sagittarius","Capricorn","Aquarius","Pisces"},0),12)+1),12)+1)="FULL",NOT(CALC_PlanetPositions!$B$11=CALC_D9_BhaveshMap!$G$5)),AND(CALC_PlanetPositions!$M$12="Malefic",INDEX(REF_Aspects!$D$5:$O$13,6,MOD(CALC_D9_BhaveshMap!$H$5-(MOD(MATCH(CALC_PlanetPositions!$B$12,{"Aries","Taurus","Gemini","Cancer","Leo","Virgo","Libra","Scorpio","Sagittarius","Capricorn","Aquarius","Pisces"},0)-MATCH(INPUT_Chart!$C$5,{"Aries","Taurus","Gemini","Cancer","Leo","Virgo","Libra","Scorpio","Sagittarius","Capricorn","Aquarius","Pisces"},0),12)+1),12)+1)="FULL",NOT(CALC_PlanetPositions!$B$12=CALC_D9_BhaveshMap!$G$5)),AND(CALC_PlanetPositions!$M$13="Malefic",INDEX(REF_Aspects!$D$5:$O$13,7,MOD(CALC_D9_BhaveshMap!$H$5-(MOD(MATCH(CALC_PlanetPositions!$B$13,{"Aries","Taurus","Gemini","Cancer","Leo","Virgo","Libra","Scorpio","Sagittarius","Capricorn","Aquarius","Pisces"},0)-MATCH(INPUT_Chart!$C$5,{"Aries","Taurus","Gemini","Cancer","Leo","Virgo","Libra","Scorpio","Sagittarius","Capricorn","Aquarius","Pisces"},0),12)+1),12)+1)="FULL",NOT(CALC_PlanetPositions!$B$13=CALC_D9_BhaveshMap!$G$5)),AND(TRUE(),INDEX(REF_Aspects!$D$5:$O$13,8,MOD(CALC_D9_BhaveshMap!$H$5-(MOD(MATCH(CALC_PlanetPositions!$B$14,{"Aries","Taurus","Gemini","Cancer","Leo","Virgo","Libra","Scorpio","Sagittarius","Capricorn","Aquarius","Pisces"},0)-MATCH(INPUT_Chart!$C$5,{"Aries","Taurus","Gemini","Cancer","Leo","Virgo","Libra","Scorpio","Sagittarius","Capricorn","Aquarius","Pisces"},0),12)+1),12)+1)="FULL",NOT(CALC_PlanetPositions!$B$14=CALC_D9_BhaveshMap!$G$5)),AND(TRUE(),INDEX(REF_Aspects!$D$5:$O$13,9,MOD(CALC_D9_BhaveshMap!$H$5-(MOD(MATCH(CALC_PlanetPositions!$B$15,{"Aries","Taurus","Gemini","Cancer","Leo","Virgo","Libra","Scorpio","Sagittarius","Capricorn","Aquarius","Pisces"},0)-MATCH(INPUT_Chart!$C$5,{"Aries","Taurus","Gemini","Cancer","Leo","Virgo","Libra","Scorpio","Sagittarius","Capricorn","Aquarius","Pisces"},0),12)+1),12)+1)="FULL",NOT(CALC_PlanetPositions!$B$15=CALC_D9_BhaveshMap!$G$5))),1,0),0))*-0.5,0)</f>
        <v>0</v>
      </c>
      <c r="D21" s="403" t="s">
        <v>4634</v>
      </c>
    </row>
    <row r="22" spans="1:7" ht="27.75" customHeight="1" x14ac:dyDescent="0.2">
      <c r="A22" s="121" t="s">
        <v>4635</v>
      </c>
      <c r="B22" s="357" t="s">
        <v>3042</v>
      </c>
      <c r="C22" s="1117">
        <f>IFERROR((IFERROR(IF(CALC_D9_BhaveshMap!$K$5="Yes",1,0),0))*IF(REF_Config!$B$6="KP",-1.75,IF(REF_Config!$B$6="Jaimini",-2,-2)),0)</f>
        <v>0</v>
      </c>
      <c r="D22" s="400" t="s">
        <v>4636</v>
      </c>
    </row>
    <row r="23" spans="1:7" ht="27.75" customHeight="1" x14ac:dyDescent="0.2">
      <c r="A23" s="121" t="s">
        <v>4637</v>
      </c>
      <c r="B23" s="203" t="s">
        <v>3059</v>
      </c>
      <c r="C23" s="1118">
        <f ca="1">IFERROR((IFERROR(IF(OR(AND(CALC_D9_BhaveshMap!$G$10=CALC_D9_BhaveshMap!$G$5,CALC_D9_BhaveshMap!$D$10&lt;&gt;CALC_D9_BhaveshMap!$D$5),AND(CALC_D9_BhaveshMap!$G$12=CALC_D9_BhaveshMap!$G$5,CALC_D9_BhaveshMap!$D$12&lt;&gt;CALC_D9_BhaveshMap!$D$5),AND(CALC_D9_BhaveshMap!$G$16=CALC_D9_BhaveshMap!$G$5,CALC_D9_BhaveshMap!$D$16&lt;&gt;CALC_D9_BhaveshMap!$D$5)),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IFERROR(IF(OR(CALC_D9_BhaveshMap!$D$5="Sun",CALC_D9_BhaveshMap!$D$5="Rahu",CALC_D9_BhaveshMap!$D$5="Ketu"),0,IF(CALC_D9_BhaveshMap!$D$5="Moon",IF(CALC_CombustionCheck!$G$4="Cazimi ✓",0.5,IF(CALC_CombustionCheck!$F$4="COMBUST ⚠",-1,0)),IF(CALC_D9_BhaveshMap!$D$5="Mars",IF(CALC_CombustionCheck!$G$5="Cazimi ✓",0.5,IF(AND(CALC_CombustionCheck!$F$5="COMBUST ⚠",CALC_RetrogradeFix!$F$6="Rx ✓"),-0.5,IF(CALC_CombustionCheck!$F$5="COMBUST ⚠",-1,0))),IF(CALC_D9_BhaveshMap!$D$5="Mercury",IF(CALC_CombustionCheck!$G$6="Cazimi ✓",0.5,IF(AND(CALC_CombustionCheck!$F$6="COMBUST ⚠",CALC_RetrogradeFix!$F$7="Rx ✓"),-0.5,IF(CALC_CombustionCheck!$F$6="COMBUST ⚠",-1,0))),IF(CALC_D9_BhaveshMap!$D$5="Jupiter",IF(CALC_CombustionCheck!$G$7="Cazimi ✓",0.5,IF(AND(CALC_CombustionCheck!$F$7="COMBUST ⚠",CALC_RetrogradeFix!$F$8="Rx ✓"),-0.5,IF(CALC_CombustionCheck!$F$7="COMBUST ⚠",-1,0))),IF(CALC_D9_BhaveshMap!$D$5="Venus",IF(CALC_CombustionCheck!$G$8="Cazimi ✓",0.5,IF(AND(CALC_CombustionCheck!$F$8="COMBUST ⚠",CALC_RetrogradeFix!$F$9="Rx ✓"),-0.5,IF(CALC_CombustionCheck!$F$8="COMBUST ⚠",-1,0))),IF(CALC_D9_BhaveshMap!$D$5="Saturn",IF(CALC_CombustionCheck!$G$9="Cazimi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$5="Rahu",CALC_D9_BhaveshMap!$D$5="Ketu"),0,IF(ISNUMBER(MATCH(CALC_D9_BhaveshMap!$D$5,{"Sun","Moon","Mars","Mercury","Jupiter","Venus","Saturn"},0)),IF(INDEX(CALC_DigBala!$F$4:$F$10,MATCH(CALC_D9_BhaveshMap!$D$5,{"Sun","Moon","Mars","Mercury","Jupiter","Venus","Saturn"},0))="Yes",0.5,0),0)),0)</f>
        <v>0</v>
      </c>
      <c r="D28" s="400" t="s">
        <v>4647</v>
      </c>
    </row>
    <row r="29" spans="1:7" ht="27.75" customHeight="1" x14ac:dyDescent="0.2">
      <c r="A29" s="1120" t="s">
        <v>4648</v>
      </c>
      <c r="B29" s="296" t="s">
        <v>3372</v>
      </c>
      <c r="C29" s="1117">
        <f ca="1">IFERROR(IF(COUNTIFS(REF_PushkaraNavamsha!$A$4:$A$27,CALC_D9_BhaveshMap!$G$5,REF_PushkaraNavamsha!$B$4:$B$27,INDEX(CALC_PlanetPositions!$G$7:$G$15,MATCH(CALC_D9_BhaveshMap!$D$5,CALC_PlanetPositions!$A$7:$A$15,0)))&gt;0,0.5,0),0)</f>
        <v>0</v>
      </c>
      <c r="D29" s="400" t="s">
        <v>4649</v>
      </c>
    </row>
    <row r="30" spans="1:7" ht="25.5" customHeight="1" x14ac:dyDescent="0.2">
      <c r="A30" s="147" t="s">
        <v>4650</v>
      </c>
      <c r="B30" s="1121" t="s">
        <v>4651</v>
      </c>
      <c r="C30" s="1122">
        <f>IFERROR(IF(ISNUMBER(MATCH(CALC_D9_BhaveshMap!$D$5,{"Sun","Moon","Mars","Mercury","Jupiter","Venus","Saturn"},0)),INDEX(CALC_RetrogradeFix!$G$4:$G$10,MATCH(CALC_D9_BhaveshMap!$D$5,{"Sun","Moon","Mars","Mercury","Jupiter","Venus","Saturn"},0)),0),0)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-1.35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4730</v>
      </c>
      <c r="B41" s="1129"/>
      <c r="C41" s="470">
        <v>0.15</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4731</v>
      </c>
      <c r="B1" s="1518"/>
      <c r="C1" s="1518"/>
      <c r="D1" s="1518"/>
      <c r="L1" s="544" t="s">
        <v>2214</v>
      </c>
    </row>
    <row r="2" spans="1:12" ht="19.5" customHeight="1" x14ac:dyDescent="0.2">
      <c r="A2" s="1595" t="str">
        <f>IFERROR("D9 Lagna: "&amp;CALC_D9_BhaveshMap!$C$5&amp;"  ·  H2 — Wealth","← Enter chart")</f>
        <v>D9 Lagna: Pisces  ·  H2 — Wealth</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IFERROR((IFERROR(IF(INDEX(REF_Zodiac!$D$17:$O$17,MATCH(CALC_D9_BhaveshMap!$C$6,REF_Zodiac!$D$3:$O$3,0))="Gentle",1,0),0))*0.5,0)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IFERROR(IF(AND(OR(CALC_D9_BhaveshMap!$I$6="Yes",CALC_D9_BhaveshMap!$J$6="Yes"),NOT(CALC_D9_BhaveshMap!$K$6="Yes")),1,0)*IF(REF_Config!$B$6="KP",1.5,IF(REF_Config!$B$6="Jaimini",1.5,2)),0)</f>
        <v>0</v>
      </c>
      <c r="D9" s="403" t="s">
        <v>4612</v>
      </c>
    </row>
    <row r="10" spans="1:12" ht="27.75" customHeight="1" x14ac:dyDescent="0.2">
      <c r="A10" s="121" t="s">
        <v>4613</v>
      </c>
      <c r="B10" s="357" t="s">
        <v>3093</v>
      </c>
      <c r="C10" s="1117">
        <f ca="1">IFERROR((IFERROR(IF(OR(AND(CALC_D9_BhaveshMap!$G$6=CALC_D9_BhaveshMap!$G$6,CALC_D9_BhaveshMap!$D$6&lt;&gt;CALC_D9_BhaveshMap!$D$6),AND(CALC_D9_BhaveshMap!$G$8=CALC_D9_BhaveshMap!$G$6,CALC_D9_BhaveshMap!$D$8&lt;&gt;CALC_D9_BhaveshMap!$D$6),AND(CALC_D9_BhaveshMap!$G$9=CALC_D9_BhaveshMap!$G$6,CALC_D9_BhaveshMap!$D$9&lt;&gt;CALC_D9_BhaveshMap!$D$6),AND(CALC_D9_BhaveshMap!$G$11=CALC_D9_BhaveshMap!$G$6,CALC_D9_BhaveshMap!$D$11&lt;&gt;CALC_D9_BhaveshMap!$D$6),AND(CALC_D9_BhaveshMap!$G$13=CALC_D9_BhaveshMap!$G$6,CALC_D9_BhaveshMap!$D$13&lt;&gt;CALC_D9_BhaveshMap!$D$6),AND(CALC_D9_BhaveshMap!$G$14=CALC_D9_BhaveshMap!$G$6,CALC_D9_BhaveshMap!$D$14&lt;&gt;CALC_D9_BhaveshMap!$D$6)),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$6,CALC_D9_BhaveshMap!$D$6&lt;&gt;"Sun"),AND(OR(CALC_PlanetPositions!$M$8="Benefic",CALC_PlanetPositions!$M$8="Yogakaraka"),CALC_PlanetPositions!$B$8=CALC_D9_BhaveshMap!$G$6,CALC_D9_BhaveshMap!$D$6&lt;&gt;"Moon"),AND(OR(CALC_PlanetPositions!$M$9="Benefic",CALC_PlanetPositions!$M$9="Yogakaraka"),CALC_PlanetPositions!$B$9=CALC_D9_BhaveshMap!$G$6,CALC_D9_BhaveshMap!$D$6&lt;&gt;"Mars"),AND(OR(CALC_PlanetPositions!$M$10="Benefic",CALC_PlanetPositions!$M$10="Yogakaraka"),CALC_PlanetPositions!$B$10=CALC_D9_BhaveshMap!$G$6,CALC_D9_BhaveshMap!$D$6&lt;&gt;"Mercury"),AND(OR(CALC_PlanetPositions!$M$11="Benefic",CALC_PlanetPositions!$M$11="Yogakaraka"),CALC_PlanetPositions!$B$11=CALC_D9_BhaveshMap!$G$6,CALC_D9_BhaveshMap!$D$6&lt;&gt;"Jupiter"),AND(OR(CALC_PlanetPositions!$M$12="Benefic",CALC_PlanetPositions!$M$12="Yogakaraka"),CALC_PlanetPositions!$B$12=CALC_D9_BhaveshMap!$G$6,CALC_D9_BhaveshMap!$D$6&lt;&gt;"Venus"),AND(OR(CALC_PlanetPositions!$M$13="Benefic",CALC_PlanetPositions!$M$13="Yogakaraka"),CALC_PlanetPositions!$B$13=CALC_D9_BhaveshMap!$G$6,CALC_D9_BhaveshMap!$D$6&lt;&gt;"Saturn")),1,0),0))*IF(OR(AND(CALC_PlanetPositions!$M$7="Yogakaraka",CALC_PlanetPositions!$B$7=CALC_D9_BhaveshMap!$G$6,CALC_D9_BhaveshMap!$D$6&lt;&gt;"Sun"),AND(CALC_PlanetPositions!$M$8="Yogakaraka",CALC_PlanetPositions!$B$8=CALC_D9_BhaveshMap!$G$6,CALC_D9_BhaveshMap!$D$6&lt;&gt;"Moon"),AND(CALC_PlanetPositions!$M$9="Yogakaraka",CALC_PlanetPositions!$B$9=CALC_D9_BhaveshMap!$G$6,CALC_D9_BhaveshMap!$D$6&lt;&gt;"Mars"),AND(CALC_PlanetPositions!$M$10="Yogakaraka",CALC_PlanetPositions!$B$10=CALC_D9_BhaveshMap!$G$6,CALC_D9_BhaveshMap!$D$6&lt;&gt;"Mercury"),AND(CALC_PlanetPositions!$M$11="Yogakaraka",CALC_PlanetPositions!$B$11=CALC_D9_BhaveshMap!$G$6,CALC_D9_BhaveshMap!$D$6&lt;&gt;"Jupiter"),AND(CALC_PlanetPositions!$M$12="Yogakaraka",CALC_PlanetPositions!$B$12=CALC_D9_BhaveshMap!$G$6,CALC_D9_BhaveshMap!$D$6&lt;&gt;"Venus"),AND(CALC_PlanetPositions!$M$13="Yogakaraka",CALC_PlanetPositions!$B$13=CALC_D9_BhaveshMap!$G$6,CALC_D9_BhaveshMap!$D$6&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$6-(MOD(MATCH(CALC_PlanetPositions!$B$7,{"Aries","Taurus","Gemini","Cancer","Leo","Virgo","Libra","Scorpio","Sagittarius","Capricorn","Aquarius","Pisces"},0)-MATCH(INPUT_Chart!$C$5,{"Aries","Taurus","Gemini","Cancer","Leo","Virgo","Libra","Scorpio","Sagittarius","Capricorn","Aquarius","Pisces"},0),12)+1),12)+1)="FULL",NOT(CALC_PlanetPositions!$B$7=CALC_D9_BhaveshMap!$G$6)),AND(OR(CALC_PlanetPositions!$M$8="Benefic",CALC_PlanetPositions!$M$8="Yogakaraka"),INDEX(REF_Aspects!$D$5:$O$13,2,MOD(CALC_D9_BhaveshMap!$H$6-(MOD(MATCH(CALC_PlanetPositions!$B$8,{"Aries","Taurus","Gemini","Cancer","Leo","Virgo","Libra","Scorpio","Sagittarius","Capricorn","Aquarius","Pisces"},0)-MATCH(INPUT_Chart!$C$5,{"Aries","Taurus","Gemini","Cancer","Leo","Virgo","Libra","Scorpio","Sagittarius","Capricorn","Aquarius","Pisces"},0),12)+1),12)+1)="FULL",NOT(CALC_PlanetPositions!$B$8=CALC_D9_BhaveshMap!$G$6)),AND(OR(CALC_PlanetPositions!$M$9="Benefic",CALC_PlanetPositions!$M$9="Yogakaraka"),INDEX(REF_Aspects!$D$5:$O$13,3,MOD(CALC_D9_BhaveshMap!$H$6-(MOD(MATCH(CALC_PlanetPositions!$B$9,{"Aries","Taurus","Gemini","Cancer","Leo","Virgo","Libra","Scorpio","Sagittarius","Capricorn","Aquarius","Pisces"},0)-MATCH(INPUT_Chart!$C$5,{"Aries","Taurus","Gemini","Cancer","Leo","Virgo","Libra","Scorpio","Sagittarius","Capricorn","Aquarius","Pisces"},0),12)+1),12)+1)="FULL",NOT(CALC_PlanetPositions!$B$9=CALC_D9_BhaveshMap!$G$6)),AND(OR(CALC_PlanetPositions!$M$10="Benefic",CALC_PlanetPositions!$M$10="Yogakaraka"),INDEX(REF_Aspects!$D$5:$O$13,4,MOD(CALC_D9_BhaveshMap!$H$6-(MOD(MATCH(CALC_PlanetPositions!$B$10,{"Aries","Taurus","Gemini","Cancer","Leo","Virgo","Libra","Scorpio","Sagittarius","Capricorn","Aquarius","Pisces"},0)-MATCH(INPUT_Chart!$C$5,{"Aries","Taurus","Gemini","Cancer","Leo","Virgo","Libra","Scorpio","Sagittarius","Capricorn","Aquarius","Pisces"},0),12)+1),12)+1)="FULL",NOT(CALC_PlanetPositions!$B$10=CALC_D9_BhaveshMap!$G$6)),AND(OR(CALC_PlanetPositions!$M$11="Benefic",CALC_PlanetPositions!$M$11="Yogakaraka"),INDEX(REF_Aspects!$D$5:$O$13,5,MOD(CALC_D9_BhaveshMap!$H$6-(MOD(MATCH(CALC_PlanetPositions!$B$11,{"Aries","Taurus","Gemini","Cancer","Leo","Virgo","Libra","Scorpio","Sagittarius","Capricorn","Aquarius","Pisces"},0)-MATCH(INPUT_Chart!$C$5,{"Aries","Taurus","Gemini","Cancer","Leo","Virgo","Libra","Scorpio","Sagittarius","Capricorn","Aquarius","Pisces"},0),12)+1),12)+1)="FULL",NOT(CALC_PlanetPositions!$B$11=CALC_D9_BhaveshMap!$G$6)),AND(OR(CALC_PlanetPositions!$M$12="Benefic",CALC_PlanetPositions!$M$12="Yogakaraka"),INDEX(REF_Aspects!$D$5:$O$13,6,MOD(CALC_D9_BhaveshMap!$H$6-(MOD(MATCH(CALC_PlanetPositions!$B$12,{"Aries","Taurus","Gemini","Cancer","Leo","Virgo","Libra","Scorpio","Sagittarius","Capricorn","Aquarius","Pisces"},0)-MATCH(INPUT_Chart!$C$5,{"Aries","Taurus","Gemini","Cancer","Leo","Virgo","Libra","Scorpio","Sagittarius","Capricorn","Aquarius","Pisces"},0),12)+1),12)+1)="FULL",NOT(CALC_PlanetPositions!$B$12=CALC_D9_BhaveshMap!$G$6)),AND(OR(CALC_PlanetPositions!$M$13="Benefic",CALC_PlanetPositions!$M$13="Yogakaraka"),INDEX(REF_Aspects!$D$5:$O$13,7,MOD(CALC_D9_BhaveshMap!$H$6-(MOD(MATCH(CALC_PlanetPositions!$B$13,{"Aries","Taurus","Gemini","Cancer","Leo","Virgo","Libra","Scorpio","Sagittarius","Capricorn","Aquarius","Pisces"},0)-MATCH(INPUT_Chart!$C$5,{"Aries","Taurus","Gemini","Cancer","Leo","Virgo","Libra","Scorpio","Sagittarius","Capricorn","Aquarius","Pisces"},0),12)+1),12)+1)="FULL",NOT(CALC_PlanetPositions!$B$13=CALC_D9_BhaveshMap!$G$6)),AND(FALSE(),INDEX(REF_Aspects!$D$5:$O$13,8,MOD(CALC_D9_BhaveshMap!$H$6-(MOD(MATCH(CALC_PlanetPositions!$B$14,{"Aries","Taurus","Gemini","Cancer","Leo","Virgo","Libra","Scorpio","Sagittarius","Capricorn","Aquarius","Pisces"},0)-MATCH(INPUT_Chart!$C$5,{"Aries","Taurus","Gemini","Cancer","Leo","Virgo","Libra","Scorpio","Sagittarius","Capricorn","Aquarius","Pisces"},0),12)+1),12)+1)="FULL",NOT(CALC_PlanetPositions!$B$14=CALC_D9_BhaveshMap!$G$6)),AND(FALSE(),INDEX(REF_Aspects!$D$5:$O$13,9,MOD(CALC_D9_BhaveshMap!$H$6-(MOD(MATCH(CALC_PlanetPositions!$B$15,{"Aries","Taurus","Gemini","Cancer","Leo","Virgo","Libra","Scorpio","Sagittarius","Capricorn","Aquarius","Pisces"},0)-MATCH(INPUT_Chart!$C$5,{"Aries","Taurus","Gemini","Cancer","Leo","Virgo","Libra","Scorpio","Sagittarius","Capricorn","Aquarius","Pisces"},0),12)+1),12)+1)="FULL",NOT(CALC_PlanetPositions!$B$15=CALC_D9_BhaveshMap!$G$6))),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$6-2,12)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$6-2,12)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$6-2,12)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$6-2,12)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$6-2,12)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$6-2,12)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$6-2,12)+1)),AND(FALSE(),MOD(MATCH(CALC_PlanetPositions!$B$14,{"Aries","Taurus","Gemini","Cancer","Leo","Virgo","Libra","Scorpio","Sagittarius","Capricorn","Aquarius","Pisces"},0)-MATCH(INPUT_Chart!$C$5,{"Aries","Taurus","Gemini","Cancer","Leo","Virgo","Libra","Scorpio","Sagittarius","Capricorn","Aquarius","Pisces"},0),12)+1=(MOD(CALC_D9_BhaveshMap!$H$6-2,12)+1)),AND(FALSE(),MOD(MATCH(CALC_PlanetPositions!$B$15,{"Aries","Taurus","Gemini","Cancer","Leo","Virgo","Libra","Scorpio","Sagittarius","Capricorn","Aquarius","Pisces"},0)-MATCH(INPUT_Chart!$C$5,{"Aries","Taurus","Gemini","Cancer","Leo","Virgo","Libra","Scorpio","Sagittarius","Capricorn","Aquarius","Pisces"},0),12)+1=(MOD(CALC_D9_BhaveshMap!$H$6-2,12)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$6,12)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$6,12)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$6,12)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$6,12)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$6,12)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$6,12)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$6,12)+1)),AND(FALSE(),MOD(MATCH(CALC_PlanetPositions!$B$14,{"Aries","Taurus","Gemini","Cancer","Leo","Virgo","Libra","Scorpio","Sagittarius","Capricorn","Aquarius","Pisces"},0)-MATCH(INPUT_Chart!$C$5,{"Aries","Taurus","Gemini","Cancer","Leo","Virgo","Libra","Scorpio","Sagittarius","Capricorn","Aquarius","Pisces"},0),12)+1=(MOD(CALC_D9_BhaveshMap!$H$6,12)+1)),AND(FALSE(),MOD(MATCH(CALC_PlanetPositions!$B$15,{"Aries","Taurus","Gemini","Cancer","Leo","Virgo","Libra","Scorpio","Sagittarius","Capricorn","Aquarius","Pisces"},0)-MATCH(INPUT_Chart!$C$5,{"Aries","Taurus","Gemini","Cancer","Leo","Virgo","Libra","Scorpio","Sagittarius","Capricorn","Aquarius","Pisces"},0),12)+1=(MOD(CALC_D9_BhaveshMap!$H$6,12)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$6-(MOD(MATCH(CALC_PlanetPositions!$B$7,{"Aries","Taurus","Gemini","Cancer","Leo","Virgo","Libra","Scorpio","Sagittarius","Capricorn","Aquarius","Pisces"},0)-MATCH(INPUT_Chart!$C$5,{"Aries","Taurus","Gemini","Cancer","Leo","Virgo","Libra","Scorpio","Sagittarius","Capricorn","Aquarius","Pisces"},0),12)+1),12)+1)="FULL",NOT(CALC_PlanetPositions!$B$7=CALC_D9_BhaveshMap!$G$6)),AND(CALC_PlanetPositions!$M$8="Malefic",INDEX(REF_Aspects!$D$5:$O$13,2,MOD(CALC_D9_BhaveshMap!$H$6-(MOD(MATCH(CALC_PlanetPositions!$B$8,{"Aries","Taurus","Gemini","Cancer","Leo","Virgo","Libra","Scorpio","Sagittarius","Capricorn","Aquarius","Pisces"},0)-MATCH(INPUT_Chart!$C$5,{"Aries","Taurus","Gemini","Cancer","Leo","Virgo","Libra","Scorpio","Sagittarius","Capricorn","Aquarius","Pisces"},0),12)+1),12)+1)="FULL",NOT(CALC_PlanetPositions!$B$8=CALC_D9_BhaveshMap!$G$6)),AND(CALC_PlanetPositions!$M$9="Malefic",INDEX(REF_Aspects!$D$5:$O$13,3,MOD(CALC_D9_BhaveshMap!$H$6-(MOD(MATCH(CALC_PlanetPositions!$B$9,{"Aries","Taurus","Gemini","Cancer","Leo","Virgo","Libra","Scorpio","Sagittarius","Capricorn","Aquarius","Pisces"},0)-MATCH(INPUT_Chart!$C$5,{"Aries","Taurus","Gemini","Cancer","Leo","Virgo","Libra","Scorpio","Sagittarius","Capricorn","Aquarius","Pisces"},0),12)+1),12)+1)="FULL",NOT(CALC_PlanetPositions!$B$9=CALC_D9_BhaveshMap!$G$6)),AND(CALC_PlanetPositions!$M$10="Malefic",INDEX(REF_Aspects!$D$5:$O$13,4,MOD(CALC_D9_BhaveshMap!$H$6-(MOD(MATCH(CALC_PlanetPositions!$B$10,{"Aries","Taurus","Gemini","Cancer","Leo","Virgo","Libra","Scorpio","Sagittarius","Capricorn","Aquarius","Pisces"},0)-MATCH(INPUT_Chart!$C$5,{"Aries","Taurus","Gemini","Cancer","Leo","Virgo","Libra","Scorpio","Sagittarius","Capricorn","Aquarius","Pisces"},0),12)+1),12)+1)="FULL",NOT(CALC_PlanetPositions!$B$10=CALC_D9_BhaveshMap!$G$6)),AND(CALC_PlanetPositions!$M$11="Malefic",INDEX(REF_Aspects!$D$5:$O$13,5,MOD(CALC_D9_BhaveshMap!$H$6-(MOD(MATCH(CALC_PlanetPositions!$B$11,{"Aries","Taurus","Gemini","Cancer","Leo","Virgo","Libra","Scorpio","Sagittarius","Capricorn","Aquarius","Pisces"},0)-MATCH(INPUT_Chart!$C$5,{"Aries","Taurus","Gemini","Cancer","Leo","Virgo","Libra","Scorpio","Sagittarius","Capricorn","Aquarius","Pisces"},0),12)+1),12)+1)="FULL",NOT(CALC_PlanetPositions!$B$11=CALC_D9_BhaveshMap!$G$6)),AND(CALC_PlanetPositions!$M$12="Malefic",INDEX(REF_Aspects!$D$5:$O$13,6,MOD(CALC_D9_BhaveshMap!$H$6-(MOD(MATCH(CALC_PlanetPositions!$B$12,{"Aries","Taurus","Gemini","Cancer","Leo","Virgo","Libra","Scorpio","Sagittarius","Capricorn","Aquarius","Pisces"},0)-MATCH(INPUT_Chart!$C$5,{"Aries","Taurus","Gemini","Cancer","Leo","Virgo","Libra","Scorpio","Sagittarius","Capricorn","Aquarius","Pisces"},0),12)+1),12)+1)="FULL",NOT(CALC_PlanetPositions!$B$12=CALC_D9_BhaveshMap!$G$6)),AND(CALC_PlanetPositions!$M$13="Malefic",INDEX(REF_Aspects!$D$5:$O$13,7,MOD(CALC_D9_BhaveshMap!$H$6-(MOD(MATCH(CALC_PlanetPositions!$B$13,{"Aries","Taurus","Gemini","Cancer","Leo","Virgo","Libra","Scorpio","Sagittarius","Capricorn","Aquarius","Pisces"},0)-MATCH(INPUT_Chart!$C$5,{"Aries","Taurus","Gemini","Cancer","Leo","Virgo","Libra","Scorpio","Sagittarius","Capricorn","Aquarius","Pisces"},0),12)+1),12)+1)="FULL",NOT(CALC_PlanetPositions!$B$13=CALC_D9_BhaveshMap!$G$6)),AND(TRUE(),INDEX(REF_Aspects!$D$5:$O$13,8,MOD(CALC_D9_BhaveshMap!$H$6-(MOD(MATCH(CALC_PlanetPositions!$B$14,{"Aries","Taurus","Gemini","Cancer","Leo","Virgo","Libra","Scorpio","Sagittarius","Capricorn","Aquarius","Pisces"},0)-MATCH(INPUT_Chart!$C$5,{"Aries","Taurus","Gemini","Cancer","Leo","Virgo","Libra","Scorpio","Sagittarius","Capricorn","Aquarius","Pisces"},0),12)+1),12)+1)="FULL",NOT(CALC_PlanetPositions!$B$14=CALC_D9_BhaveshMap!$G$6)),AND(TRUE(),INDEX(REF_Aspects!$D$5:$O$13,9,MOD(CALC_D9_BhaveshMap!$H$6-(MOD(MATCH(CALC_PlanetPositions!$B$15,{"Aries","Taurus","Gemini","Cancer","Leo","Virgo","Libra","Scorpio","Sagittarius","Capricorn","Aquarius","Pisces"},0)-MATCH(INPUT_Chart!$C$5,{"Aries","Taurus","Gemini","Cancer","Leo","Virgo","Libra","Scorpio","Sagittarius","Capricorn","Aquarius","Pisces"},0),12)+1),12)+1)="FULL",NOT(CALC_PlanetPositions!$B$15=CALC_D9_BhaveshMap!$G$6))),1,0),0))*-0.5,0)</f>
        <v>0</v>
      </c>
      <c r="D21" s="403" t="s">
        <v>4634</v>
      </c>
    </row>
    <row r="22" spans="1:7" ht="27.75" customHeight="1" x14ac:dyDescent="0.2">
      <c r="A22" s="121" t="s">
        <v>4635</v>
      </c>
      <c r="B22" s="357" t="s">
        <v>3042</v>
      </c>
      <c r="C22" s="1117">
        <f>IFERROR((IFERROR(IF(CALC_D9_BhaveshMap!$K$6="Yes",1,0),0))*IF(REF_Config!$B$6="KP",-1.75,IF(REF_Config!$B$6="Jaimini",-2,-2)),0)</f>
        <v>0</v>
      </c>
      <c r="D22" s="400" t="s">
        <v>4636</v>
      </c>
    </row>
    <row r="23" spans="1:7" ht="27.75" customHeight="1" x14ac:dyDescent="0.2">
      <c r="A23" s="121" t="s">
        <v>4637</v>
      </c>
      <c r="B23" s="203" t="s">
        <v>3059</v>
      </c>
      <c r="C23" s="1118">
        <f ca="1">IFERROR((IFERROR(IF(OR(AND(CALC_D9_BhaveshMap!$G$10=CALC_D9_BhaveshMap!$G$6,CALC_D9_BhaveshMap!$D$10&lt;&gt;CALC_D9_BhaveshMap!$D$6),AND(CALC_D9_BhaveshMap!$G$12=CALC_D9_BhaveshMap!$G$6,CALC_D9_BhaveshMap!$D$12&lt;&gt;CALC_D9_BhaveshMap!$D$6),AND(CALC_D9_BhaveshMap!$G$16=CALC_D9_BhaveshMap!$G$6,CALC_D9_BhaveshMap!$D$16&lt;&gt;CALC_D9_BhaveshMap!$D$6)),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IFERROR(IF(OR(CALC_D9_BhaveshMap!$D$6="Sun",CALC_D9_BhaveshMap!$D$6="Rahu",CALC_D9_BhaveshMap!$D$6="Ketu"),0,IF(CALC_D9_BhaveshMap!$D$6="Moon",IF(CALC_CombustionCheck!$G$4="Cazimi ✓",0.5,IF(CALC_CombustionCheck!$F$4="COMBUST ⚠",-1,0)),IF(CALC_D9_BhaveshMap!$D$6="Mars",IF(CALC_CombustionCheck!$G$5="Cazimi ✓",0.5,IF(AND(CALC_CombustionCheck!$F$5="COMBUST ⚠",CALC_RetrogradeFix!$F$6="Rx ✓"),-0.5,IF(CALC_CombustionCheck!$F$5="COMBUST ⚠",-1,0))),IF(CALC_D9_BhaveshMap!$D$6="Mercury",IF(CALC_CombustionCheck!$G$6="Cazimi ✓",0.5,IF(AND(CALC_CombustionCheck!$F$6="COMBUST ⚠",CALC_RetrogradeFix!$F$7="Rx ✓"),-0.5,IF(CALC_CombustionCheck!$F$6="COMBUST ⚠",-1,0))),IF(CALC_D9_BhaveshMap!$D$6="Jupiter",IF(CALC_CombustionCheck!$G$7="Cazimi ✓",0.5,IF(AND(CALC_CombustionCheck!$F$7="COMBUST ⚠",CALC_RetrogradeFix!$F$8="Rx ✓"),-0.5,IF(CALC_CombustionCheck!$F$7="COMBUST ⚠",-1,0))),IF(CALC_D9_BhaveshMap!$D$6="Venus",IF(CALC_CombustionCheck!$G$8="Cazimi ✓",0.5,IF(AND(CALC_CombustionCheck!$F$8="COMBUST ⚠",CALC_RetrogradeFix!$F$9="Rx ✓"),-0.5,IF(CALC_CombustionCheck!$F$8="COMBUST ⚠",-1,0))),IF(CALC_D9_BhaveshMap!$D$6="Saturn",IF(CALC_CombustionCheck!$G$9="Cazimi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$6="Rahu",CALC_D9_BhaveshMap!$D$6="Ketu"),0,IF(ISNUMBER(MATCH(CALC_D9_BhaveshMap!$D$6,{"Sun","Moon","Mars","Mercury","Jupiter","Venus","Saturn"},0)),IF(INDEX(CALC_DigBala!$F$4:$F$10,MATCH(CALC_D9_BhaveshMap!$D$6,{"Sun","Moon","Mars","Mercury","Jupiter","Venus","Saturn"},0))="Yes",0.5,0),0)),0)</f>
        <v>0</v>
      </c>
      <c r="D28" s="400" t="s">
        <v>4647</v>
      </c>
    </row>
    <row r="29" spans="1:7" ht="27.75" customHeight="1" x14ac:dyDescent="0.2">
      <c r="A29" s="1120" t="s">
        <v>4648</v>
      </c>
      <c r="B29" s="296" t="s">
        <v>3372</v>
      </c>
      <c r="C29" s="1117">
        <f ca="1">IFERROR(IF(COUNTIFS(REF_PushkaraNavamsha!$A$4:$A$27,CALC_D9_BhaveshMap!$G$6,REF_PushkaraNavamsha!$B$4:$B$27,INDEX(CALC_PlanetPositions!$G$7:$G$15,MATCH(CALC_D9_BhaveshMap!$D$6,CALC_PlanetPositions!$A$7:$A$15,0)))&gt;0,0.5,0),0)</f>
        <v>0</v>
      </c>
      <c r="D29" s="400" t="s">
        <v>4649</v>
      </c>
    </row>
    <row r="30" spans="1:7" ht="25.5" customHeight="1" x14ac:dyDescent="0.2">
      <c r="A30" s="147" t="s">
        <v>4650</v>
      </c>
      <c r="B30" s="1121" t="s">
        <v>4651</v>
      </c>
      <c r="C30" s="1122">
        <f>IFERROR(IF(ISNUMBER(MATCH(CALC_D9_BhaveshMap!$D$6,{"Sun","Moon","Mars","Mercury","Jupiter","Venus","Saturn"},0)),INDEX(CALC_RetrogradeFix!$G$4:$G$10,MATCH(CALC_D9_BhaveshMap!$D$6,{"Sun","Moon","Mars","Mercury","Jupiter","Venus","Saturn"},0)),0),0)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v>
      </c>
      <c r="D37" s="1129"/>
    </row>
    <row r="38" spans="1:4" ht="21.75" customHeight="1" x14ac:dyDescent="0.2">
      <c r="A38" s="89" t="s">
        <v>4661</v>
      </c>
      <c r="B38" s="1129"/>
      <c r="C38" s="1131">
        <f ca="1">IFERROR(MAX(-10,MIN(10,C37)),0)</f>
        <v>-2</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-2</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4733</v>
      </c>
      <c r="B1" s="1518"/>
      <c r="C1" s="1518"/>
      <c r="D1" s="1518"/>
      <c r="L1" s="544" t="s">
        <v>2214</v>
      </c>
    </row>
    <row r="2" spans="1:12" ht="19.5" customHeight="1" x14ac:dyDescent="0.2">
      <c r="A2" s="1595" t="str">
        <f>IFERROR("D9 Lagna: "&amp;CALC_D9_BhaveshMap!$C$5&amp;"  ·  H3 — Courage","← Enter chart")</f>
        <v>D9 Lagna: Pisces  ·  H3 — Courage</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IFERROR((IFERROR(IF(INDEX(REF_Zodiac!$D$17:$O$17,MATCH(CALC_D9_BhaveshMap!$C$7,REF_Zodiac!$D$3:$O$3,0))="Gentle",1,0),0))*0.5,0)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IFERROR(IF(AND(OR(CALC_D9_BhaveshMap!$I$7="Yes",CALC_D9_BhaveshMap!$J$7="Yes"),NOT(CALC_D9_BhaveshMap!$K$7="Yes")),1,0)*IF(REF_Config!$B$6="KP",1.5,IF(REF_Config!$B$6="Jaimini",1.5,2)),0)</f>
        <v>0</v>
      </c>
      <c r="D9" s="403" t="s">
        <v>4612</v>
      </c>
    </row>
    <row r="10" spans="1:12" ht="27.75" customHeight="1" x14ac:dyDescent="0.2">
      <c r="A10" s="121" t="s">
        <v>4613</v>
      </c>
      <c r="B10" s="357" t="s">
        <v>3093</v>
      </c>
      <c r="C10" s="1117">
        <f ca="1">IFERROR((IFERROR(IF(OR(AND(CALC_D9_BhaveshMap!$G$7=CALC_D9_BhaveshMap!$G$7,CALC_D9_BhaveshMap!$D$7&lt;&gt;CALC_D9_BhaveshMap!$D$7),AND(CALC_D9_BhaveshMap!$G$8=CALC_D9_BhaveshMap!$G$7,CALC_D9_BhaveshMap!$D$8&lt;&gt;CALC_D9_BhaveshMap!$D$7),AND(CALC_D9_BhaveshMap!$G$9=CALC_D9_BhaveshMap!$G$7,CALC_D9_BhaveshMap!$D$9&lt;&gt;CALC_D9_BhaveshMap!$D$7),AND(CALC_D9_BhaveshMap!$G$11=CALC_D9_BhaveshMap!$G$7,CALC_D9_BhaveshMap!$D$11&lt;&gt;CALC_D9_BhaveshMap!$D$7),AND(CALC_D9_BhaveshMap!$G$13=CALC_D9_BhaveshMap!$G$7,CALC_D9_BhaveshMap!$D$13&lt;&gt;CALC_D9_BhaveshMap!$D$7),AND(CALC_D9_BhaveshMap!$G$14=CALC_D9_BhaveshMap!$G$7,CALC_D9_BhaveshMap!$D$14&lt;&gt;CALC_D9_BhaveshMap!$D$7)),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$7,CALC_D9_BhaveshMap!$D$7&lt;&gt;"Sun"),AND(OR(CALC_PlanetPositions!$M$8="Benefic",CALC_PlanetPositions!$M$8="Yogakaraka"),CALC_PlanetPositions!$B$8=CALC_D9_BhaveshMap!$G$7,CALC_D9_BhaveshMap!$D$7&lt;&gt;"Moon"),AND(OR(CALC_PlanetPositions!$M$9="Benefic",CALC_PlanetPositions!$M$9="Yogakaraka"),CALC_PlanetPositions!$B$9=CALC_D9_BhaveshMap!$G$7,CALC_D9_BhaveshMap!$D$7&lt;&gt;"Mars"),AND(OR(CALC_PlanetPositions!$M$10="Benefic",CALC_PlanetPositions!$M$10="Yogakaraka"),CALC_PlanetPositions!$B$10=CALC_D9_BhaveshMap!$G$7,CALC_D9_BhaveshMap!$D$7&lt;&gt;"Mercury"),AND(OR(CALC_PlanetPositions!$M$11="Benefic",CALC_PlanetPositions!$M$11="Yogakaraka"),CALC_PlanetPositions!$B$11=CALC_D9_BhaveshMap!$G$7,CALC_D9_BhaveshMap!$D$7&lt;&gt;"Jupiter"),AND(OR(CALC_PlanetPositions!$M$12="Benefic",CALC_PlanetPositions!$M$12="Yogakaraka"),CALC_PlanetPositions!$B$12=CALC_D9_BhaveshMap!$G$7,CALC_D9_BhaveshMap!$D$7&lt;&gt;"Venus"),AND(OR(CALC_PlanetPositions!$M$13="Benefic",CALC_PlanetPositions!$M$13="Yogakaraka"),CALC_PlanetPositions!$B$13=CALC_D9_BhaveshMap!$G$7,CALC_D9_BhaveshMap!$D$7&lt;&gt;"Saturn")),1,0),0))*IF(OR(AND(CALC_PlanetPositions!$M$7="Yogakaraka",CALC_PlanetPositions!$B$7=CALC_D9_BhaveshMap!$G$7,CALC_D9_BhaveshMap!$D$7&lt;&gt;"Sun"),AND(CALC_PlanetPositions!$M$8="Yogakaraka",CALC_PlanetPositions!$B$8=CALC_D9_BhaveshMap!$G$7,CALC_D9_BhaveshMap!$D$7&lt;&gt;"Moon"),AND(CALC_PlanetPositions!$M$9="Yogakaraka",CALC_PlanetPositions!$B$9=CALC_D9_BhaveshMap!$G$7,CALC_D9_BhaveshMap!$D$7&lt;&gt;"Mars"),AND(CALC_PlanetPositions!$M$10="Yogakaraka",CALC_PlanetPositions!$B$10=CALC_D9_BhaveshMap!$G$7,CALC_D9_BhaveshMap!$D$7&lt;&gt;"Mercury"),AND(CALC_PlanetPositions!$M$11="Yogakaraka",CALC_PlanetPositions!$B$11=CALC_D9_BhaveshMap!$G$7,CALC_D9_BhaveshMap!$D$7&lt;&gt;"Jupiter"),AND(CALC_PlanetPositions!$M$12="Yogakaraka",CALC_PlanetPositions!$B$12=CALC_D9_BhaveshMap!$G$7,CALC_D9_BhaveshMap!$D$7&lt;&gt;"Venus"),AND(CALC_PlanetPositions!$M$13="Yogakaraka",CALC_PlanetPositions!$B$13=CALC_D9_BhaveshMap!$G$7,CALC_D9_BhaveshMap!$D$7&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$7-(MOD(MATCH(CALC_PlanetPositions!$B$7,{"Aries","Taurus","Gemini","Cancer","Leo","Virgo","Libra","Scorpio","Sagittarius","Capricorn","Aquarius","Pisces"},0)-MATCH(INPUT_Chart!$C$5,{"Aries","Taurus","Gemini","Cancer","Leo","Virgo","Libra","Scorpio","Sagittarius","Capricorn","Aquarius","Pisces"},0),12)+1),12)+1)="FULL",NOT(CALC_PlanetPositions!$B$7=CALC_D9_BhaveshMap!$G$7)),AND(OR(CALC_PlanetPositions!$M$8="Benefic",CALC_PlanetPositions!$M$8="Yogakaraka"),INDEX(REF_Aspects!$D$5:$O$13,2,MOD(CALC_D9_BhaveshMap!$H$7-(MOD(MATCH(CALC_PlanetPositions!$B$8,{"Aries","Taurus","Gemini","Cancer","Leo","Virgo","Libra","Scorpio","Sagittarius","Capricorn","Aquarius","Pisces"},0)-MATCH(INPUT_Chart!$C$5,{"Aries","Taurus","Gemini","Cancer","Leo","Virgo","Libra","Scorpio","Sagittarius","Capricorn","Aquarius","Pisces"},0),12)+1),12)+1)="FULL",NOT(CALC_PlanetPositions!$B$8=CALC_D9_BhaveshMap!$G$7)),AND(OR(CALC_PlanetPositions!$M$9="Benefic",CALC_PlanetPositions!$M$9="Yogakaraka"),INDEX(REF_Aspects!$D$5:$O$13,3,MOD(CALC_D9_BhaveshMap!$H$7-(MOD(MATCH(CALC_PlanetPositions!$B$9,{"Aries","Taurus","Gemini","Cancer","Leo","Virgo","Libra","Scorpio","Sagittarius","Capricorn","Aquarius","Pisces"},0)-MATCH(INPUT_Chart!$C$5,{"Aries","Taurus","Gemini","Cancer","Leo","Virgo","Libra","Scorpio","Sagittarius","Capricorn","Aquarius","Pisces"},0),12)+1),12)+1)="FULL",NOT(CALC_PlanetPositions!$B$9=CALC_D9_BhaveshMap!$G$7)),AND(OR(CALC_PlanetPositions!$M$10="Benefic",CALC_PlanetPositions!$M$10="Yogakaraka"),INDEX(REF_Aspects!$D$5:$O$13,4,MOD(CALC_D9_BhaveshMap!$H$7-(MOD(MATCH(CALC_PlanetPositions!$B$10,{"Aries","Taurus","Gemini","Cancer","Leo","Virgo","Libra","Scorpio","Sagittarius","Capricorn","Aquarius","Pisces"},0)-MATCH(INPUT_Chart!$C$5,{"Aries","Taurus","Gemini","Cancer","Leo","Virgo","Libra","Scorpio","Sagittarius","Capricorn","Aquarius","Pisces"},0),12)+1),12)+1)="FULL",NOT(CALC_PlanetPositions!$B$10=CALC_D9_BhaveshMap!$G$7)),AND(OR(CALC_PlanetPositions!$M$11="Benefic",CALC_PlanetPositions!$M$11="Yogakaraka"),INDEX(REF_Aspects!$D$5:$O$13,5,MOD(CALC_D9_BhaveshMap!$H$7-(MOD(MATCH(CALC_PlanetPositions!$B$11,{"Aries","Taurus","Gemini","Cancer","Leo","Virgo","Libra","Scorpio","Sagittarius","Capricorn","Aquarius","Pisces"},0)-MATCH(INPUT_Chart!$C$5,{"Aries","Taurus","Gemini","Cancer","Leo","Virgo","Libra","Scorpio","Sagittarius","Capricorn","Aquarius","Pisces"},0),12)+1),12)+1)="FULL",NOT(CALC_PlanetPositions!$B$11=CALC_D9_BhaveshMap!$G$7)),AND(OR(CALC_PlanetPositions!$M$12="Benefic",CALC_PlanetPositions!$M$12="Yogakaraka"),INDEX(REF_Aspects!$D$5:$O$13,6,MOD(CALC_D9_BhaveshMap!$H$7-(MOD(MATCH(CALC_PlanetPositions!$B$12,{"Aries","Taurus","Gemini","Cancer","Leo","Virgo","Libra","Scorpio","Sagittarius","Capricorn","Aquarius","Pisces"},0)-MATCH(INPUT_Chart!$C$5,{"Aries","Taurus","Gemini","Cancer","Leo","Virgo","Libra","Scorpio","Sagittarius","Capricorn","Aquarius","Pisces"},0),12)+1),12)+1)="FULL",NOT(CALC_PlanetPositions!$B$12=CALC_D9_BhaveshMap!$G$7)),AND(OR(CALC_PlanetPositions!$M$13="Benefic",CALC_PlanetPositions!$M$13="Yogakaraka"),INDEX(REF_Aspects!$D$5:$O$13,7,MOD(CALC_D9_BhaveshMap!$H$7-(MOD(MATCH(CALC_PlanetPositions!$B$13,{"Aries","Taurus","Gemini","Cancer","Leo","Virgo","Libra","Scorpio","Sagittarius","Capricorn","Aquarius","Pisces"},0)-MATCH(INPUT_Chart!$C$5,{"Aries","Taurus","Gemini","Cancer","Leo","Virgo","Libra","Scorpio","Sagittarius","Capricorn","Aquarius","Pisces"},0),12)+1),12)+1)="FULL",NOT(CALC_PlanetPositions!$B$13=CALC_D9_BhaveshMap!$G$7)),AND(FALSE(),INDEX(REF_Aspects!$D$5:$O$13,8,MOD(CALC_D9_BhaveshMap!$H$7-(MOD(MATCH(CALC_PlanetPositions!$B$14,{"Aries","Taurus","Gemini","Cancer","Leo","Virgo","Libra","Scorpio","Sagittarius","Capricorn","Aquarius","Pisces"},0)-MATCH(INPUT_Chart!$C$5,{"Aries","Taurus","Gemini","Cancer","Leo","Virgo","Libra","Scorpio","Sagittarius","Capricorn","Aquarius","Pisces"},0),12)+1),12)+1)="FULL",NOT(CALC_PlanetPositions!$B$14=CALC_D9_BhaveshMap!$G$7)),AND(FALSE(),INDEX(REF_Aspects!$D$5:$O$13,9,MOD(CALC_D9_BhaveshMap!$H$7-(MOD(MATCH(CALC_PlanetPositions!$B$15,{"Aries","Taurus","Gemini","Cancer","Leo","Virgo","Libra","Scorpio","Sagittarius","Capricorn","Aquarius","Pisces"},0)-MATCH(INPUT_Chart!$C$5,{"Aries","Taurus","Gemini","Cancer","Leo","Virgo","Libra","Scorpio","Sagittarius","Capricorn","Aquarius","Pisces"},0),12)+1),12)+1)="FULL",NOT(CALC_PlanetPositions!$B$15=CALC_D9_BhaveshMap!$G$7))),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$7-2,12)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$7-2,12)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$7-2,12)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$7-2,12)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$7-2,12)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$7-2,12)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$7-2,12)+1)),AND(FALSE(),MOD(MATCH(CALC_PlanetPositions!$B$14,{"Aries","Taurus","Gemini","Cancer","Leo","Virgo","Libra","Scorpio","Sagittarius","Capricorn","Aquarius","Pisces"},0)-MATCH(INPUT_Chart!$C$5,{"Aries","Taurus","Gemini","Cancer","Leo","Virgo","Libra","Scorpio","Sagittarius","Capricorn","Aquarius","Pisces"},0),12)+1=(MOD(CALC_D9_BhaveshMap!$H$7-2,12)+1)),AND(FALSE(),MOD(MATCH(CALC_PlanetPositions!$B$15,{"Aries","Taurus","Gemini","Cancer","Leo","Virgo","Libra","Scorpio","Sagittarius","Capricorn","Aquarius","Pisces"},0)-MATCH(INPUT_Chart!$C$5,{"Aries","Taurus","Gemini","Cancer","Leo","Virgo","Libra","Scorpio","Sagittarius","Capricorn","Aquarius","Pisces"},0),12)+1=(MOD(CALC_D9_BhaveshMap!$H$7-2,12)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$7,12)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$7,12)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$7,12)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$7,12)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$7,12)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$7,12)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$7,12)+1)),AND(FALSE(),MOD(MATCH(CALC_PlanetPositions!$B$14,{"Aries","Taurus","Gemini","Cancer","Leo","Virgo","Libra","Scorpio","Sagittarius","Capricorn","Aquarius","Pisces"},0)-MATCH(INPUT_Chart!$C$5,{"Aries","Taurus","Gemini","Cancer","Leo","Virgo","Libra","Scorpio","Sagittarius","Capricorn","Aquarius","Pisces"},0),12)+1=(MOD(CALC_D9_BhaveshMap!$H$7,12)+1)),AND(FALSE(),MOD(MATCH(CALC_PlanetPositions!$B$15,{"Aries","Taurus","Gemini","Cancer","Leo","Virgo","Libra","Scorpio","Sagittarius","Capricorn","Aquarius","Pisces"},0)-MATCH(INPUT_Chart!$C$5,{"Aries","Taurus","Gemini","Cancer","Leo","Virgo","Libra","Scorpio","Sagittarius","Capricorn","Aquarius","Pisces"},0),12)+1=(MOD(CALC_D9_BhaveshMap!$H$7,12)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$7-(MOD(MATCH(CALC_PlanetPositions!$B$7,{"Aries","Taurus","Gemini","Cancer","Leo","Virgo","Libra","Scorpio","Sagittarius","Capricorn","Aquarius","Pisces"},0)-MATCH(INPUT_Chart!$C$5,{"Aries","Taurus","Gemini","Cancer","Leo","Virgo","Libra","Scorpio","Sagittarius","Capricorn","Aquarius","Pisces"},0),12)+1),12)+1)="FULL",NOT(CALC_PlanetPositions!$B$7=CALC_D9_BhaveshMap!$G$7)),AND(CALC_PlanetPositions!$M$8="Malefic",INDEX(REF_Aspects!$D$5:$O$13,2,MOD(CALC_D9_BhaveshMap!$H$7-(MOD(MATCH(CALC_PlanetPositions!$B$8,{"Aries","Taurus","Gemini","Cancer","Leo","Virgo","Libra","Scorpio","Sagittarius","Capricorn","Aquarius","Pisces"},0)-MATCH(INPUT_Chart!$C$5,{"Aries","Taurus","Gemini","Cancer","Leo","Virgo","Libra","Scorpio","Sagittarius","Capricorn","Aquarius","Pisces"},0),12)+1),12)+1)="FULL",NOT(CALC_PlanetPositions!$B$8=CALC_D9_BhaveshMap!$G$7)),AND(CALC_PlanetPositions!$M$9="Malefic",INDEX(REF_Aspects!$D$5:$O$13,3,MOD(CALC_D9_BhaveshMap!$H$7-(MOD(MATCH(CALC_PlanetPositions!$B$9,{"Aries","Taurus","Gemini","Cancer","Leo","Virgo","Libra","Scorpio","Sagittarius","Capricorn","Aquarius","Pisces"},0)-MATCH(INPUT_Chart!$C$5,{"Aries","Taurus","Gemini","Cancer","Leo","Virgo","Libra","Scorpio","Sagittarius","Capricorn","Aquarius","Pisces"},0),12)+1),12)+1)="FULL",NOT(CALC_PlanetPositions!$B$9=CALC_D9_BhaveshMap!$G$7)),AND(CALC_PlanetPositions!$M$10="Malefic",INDEX(REF_Aspects!$D$5:$O$13,4,MOD(CALC_D9_BhaveshMap!$H$7-(MOD(MATCH(CALC_PlanetPositions!$B$10,{"Aries","Taurus","Gemini","Cancer","Leo","Virgo","Libra","Scorpio","Sagittarius","Capricorn","Aquarius","Pisces"},0)-MATCH(INPUT_Chart!$C$5,{"Aries","Taurus","Gemini","Cancer","Leo","Virgo","Libra","Scorpio","Sagittarius","Capricorn","Aquarius","Pisces"},0),12)+1),12)+1)="FULL",NOT(CALC_PlanetPositions!$B$10=CALC_D9_BhaveshMap!$G$7)),AND(CALC_PlanetPositions!$M$11="Malefic",INDEX(REF_Aspects!$D$5:$O$13,5,MOD(CALC_D9_BhaveshMap!$H$7-(MOD(MATCH(CALC_PlanetPositions!$B$11,{"Aries","Taurus","Gemini","Cancer","Leo","Virgo","Libra","Scorpio","Sagittarius","Capricorn","Aquarius","Pisces"},0)-MATCH(INPUT_Chart!$C$5,{"Aries","Taurus","Gemini","Cancer","Leo","Virgo","Libra","Scorpio","Sagittarius","Capricorn","Aquarius","Pisces"},0),12)+1),12)+1)="FULL",NOT(CALC_PlanetPositions!$B$11=CALC_D9_BhaveshMap!$G$7)),AND(CALC_PlanetPositions!$M$12="Malefic",INDEX(REF_Aspects!$D$5:$O$13,6,MOD(CALC_D9_BhaveshMap!$H$7-(MOD(MATCH(CALC_PlanetPositions!$B$12,{"Aries","Taurus","Gemini","Cancer","Leo","Virgo","Libra","Scorpio","Sagittarius","Capricorn","Aquarius","Pisces"},0)-MATCH(INPUT_Chart!$C$5,{"Aries","Taurus","Gemini","Cancer","Leo","Virgo","Libra","Scorpio","Sagittarius","Capricorn","Aquarius","Pisces"},0),12)+1),12)+1)="FULL",NOT(CALC_PlanetPositions!$B$12=CALC_D9_BhaveshMap!$G$7)),AND(CALC_PlanetPositions!$M$13="Malefic",INDEX(REF_Aspects!$D$5:$O$13,7,MOD(CALC_D9_BhaveshMap!$H$7-(MOD(MATCH(CALC_PlanetPositions!$B$13,{"Aries","Taurus","Gemini","Cancer","Leo","Virgo","Libra","Scorpio","Sagittarius","Capricorn","Aquarius","Pisces"},0)-MATCH(INPUT_Chart!$C$5,{"Aries","Taurus","Gemini","Cancer","Leo","Virgo","Libra","Scorpio","Sagittarius","Capricorn","Aquarius","Pisces"},0),12)+1),12)+1)="FULL",NOT(CALC_PlanetPositions!$B$13=CALC_D9_BhaveshMap!$G$7)),AND(TRUE(),INDEX(REF_Aspects!$D$5:$O$13,8,MOD(CALC_D9_BhaveshMap!$H$7-(MOD(MATCH(CALC_PlanetPositions!$B$14,{"Aries","Taurus","Gemini","Cancer","Leo","Virgo","Libra","Scorpio","Sagittarius","Capricorn","Aquarius","Pisces"},0)-MATCH(INPUT_Chart!$C$5,{"Aries","Taurus","Gemini","Cancer","Leo","Virgo","Libra","Scorpio","Sagittarius","Capricorn","Aquarius","Pisces"},0),12)+1),12)+1)="FULL",NOT(CALC_PlanetPositions!$B$14=CALC_D9_BhaveshMap!$G$7)),AND(TRUE(),INDEX(REF_Aspects!$D$5:$O$13,9,MOD(CALC_D9_BhaveshMap!$H$7-(MOD(MATCH(CALC_PlanetPositions!$B$15,{"Aries","Taurus","Gemini","Cancer","Leo","Virgo","Libra","Scorpio","Sagittarius","Capricorn","Aquarius","Pisces"},0)-MATCH(INPUT_Chart!$C$5,{"Aries","Taurus","Gemini","Cancer","Leo","Virgo","Libra","Scorpio","Sagittarius","Capricorn","Aquarius","Pisces"},0),12)+1),12)+1)="FULL",NOT(CALC_PlanetPositions!$B$15=CALC_D9_BhaveshMap!$G$7))),1,0),0))*-0.5,0)</f>
        <v>0</v>
      </c>
      <c r="D21" s="403" t="s">
        <v>4634</v>
      </c>
    </row>
    <row r="22" spans="1:7" ht="27.75" customHeight="1" x14ac:dyDescent="0.2">
      <c r="A22" s="121" t="s">
        <v>4635</v>
      </c>
      <c r="B22" s="357" t="s">
        <v>3042</v>
      </c>
      <c r="C22" s="1117">
        <f>IFERROR((IFERROR(IF(CALC_D9_BhaveshMap!$K$7="Yes",1,0),0))*IF(REF_Config!$B$6="KP",-1.75,IF(REF_Config!$B$6="Jaimini",-2,-2)),0)</f>
        <v>0</v>
      </c>
      <c r="D22" s="400" t="s">
        <v>4636</v>
      </c>
    </row>
    <row r="23" spans="1:7" ht="27.75" customHeight="1" x14ac:dyDescent="0.2">
      <c r="A23" s="121" t="s">
        <v>4637</v>
      </c>
      <c r="B23" s="203" t="s">
        <v>3059</v>
      </c>
      <c r="C23" s="1118">
        <f ca="1">IFERROR((IFERROR(IF(OR(AND(CALC_D9_BhaveshMap!$G$10=CALC_D9_BhaveshMap!$G$7,CALC_D9_BhaveshMap!$D$10&lt;&gt;CALC_D9_BhaveshMap!$D$7),AND(CALC_D9_BhaveshMap!$G$12=CALC_D9_BhaveshMap!$G$7,CALC_D9_BhaveshMap!$D$12&lt;&gt;CALC_D9_BhaveshMap!$D$7),AND(CALC_D9_BhaveshMap!$G$16=CALC_D9_BhaveshMap!$G$7,CALC_D9_BhaveshMap!$D$16&lt;&gt;CALC_D9_BhaveshMap!$D$7)),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IFERROR(IF(OR(CALC_D9_BhaveshMap!$D$7="Sun",CALC_D9_BhaveshMap!$D$7="Rahu",CALC_D9_BhaveshMap!$D$7="Ketu"),0,IF(CALC_D9_BhaveshMap!$D$7="Moon",IF(CALC_CombustionCheck!$G$4="Cazimi ✓",0.5,IF(CALC_CombustionCheck!$F$4="COMBUST ⚠",-1,0)),IF(CALC_D9_BhaveshMap!$D$7="Mars",IF(CALC_CombustionCheck!$G$5="Cazimi ✓",0.5,IF(AND(CALC_CombustionCheck!$F$5="COMBUST ⚠",CALC_RetrogradeFix!$F$6="Rx ✓"),-0.5,IF(CALC_CombustionCheck!$F$5="COMBUST ⚠",-1,0))),IF(CALC_D9_BhaveshMap!$D$7="Mercury",IF(CALC_CombustionCheck!$G$6="Cazimi ✓",0.5,IF(AND(CALC_CombustionCheck!$F$6="COMBUST ⚠",CALC_RetrogradeFix!$F$7="Rx ✓"),-0.5,IF(CALC_CombustionCheck!$F$6="COMBUST ⚠",-1,0))),IF(CALC_D9_BhaveshMap!$D$7="Jupiter",IF(CALC_CombustionCheck!$G$7="Cazimi ✓",0.5,IF(AND(CALC_CombustionCheck!$F$7="COMBUST ⚠",CALC_RetrogradeFix!$F$8="Rx ✓"),-0.5,IF(CALC_CombustionCheck!$F$7="COMBUST ⚠",-1,0))),IF(CALC_D9_BhaveshMap!$D$7="Venus",IF(CALC_CombustionCheck!$G$8="Cazimi ✓",0.5,IF(AND(CALC_CombustionCheck!$F$8="COMBUST ⚠",CALC_RetrogradeFix!$F$9="Rx ✓"),-0.5,IF(CALC_CombustionCheck!$F$8="COMBUST ⚠",-1,0))),IF(CALC_D9_BhaveshMap!$D$7="Saturn",IF(CALC_CombustionCheck!$G$9="Cazimi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9_BhaveshMap!$D$7="Rahu",CALC_D9_BhaveshMap!$D$7="Ketu"),0,IF(ISNUMBER(MATCH(CALC_D9_BhaveshMap!$D$7,{"Sun","Moon","Mars","Mercury","Jupiter","Venus","Saturn"},0)),IF(INDEX(CALC_DigBala!$F$4:$F$10,MATCH(CALC_D9_BhaveshMap!$D$7,{"Sun","Moon","Mars","Mercury","Jupiter","Venus","Saturn"},0))="Yes",0.5,0),0)),0)</f>
        <v>0</v>
      </c>
      <c r="D28" s="400" t="s">
        <v>4647</v>
      </c>
    </row>
    <row r="29" spans="1:7" ht="27.75" customHeight="1" x14ac:dyDescent="0.2">
      <c r="A29" s="1120" t="s">
        <v>4648</v>
      </c>
      <c r="B29" s="296" t="s">
        <v>3372</v>
      </c>
      <c r="C29" s="1117">
        <f ca="1">IFERROR(IF(COUNTIFS(REF_PushkaraNavamsha!$A$4:$A$27,CALC_D9_BhaveshMap!$G$7,REF_PushkaraNavamsha!$B$4:$B$27,INDEX(CALC_PlanetPositions!$G$7:$G$15,MATCH(CALC_D9_BhaveshMap!$D$7,CALC_PlanetPositions!$A$7:$A$15,0)))&gt;0,0.5,0),0)</f>
        <v>0</v>
      </c>
      <c r="D29" s="400" t="s">
        <v>4649</v>
      </c>
    </row>
    <row r="30" spans="1:7" ht="25.5" customHeight="1" x14ac:dyDescent="0.2">
      <c r="A30" s="147" t="s">
        <v>4650</v>
      </c>
      <c r="B30" s="1121" t="s">
        <v>4651</v>
      </c>
      <c r="C30" s="1122">
        <f>IFERROR(IF(ISNUMBER(MATCH(CALC_D9_BhaveshMap!$D$7,{"Sun","Moon","Mars","Mercury","Jupiter","Venus","Saturn"},0)),INDEX(CALC_RetrogradeFix!$G$4:$G$10,MATCH(CALC_D9_BhaveshMap!$D$7,{"Sun","Moon","Mars","Mercury","Jupiter","Venus","Saturn"},0)),0),0)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-2</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-2.5</v>
      </c>
      <c r="D37" s="1129"/>
    </row>
    <row r="38" spans="1:4" ht="21.75" customHeight="1" x14ac:dyDescent="0.2">
      <c r="A38" s="89" t="s">
        <v>4661</v>
      </c>
      <c r="B38" s="1129"/>
      <c r="C38" s="1131">
        <f ca="1">IFERROR(MAX(-10,MIN(10,C37)),0)</f>
        <v>-2.5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-2.5</v>
      </c>
      <c r="D40" s="1136" t="str">
        <f ca="1">IFERROR(IF(C40&gt;=7,"Excellent — Self domain very strong",IF(C40&gt;=4,"Good — Self domain strong",IF(C40&gt;=1,"Moderate",IF(C40&gt;=-2,"Mixed — Self has challenges",IF(C40&gt;=-5,"Weak","Very weak — Self heavily afflicted"))))),"—")</f>
        <v>Weak</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4734</v>
      </c>
      <c r="B1" s="1518"/>
      <c r="C1" s="1518"/>
      <c r="D1" s="1518"/>
      <c r="L1" s="544" t="s">
        <v>2214</v>
      </c>
    </row>
    <row r="2" spans="1:12" ht="19.5" customHeight="1" x14ac:dyDescent="0.2">
      <c r="A2" s="1595" t="str">
        <f>IFERROR("D9 Lagna: "&amp;CALC_D9_BhaveshMap!$C$5&amp;"  ·  H4 — Home","← Enter chart")</f>
        <v>D9 Lagna: Pisces  ·  H4 — Home</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IFERROR((IFERROR(IF(INDEX(REF_Zodiac!$D$17:$O$17,MATCH(CALC_D9_BhaveshMap!$C$8,REF_Zodiac!$D$3:$O$3,0))="Gentle",1,0),0))*0.5,0)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IFERROR(IF(AND(OR(CALC_D9_BhaveshMap!$I$8="Yes",CALC_D9_BhaveshMap!$J$8="Yes"),NOT(CALC_D9_BhaveshMap!$K$8="Yes")),1,0)*IF(REF_Config!$B$6="KP",1.5,IF(REF_Config!$B$6="Jaimini",1.5,2)),0)</f>
        <v>0</v>
      </c>
      <c r="D9" s="403" t="s">
        <v>4612</v>
      </c>
    </row>
    <row r="10" spans="1:12" ht="27.75" customHeight="1" x14ac:dyDescent="0.2">
      <c r="A10" s="121" t="s">
        <v>4613</v>
      </c>
      <c r="B10" s="357" t="s">
        <v>3093</v>
      </c>
      <c r="C10" s="1117">
        <f ca="1">IFERROR((IFERROR(IF(OR(AND(CALC_D9_BhaveshMap!$G$8=CALC_D9_BhaveshMap!$G$8,CALC_D9_BhaveshMap!$D$8&lt;&gt;CALC_D9_BhaveshMap!$D$8),AND(CALC_D9_BhaveshMap!$G$8=CALC_D9_BhaveshMap!$G$8,CALC_D9_BhaveshMap!$D$8&lt;&gt;CALC_D9_BhaveshMap!$D$8),AND(CALC_D9_BhaveshMap!$G$9=CALC_D9_BhaveshMap!$G$8,CALC_D9_BhaveshMap!$D$9&lt;&gt;CALC_D9_BhaveshMap!$D$8),AND(CALC_D9_BhaveshMap!$G$11=CALC_D9_BhaveshMap!$G$8,CALC_D9_BhaveshMap!$D$11&lt;&gt;CALC_D9_BhaveshMap!$D$8),AND(CALC_D9_BhaveshMap!$G$13=CALC_D9_BhaveshMap!$G$8,CALC_D9_BhaveshMap!$D$13&lt;&gt;CALC_D9_BhaveshMap!$D$8),AND(CALC_D9_BhaveshMap!$G$14=CALC_D9_BhaveshMap!$G$8,CALC_D9_BhaveshMap!$D$14&lt;&gt;CALC_D9_BhaveshMap!$D$8)),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$8,CALC_D9_BhaveshMap!$D$8&lt;&gt;"Sun"),AND(OR(CALC_PlanetPositions!$M$8="Benefic",CALC_PlanetPositions!$M$8="Yogakaraka"),CALC_PlanetPositions!$B$8=CALC_D9_BhaveshMap!$G$8,CALC_D9_BhaveshMap!$D$8&lt;&gt;"Moon"),AND(OR(CALC_PlanetPositions!$M$9="Benefic",CALC_PlanetPositions!$M$9="Yogakaraka"),CALC_PlanetPositions!$B$9=CALC_D9_BhaveshMap!$G$8,CALC_D9_BhaveshMap!$D$8&lt;&gt;"Mars"),AND(OR(CALC_PlanetPositions!$M$10="Benefic",CALC_PlanetPositions!$M$10="Yogakaraka"),CALC_PlanetPositions!$B$10=CALC_D9_BhaveshMap!$G$8,CALC_D9_BhaveshMap!$D$8&lt;&gt;"Mercury"),AND(OR(CALC_PlanetPositions!$M$11="Benefic",CALC_PlanetPositions!$M$11="Yogakaraka"),CALC_PlanetPositions!$B$11=CALC_D9_BhaveshMap!$G$8,CALC_D9_BhaveshMap!$D$8&lt;&gt;"Jupiter"),AND(OR(CALC_PlanetPositions!$M$12="Benefic",CALC_PlanetPositions!$M$12="Yogakaraka"),CALC_PlanetPositions!$B$12=CALC_D9_BhaveshMap!$G$8,CALC_D9_BhaveshMap!$D$8&lt;&gt;"Venus"),AND(OR(CALC_PlanetPositions!$M$13="Benefic",CALC_PlanetPositions!$M$13="Yogakaraka"),CALC_PlanetPositions!$B$13=CALC_D9_BhaveshMap!$G$8,CALC_D9_BhaveshMap!$D$8&lt;&gt;"Saturn")),1,0),0))*IF(OR(AND(CALC_PlanetPositions!$M$7="Yogakaraka",CALC_PlanetPositions!$B$7=CALC_D9_BhaveshMap!$G$8,CALC_D9_BhaveshMap!$D$8&lt;&gt;"Sun"),AND(CALC_PlanetPositions!$M$8="Yogakaraka",CALC_PlanetPositions!$B$8=CALC_D9_BhaveshMap!$G$8,CALC_D9_BhaveshMap!$D$8&lt;&gt;"Moon"),AND(CALC_PlanetPositions!$M$9="Yogakaraka",CALC_PlanetPositions!$B$9=CALC_D9_BhaveshMap!$G$8,CALC_D9_BhaveshMap!$D$8&lt;&gt;"Mars"),AND(CALC_PlanetPositions!$M$10="Yogakaraka",CALC_PlanetPositions!$B$10=CALC_D9_BhaveshMap!$G$8,CALC_D9_BhaveshMap!$D$8&lt;&gt;"Mercury"),AND(CALC_PlanetPositions!$M$11="Yogakaraka",CALC_PlanetPositions!$B$11=CALC_D9_BhaveshMap!$G$8,CALC_D9_BhaveshMap!$D$8&lt;&gt;"Jupiter"),AND(CALC_PlanetPositions!$M$12="Yogakaraka",CALC_PlanetPositions!$B$12=CALC_D9_BhaveshMap!$G$8,CALC_D9_BhaveshMap!$D$8&lt;&gt;"Venus"),AND(CALC_PlanetPositions!$M$13="Yogakaraka",CALC_PlanetPositions!$B$13=CALC_D9_BhaveshMap!$G$8,CALC_D9_BhaveshMap!$D$8&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$8-(MOD(MATCH(CALC_PlanetPositions!$B$7,{"Aries","Taurus","Gemini","Cancer","Leo","Virgo","Libra","Scorpio","Sagittarius","Capricorn","Aquarius","Pisces"},0)-MATCH(INPUT_Chart!$C$5,{"Aries","Taurus","Gemini","Cancer","Leo","Virgo","Libra","Scorpio","Sagittarius","Capricorn","Aquarius","Pisces"},0),12)+1),12)+1)="FULL",NOT(CALC_PlanetPositions!$B$7=CALC_D9_BhaveshMap!$G$8)),AND(OR(CALC_PlanetPositions!$M$8="Benefic",CALC_PlanetPositions!$M$8="Yogakaraka"),INDEX(REF_Aspects!$D$5:$O$13,2,MOD(CALC_D9_BhaveshMap!$H$8-(MOD(MATCH(CALC_PlanetPositions!$B$8,{"Aries","Taurus","Gemini","Cancer","Leo","Virgo","Libra","Scorpio","Sagittarius","Capricorn","Aquarius","Pisces"},0)-MATCH(INPUT_Chart!$C$5,{"Aries","Taurus","Gemini","Cancer","Leo","Virgo","Libra","Scorpio","Sagittarius","Capricorn","Aquarius","Pisces"},0),12)+1),12)+1)="FULL",NOT(CALC_PlanetPositions!$B$8=CALC_D9_BhaveshMap!$G$8)),AND(OR(CALC_PlanetPositions!$M$9="Benefic",CALC_PlanetPositions!$M$9="Yogakaraka"),INDEX(REF_Aspects!$D$5:$O$13,3,MOD(CALC_D9_BhaveshMap!$H$8-(MOD(MATCH(CALC_PlanetPositions!$B$9,{"Aries","Taurus","Gemini","Cancer","Leo","Virgo","Libra","Scorpio","Sagittarius","Capricorn","Aquarius","Pisces"},0)-MATCH(INPUT_Chart!$C$5,{"Aries","Taurus","Gemini","Cancer","Leo","Virgo","Libra","Scorpio","Sagittarius","Capricorn","Aquarius","Pisces"},0),12)+1),12)+1)="FULL",NOT(CALC_PlanetPositions!$B$9=CALC_D9_BhaveshMap!$G$8)),AND(OR(CALC_PlanetPositions!$M$10="Benefic",CALC_PlanetPositions!$M$10="Yogakaraka"),INDEX(REF_Aspects!$D$5:$O$13,4,MOD(CALC_D9_BhaveshMap!$H$8-(MOD(MATCH(CALC_PlanetPositions!$B$10,{"Aries","Taurus","Gemini","Cancer","Leo","Virgo","Libra","Scorpio","Sagittarius","Capricorn","Aquarius","Pisces"},0)-MATCH(INPUT_Chart!$C$5,{"Aries","Taurus","Gemini","Cancer","Leo","Virgo","Libra","Scorpio","Sagittarius","Capricorn","Aquarius","Pisces"},0),12)+1),12)+1)="FULL",NOT(CALC_PlanetPositions!$B$10=CALC_D9_BhaveshMap!$G$8)),AND(OR(CALC_PlanetPositions!$M$11="Benefic",CALC_PlanetPositions!$M$11="Yogakaraka"),INDEX(REF_Aspects!$D$5:$O$13,5,MOD(CALC_D9_BhaveshMap!$H$8-(MOD(MATCH(CALC_PlanetPositions!$B$11,{"Aries","Taurus","Gemini","Cancer","Leo","Virgo","Libra","Scorpio","Sagittarius","Capricorn","Aquarius","Pisces"},0)-MATCH(INPUT_Chart!$C$5,{"Aries","Taurus","Gemini","Cancer","Leo","Virgo","Libra","Scorpio","Sagittarius","Capricorn","Aquarius","Pisces"},0),12)+1),12)+1)="FULL",NOT(CALC_PlanetPositions!$B$11=CALC_D9_BhaveshMap!$G$8)),AND(OR(CALC_PlanetPositions!$M$12="Benefic",CALC_PlanetPositions!$M$12="Yogakaraka"),INDEX(REF_Aspects!$D$5:$O$13,6,MOD(CALC_D9_BhaveshMap!$H$8-(MOD(MATCH(CALC_PlanetPositions!$B$12,{"Aries","Taurus","Gemini","Cancer","Leo","Virgo","Libra","Scorpio","Sagittarius","Capricorn","Aquarius","Pisces"},0)-MATCH(INPUT_Chart!$C$5,{"Aries","Taurus","Gemini","Cancer","Leo","Virgo","Libra","Scorpio","Sagittarius","Capricorn","Aquarius","Pisces"},0),12)+1),12)+1)="FULL",NOT(CALC_PlanetPositions!$B$12=CALC_D9_BhaveshMap!$G$8)),AND(OR(CALC_PlanetPositions!$M$13="Benefic",CALC_PlanetPositions!$M$13="Yogakaraka"),INDEX(REF_Aspects!$D$5:$O$13,7,MOD(CALC_D9_BhaveshMap!$H$8-(MOD(MATCH(CALC_PlanetPositions!$B$13,{"Aries","Taurus","Gemini","Cancer","Leo","Virgo","Libra","Scorpio","Sagittarius","Capricorn","Aquarius","Pisces"},0)-MATCH(INPUT_Chart!$C$5,{"Aries","Taurus","Gemini","Cancer","Leo","Virgo","Libra","Scorpio","Sagittarius","Capricorn","Aquarius","Pisces"},0),12)+1),12)+1)="FULL",NOT(CALC_PlanetPositions!$B$13=CALC_D9_BhaveshMap!$G$8)),AND(FALSE(),INDEX(REF_Aspects!$D$5:$O$13,8,MOD(CALC_D9_BhaveshMap!$H$8-(MOD(MATCH(CALC_PlanetPositions!$B$14,{"Aries","Taurus","Gemini","Cancer","Leo","Virgo","Libra","Scorpio","Sagittarius","Capricorn","Aquarius","Pisces"},0)-MATCH(INPUT_Chart!$C$5,{"Aries","Taurus","Gemini","Cancer","Leo","Virgo","Libra","Scorpio","Sagittarius","Capricorn","Aquarius","Pisces"},0),12)+1),12)+1)="FULL",NOT(CALC_PlanetPositions!$B$14=CALC_D9_BhaveshMap!$G$8)),AND(FALSE(),INDEX(REF_Aspects!$D$5:$O$13,9,MOD(CALC_D9_BhaveshMap!$H$8-(MOD(MATCH(CALC_PlanetPositions!$B$15,{"Aries","Taurus","Gemini","Cancer","Leo","Virgo","Libra","Scorpio","Sagittarius","Capricorn","Aquarius","Pisces"},0)-MATCH(INPUT_Chart!$C$5,{"Aries","Taurus","Gemini","Cancer","Leo","Virgo","Libra","Scorpio","Sagittarius","Capricorn","Aquarius","Pisces"},0),12)+1),12)+1)="FULL",NOT(CALC_PlanetPositions!$B$15=CALC_D9_BhaveshMap!$G$8))),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$8-2,12)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$8-2,12)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$8-2,12)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$8-2,12)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$8-2,12)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$8-2,12)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$8-2,12)+1)),AND(FALSE(),MOD(MATCH(CALC_PlanetPositions!$B$14,{"Aries","Taurus","Gemini","Cancer","Leo","Virgo","Libra","Scorpio","Sagittarius","Capricorn","Aquarius","Pisces"},0)-MATCH(INPUT_Chart!$C$5,{"Aries","Taurus","Gemini","Cancer","Leo","Virgo","Libra","Scorpio","Sagittarius","Capricorn","Aquarius","Pisces"},0),12)+1=(MOD(CALC_D9_BhaveshMap!$H$8-2,12)+1)),AND(FALSE(),MOD(MATCH(CALC_PlanetPositions!$B$15,{"Aries","Taurus","Gemini","Cancer","Leo","Virgo","Libra","Scorpio","Sagittarius","Capricorn","Aquarius","Pisces"},0)-MATCH(INPUT_Chart!$C$5,{"Aries","Taurus","Gemini","Cancer","Leo","Virgo","Libra","Scorpio","Sagittarius","Capricorn","Aquarius","Pisces"},0),12)+1=(MOD(CALC_D9_BhaveshMap!$H$8-2,12)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$8,12)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$8,12)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$8,12)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$8,12)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$8,12)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$8,12)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$8,12)+1)),AND(FALSE(),MOD(MATCH(CALC_PlanetPositions!$B$14,{"Aries","Taurus","Gemini","Cancer","Leo","Virgo","Libra","Scorpio","Sagittarius","Capricorn","Aquarius","Pisces"},0)-MATCH(INPUT_Chart!$C$5,{"Aries","Taurus","Gemini","Cancer","Leo","Virgo","Libra","Scorpio","Sagittarius","Capricorn","Aquarius","Pisces"},0),12)+1=(MOD(CALC_D9_BhaveshMap!$H$8,12)+1)),AND(FALSE(),MOD(MATCH(CALC_PlanetPositions!$B$15,{"Aries","Taurus","Gemini","Cancer","Leo","Virgo","Libra","Scorpio","Sagittarius","Capricorn","Aquarius","Pisces"},0)-MATCH(INPUT_Chart!$C$5,{"Aries","Taurus","Gemini","Cancer","Leo","Virgo","Libra","Scorpio","Sagittarius","Capricorn","Aquarius","Pisces"},0),12)+1=(MOD(CALC_D9_BhaveshMap!$H$8,12)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$8-(MOD(MATCH(CALC_PlanetPositions!$B$7,{"Aries","Taurus","Gemini","Cancer","Leo","Virgo","Libra","Scorpio","Sagittarius","Capricorn","Aquarius","Pisces"},0)-MATCH(INPUT_Chart!$C$5,{"Aries","Taurus","Gemini","Cancer","Leo","Virgo","Libra","Scorpio","Sagittarius","Capricorn","Aquarius","Pisces"},0),12)+1),12)+1)="FULL",NOT(CALC_PlanetPositions!$B$7=CALC_D9_BhaveshMap!$G$8)),AND(CALC_PlanetPositions!$M$8="Malefic",INDEX(REF_Aspects!$D$5:$O$13,2,MOD(CALC_D9_BhaveshMap!$H$8-(MOD(MATCH(CALC_PlanetPositions!$B$8,{"Aries","Taurus","Gemini","Cancer","Leo","Virgo","Libra","Scorpio","Sagittarius","Capricorn","Aquarius","Pisces"},0)-MATCH(INPUT_Chart!$C$5,{"Aries","Taurus","Gemini","Cancer","Leo","Virgo","Libra","Scorpio","Sagittarius","Capricorn","Aquarius","Pisces"},0),12)+1),12)+1)="FULL",NOT(CALC_PlanetPositions!$B$8=CALC_D9_BhaveshMap!$G$8)),AND(CALC_PlanetPositions!$M$9="Malefic",INDEX(REF_Aspects!$D$5:$O$13,3,MOD(CALC_D9_BhaveshMap!$H$8-(MOD(MATCH(CALC_PlanetPositions!$B$9,{"Aries","Taurus","Gemini","Cancer","Leo","Virgo","Libra","Scorpio","Sagittarius","Capricorn","Aquarius","Pisces"},0)-MATCH(INPUT_Chart!$C$5,{"Aries","Taurus","Gemini","Cancer","Leo","Virgo","Libra","Scorpio","Sagittarius","Capricorn","Aquarius","Pisces"},0),12)+1),12)+1)="FULL",NOT(CALC_PlanetPositions!$B$9=CALC_D9_BhaveshMap!$G$8)),AND(CALC_PlanetPositions!$M$10="Malefic",INDEX(REF_Aspects!$D$5:$O$13,4,MOD(CALC_D9_BhaveshMap!$H$8-(MOD(MATCH(CALC_PlanetPositions!$B$10,{"Aries","Taurus","Gemini","Cancer","Leo","Virgo","Libra","Scorpio","Sagittarius","Capricorn","Aquarius","Pisces"},0)-MATCH(INPUT_Chart!$C$5,{"Aries","Taurus","Gemini","Cancer","Leo","Virgo","Libra","Scorpio","Sagittarius","Capricorn","Aquarius","Pisces"},0),12)+1),12)+1)="FULL",NOT(CALC_PlanetPositions!$B$10=CALC_D9_BhaveshMap!$G$8)),AND(CALC_PlanetPositions!$M$11="Malefic",INDEX(REF_Aspects!$D$5:$O$13,5,MOD(CALC_D9_BhaveshMap!$H$8-(MOD(MATCH(CALC_PlanetPositions!$B$11,{"Aries","Taurus","Gemini","Cancer","Leo","Virgo","Libra","Scorpio","Sagittarius","Capricorn","Aquarius","Pisces"},0)-MATCH(INPUT_Chart!$C$5,{"Aries","Taurus","Gemini","Cancer","Leo","Virgo","Libra","Scorpio","Sagittarius","Capricorn","Aquarius","Pisces"},0),12)+1),12)+1)="FULL",NOT(CALC_PlanetPositions!$B$11=CALC_D9_BhaveshMap!$G$8)),AND(CALC_PlanetPositions!$M$12="Malefic",INDEX(REF_Aspects!$D$5:$O$13,6,MOD(CALC_D9_BhaveshMap!$H$8-(MOD(MATCH(CALC_PlanetPositions!$B$12,{"Aries","Taurus","Gemini","Cancer","Leo","Virgo","Libra","Scorpio","Sagittarius","Capricorn","Aquarius","Pisces"},0)-MATCH(INPUT_Chart!$C$5,{"Aries","Taurus","Gemini","Cancer","Leo","Virgo","Libra","Scorpio","Sagittarius","Capricorn","Aquarius","Pisces"},0),12)+1),12)+1)="FULL",NOT(CALC_PlanetPositions!$B$12=CALC_D9_BhaveshMap!$G$8)),AND(CALC_PlanetPositions!$M$13="Malefic",INDEX(REF_Aspects!$D$5:$O$13,7,MOD(CALC_D9_BhaveshMap!$H$8-(MOD(MATCH(CALC_PlanetPositions!$B$13,{"Aries","Taurus","Gemini","Cancer","Leo","Virgo","Libra","Scorpio","Sagittarius","Capricorn","Aquarius","Pisces"},0)-MATCH(INPUT_Chart!$C$5,{"Aries","Taurus","Gemini","Cancer","Leo","Virgo","Libra","Scorpio","Sagittarius","Capricorn","Aquarius","Pisces"},0),12)+1),12)+1)="FULL",NOT(CALC_PlanetPositions!$B$13=CALC_D9_BhaveshMap!$G$8)),AND(TRUE(),INDEX(REF_Aspects!$D$5:$O$13,8,MOD(CALC_D9_BhaveshMap!$H$8-(MOD(MATCH(CALC_PlanetPositions!$B$14,{"Aries","Taurus","Gemini","Cancer","Leo","Virgo","Libra","Scorpio","Sagittarius","Capricorn","Aquarius","Pisces"},0)-MATCH(INPUT_Chart!$C$5,{"Aries","Taurus","Gemini","Cancer","Leo","Virgo","Libra","Scorpio","Sagittarius","Capricorn","Aquarius","Pisces"},0),12)+1),12)+1)="FULL",NOT(CALC_PlanetPositions!$B$14=CALC_D9_BhaveshMap!$G$8)),AND(TRUE(),INDEX(REF_Aspects!$D$5:$O$13,9,MOD(CALC_D9_BhaveshMap!$H$8-(MOD(MATCH(CALC_PlanetPositions!$B$15,{"Aries","Taurus","Gemini","Cancer","Leo","Virgo","Libra","Scorpio","Sagittarius","Capricorn","Aquarius","Pisces"},0)-MATCH(INPUT_Chart!$C$5,{"Aries","Taurus","Gemini","Cancer","Leo","Virgo","Libra","Scorpio","Sagittarius","Capricorn","Aquarius","Pisces"},0),12)+1),12)+1)="FULL",NOT(CALC_PlanetPositions!$B$15=CALC_D9_BhaveshMap!$G$8))),1,0),0))*-0.5,0)</f>
        <v>0</v>
      </c>
      <c r="D21" s="403" t="s">
        <v>4634</v>
      </c>
    </row>
    <row r="22" spans="1:7" ht="27.75" customHeight="1" x14ac:dyDescent="0.2">
      <c r="A22" s="121" t="s">
        <v>4635</v>
      </c>
      <c r="B22" s="357" t="s">
        <v>3042</v>
      </c>
      <c r="C22" s="1117">
        <f>IFERROR((IFERROR(IF(CALC_D9_BhaveshMap!$K$8="Yes",1,0),0))*IF(REF_Config!$B$6="KP",-1.75,IF(REF_Config!$B$6="Jaimini",-2,-2)),0)</f>
        <v>0</v>
      </c>
      <c r="D22" s="400" t="s">
        <v>4636</v>
      </c>
    </row>
    <row r="23" spans="1:7" ht="27.75" customHeight="1" x14ac:dyDescent="0.2">
      <c r="A23" s="121" t="s">
        <v>4637</v>
      </c>
      <c r="B23" s="203" t="s">
        <v>3059</v>
      </c>
      <c r="C23" s="1118">
        <f ca="1">IFERROR((IFERROR(IF(OR(AND(CALC_D9_BhaveshMap!$G$10=CALC_D9_BhaveshMap!$G$8,CALC_D9_BhaveshMap!$D$10&lt;&gt;CALC_D9_BhaveshMap!$D$8),AND(CALC_D9_BhaveshMap!$G$12=CALC_D9_BhaveshMap!$G$8,CALC_D9_BhaveshMap!$D$12&lt;&gt;CALC_D9_BhaveshMap!$D$8),AND(CALC_D9_BhaveshMap!$G$16=CALC_D9_BhaveshMap!$G$8,CALC_D9_BhaveshMap!$D$16&lt;&gt;CALC_D9_BhaveshMap!$D$8)),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IFERROR(IF(OR(CALC_D9_BhaveshMap!$D$8="Sun",CALC_D9_BhaveshMap!$D$8="Rahu",CALC_D9_BhaveshMap!$D$8="Ketu"),0,IF(CALC_D9_BhaveshMap!$D$8="Moon",IF(CALC_CombustionCheck!$G$4="Cazimi ✓",0.5,IF(CALC_CombustionCheck!$F$4="COMBUST ⚠",-1,0)),IF(CALC_D9_BhaveshMap!$D$8="Mars",IF(CALC_CombustionCheck!$G$5="Cazimi ✓",0.5,IF(AND(CALC_CombustionCheck!$F$5="COMBUST ⚠",CALC_RetrogradeFix!$F$6="Rx ✓"),-0.5,IF(CALC_CombustionCheck!$F$5="COMBUST ⚠",-1,0))),IF(CALC_D9_BhaveshMap!$D$8="Mercury",IF(CALC_CombustionCheck!$G$6="Cazimi ✓",0.5,IF(AND(CALC_CombustionCheck!$F$6="COMBUST ⚠",CALC_RetrogradeFix!$F$7="Rx ✓"),-0.5,IF(CALC_CombustionCheck!$F$6="COMBUST ⚠",-1,0))),IF(CALC_D9_BhaveshMap!$D$8="Jupiter",IF(CALC_CombustionCheck!$G$7="Cazimi ✓",0.5,IF(AND(CALC_CombustionCheck!$F$7="COMBUST ⚠",CALC_RetrogradeFix!$F$8="Rx ✓"),-0.5,IF(CALC_CombustionCheck!$F$7="COMBUST ⚠",-1,0))),IF(CALC_D9_BhaveshMap!$D$8="Venus",IF(CALC_CombustionCheck!$G$8="Cazimi ✓",0.5,IF(AND(CALC_CombustionCheck!$F$8="COMBUST ⚠",CALC_RetrogradeFix!$F$9="Rx ✓"),-0.5,IF(CALC_CombustionCheck!$F$8="COMBUST ⚠",-1,0))),IF(CALC_D9_BhaveshMap!$D$8="Saturn",IF(CALC_CombustionCheck!$G$9="Cazimi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$8="Rahu",CALC_D9_BhaveshMap!$D$8="Ketu"),0,IF(ISNUMBER(MATCH(CALC_D9_BhaveshMap!$D$8,{"Sun","Moon","Mars","Mercury","Jupiter","Venus","Saturn"},0)),IF(INDEX(CALC_DigBala!$F$4:$F$10,MATCH(CALC_D9_BhaveshMap!$D$8,{"Sun","Moon","Mars","Mercury","Jupiter","Venus","Saturn"},0))="Yes",0.5,0),0)),0)</f>
        <v>0</v>
      </c>
      <c r="D28" s="400" t="s">
        <v>4647</v>
      </c>
    </row>
    <row r="29" spans="1:7" ht="27.75" customHeight="1" x14ac:dyDescent="0.2">
      <c r="A29" s="1120" t="s">
        <v>4648</v>
      </c>
      <c r="B29" s="296" t="s">
        <v>3372</v>
      </c>
      <c r="C29" s="1117">
        <f ca="1">IFERROR(IF(COUNTIFS(REF_PushkaraNavamsha!$A$4:$A$27,CALC_D9_BhaveshMap!$G$8,REF_PushkaraNavamsha!$B$4:$B$27,INDEX(CALC_PlanetPositions!$G$7:$G$15,MATCH(CALC_D9_BhaveshMap!$D$8,CALC_PlanetPositions!$A$7:$A$15,0)))&gt;0,0.5,0),0)</f>
        <v>0</v>
      </c>
      <c r="D29" s="400" t="s">
        <v>4649</v>
      </c>
    </row>
    <row r="30" spans="1:7" ht="25.5" customHeight="1" x14ac:dyDescent="0.2">
      <c r="A30" s="147" t="s">
        <v>4650</v>
      </c>
      <c r="B30" s="1121" t="s">
        <v>4651</v>
      </c>
      <c r="C30" s="1122">
        <f>IFERROR(IF(ISNUMBER(MATCH(CALC_D9_BhaveshMap!$D$8,{"Sun","Moon","Mars","Mercury","Jupiter","Venus","Saturn"},0)),INDEX(CALC_RetrogradeFix!$G$4:$G$10,MATCH(CALC_D9_BhaveshMap!$D$8,{"Sun","Moon","Mars","Mercury","Jupiter","Venus","Saturn"},0)),0),0)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-1.3</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4735</v>
      </c>
      <c r="B41" s="1129"/>
      <c r="C41" s="470">
        <v>0.2</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4736</v>
      </c>
      <c r="B1" s="1518"/>
      <c r="C1" s="1518"/>
      <c r="D1" s="1518"/>
      <c r="L1" s="544" t="s">
        <v>2214</v>
      </c>
    </row>
    <row r="2" spans="1:12" ht="19.5" customHeight="1" x14ac:dyDescent="0.2">
      <c r="A2" s="1595" t="str">
        <f>IFERROR("D9 Lagna: "&amp;CALC_D9_BhaveshMap!$C$5&amp;"  ·  H5 — Intellect","← Enter chart")</f>
        <v>D9 Lagna: Pisces  ·  H5 — Intellect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IFERROR((IFERROR(IF(INDEX(REF_Zodiac!$D$17:$O$17,MATCH(CALC_D9_BhaveshMap!$C$9,REF_Zodiac!$D$3:$O$3,0))="Gentle",1,0),0))*0.5,0)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IFERROR(IF(AND(OR(CALC_D9_BhaveshMap!$I$9="Yes",CALC_D9_BhaveshMap!$J$9="Yes"),NOT(CALC_D9_BhaveshMap!$K$9="Yes")),1,0)*IF(REF_Config!$B$6="KP",1.5,IF(REF_Config!$B$6="Jaimini",1.5,2)),0)</f>
        <v>0</v>
      </c>
      <c r="D9" s="403" t="s">
        <v>4612</v>
      </c>
    </row>
    <row r="10" spans="1:12" ht="27.75" customHeight="1" x14ac:dyDescent="0.2">
      <c r="A10" s="121" t="s">
        <v>4613</v>
      </c>
      <c r="B10" s="357" t="s">
        <v>3093</v>
      </c>
      <c r="C10" s="1117">
        <f ca="1">IFERROR((IFERROR(IF(OR(AND(CALC_D9_BhaveshMap!$G$9=CALC_D9_BhaveshMap!$G$9,CALC_D9_BhaveshMap!$D$9&lt;&gt;CALC_D9_BhaveshMap!$D$9),AND(CALC_D9_BhaveshMap!$G$8=CALC_D9_BhaveshMap!$G$9,CALC_D9_BhaveshMap!$D$8&lt;&gt;CALC_D9_BhaveshMap!$D$9),AND(CALC_D9_BhaveshMap!$G$9=CALC_D9_BhaveshMap!$G$9,CALC_D9_BhaveshMap!$D$9&lt;&gt;CALC_D9_BhaveshMap!$D$9),AND(CALC_D9_BhaveshMap!$G$11=CALC_D9_BhaveshMap!$G$9,CALC_D9_BhaveshMap!$D$11&lt;&gt;CALC_D9_BhaveshMap!$D$9),AND(CALC_D9_BhaveshMap!$G$13=CALC_D9_BhaveshMap!$G$9,CALC_D9_BhaveshMap!$D$13&lt;&gt;CALC_D9_BhaveshMap!$D$9),AND(CALC_D9_BhaveshMap!$G$14=CALC_D9_BhaveshMap!$G$9,CALC_D9_BhaveshMap!$D$14&lt;&gt;CALC_D9_BhaveshMap!$D$9)),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$9,CALC_D9_BhaveshMap!$D$9&lt;&gt;"Sun"),AND(OR(CALC_PlanetPositions!$M$8="Benefic",CALC_PlanetPositions!$M$8="Yogakaraka"),CALC_PlanetPositions!$B$8=CALC_D9_BhaveshMap!$G$9,CALC_D9_BhaveshMap!$D$9&lt;&gt;"Moon"),AND(OR(CALC_PlanetPositions!$M$9="Benefic",CALC_PlanetPositions!$M$9="Yogakaraka"),CALC_PlanetPositions!$B$9=CALC_D9_BhaveshMap!$G$9,CALC_D9_BhaveshMap!$D$9&lt;&gt;"Mars"),AND(OR(CALC_PlanetPositions!$M$10="Benefic",CALC_PlanetPositions!$M$10="Yogakaraka"),CALC_PlanetPositions!$B$10=CALC_D9_BhaveshMap!$G$9,CALC_D9_BhaveshMap!$D$9&lt;&gt;"Mercury"),AND(OR(CALC_PlanetPositions!$M$11="Benefic",CALC_PlanetPositions!$M$11="Yogakaraka"),CALC_PlanetPositions!$B$11=CALC_D9_BhaveshMap!$G$9,CALC_D9_BhaveshMap!$D$9&lt;&gt;"Jupiter"),AND(OR(CALC_PlanetPositions!$M$12="Benefic",CALC_PlanetPositions!$M$12="Yogakaraka"),CALC_PlanetPositions!$B$12=CALC_D9_BhaveshMap!$G$9,CALC_D9_BhaveshMap!$D$9&lt;&gt;"Venus"),AND(OR(CALC_PlanetPositions!$M$13="Benefic",CALC_PlanetPositions!$M$13="Yogakaraka"),CALC_PlanetPositions!$B$13=CALC_D9_BhaveshMap!$G$9,CALC_D9_BhaveshMap!$D$9&lt;&gt;"Saturn")),1,0),0))*IF(OR(AND(CALC_PlanetPositions!$M$7="Yogakaraka",CALC_PlanetPositions!$B$7=CALC_D9_BhaveshMap!$G$9,CALC_D9_BhaveshMap!$D$9&lt;&gt;"Sun"),AND(CALC_PlanetPositions!$M$8="Yogakaraka",CALC_PlanetPositions!$B$8=CALC_D9_BhaveshMap!$G$9,CALC_D9_BhaveshMap!$D$9&lt;&gt;"Moon"),AND(CALC_PlanetPositions!$M$9="Yogakaraka",CALC_PlanetPositions!$B$9=CALC_D9_BhaveshMap!$G$9,CALC_D9_BhaveshMap!$D$9&lt;&gt;"Mars"),AND(CALC_PlanetPositions!$M$10="Yogakaraka",CALC_PlanetPositions!$B$10=CALC_D9_BhaveshMap!$G$9,CALC_D9_BhaveshMap!$D$9&lt;&gt;"Mercury"),AND(CALC_PlanetPositions!$M$11="Yogakaraka",CALC_PlanetPositions!$B$11=CALC_D9_BhaveshMap!$G$9,CALC_D9_BhaveshMap!$D$9&lt;&gt;"Jupiter"),AND(CALC_PlanetPositions!$M$12="Yogakaraka",CALC_PlanetPositions!$B$12=CALC_D9_BhaveshMap!$G$9,CALC_D9_BhaveshMap!$D$9&lt;&gt;"Venus"),AND(CALC_PlanetPositions!$M$13="Yogakaraka",CALC_PlanetPositions!$B$13=CALC_D9_BhaveshMap!$G$9,CALC_D9_BhaveshMap!$D$9&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$9-(MOD(MATCH(CALC_PlanetPositions!$B$7,{"Aries","Taurus","Gemini","Cancer","Leo","Virgo","Libra","Scorpio","Sagittarius","Capricorn","Aquarius","Pisces"},0)-MATCH(INPUT_Chart!$C$5,{"Aries","Taurus","Gemini","Cancer","Leo","Virgo","Libra","Scorpio","Sagittarius","Capricorn","Aquarius","Pisces"},0),12)+1),12)+1)="FULL",NOT(CALC_PlanetPositions!$B$7=CALC_D9_BhaveshMap!$G$9)),AND(OR(CALC_PlanetPositions!$M$8="Benefic",CALC_PlanetPositions!$M$8="Yogakaraka"),INDEX(REF_Aspects!$D$5:$O$13,2,MOD(CALC_D9_BhaveshMap!$H$9-(MOD(MATCH(CALC_PlanetPositions!$B$8,{"Aries","Taurus","Gemini","Cancer","Leo","Virgo","Libra","Scorpio","Sagittarius","Capricorn","Aquarius","Pisces"},0)-MATCH(INPUT_Chart!$C$5,{"Aries","Taurus","Gemini","Cancer","Leo","Virgo","Libra","Scorpio","Sagittarius","Capricorn","Aquarius","Pisces"},0),12)+1),12)+1)="FULL",NOT(CALC_PlanetPositions!$B$8=CALC_D9_BhaveshMap!$G$9)),AND(OR(CALC_PlanetPositions!$M$9="Benefic",CALC_PlanetPositions!$M$9="Yogakaraka"),INDEX(REF_Aspects!$D$5:$O$13,3,MOD(CALC_D9_BhaveshMap!$H$9-(MOD(MATCH(CALC_PlanetPositions!$B$9,{"Aries","Taurus","Gemini","Cancer","Leo","Virgo","Libra","Scorpio","Sagittarius","Capricorn","Aquarius","Pisces"},0)-MATCH(INPUT_Chart!$C$5,{"Aries","Taurus","Gemini","Cancer","Leo","Virgo","Libra","Scorpio","Sagittarius","Capricorn","Aquarius","Pisces"},0),12)+1),12)+1)="FULL",NOT(CALC_PlanetPositions!$B$9=CALC_D9_BhaveshMap!$G$9)),AND(OR(CALC_PlanetPositions!$M$10="Benefic",CALC_PlanetPositions!$M$10="Yogakaraka"),INDEX(REF_Aspects!$D$5:$O$13,4,MOD(CALC_D9_BhaveshMap!$H$9-(MOD(MATCH(CALC_PlanetPositions!$B$10,{"Aries","Taurus","Gemini","Cancer","Leo","Virgo","Libra","Scorpio","Sagittarius","Capricorn","Aquarius","Pisces"},0)-MATCH(INPUT_Chart!$C$5,{"Aries","Taurus","Gemini","Cancer","Leo","Virgo","Libra","Scorpio","Sagittarius","Capricorn","Aquarius","Pisces"},0),12)+1),12)+1)="FULL",NOT(CALC_PlanetPositions!$B$10=CALC_D9_BhaveshMap!$G$9)),AND(OR(CALC_PlanetPositions!$M$11="Benefic",CALC_PlanetPositions!$M$11="Yogakaraka"),INDEX(REF_Aspects!$D$5:$O$13,5,MOD(CALC_D9_BhaveshMap!$H$9-(MOD(MATCH(CALC_PlanetPositions!$B$11,{"Aries","Taurus","Gemini","Cancer","Leo","Virgo","Libra","Scorpio","Sagittarius","Capricorn","Aquarius","Pisces"},0)-MATCH(INPUT_Chart!$C$5,{"Aries","Taurus","Gemini","Cancer","Leo","Virgo","Libra","Scorpio","Sagittarius","Capricorn","Aquarius","Pisces"},0),12)+1),12)+1)="FULL",NOT(CALC_PlanetPositions!$B$11=CALC_D9_BhaveshMap!$G$9)),AND(OR(CALC_PlanetPositions!$M$12="Benefic",CALC_PlanetPositions!$M$12="Yogakaraka"),INDEX(REF_Aspects!$D$5:$O$13,6,MOD(CALC_D9_BhaveshMap!$H$9-(MOD(MATCH(CALC_PlanetPositions!$B$12,{"Aries","Taurus","Gemini","Cancer","Leo","Virgo","Libra","Scorpio","Sagittarius","Capricorn","Aquarius","Pisces"},0)-MATCH(INPUT_Chart!$C$5,{"Aries","Taurus","Gemini","Cancer","Leo","Virgo","Libra","Scorpio","Sagittarius","Capricorn","Aquarius","Pisces"},0),12)+1),12)+1)="FULL",NOT(CALC_PlanetPositions!$B$12=CALC_D9_BhaveshMap!$G$9)),AND(OR(CALC_PlanetPositions!$M$13="Benefic",CALC_PlanetPositions!$M$13="Yogakaraka"),INDEX(REF_Aspects!$D$5:$O$13,7,MOD(CALC_D9_BhaveshMap!$H$9-(MOD(MATCH(CALC_PlanetPositions!$B$13,{"Aries","Taurus","Gemini","Cancer","Leo","Virgo","Libra","Scorpio","Sagittarius","Capricorn","Aquarius","Pisces"},0)-MATCH(INPUT_Chart!$C$5,{"Aries","Taurus","Gemini","Cancer","Leo","Virgo","Libra","Scorpio","Sagittarius","Capricorn","Aquarius","Pisces"},0),12)+1),12)+1)="FULL",NOT(CALC_PlanetPositions!$B$13=CALC_D9_BhaveshMap!$G$9)),AND(FALSE(),INDEX(REF_Aspects!$D$5:$O$13,8,MOD(CALC_D9_BhaveshMap!$H$9-(MOD(MATCH(CALC_PlanetPositions!$B$14,{"Aries","Taurus","Gemini","Cancer","Leo","Virgo","Libra","Scorpio","Sagittarius","Capricorn","Aquarius","Pisces"},0)-MATCH(INPUT_Chart!$C$5,{"Aries","Taurus","Gemini","Cancer","Leo","Virgo","Libra","Scorpio","Sagittarius","Capricorn","Aquarius","Pisces"},0),12)+1),12)+1)="FULL",NOT(CALC_PlanetPositions!$B$14=CALC_D9_BhaveshMap!$G$9)),AND(FALSE(),INDEX(REF_Aspects!$D$5:$O$13,9,MOD(CALC_D9_BhaveshMap!$H$9-(MOD(MATCH(CALC_PlanetPositions!$B$15,{"Aries","Taurus","Gemini","Cancer","Leo","Virgo","Libra","Scorpio","Sagittarius","Capricorn","Aquarius","Pisces"},0)-MATCH(INPUT_Chart!$C$5,{"Aries","Taurus","Gemini","Cancer","Leo","Virgo","Libra","Scorpio","Sagittarius","Capricorn","Aquarius","Pisces"},0),12)+1),12)+1)="FULL",NOT(CALC_PlanetPositions!$B$15=CALC_D9_BhaveshMap!$G$9))),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$9-2,12)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$9-2,12)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$9-2,12)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$9-2,12)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$9-2,12)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$9-2,12)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$9-2,12)+1)),AND(FALSE(),MOD(MATCH(CALC_PlanetPositions!$B$14,{"Aries","Taurus","Gemini","Cancer","Leo","Virgo","Libra","Scorpio","Sagittarius","Capricorn","Aquarius","Pisces"},0)-MATCH(INPUT_Chart!$C$5,{"Aries","Taurus","Gemini","Cancer","Leo","Virgo","Libra","Scorpio","Sagittarius","Capricorn","Aquarius","Pisces"},0),12)+1=(MOD(CALC_D9_BhaveshMap!$H$9-2,12)+1)),AND(FALSE(),MOD(MATCH(CALC_PlanetPositions!$B$15,{"Aries","Taurus","Gemini","Cancer","Leo","Virgo","Libra","Scorpio","Sagittarius","Capricorn","Aquarius","Pisces"},0)-MATCH(INPUT_Chart!$C$5,{"Aries","Taurus","Gemini","Cancer","Leo","Virgo","Libra","Scorpio","Sagittarius","Capricorn","Aquarius","Pisces"},0),12)+1=(MOD(CALC_D9_BhaveshMap!$H$9-2,12)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$9,12)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$9,12)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$9,12)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$9,12)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$9,12)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$9,12)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$9,12)+1)),AND(FALSE(),MOD(MATCH(CALC_PlanetPositions!$B$14,{"Aries","Taurus","Gemini","Cancer","Leo","Virgo","Libra","Scorpio","Sagittarius","Capricorn","Aquarius","Pisces"},0)-MATCH(INPUT_Chart!$C$5,{"Aries","Taurus","Gemini","Cancer","Leo","Virgo","Libra","Scorpio","Sagittarius","Capricorn","Aquarius","Pisces"},0),12)+1=(MOD(CALC_D9_BhaveshMap!$H$9,12)+1)),AND(FALSE(),MOD(MATCH(CALC_PlanetPositions!$B$15,{"Aries","Taurus","Gemini","Cancer","Leo","Virgo","Libra","Scorpio","Sagittarius","Capricorn","Aquarius","Pisces"},0)-MATCH(INPUT_Chart!$C$5,{"Aries","Taurus","Gemini","Cancer","Leo","Virgo","Libra","Scorpio","Sagittarius","Capricorn","Aquarius","Pisces"},0),12)+1=(MOD(CALC_D9_BhaveshMap!$H$9,12)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$9-(MOD(MATCH(CALC_PlanetPositions!$B$7,{"Aries","Taurus","Gemini","Cancer","Leo","Virgo","Libra","Scorpio","Sagittarius","Capricorn","Aquarius","Pisces"},0)-MATCH(INPUT_Chart!$C$5,{"Aries","Taurus","Gemini","Cancer","Leo","Virgo","Libra","Scorpio","Sagittarius","Capricorn","Aquarius","Pisces"},0),12)+1),12)+1)="FULL",NOT(CALC_PlanetPositions!$B$7=CALC_D9_BhaveshMap!$G$9)),AND(CALC_PlanetPositions!$M$8="Malefic",INDEX(REF_Aspects!$D$5:$O$13,2,MOD(CALC_D9_BhaveshMap!$H$9-(MOD(MATCH(CALC_PlanetPositions!$B$8,{"Aries","Taurus","Gemini","Cancer","Leo","Virgo","Libra","Scorpio","Sagittarius","Capricorn","Aquarius","Pisces"},0)-MATCH(INPUT_Chart!$C$5,{"Aries","Taurus","Gemini","Cancer","Leo","Virgo","Libra","Scorpio","Sagittarius","Capricorn","Aquarius","Pisces"},0),12)+1),12)+1)="FULL",NOT(CALC_PlanetPositions!$B$8=CALC_D9_BhaveshMap!$G$9)),AND(CALC_PlanetPositions!$M$9="Malefic",INDEX(REF_Aspects!$D$5:$O$13,3,MOD(CALC_D9_BhaveshMap!$H$9-(MOD(MATCH(CALC_PlanetPositions!$B$9,{"Aries","Taurus","Gemini","Cancer","Leo","Virgo","Libra","Scorpio","Sagittarius","Capricorn","Aquarius","Pisces"},0)-MATCH(INPUT_Chart!$C$5,{"Aries","Taurus","Gemini","Cancer","Leo","Virgo","Libra","Scorpio","Sagittarius","Capricorn","Aquarius","Pisces"},0),12)+1),12)+1)="FULL",NOT(CALC_PlanetPositions!$B$9=CALC_D9_BhaveshMap!$G$9)),AND(CALC_PlanetPositions!$M$10="Malefic",INDEX(REF_Aspects!$D$5:$O$13,4,MOD(CALC_D9_BhaveshMap!$H$9-(MOD(MATCH(CALC_PlanetPositions!$B$10,{"Aries","Taurus","Gemini","Cancer","Leo","Virgo","Libra","Scorpio","Sagittarius","Capricorn","Aquarius","Pisces"},0)-MATCH(INPUT_Chart!$C$5,{"Aries","Taurus","Gemini","Cancer","Leo","Virgo","Libra","Scorpio","Sagittarius","Capricorn","Aquarius","Pisces"},0),12)+1),12)+1)="FULL",NOT(CALC_PlanetPositions!$B$10=CALC_D9_BhaveshMap!$G$9)),AND(CALC_PlanetPositions!$M$11="Malefic",INDEX(REF_Aspects!$D$5:$O$13,5,MOD(CALC_D9_BhaveshMap!$H$9-(MOD(MATCH(CALC_PlanetPositions!$B$11,{"Aries","Taurus","Gemini","Cancer","Leo","Virgo","Libra","Scorpio","Sagittarius","Capricorn","Aquarius","Pisces"},0)-MATCH(INPUT_Chart!$C$5,{"Aries","Taurus","Gemini","Cancer","Leo","Virgo","Libra","Scorpio","Sagittarius","Capricorn","Aquarius","Pisces"},0),12)+1),12)+1)="FULL",NOT(CALC_PlanetPositions!$B$11=CALC_D9_BhaveshMap!$G$9)),AND(CALC_PlanetPositions!$M$12="Malefic",INDEX(REF_Aspects!$D$5:$O$13,6,MOD(CALC_D9_BhaveshMap!$H$9-(MOD(MATCH(CALC_PlanetPositions!$B$12,{"Aries","Taurus","Gemini","Cancer","Leo","Virgo","Libra","Scorpio","Sagittarius","Capricorn","Aquarius","Pisces"},0)-MATCH(INPUT_Chart!$C$5,{"Aries","Taurus","Gemini","Cancer","Leo","Virgo","Libra","Scorpio","Sagittarius","Capricorn","Aquarius","Pisces"},0),12)+1),12)+1)="FULL",NOT(CALC_PlanetPositions!$B$12=CALC_D9_BhaveshMap!$G$9)),AND(CALC_PlanetPositions!$M$13="Malefic",INDEX(REF_Aspects!$D$5:$O$13,7,MOD(CALC_D9_BhaveshMap!$H$9-(MOD(MATCH(CALC_PlanetPositions!$B$13,{"Aries","Taurus","Gemini","Cancer","Leo","Virgo","Libra","Scorpio","Sagittarius","Capricorn","Aquarius","Pisces"},0)-MATCH(INPUT_Chart!$C$5,{"Aries","Taurus","Gemini","Cancer","Leo","Virgo","Libra","Scorpio","Sagittarius","Capricorn","Aquarius","Pisces"},0),12)+1),12)+1)="FULL",NOT(CALC_PlanetPositions!$B$13=CALC_D9_BhaveshMap!$G$9)),AND(TRUE(),INDEX(REF_Aspects!$D$5:$O$13,8,MOD(CALC_D9_BhaveshMap!$H$9-(MOD(MATCH(CALC_PlanetPositions!$B$14,{"Aries","Taurus","Gemini","Cancer","Leo","Virgo","Libra","Scorpio","Sagittarius","Capricorn","Aquarius","Pisces"},0)-MATCH(INPUT_Chart!$C$5,{"Aries","Taurus","Gemini","Cancer","Leo","Virgo","Libra","Scorpio","Sagittarius","Capricorn","Aquarius","Pisces"},0),12)+1),12)+1)="FULL",NOT(CALC_PlanetPositions!$B$14=CALC_D9_BhaveshMap!$G$9)),AND(TRUE(),INDEX(REF_Aspects!$D$5:$O$13,9,MOD(CALC_D9_BhaveshMap!$H$9-(MOD(MATCH(CALC_PlanetPositions!$B$15,{"Aries","Taurus","Gemini","Cancer","Leo","Virgo","Libra","Scorpio","Sagittarius","Capricorn","Aquarius","Pisces"},0)-MATCH(INPUT_Chart!$C$5,{"Aries","Taurus","Gemini","Cancer","Leo","Virgo","Libra","Scorpio","Sagittarius","Capricorn","Aquarius","Pisces"},0),12)+1),12)+1)="FULL",NOT(CALC_PlanetPositions!$B$15=CALC_D9_BhaveshMap!$G$9))),1,0),0))*-0.5,0)</f>
        <v>0</v>
      </c>
      <c r="D21" s="403" t="s">
        <v>4634</v>
      </c>
    </row>
    <row r="22" spans="1:7" ht="27.75" customHeight="1" x14ac:dyDescent="0.2">
      <c r="A22" s="121" t="s">
        <v>4635</v>
      </c>
      <c r="B22" s="357" t="s">
        <v>3042</v>
      </c>
      <c r="C22" s="1117">
        <f>IFERROR((IFERROR(IF(CALC_D9_BhaveshMap!$K$9="Yes",1,0),0))*IF(REF_Config!$B$6="KP",-1.75,IF(REF_Config!$B$6="Jaimini",-2,-2)),0)</f>
        <v>0</v>
      </c>
      <c r="D22" s="400" t="s">
        <v>4636</v>
      </c>
    </row>
    <row r="23" spans="1:7" ht="27.75" customHeight="1" x14ac:dyDescent="0.2">
      <c r="A23" s="121" t="s">
        <v>4637</v>
      </c>
      <c r="B23" s="203" t="s">
        <v>3059</v>
      </c>
      <c r="C23" s="1118">
        <f ca="1">IFERROR((IFERROR(IF(OR(AND(CALC_D9_BhaveshMap!$G$10=CALC_D9_BhaveshMap!$G$9,CALC_D9_BhaveshMap!$D$10&lt;&gt;CALC_D9_BhaveshMap!$D$9),AND(CALC_D9_BhaveshMap!$G$12=CALC_D9_BhaveshMap!$G$9,CALC_D9_BhaveshMap!$D$12&lt;&gt;CALC_D9_BhaveshMap!$D$9),AND(CALC_D9_BhaveshMap!$G$16=CALC_D9_BhaveshMap!$G$9,CALC_D9_BhaveshMap!$D$16&lt;&gt;CALC_D9_BhaveshMap!$D$9)),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IFERROR(IF(OR(CALC_D9_BhaveshMap!$D$9="Sun",CALC_D9_BhaveshMap!$D$9="Rahu",CALC_D9_BhaveshMap!$D$9="Ketu"),0,IF(CALC_D9_BhaveshMap!$D$9="Moon",IF(CALC_CombustionCheck!$G$4="Cazimi ✓",0.5,IF(CALC_CombustionCheck!$F$4="COMBUST ⚠",-1,0)),IF(CALC_D9_BhaveshMap!$D$9="Mars",IF(CALC_CombustionCheck!$G$5="Cazimi ✓",0.5,IF(AND(CALC_CombustionCheck!$F$5="COMBUST ⚠",CALC_RetrogradeFix!$F$6="Rx ✓"),-0.5,IF(CALC_CombustionCheck!$F$5="COMBUST ⚠",-1,0))),IF(CALC_D9_BhaveshMap!$D$9="Mercury",IF(CALC_CombustionCheck!$G$6="Cazimi ✓",0.5,IF(AND(CALC_CombustionCheck!$F$6="COMBUST ⚠",CALC_RetrogradeFix!$F$7="Rx ✓"),-0.5,IF(CALC_CombustionCheck!$F$6="COMBUST ⚠",-1,0))),IF(CALC_D9_BhaveshMap!$D$9="Jupiter",IF(CALC_CombustionCheck!$G$7="Cazimi ✓",0.5,IF(AND(CALC_CombustionCheck!$F$7="COMBUST ⚠",CALC_RetrogradeFix!$F$8="Rx ✓"),-0.5,IF(CALC_CombustionCheck!$F$7="COMBUST ⚠",-1,0))),IF(CALC_D9_BhaveshMap!$D$9="Venus",IF(CALC_CombustionCheck!$G$8="Cazimi ✓",0.5,IF(AND(CALC_CombustionCheck!$F$8="COMBUST ⚠",CALC_RetrogradeFix!$F$9="Rx ✓"),-0.5,IF(CALC_CombustionCheck!$F$8="COMBUST ⚠",-1,0))),IF(CALC_D9_BhaveshMap!$D$9="Saturn",IF(CALC_CombustionCheck!$G$9="Cazimi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$9="Rahu",CALC_D9_BhaveshMap!$D$9="Ketu"),0,IF(ISNUMBER(MATCH(CALC_D9_BhaveshMap!$D$9,{"Sun","Moon","Mars","Mercury","Jupiter","Venus","Saturn"},0)),IF(INDEX(CALC_DigBala!$F$4:$F$10,MATCH(CALC_D9_BhaveshMap!$D$9,{"Sun","Moon","Mars","Mercury","Jupiter","Venus","Saturn"},0))="Yes",0.5,0),0)),0)</f>
        <v>0</v>
      </c>
      <c r="D28" s="400" t="s">
        <v>4647</v>
      </c>
    </row>
    <row r="29" spans="1:7" ht="27.75" customHeight="1" x14ac:dyDescent="0.2">
      <c r="A29" s="1120" t="s">
        <v>4648</v>
      </c>
      <c r="B29" s="296" t="s">
        <v>3372</v>
      </c>
      <c r="C29" s="1117">
        <f ca="1">IFERROR(IF(COUNTIFS(REF_PushkaraNavamsha!$A$4:$A$27,CALC_D9_BhaveshMap!$G$9,REF_PushkaraNavamsha!$B$4:$B$27,INDEX(CALC_PlanetPositions!$G$7:$G$15,MATCH(CALC_D9_BhaveshMap!$D$9,CALC_PlanetPositions!$A$7:$A$15,0)))&gt;0,0.5,0),0)</f>
        <v>0</v>
      </c>
      <c r="D29" s="400" t="s">
        <v>4649</v>
      </c>
    </row>
    <row r="30" spans="1:7" ht="25.5" customHeight="1" x14ac:dyDescent="0.2">
      <c r="A30" s="147" t="s">
        <v>4650</v>
      </c>
      <c r="B30" s="1121" t="s">
        <v>4651</v>
      </c>
      <c r="C30" s="1122">
        <f>IFERROR(IF(ISNUMBER(MATCH(CALC_D9_BhaveshMap!$D$9,{"Sun","Moon","Mars","Mercury","Jupiter","Venus","Saturn"},0)),INDEX(CALC_RetrogradeFix!$G$4:$G$10,MATCH(CALC_D9_BhaveshMap!$D$9,{"Sun","Moon","Mars","Mercury","Jupiter","Venus","Saturn"},0)),0),0)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4737</v>
      </c>
      <c r="B1" s="1518"/>
      <c r="C1" s="1518"/>
      <c r="D1" s="1518"/>
      <c r="L1" s="544" t="s">
        <v>2214</v>
      </c>
    </row>
    <row r="2" spans="1:12" ht="19.5" customHeight="1" x14ac:dyDescent="0.2">
      <c r="A2" s="1595" t="str">
        <f>IFERROR("D9 Lagna: "&amp;CALC_D9_BhaveshMap!$C$5&amp;"  ·  H6 — Conflicts","← Enter chart")</f>
        <v>D9 Lagna: Pisces  ·  H6 — Conflicts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IFERROR((IFERROR(IF(INDEX(REF_Zodiac!$D$17:$O$17,MATCH(CALC_D9_BhaveshMap!$C$10,REF_Zodiac!$D$3:$O$3,0))="Gentle",1,0),0))*0.5,0)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IFERROR(IF(AND(OR(CALC_D9_BhaveshMap!$I$10="Yes",CALC_D9_BhaveshMap!$J$10="Yes"),NOT(CALC_D9_BhaveshMap!$K$10="Yes")),1,0)*IF(REF_Config!$B$6="KP",1.5,IF(REF_Config!$B$6="Jaimini",1.5,2)),0)</f>
        <v>0</v>
      </c>
      <c r="D9" s="403" t="s">
        <v>4612</v>
      </c>
    </row>
    <row r="10" spans="1:12" ht="27.75" customHeight="1" x14ac:dyDescent="0.2">
      <c r="A10" s="121" t="s">
        <v>4613</v>
      </c>
      <c r="B10" s="357" t="s">
        <v>3093</v>
      </c>
      <c r="C10" s="1117">
        <f ca="1">IFERROR((IFERROR(IF(OR(AND(CALC_D9_BhaveshMap!$G$10=CALC_D9_BhaveshMap!$G$10,CALC_D9_BhaveshMap!$D$10&lt;&gt;CALC_D9_BhaveshMap!$D$10),AND(CALC_D9_BhaveshMap!$G$8=CALC_D9_BhaveshMap!$G$10,CALC_D9_BhaveshMap!$D$8&lt;&gt;CALC_D9_BhaveshMap!$D$10),AND(CALC_D9_BhaveshMap!$G$9=CALC_D9_BhaveshMap!$G$10,CALC_D9_BhaveshMap!$D$9&lt;&gt;CALC_D9_BhaveshMap!$D$10),AND(CALC_D9_BhaveshMap!$G$11=CALC_D9_BhaveshMap!$G$10,CALC_D9_BhaveshMap!$D$11&lt;&gt;CALC_D9_BhaveshMap!$D$10),AND(CALC_D9_BhaveshMap!$G$13=CALC_D9_BhaveshMap!$G$10,CALC_D9_BhaveshMap!$D$13&lt;&gt;CALC_D9_BhaveshMap!$D$10),AND(CALC_D9_BhaveshMap!$G$14=CALC_D9_BhaveshMap!$G$10,CALC_D9_BhaveshMap!$D$14&lt;&gt;CALC_D9_BhaveshMap!$D$10)),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$10,CALC_D9_BhaveshMap!$D$10&lt;&gt;"Sun"),AND(OR(CALC_PlanetPositions!$M$8="Benefic",CALC_PlanetPositions!$M$8="Yogakaraka"),CALC_PlanetPositions!$B$8=CALC_D9_BhaveshMap!$G$10,CALC_D9_BhaveshMap!$D$10&lt;&gt;"Moon"),AND(OR(CALC_PlanetPositions!$M$9="Benefic",CALC_PlanetPositions!$M$9="Yogakaraka"),CALC_PlanetPositions!$B$9=CALC_D9_BhaveshMap!$G$10,CALC_D9_BhaveshMap!$D$10&lt;&gt;"Mars"),AND(OR(CALC_PlanetPositions!$M$10="Benefic",CALC_PlanetPositions!$M$10="Yogakaraka"),CALC_PlanetPositions!$B$10=CALC_D9_BhaveshMap!$G$10,CALC_D9_BhaveshMap!$D$10&lt;&gt;"Mercury"),AND(OR(CALC_PlanetPositions!$M$11="Benefic",CALC_PlanetPositions!$M$11="Yogakaraka"),CALC_PlanetPositions!$B$11=CALC_D9_BhaveshMap!$G$10,CALC_D9_BhaveshMap!$D$10&lt;&gt;"Jupiter"),AND(OR(CALC_PlanetPositions!$M$12="Benefic",CALC_PlanetPositions!$M$12="Yogakaraka"),CALC_PlanetPositions!$B$12=CALC_D9_BhaveshMap!$G$10,CALC_D9_BhaveshMap!$D$10&lt;&gt;"Venus"),AND(OR(CALC_PlanetPositions!$M$13="Benefic",CALC_PlanetPositions!$M$13="Yogakaraka"),CALC_PlanetPositions!$B$13=CALC_D9_BhaveshMap!$G$10,CALC_D9_BhaveshMap!$D$10&lt;&gt;"Saturn")),1,0),0))*IF(OR(AND(CALC_PlanetPositions!$M$7="Yogakaraka",CALC_PlanetPositions!$B$7=CALC_D9_BhaveshMap!$G$10,CALC_D9_BhaveshMap!$D$10&lt;&gt;"Sun"),AND(CALC_PlanetPositions!$M$8="Yogakaraka",CALC_PlanetPositions!$B$8=CALC_D9_BhaveshMap!$G$10,CALC_D9_BhaveshMap!$D$10&lt;&gt;"Moon"),AND(CALC_PlanetPositions!$M$9="Yogakaraka",CALC_PlanetPositions!$B$9=CALC_D9_BhaveshMap!$G$10,CALC_D9_BhaveshMap!$D$10&lt;&gt;"Mars"),AND(CALC_PlanetPositions!$M$10="Yogakaraka",CALC_PlanetPositions!$B$10=CALC_D9_BhaveshMap!$G$10,CALC_D9_BhaveshMap!$D$10&lt;&gt;"Mercury"),AND(CALC_PlanetPositions!$M$11="Yogakaraka",CALC_PlanetPositions!$B$11=CALC_D9_BhaveshMap!$G$10,CALC_D9_BhaveshMap!$D$10&lt;&gt;"Jupiter"),AND(CALC_PlanetPositions!$M$12="Yogakaraka",CALC_PlanetPositions!$B$12=CALC_D9_BhaveshMap!$G$10,CALC_D9_BhaveshMap!$D$10&lt;&gt;"Venus"),AND(CALC_PlanetPositions!$M$13="Yogakaraka",CALC_PlanetPositions!$B$13=CALC_D9_BhaveshMap!$G$10,CALC_D9_BhaveshMap!$D$10&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$10-(MOD(MATCH(CALC_PlanetPositions!$B$7,{"Aries","Taurus","Gemini","Cancer","Leo","Virgo","Libra","Scorpio","Sagittarius","Capricorn","Aquarius","Pisces"},0)-MATCH(INPUT_Chart!$C$5,{"Aries","Taurus","Gemini","Cancer","Leo","Virgo","Libra","Scorpio","Sagittarius","Capricorn","Aquarius","Pisces"},0),12)+1),12)+1)="FULL",NOT(CALC_PlanetPositions!$B$7=CALC_D9_BhaveshMap!$G$10)),AND(OR(CALC_PlanetPositions!$M$8="Benefic",CALC_PlanetPositions!$M$8="Yogakaraka"),INDEX(REF_Aspects!$D$5:$O$13,2,MOD(CALC_D9_BhaveshMap!$H$10-(MOD(MATCH(CALC_PlanetPositions!$B$8,{"Aries","Taurus","Gemini","Cancer","Leo","Virgo","Libra","Scorpio","Sagittarius","Capricorn","Aquarius","Pisces"},0)-MATCH(INPUT_Chart!$C$5,{"Aries","Taurus","Gemini","Cancer","Leo","Virgo","Libra","Scorpio","Sagittarius","Capricorn","Aquarius","Pisces"},0),12)+1),12)+1)="FULL",NOT(CALC_PlanetPositions!$B$8=CALC_D9_BhaveshMap!$G$10)),AND(OR(CALC_PlanetPositions!$M$9="Benefic",CALC_PlanetPositions!$M$9="Yogakaraka"),INDEX(REF_Aspects!$D$5:$O$13,3,MOD(CALC_D9_BhaveshMap!$H$10-(MOD(MATCH(CALC_PlanetPositions!$B$9,{"Aries","Taurus","Gemini","Cancer","Leo","Virgo","Libra","Scorpio","Sagittarius","Capricorn","Aquarius","Pisces"},0)-MATCH(INPUT_Chart!$C$5,{"Aries","Taurus","Gemini","Cancer","Leo","Virgo","Libra","Scorpio","Sagittarius","Capricorn","Aquarius","Pisces"},0),12)+1),12)+1)="FULL",NOT(CALC_PlanetPositions!$B$9=CALC_D9_BhaveshMap!$G$10)),AND(OR(CALC_PlanetPositions!$M$10="Benefic",CALC_PlanetPositions!$M$10="Yogakaraka"),INDEX(REF_Aspects!$D$5:$O$13,4,MOD(CALC_D9_BhaveshMap!$H$10-(MOD(MATCH(CALC_PlanetPositions!$B$10,{"Aries","Taurus","Gemini","Cancer","Leo","Virgo","Libra","Scorpio","Sagittarius","Capricorn","Aquarius","Pisces"},0)-MATCH(INPUT_Chart!$C$5,{"Aries","Taurus","Gemini","Cancer","Leo","Virgo","Libra","Scorpio","Sagittarius","Capricorn","Aquarius","Pisces"},0),12)+1),12)+1)="FULL",NOT(CALC_PlanetPositions!$B$10=CALC_D9_BhaveshMap!$G$10)),AND(OR(CALC_PlanetPositions!$M$11="Benefic",CALC_PlanetPositions!$M$11="Yogakaraka"),INDEX(REF_Aspects!$D$5:$O$13,5,MOD(CALC_D9_BhaveshMap!$H$10-(MOD(MATCH(CALC_PlanetPositions!$B$11,{"Aries","Taurus","Gemini","Cancer","Leo","Virgo","Libra","Scorpio","Sagittarius","Capricorn","Aquarius","Pisces"},0)-MATCH(INPUT_Chart!$C$5,{"Aries","Taurus","Gemini","Cancer","Leo","Virgo","Libra","Scorpio","Sagittarius","Capricorn","Aquarius","Pisces"},0),12)+1),12)+1)="FULL",NOT(CALC_PlanetPositions!$B$11=CALC_D9_BhaveshMap!$G$10)),AND(OR(CALC_PlanetPositions!$M$12="Benefic",CALC_PlanetPositions!$M$12="Yogakaraka"),INDEX(REF_Aspects!$D$5:$O$13,6,MOD(CALC_D9_BhaveshMap!$H$10-(MOD(MATCH(CALC_PlanetPositions!$B$12,{"Aries","Taurus","Gemini","Cancer","Leo","Virgo","Libra","Scorpio","Sagittarius","Capricorn","Aquarius","Pisces"},0)-MATCH(INPUT_Chart!$C$5,{"Aries","Taurus","Gemini","Cancer","Leo","Virgo","Libra","Scorpio","Sagittarius","Capricorn","Aquarius","Pisces"},0),12)+1),12)+1)="FULL",NOT(CALC_PlanetPositions!$B$12=CALC_D9_BhaveshMap!$G$10)),AND(OR(CALC_PlanetPositions!$M$13="Benefic",CALC_PlanetPositions!$M$13="Yogakaraka"),INDEX(REF_Aspects!$D$5:$O$13,7,MOD(CALC_D9_BhaveshMap!$H$10-(MOD(MATCH(CALC_PlanetPositions!$B$13,{"Aries","Taurus","Gemini","Cancer","Leo","Virgo","Libra","Scorpio","Sagittarius","Capricorn","Aquarius","Pisces"},0)-MATCH(INPUT_Chart!$C$5,{"Aries","Taurus","Gemini","Cancer","Leo","Virgo","Libra","Scorpio","Sagittarius","Capricorn","Aquarius","Pisces"},0),12)+1),12)+1)="FULL",NOT(CALC_PlanetPositions!$B$13=CALC_D9_BhaveshMap!$G$10)),AND(FALSE(),INDEX(REF_Aspects!$D$5:$O$13,8,MOD(CALC_D9_BhaveshMap!$H$10-(MOD(MATCH(CALC_PlanetPositions!$B$14,{"Aries","Taurus","Gemini","Cancer","Leo","Virgo","Libra","Scorpio","Sagittarius","Capricorn","Aquarius","Pisces"},0)-MATCH(INPUT_Chart!$C$5,{"Aries","Taurus","Gemini","Cancer","Leo","Virgo","Libra","Scorpio","Sagittarius","Capricorn","Aquarius","Pisces"},0),12)+1),12)+1)="FULL",NOT(CALC_PlanetPositions!$B$14=CALC_D9_BhaveshMap!$G$10)),AND(FALSE(),INDEX(REF_Aspects!$D$5:$O$13,9,MOD(CALC_D9_BhaveshMap!$H$10-(MOD(MATCH(CALC_PlanetPositions!$B$15,{"Aries","Taurus","Gemini","Cancer","Leo","Virgo","Libra","Scorpio","Sagittarius","Capricorn","Aquarius","Pisces"},0)-MATCH(INPUT_Chart!$C$5,{"Aries","Taurus","Gemini","Cancer","Leo","Virgo","Libra","Scorpio","Sagittarius","Capricorn","Aquarius","Pisces"},0),12)+1),12)+1)="FULL",NOT(CALC_PlanetPositions!$B$15=CALC_D9_BhaveshMap!$G$10))),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$10-2,12)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$10-2,12)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$10-2,12)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$10-2,12)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$10-2,12)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$10-2,12)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$10-2,12)+1)),AND(FALSE(),MOD(MATCH(CALC_PlanetPositions!$B$14,{"Aries","Taurus","Gemini","Cancer","Leo","Virgo","Libra","Scorpio","Sagittarius","Capricorn","Aquarius","Pisces"},0)-MATCH(INPUT_Chart!$C$5,{"Aries","Taurus","Gemini","Cancer","Leo","Virgo","Libra","Scorpio","Sagittarius","Capricorn","Aquarius","Pisces"},0),12)+1=(MOD(CALC_D9_BhaveshMap!$H$10-2,12)+1)),AND(FALSE(),MOD(MATCH(CALC_PlanetPositions!$B$15,{"Aries","Taurus","Gemini","Cancer","Leo","Virgo","Libra","Scorpio","Sagittarius","Capricorn","Aquarius","Pisces"},0)-MATCH(INPUT_Chart!$C$5,{"Aries","Taurus","Gemini","Cancer","Leo","Virgo","Libra","Scorpio","Sagittarius","Capricorn","Aquarius","Pisces"},0),12)+1=(MOD(CALC_D9_BhaveshMap!$H$10-2,12)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$10,12)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$10,12)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$10,12)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$10,12)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$10,12)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$10,12)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$10,12)+1)),AND(FALSE(),MOD(MATCH(CALC_PlanetPositions!$B$14,{"Aries","Taurus","Gemini","Cancer","Leo","Virgo","Libra","Scorpio","Sagittarius","Capricorn","Aquarius","Pisces"},0)-MATCH(INPUT_Chart!$C$5,{"Aries","Taurus","Gemini","Cancer","Leo","Virgo","Libra","Scorpio","Sagittarius","Capricorn","Aquarius","Pisces"},0),12)+1=(MOD(CALC_D9_BhaveshMap!$H$10,12)+1)),AND(FALSE(),MOD(MATCH(CALC_PlanetPositions!$B$15,{"Aries","Taurus","Gemini","Cancer","Leo","Virgo","Libra","Scorpio","Sagittarius","Capricorn","Aquarius","Pisces"},0)-MATCH(INPUT_Chart!$C$5,{"Aries","Taurus","Gemini","Cancer","Leo","Virgo","Libra","Scorpio","Sagittarius","Capricorn","Aquarius","Pisces"},0),12)+1=(MOD(CALC_D9_BhaveshMap!$H$10,12)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$10-(MOD(MATCH(CALC_PlanetPositions!$B$7,{"Aries","Taurus","Gemini","Cancer","Leo","Virgo","Libra","Scorpio","Sagittarius","Capricorn","Aquarius","Pisces"},0)-MATCH(INPUT_Chart!$C$5,{"Aries","Taurus","Gemini","Cancer","Leo","Virgo","Libra","Scorpio","Sagittarius","Capricorn","Aquarius","Pisces"},0),12)+1),12)+1)="FULL",NOT(CALC_PlanetPositions!$B$7=CALC_D9_BhaveshMap!$G$10)),AND(CALC_PlanetPositions!$M$8="Malefic",INDEX(REF_Aspects!$D$5:$O$13,2,MOD(CALC_D9_BhaveshMap!$H$10-(MOD(MATCH(CALC_PlanetPositions!$B$8,{"Aries","Taurus","Gemini","Cancer","Leo","Virgo","Libra","Scorpio","Sagittarius","Capricorn","Aquarius","Pisces"},0)-MATCH(INPUT_Chart!$C$5,{"Aries","Taurus","Gemini","Cancer","Leo","Virgo","Libra","Scorpio","Sagittarius","Capricorn","Aquarius","Pisces"},0),12)+1),12)+1)="FULL",NOT(CALC_PlanetPositions!$B$8=CALC_D9_BhaveshMap!$G$10)),AND(CALC_PlanetPositions!$M$9="Malefic",INDEX(REF_Aspects!$D$5:$O$13,3,MOD(CALC_D9_BhaveshMap!$H$10-(MOD(MATCH(CALC_PlanetPositions!$B$9,{"Aries","Taurus","Gemini","Cancer","Leo","Virgo","Libra","Scorpio","Sagittarius","Capricorn","Aquarius","Pisces"},0)-MATCH(INPUT_Chart!$C$5,{"Aries","Taurus","Gemini","Cancer","Leo","Virgo","Libra","Scorpio","Sagittarius","Capricorn","Aquarius","Pisces"},0),12)+1),12)+1)="FULL",NOT(CALC_PlanetPositions!$B$9=CALC_D9_BhaveshMap!$G$10)),AND(CALC_PlanetPositions!$M$10="Malefic",INDEX(REF_Aspects!$D$5:$O$13,4,MOD(CALC_D9_BhaveshMap!$H$10-(MOD(MATCH(CALC_PlanetPositions!$B$10,{"Aries","Taurus","Gemini","Cancer","Leo","Virgo","Libra","Scorpio","Sagittarius","Capricorn","Aquarius","Pisces"},0)-MATCH(INPUT_Chart!$C$5,{"Aries","Taurus","Gemini","Cancer","Leo","Virgo","Libra","Scorpio","Sagittarius","Capricorn","Aquarius","Pisces"},0),12)+1),12)+1)="FULL",NOT(CALC_PlanetPositions!$B$10=CALC_D9_BhaveshMap!$G$10)),AND(CALC_PlanetPositions!$M$11="Malefic",INDEX(REF_Aspects!$D$5:$O$13,5,MOD(CALC_D9_BhaveshMap!$H$10-(MOD(MATCH(CALC_PlanetPositions!$B$11,{"Aries","Taurus","Gemini","Cancer","Leo","Virgo","Libra","Scorpio","Sagittarius","Capricorn","Aquarius","Pisces"},0)-MATCH(INPUT_Chart!$C$5,{"Aries","Taurus","Gemini","Cancer","Leo","Virgo","Libra","Scorpio","Sagittarius","Capricorn","Aquarius","Pisces"},0),12)+1),12)+1)="FULL",NOT(CALC_PlanetPositions!$B$11=CALC_D9_BhaveshMap!$G$10)),AND(CALC_PlanetPositions!$M$12="Malefic",INDEX(REF_Aspects!$D$5:$O$13,6,MOD(CALC_D9_BhaveshMap!$H$10-(MOD(MATCH(CALC_PlanetPositions!$B$12,{"Aries","Taurus","Gemini","Cancer","Leo","Virgo","Libra","Scorpio","Sagittarius","Capricorn","Aquarius","Pisces"},0)-MATCH(INPUT_Chart!$C$5,{"Aries","Taurus","Gemini","Cancer","Leo","Virgo","Libra","Scorpio","Sagittarius","Capricorn","Aquarius","Pisces"},0),12)+1),12)+1)="FULL",NOT(CALC_PlanetPositions!$B$12=CALC_D9_BhaveshMap!$G$10)),AND(CALC_PlanetPositions!$M$13="Malefic",INDEX(REF_Aspects!$D$5:$O$13,7,MOD(CALC_D9_BhaveshMap!$H$10-(MOD(MATCH(CALC_PlanetPositions!$B$13,{"Aries","Taurus","Gemini","Cancer","Leo","Virgo","Libra","Scorpio","Sagittarius","Capricorn","Aquarius","Pisces"},0)-MATCH(INPUT_Chart!$C$5,{"Aries","Taurus","Gemini","Cancer","Leo","Virgo","Libra","Scorpio","Sagittarius","Capricorn","Aquarius","Pisces"},0),12)+1),12)+1)="FULL",NOT(CALC_PlanetPositions!$B$13=CALC_D9_BhaveshMap!$G$10)),AND(TRUE(),INDEX(REF_Aspects!$D$5:$O$13,8,MOD(CALC_D9_BhaveshMap!$H$10-(MOD(MATCH(CALC_PlanetPositions!$B$14,{"Aries","Taurus","Gemini","Cancer","Leo","Virgo","Libra","Scorpio","Sagittarius","Capricorn","Aquarius","Pisces"},0)-MATCH(INPUT_Chart!$C$5,{"Aries","Taurus","Gemini","Cancer","Leo","Virgo","Libra","Scorpio","Sagittarius","Capricorn","Aquarius","Pisces"},0),12)+1),12)+1)="FULL",NOT(CALC_PlanetPositions!$B$14=CALC_D9_BhaveshMap!$G$10)),AND(TRUE(),INDEX(REF_Aspects!$D$5:$O$13,9,MOD(CALC_D9_BhaveshMap!$H$10-(MOD(MATCH(CALC_PlanetPositions!$B$15,{"Aries","Taurus","Gemini","Cancer","Leo","Virgo","Libra","Scorpio","Sagittarius","Capricorn","Aquarius","Pisces"},0)-MATCH(INPUT_Chart!$C$5,{"Aries","Taurus","Gemini","Cancer","Leo","Virgo","Libra","Scorpio","Sagittarius","Capricorn","Aquarius","Pisces"},0),12)+1),12)+1)="FULL",NOT(CALC_PlanetPositions!$B$15=CALC_D9_BhaveshMap!$G$10))),1,0),0))*-0.5,0)</f>
        <v>0</v>
      </c>
      <c r="D21" s="403" t="s">
        <v>4634</v>
      </c>
    </row>
    <row r="22" spans="1:7" ht="27.75" customHeight="1" x14ac:dyDescent="0.2">
      <c r="A22" s="121" t="s">
        <v>4635</v>
      </c>
      <c r="B22" s="357" t="s">
        <v>3042</v>
      </c>
      <c r="C22" s="1117">
        <f>IFERROR((IFERROR(IF(CALC_D9_BhaveshMap!$K$10="Yes",1,0),0))*IF(REF_Config!$B$6="KP",-1.75,IF(REF_Config!$B$6="Jaimini",-2,-2)),0)</f>
        <v>0</v>
      </c>
      <c r="D22" s="400" t="s">
        <v>4636</v>
      </c>
    </row>
    <row r="23" spans="1:7" ht="27.75" customHeight="1" x14ac:dyDescent="0.2">
      <c r="A23" s="121" t="s">
        <v>4637</v>
      </c>
      <c r="B23" s="203" t="s">
        <v>3059</v>
      </c>
      <c r="C23" s="1118">
        <f ca="1">IFERROR((IFERROR(IF(OR(AND(CALC_D9_BhaveshMap!$G$10=CALC_D9_BhaveshMap!$G$10,CALC_D9_BhaveshMap!$D$10&lt;&gt;CALC_D9_BhaveshMap!$D$10),AND(CALC_D9_BhaveshMap!$G$12=CALC_D9_BhaveshMap!$G$10,CALC_D9_BhaveshMap!$D$12&lt;&gt;CALC_D9_BhaveshMap!$D$10),AND(CALC_D9_BhaveshMap!$G$16=CALC_D9_BhaveshMap!$G$10,CALC_D9_BhaveshMap!$D$16&lt;&gt;CALC_D9_BhaveshMap!$D$10)),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IFERROR(IF(OR(CALC_D9_BhaveshMap!$D$10="Sun",CALC_D9_BhaveshMap!$D$10="Rahu",CALC_D9_BhaveshMap!$D$10="Ketu"),0,IF(CALC_D9_BhaveshMap!$D$10="Moon",IF(CALC_CombustionCheck!$G$4="Cazimi ✓",0.5,IF(CALC_CombustionCheck!$F$4="COMBUST ⚠",-1,0)),IF(CALC_D9_BhaveshMap!$D$10="Mars",IF(CALC_CombustionCheck!$G$5="Cazimi ✓",0.5,IF(AND(CALC_CombustionCheck!$F$5="COMBUST ⚠",CALC_RetrogradeFix!$F$6="Rx ✓"),-0.5,IF(CALC_CombustionCheck!$F$5="COMBUST ⚠",-1,0))),IF(CALC_D9_BhaveshMap!$D$10="Mercury",IF(CALC_CombustionCheck!$G$6="Cazimi ✓",0.5,IF(AND(CALC_CombustionCheck!$F$6="COMBUST ⚠",CALC_RetrogradeFix!$F$7="Rx ✓"),-0.5,IF(CALC_CombustionCheck!$F$6="COMBUST ⚠",-1,0))),IF(CALC_D9_BhaveshMap!$D$10="Jupiter",IF(CALC_CombustionCheck!$G$7="Cazimi ✓",0.5,IF(AND(CALC_CombustionCheck!$F$7="COMBUST ⚠",CALC_RetrogradeFix!$F$8="Rx ✓"),-0.5,IF(CALC_CombustionCheck!$F$7="COMBUST ⚠",-1,0))),IF(CALC_D9_BhaveshMap!$D$10="Venus",IF(CALC_CombustionCheck!$G$8="Cazimi ✓",0.5,IF(AND(CALC_CombustionCheck!$F$8="COMBUST ⚠",CALC_RetrogradeFix!$F$9="Rx ✓"),-0.5,IF(CALC_CombustionCheck!$F$8="COMBUST ⚠",-1,0))),IF(CALC_D9_BhaveshMap!$D$10="Saturn",IF(CALC_CombustionCheck!$G$9="Cazimi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$10="Rahu",CALC_D9_BhaveshMap!$D$10="Ketu"),0,IF(ISNUMBER(MATCH(CALC_D9_BhaveshMap!$D$10,{"Sun","Moon","Mars","Mercury","Jupiter","Venus","Saturn"},0)),IF(INDEX(CALC_DigBala!$F$4:$F$10,MATCH(CALC_D9_BhaveshMap!$D$10,{"Sun","Moon","Mars","Mercury","Jupiter","Venus","Saturn"},0))="Yes",0.5,0),0)),0)</f>
        <v>0</v>
      </c>
      <c r="D28" s="400" t="s">
        <v>4647</v>
      </c>
    </row>
    <row r="29" spans="1:7" ht="27.75" customHeight="1" x14ac:dyDescent="0.2">
      <c r="A29" s="1120" t="s">
        <v>4648</v>
      </c>
      <c r="B29" s="296" t="s">
        <v>3372</v>
      </c>
      <c r="C29" s="1117">
        <f ca="1">IFERROR(IF(COUNTIFS(REF_PushkaraNavamsha!$A$4:$A$27,CALC_D9_BhaveshMap!$G$10,REF_PushkaraNavamsha!$B$4:$B$27,INDEX(CALC_PlanetPositions!$G$7:$G$15,MATCH(CALC_D9_BhaveshMap!$D$10,CALC_PlanetPositions!$A$7:$A$15,0)))&gt;0,0.5,0),0)</f>
        <v>0</v>
      </c>
      <c r="D29" s="400" t="s">
        <v>4649</v>
      </c>
    </row>
    <row r="30" spans="1:7" ht="25.5" customHeight="1" x14ac:dyDescent="0.2">
      <c r="A30" s="147" t="s">
        <v>4650</v>
      </c>
      <c r="B30" s="1121" t="s">
        <v>4651</v>
      </c>
      <c r="C30" s="1122">
        <f>IFERROR(IF(ISNUMBER(MATCH(CALC_D9_BhaveshMap!$D$10,{"Sun","Moon","Mars","Mercury","Jupiter","Venus","Saturn"},0)),INDEX(CALC_RetrogradeFix!$G$4:$G$10,MATCH(CALC_D9_BhaveshMap!$D$10,{"Sun","Moon","Mars","Mercury","Jupiter","Venus","Saturn"},0)),0),0)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v>
      </c>
      <c r="D37" s="1129"/>
    </row>
    <row r="38" spans="1:4" ht="21.75" customHeight="1" x14ac:dyDescent="0.2">
      <c r="A38" s="89" t="s">
        <v>4661</v>
      </c>
      <c r="B38" s="1129"/>
      <c r="C38" s="1131">
        <f ca="1">IFERROR(MAX(-10,MIN(10,C37)),0)</f>
        <v>-2</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-2</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4738</v>
      </c>
      <c r="B1" s="1518"/>
      <c r="C1" s="1518"/>
      <c r="D1" s="1518"/>
      <c r="L1" s="544" t="s">
        <v>2214</v>
      </c>
    </row>
    <row r="2" spans="1:12" ht="19.5" customHeight="1" x14ac:dyDescent="0.2">
      <c r="A2" s="1595" t="str">
        <f>IFERROR("D9 Lagna: "&amp;CALC_D9_BhaveshMap!$C$5&amp;"  ·  H7 — Partnerships","← Enter chart")</f>
        <v>D9 Lagna: Pisces  ·  H7 — Partnerships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IFERROR((IFERROR(IF(INDEX(REF_Zodiac!$D$17:$O$17,MATCH(CALC_D9_BhaveshMap!$C$11,REF_Zodiac!$D$3:$O$3,0))="Gentle",1,0),0))*0.5,0)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IFERROR(IF(AND(OR(CALC_D9_BhaveshMap!$I$11="Yes",CALC_D9_BhaveshMap!$J$11="Yes"),NOT(CALC_D9_BhaveshMap!$K$11="Yes")),1,0)*IF(REF_Config!$B$6="KP",1.5,IF(REF_Config!$B$6="Jaimini",1.5,2)),0)</f>
        <v>0</v>
      </c>
      <c r="D9" s="403" t="s">
        <v>4612</v>
      </c>
    </row>
    <row r="10" spans="1:12" ht="27.75" customHeight="1" x14ac:dyDescent="0.2">
      <c r="A10" s="121" t="s">
        <v>4613</v>
      </c>
      <c r="B10" s="357" t="s">
        <v>3093</v>
      </c>
      <c r="C10" s="1117">
        <f ca="1">IFERROR((IFERROR(IF(OR(AND(CALC_D9_BhaveshMap!$G$11=CALC_D9_BhaveshMap!$G$11,CALC_D9_BhaveshMap!$D$11&lt;&gt;CALC_D9_BhaveshMap!$D$11),AND(CALC_D9_BhaveshMap!$G$8=CALC_D9_BhaveshMap!$G$11,CALC_D9_BhaveshMap!$D$8&lt;&gt;CALC_D9_BhaveshMap!$D$11),AND(CALC_D9_BhaveshMap!$G$9=CALC_D9_BhaveshMap!$G$11,CALC_D9_BhaveshMap!$D$9&lt;&gt;CALC_D9_BhaveshMap!$D$11),AND(CALC_D9_BhaveshMap!$G$11=CALC_D9_BhaveshMap!$G$11,CALC_D9_BhaveshMap!$D$11&lt;&gt;CALC_D9_BhaveshMap!$D$11),AND(CALC_D9_BhaveshMap!$G$13=CALC_D9_BhaveshMap!$G$11,CALC_D9_BhaveshMap!$D$13&lt;&gt;CALC_D9_BhaveshMap!$D$11),AND(CALC_D9_BhaveshMap!$G$14=CALC_D9_BhaveshMap!$G$11,CALC_D9_BhaveshMap!$D$14&lt;&gt;CALC_D9_BhaveshMap!$D$11)),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$11,CALC_D9_BhaveshMap!$D$11&lt;&gt;"Sun"),AND(OR(CALC_PlanetPositions!$M$8="Benefic",CALC_PlanetPositions!$M$8="Yogakaraka"),CALC_PlanetPositions!$B$8=CALC_D9_BhaveshMap!$G$11,CALC_D9_BhaveshMap!$D$11&lt;&gt;"Moon"),AND(OR(CALC_PlanetPositions!$M$9="Benefic",CALC_PlanetPositions!$M$9="Yogakaraka"),CALC_PlanetPositions!$B$9=CALC_D9_BhaveshMap!$G$11,CALC_D9_BhaveshMap!$D$11&lt;&gt;"Mars"),AND(OR(CALC_PlanetPositions!$M$10="Benefic",CALC_PlanetPositions!$M$10="Yogakaraka"),CALC_PlanetPositions!$B$10=CALC_D9_BhaveshMap!$G$11,CALC_D9_BhaveshMap!$D$11&lt;&gt;"Mercury"),AND(OR(CALC_PlanetPositions!$M$11="Benefic",CALC_PlanetPositions!$M$11="Yogakaraka"),CALC_PlanetPositions!$B$11=CALC_D9_BhaveshMap!$G$11,CALC_D9_BhaveshMap!$D$11&lt;&gt;"Jupiter"),AND(OR(CALC_PlanetPositions!$M$12="Benefic",CALC_PlanetPositions!$M$12="Yogakaraka"),CALC_PlanetPositions!$B$12=CALC_D9_BhaveshMap!$G$11,CALC_D9_BhaveshMap!$D$11&lt;&gt;"Venus"),AND(OR(CALC_PlanetPositions!$M$13="Benefic",CALC_PlanetPositions!$M$13="Yogakaraka"),CALC_PlanetPositions!$B$13=CALC_D9_BhaveshMap!$G$11,CALC_D9_BhaveshMap!$D$11&lt;&gt;"Saturn")),1,0),0))*IF(OR(AND(CALC_PlanetPositions!$M$7="Yogakaraka",CALC_PlanetPositions!$B$7=CALC_D9_BhaveshMap!$G$11,CALC_D9_BhaveshMap!$D$11&lt;&gt;"Sun"),AND(CALC_PlanetPositions!$M$8="Yogakaraka",CALC_PlanetPositions!$B$8=CALC_D9_BhaveshMap!$G$11,CALC_D9_BhaveshMap!$D$11&lt;&gt;"Moon"),AND(CALC_PlanetPositions!$M$9="Yogakaraka",CALC_PlanetPositions!$B$9=CALC_D9_BhaveshMap!$G$11,CALC_D9_BhaveshMap!$D$11&lt;&gt;"Mars"),AND(CALC_PlanetPositions!$M$10="Yogakaraka",CALC_PlanetPositions!$B$10=CALC_D9_BhaveshMap!$G$11,CALC_D9_BhaveshMap!$D$11&lt;&gt;"Mercury"),AND(CALC_PlanetPositions!$M$11="Yogakaraka",CALC_PlanetPositions!$B$11=CALC_D9_BhaveshMap!$G$11,CALC_D9_BhaveshMap!$D$11&lt;&gt;"Jupiter"),AND(CALC_PlanetPositions!$M$12="Yogakaraka",CALC_PlanetPositions!$B$12=CALC_D9_BhaveshMap!$G$11,CALC_D9_BhaveshMap!$D$11&lt;&gt;"Venus"),AND(CALC_PlanetPositions!$M$13="Yogakaraka",CALC_PlanetPositions!$B$13=CALC_D9_BhaveshMap!$G$11,CALC_D9_BhaveshMap!$D$11&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$11-(MOD(MATCH(CALC_PlanetPositions!$B$7,{"Aries","Taurus","Gemini","Cancer","Leo","Virgo","Libra","Scorpio","Sagittarius","Capricorn","Aquarius","Pisces"},0)-MATCH(INPUT_Chart!$C$5,{"Aries","Taurus","Gemini","Cancer","Leo","Virgo","Libra","Scorpio","Sagittarius","Capricorn","Aquarius","Pisces"},0),12)+1),12)+1)="FULL",NOT(CALC_PlanetPositions!$B$7=CALC_D9_BhaveshMap!$G$11)),AND(OR(CALC_PlanetPositions!$M$8="Benefic",CALC_PlanetPositions!$M$8="Yogakaraka"),INDEX(REF_Aspects!$D$5:$O$13,2,MOD(CALC_D9_BhaveshMap!$H$11-(MOD(MATCH(CALC_PlanetPositions!$B$8,{"Aries","Taurus","Gemini","Cancer","Leo","Virgo","Libra","Scorpio","Sagittarius","Capricorn","Aquarius","Pisces"},0)-MATCH(INPUT_Chart!$C$5,{"Aries","Taurus","Gemini","Cancer","Leo","Virgo","Libra","Scorpio","Sagittarius","Capricorn","Aquarius","Pisces"},0),12)+1),12)+1)="FULL",NOT(CALC_PlanetPositions!$B$8=CALC_D9_BhaveshMap!$G$11)),AND(OR(CALC_PlanetPositions!$M$9="Benefic",CALC_PlanetPositions!$M$9="Yogakaraka"),INDEX(REF_Aspects!$D$5:$O$13,3,MOD(CALC_D9_BhaveshMap!$H$11-(MOD(MATCH(CALC_PlanetPositions!$B$9,{"Aries","Taurus","Gemini","Cancer","Leo","Virgo","Libra","Scorpio","Sagittarius","Capricorn","Aquarius","Pisces"},0)-MATCH(INPUT_Chart!$C$5,{"Aries","Taurus","Gemini","Cancer","Leo","Virgo","Libra","Scorpio","Sagittarius","Capricorn","Aquarius","Pisces"},0),12)+1),12)+1)="FULL",NOT(CALC_PlanetPositions!$B$9=CALC_D9_BhaveshMap!$G$11)),AND(OR(CALC_PlanetPositions!$M$10="Benefic",CALC_PlanetPositions!$M$10="Yogakaraka"),INDEX(REF_Aspects!$D$5:$O$13,4,MOD(CALC_D9_BhaveshMap!$H$11-(MOD(MATCH(CALC_PlanetPositions!$B$10,{"Aries","Taurus","Gemini","Cancer","Leo","Virgo","Libra","Scorpio","Sagittarius","Capricorn","Aquarius","Pisces"},0)-MATCH(INPUT_Chart!$C$5,{"Aries","Taurus","Gemini","Cancer","Leo","Virgo","Libra","Scorpio","Sagittarius","Capricorn","Aquarius","Pisces"},0),12)+1),12)+1)="FULL",NOT(CALC_PlanetPositions!$B$10=CALC_D9_BhaveshMap!$G$11)),AND(OR(CALC_PlanetPositions!$M$11="Benefic",CALC_PlanetPositions!$M$11="Yogakaraka"),INDEX(REF_Aspects!$D$5:$O$13,5,MOD(CALC_D9_BhaveshMap!$H$11-(MOD(MATCH(CALC_PlanetPositions!$B$11,{"Aries","Taurus","Gemini","Cancer","Leo","Virgo","Libra","Scorpio","Sagittarius","Capricorn","Aquarius","Pisces"},0)-MATCH(INPUT_Chart!$C$5,{"Aries","Taurus","Gemini","Cancer","Leo","Virgo","Libra","Scorpio","Sagittarius","Capricorn","Aquarius","Pisces"},0),12)+1),12)+1)="FULL",NOT(CALC_PlanetPositions!$B$11=CALC_D9_BhaveshMap!$G$11)),AND(OR(CALC_PlanetPositions!$M$12="Benefic",CALC_PlanetPositions!$M$12="Yogakaraka"),INDEX(REF_Aspects!$D$5:$O$13,6,MOD(CALC_D9_BhaveshMap!$H$11-(MOD(MATCH(CALC_PlanetPositions!$B$12,{"Aries","Taurus","Gemini","Cancer","Leo","Virgo","Libra","Scorpio","Sagittarius","Capricorn","Aquarius","Pisces"},0)-MATCH(INPUT_Chart!$C$5,{"Aries","Taurus","Gemini","Cancer","Leo","Virgo","Libra","Scorpio","Sagittarius","Capricorn","Aquarius","Pisces"},0),12)+1),12)+1)="FULL",NOT(CALC_PlanetPositions!$B$12=CALC_D9_BhaveshMap!$G$11)),AND(OR(CALC_PlanetPositions!$M$13="Benefic",CALC_PlanetPositions!$M$13="Yogakaraka"),INDEX(REF_Aspects!$D$5:$O$13,7,MOD(CALC_D9_BhaveshMap!$H$11-(MOD(MATCH(CALC_PlanetPositions!$B$13,{"Aries","Taurus","Gemini","Cancer","Leo","Virgo","Libra","Scorpio","Sagittarius","Capricorn","Aquarius","Pisces"},0)-MATCH(INPUT_Chart!$C$5,{"Aries","Taurus","Gemini","Cancer","Leo","Virgo","Libra","Scorpio","Sagittarius","Capricorn","Aquarius","Pisces"},0),12)+1),12)+1)="FULL",NOT(CALC_PlanetPositions!$B$13=CALC_D9_BhaveshMap!$G$11)),AND(FALSE(),INDEX(REF_Aspects!$D$5:$O$13,8,MOD(CALC_D9_BhaveshMap!$H$11-(MOD(MATCH(CALC_PlanetPositions!$B$14,{"Aries","Taurus","Gemini","Cancer","Leo","Virgo","Libra","Scorpio","Sagittarius","Capricorn","Aquarius","Pisces"},0)-MATCH(INPUT_Chart!$C$5,{"Aries","Taurus","Gemini","Cancer","Leo","Virgo","Libra","Scorpio","Sagittarius","Capricorn","Aquarius","Pisces"},0),12)+1),12)+1)="FULL",NOT(CALC_PlanetPositions!$B$14=CALC_D9_BhaveshMap!$G$11)),AND(FALSE(),INDEX(REF_Aspects!$D$5:$O$13,9,MOD(CALC_D9_BhaveshMap!$H$11-(MOD(MATCH(CALC_PlanetPositions!$B$15,{"Aries","Taurus","Gemini","Cancer","Leo","Virgo","Libra","Scorpio","Sagittarius","Capricorn","Aquarius","Pisces"},0)-MATCH(INPUT_Chart!$C$5,{"Aries","Taurus","Gemini","Cancer","Leo","Virgo","Libra","Scorpio","Sagittarius","Capricorn","Aquarius","Pisces"},0),12)+1),12)+1)="FULL",NOT(CALC_PlanetPositions!$B$15=CALC_D9_BhaveshMap!$G$11))),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$11-2,12)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$11-2,12)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$11-2,12)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$11-2,12)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$11-2,12)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$11-2,12)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$11-2,12)+1)),AND(FALSE(),MOD(MATCH(CALC_PlanetPositions!$B$14,{"Aries","Taurus","Gemini","Cancer","Leo","Virgo","Libra","Scorpio","Sagittarius","Capricorn","Aquarius","Pisces"},0)-MATCH(INPUT_Chart!$C$5,{"Aries","Taurus","Gemini","Cancer","Leo","Virgo","Libra","Scorpio","Sagittarius","Capricorn","Aquarius","Pisces"},0),12)+1=(MOD(CALC_D9_BhaveshMap!$H$11-2,12)+1)),AND(FALSE(),MOD(MATCH(CALC_PlanetPositions!$B$15,{"Aries","Taurus","Gemini","Cancer","Leo","Virgo","Libra","Scorpio","Sagittarius","Capricorn","Aquarius","Pisces"},0)-MATCH(INPUT_Chart!$C$5,{"Aries","Taurus","Gemini","Cancer","Leo","Virgo","Libra","Scorpio","Sagittarius","Capricorn","Aquarius","Pisces"},0),12)+1=(MOD(CALC_D9_BhaveshMap!$H$11-2,12)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$11,12)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$11,12)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$11,12)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$11,12)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$11,12)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$11,12)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$11,12)+1)),AND(FALSE(),MOD(MATCH(CALC_PlanetPositions!$B$14,{"Aries","Taurus","Gemini","Cancer","Leo","Virgo","Libra","Scorpio","Sagittarius","Capricorn","Aquarius","Pisces"},0)-MATCH(INPUT_Chart!$C$5,{"Aries","Taurus","Gemini","Cancer","Leo","Virgo","Libra","Scorpio","Sagittarius","Capricorn","Aquarius","Pisces"},0),12)+1=(MOD(CALC_D9_BhaveshMap!$H$11,12)+1)),AND(FALSE(),MOD(MATCH(CALC_PlanetPositions!$B$15,{"Aries","Taurus","Gemini","Cancer","Leo","Virgo","Libra","Scorpio","Sagittarius","Capricorn","Aquarius","Pisces"},0)-MATCH(INPUT_Chart!$C$5,{"Aries","Taurus","Gemini","Cancer","Leo","Virgo","Libra","Scorpio","Sagittarius","Capricorn","Aquarius","Pisces"},0),12)+1=(MOD(CALC_D9_BhaveshMap!$H$11,12)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$11-(MOD(MATCH(CALC_PlanetPositions!$B$7,{"Aries","Taurus","Gemini","Cancer","Leo","Virgo","Libra","Scorpio","Sagittarius","Capricorn","Aquarius","Pisces"},0)-MATCH(INPUT_Chart!$C$5,{"Aries","Taurus","Gemini","Cancer","Leo","Virgo","Libra","Scorpio","Sagittarius","Capricorn","Aquarius","Pisces"},0),12)+1),12)+1)="FULL",NOT(CALC_PlanetPositions!$B$7=CALC_D9_BhaveshMap!$G$11)),AND(CALC_PlanetPositions!$M$8="Malefic",INDEX(REF_Aspects!$D$5:$O$13,2,MOD(CALC_D9_BhaveshMap!$H$11-(MOD(MATCH(CALC_PlanetPositions!$B$8,{"Aries","Taurus","Gemini","Cancer","Leo","Virgo","Libra","Scorpio","Sagittarius","Capricorn","Aquarius","Pisces"},0)-MATCH(INPUT_Chart!$C$5,{"Aries","Taurus","Gemini","Cancer","Leo","Virgo","Libra","Scorpio","Sagittarius","Capricorn","Aquarius","Pisces"},0),12)+1),12)+1)="FULL",NOT(CALC_PlanetPositions!$B$8=CALC_D9_BhaveshMap!$G$11)),AND(CALC_PlanetPositions!$M$9="Malefic",INDEX(REF_Aspects!$D$5:$O$13,3,MOD(CALC_D9_BhaveshMap!$H$11-(MOD(MATCH(CALC_PlanetPositions!$B$9,{"Aries","Taurus","Gemini","Cancer","Leo","Virgo","Libra","Scorpio","Sagittarius","Capricorn","Aquarius","Pisces"},0)-MATCH(INPUT_Chart!$C$5,{"Aries","Taurus","Gemini","Cancer","Leo","Virgo","Libra","Scorpio","Sagittarius","Capricorn","Aquarius","Pisces"},0),12)+1),12)+1)="FULL",NOT(CALC_PlanetPositions!$B$9=CALC_D9_BhaveshMap!$G$11)),AND(CALC_PlanetPositions!$M$10="Malefic",INDEX(REF_Aspects!$D$5:$O$13,4,MOD(CALC_D9_BhaveshMap!$H$11-(MOD(MATCH(CALC_PlanetPositions!$B$10,{"Aries","Taurus","Gemini","Cancer","Leo","Virgo","Libra","Scorpio","Sagittarius","Capricorn","Aquarius","Pisces"},0)-MATCH(INPUT_Chart!$C$5,{"Aries","Taurus","Gemini","Cancer","Leo","Virgo","Libra","Scorpio","Sagittarius","Capricorn","Aquarius","Pisces"},0),12)+1),12)+1)="FULL",NOT(CALC_PlanetPositions!$B$10=CALC_D9_BhaveshMap!$G$11)),AND(CALC_PlanetPositions!$M$11="Malefic",INDEX(REF_Aspects!$D$5:$O$13,5,MOD(CALC_D9_BhaveshMap!$H$11-(MOD(MATCH(CALC_PlanetPositions!$B$11,{"Aries","Taurus","Gemini","Cancer","Leo","Virgo","Libra","Scorpio","Sagittarius","Capricorn","Aquarius","Pisces"},0)-MATCH(INPUT_Chart!$C$5,{"Aries","Taurus","Gemini","Cancer","Leo","Virgo","Libra","Scorpio","Sagittarius","Capricorn","Aquarius","Pisces"},0),12)+1),12)+1)="FULL",NOT(CALC_PlanetPositions!$B$11=CALC_D9_BhaveshMap!$G$11)),AND(CALC_PlanetPositions!$M$12="Malefic",INDEX(REF_Aspects!$D$5:$O$13,6,MOD(CALC_D9_BhaveshMap!$H$11-(MOD(MATCH(CALC_PlanetPositions!$B$12,{"Aries","Taurus","Gemini","Cancer","Leo","Virgo","Libra","Scorpio","Sagittarius","Capricorn","Aquarius","Pisces"},0)-MATCH(INPUT_Chart!$C$5,{"Aries","Taurus","Gemini","Cancer","Leo","Virgo","Libra","Scorpio","Sagittarius","Capricorn","Aquarius","Pisces"},0),12)+1),12)+1)="FULL",NOT(CALC_PlanetPositions!$B$12=CALC_D9_BhaveshMap!$G$11)),AND(CALC_PlanetPositions!$M$13="Malefic",INDEX(REF_Aspects!$D$5:$O$13,7,MOD(CALC_D9_BhaveshMap!$H$11-(MOD(MATCH(CALC_PlanetPositions!$B$13,{"Aries","Taurus","Gemini","Cancer","Leo","Virgo","Libra","Scorpio","Sagittarius","Capricorn","Aquarius","Pisces"},0)-MATCH(INPUT_Chart!$C$5,{"Aries","Taurus","Gemini","Cancer","Leo","Virgo","Libra","Scorpio","Sagittarius","Capricorn","Aquarius","Pisces"},0),12)+1),12)+1)="FULL",NOT(CALC_PlanetPositions!$B$13=CALC_D9_BhaveshMap!$G$11)),AND(TRUE(),INDEX(REF_Aspects!$D$5:$O$13,8,MOD(CALC_D9_BhaveshMap!$H$11-(MOD(MATCH(CALC_PlanetPositions!$B$14,{"Aries","Taurus","Gemini","Cancer","Leo","Virgo","Libra","Scorpio","Sagittarius","Capricorn","Aquarius","Pisces"},0)-MATCH(INPUT_Chart!$C$5,{"Aries","Taurus","Gemini","Cancer","Leo","Virgo","Libra","Scorpio","Sagittarius","Capricorn","Aquarius","Pisces"},0),12)+1),12)+1)="FULL",NOT(CALC_PlanetPositions!$B$14=CALC_D9_BhaveshMap!$G$11)),AND(TRUE(),INDEX(REF_Aspects!$D$5:$O$13,9,MOD(CALC_D9_BhaveshMap!$H$11-(MOD(MATCH(CALC_PlanetPositions!$B$15,{"Aries","Taurus","Gemini","Cancer","Leo","Virgo","Libra","Scorpio","Sagittarius","Capricorn","Aquarius","Pisces"},0)-MATCH(INPUT_Chart!$C$5,{"Aries","Taurus","Gemini","Cancer","Leo","Virgo","Libra","Scorpio","Sagittarius","Capricorn","Aquarius","Pisces"},0),12)+1),12)+1)="FULL",NOT(CALC_PlanetPositions!$B$15=CALC_D9_BhaveshMap!$G$11))),1,0),0))*-0.5,0)</f>
        <v>0</v>
      </c>
      <c r="D21" s="403" t="s">
        <v>4634</v>
      </c>
    </row>
    <row r="22" spans="1:7" ht="27.75" customHeight="1" x14ac:dyDescent="0.2">
      <c r="A22" s="121" t="s">
        <v>4635</v>
      </c>
      <c r="B22" s="357" t="s">
        <v>3042</v>
      </c>
      <c r="C22" s="1117">
        <f>IFERROR((IFERROR(IF(CALC_D9_BhaveshMap!$K$11="Yes",1,0),0))*IF(REF_Config!$B$6="KP",-1.75,IF(REF_Config!$B$6="Jaimini",-2,-2)),0)</f>
        <v>0</v>
      </c>
      <c r="D22" s="400" t="s">
        <v>4636</v>
      </c>
    </row>
    <row r="23" spans="1:7" ht="27.75" customHeight="1" x14ac:dyDescent="0.2">
      <c r="A23" s="121" t="s">
        <v>4637</v>
      </c>
      <c r="B23" s="203" t="s">
        <v>3059</v>
      </c>
      <c r="C23" s="1118">
        <f ca="1">IFERROR((IFERROR(IF(OR(AND(CALC_D9_BhaveshMap!$G$10=CALC_D9_BhaveshMap!$G$11,CALC_D9_BhaveshMap!$D$10&lt;&gt;CALC_D9_BhaveshMap!$D$11),AND(CALC_D9_BhaveshMap!$G$12=CALC_D9_BhaveshMap!$G$11,CALC_D9_BhaveshMap!$D$12&lt;&gt;CALC_D9_BhaveshMap!$D$11),AND(CALC_D9_BhaveshMap!$G$16=CALC_D9_BhaveshMap!$G$11,CALC_D9_BhaveshMap!$D$16&lt;&gt;CALC_D9_BhaveshMap!$D$11)),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IFERROR(IF(OR(CALC_D9_BhaveshMap!$D$11="Sun",CALC_D9_BhaveshMap!$D$11="Rahu",CALC_D9_BhaveshMap!$D$11="Ketu"),0,IF(CALC_D9_BhaveshMap!$D$11="Moon",IF(CALC_CombustionCheck!$G$4="Cazimi ✓",0.5,IF(CALC_CombustionCheck!$F$4="COMBUST ⚠",-1,0)),IF(CALC_D9_BhaveshMap!$D$11="Mars",IF(CALC_CombustionCheck!$G$5="Cazimi ✓",0.5,IF(AND(CALC_CombustionCheck!$F$5="COMBUST ⚠",CALC_RetrogradeFix!$F$6="Rx ✓"),-0.5,IF(CALC_CombustionCheck!$F$5="COMBUST ⚠",-1,0))),IF(CALC_D9_BhaveshMap!$D$11="Mercury",IF(CALC_CombustionCheck!$G$6="Cazimi ✓",0.5,IF(AND(CALC_CombustionCheck!$F$6="COMBUST ⚠",CALC_RetrogradeFix!$F$7="Rx ✓"),-0.5,IF(CALC_CombustionCheck!$F$6="COMBUST ⚠",-1,0))),IF(CALC_D9_BhaveshMap!$D$11="Jupiter",IF(CALC_CombustionCheck!$G$7="Cazimi ✓",0.5,IF(AND(CALC_CombustionCheck!$F$7="COMBUST ⚠",CALC_RetrogradeFix!$F$8="Rx ✓"),-0.5,IF(CALC_CombustionCheck!$F$7="COMBUST ⚠",-1,0))),IF(CALC_D9_BhaveshMap!$D$11="Venus",IF(CALC_CombustionCheck!$G$8="Cazimi ✓",0.5,IF(AND(CALC_CombustionCheck!$F$8="COMBUST ⚠",CALC_RetrogradeFix!$F$9="Rx ✓"),-0.5,IF(CALC_CombustionCheck!$F$8="COMBUST ⚠",-1,0))),IF(CALC_D9_BhaveshMap!$D$11="Saturn",IF(CALC_CombustionCheck!$G$9="Cazimi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$11="Rahu",CALC_D9_BhaveshMap!$D$11="Ketu"),0,IF(ISNUMBER(MATCH(CALC_D9_BhaveshMap!$D$11,{"Sun","Moon","Mars","Mercury","Jupiter","Venus","Saturn"},0)),IF(INDEX(CALC_DigBala!$F$4:$F$10,MATCH(CALC_D9_BhaveshMap!$D$11,{"Sun","Moon","Mars","Mercury","Jupiter","Venus","Saturn"},0))="Yes",0.5,0),0)),0)</f>
        <v>0</v>
      </c>
      <c r="D28" s="400" t="s">
        <v>4647</v>
      </c>
    </row>
    <row r="29" spans="1:7" ht="27.75" customHeight="1" x14ac:dyDescent="0.2">
      <c r="A29" s="1120" t="s">
        <v>4648</v>
      </c>
      <c r="B29" s="296" t="s">
        <v>3372</v>
      </c>
      <c r="C29" s="1117">
        <f ca="1">IFERROR(IF(COUNTIFS(REF_PushkaraNavamsha!$A$4:$A$27,CALC_D9_BhaveshMap!$G$11,REF_PushkaraNavamsha!$B$4:$B$27,INDEX(CALC_PlanetPositions!$G$7:$G$15,MATCH(CALC_D9_BhaveshMap!$D$11,CALC_PlanetPositions!$A$7:$A$15,0)))&gt;0,0.5,0),0)</f>
        <v>0</v>
      </c>
      <c r="D29" s="400" t="s">
        <v>4649</v>
      </c>
    </row>
    <row r="30" spans="1:7" ht="25.5" customHeight="1" x14ac:dyDescent="0.2">
      <c r="A30" s="147" t="s">
        <v>4650</v>
      </c>
      <c r="B30" s="1121" t="s">
        <v>4651</v>
      </c>
      <c r="C30" s="1122">
        <f>IFERROR(IF(ISNUMBER(MATCH(CALC_D9_BhaveshMap!$D$11,{"Sun","Moon","Mars","Mercury","Jupiter","Venus","Saturn"},0)),INDEX(CALC_RetrogradeFix!$G$4:$G$10,MATCH(CALC_D9_BhaveshMap!$D$11,{"Sun","Moon","Mars","Mercury","Jupiter","Venus","Saturn"},0)),0),0)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-1.35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4730</v>
      </c>
      <c r="B41" s="1129"/>
      <c r="C41" s="470">
        <v>0.15</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4739</v>
      </c>
      <c r="B1" s="1518"/>
      <c r="C1" s="1518"/>
      <c r="D1" s="1518"/>
      <c r="L1" s="544" t="s">
        <v>2214</v>
      </c>
    </row>
    <row r="2" spans="1:12" ht="19.5" customHeight="1" x14ac:dyDescent="0.2">
      <c r="A2" s="1595" t="str">
        <f>IFERROR("D9 Lagna: "&amp;CALC_D9_BhaveshMap!$C$5&amp;"  ·  H8 — Longevity","← Enter chart")</f>
        <v>D9 Lagna: Pisces  ·  H8 — Longevity</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IFERROR((IFERROR(IF(INDEX(REF_Zodiac!$D$17:$O$17,MATCH(CALC_D9_BhaveshMap!$C$12,REF_Zodiac!$D$3:$O$3,0))="Gentle",1,0),0))*0.5,0)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IFERROR(IF(AND(OR(CALC_D9_BhaveshMap!$I$12="Yes",CALC_D9_BhaveshMap!$J$12="Yes"),NOT(CALC_D9_BhaveshMap!$K$12="Yes")),1,0)*IF(REF_Config!$B$6="KP",1.5,IF(REF_Config!$B$6="Jaimini",1.5,2)),0)</f>
        <v>0</v>
      </c>
      <c r="D9" s="403" t="s">
        <v>4612</v>
      </c>
    </row>
    <row r="10" spans="1:12" ht="27.75" customHeight="1" x14ac:dyDescent="0.2">
      <c r="A10" s="121" t="s">
        <v>4613</v>
      </c>
      <c r="B10" s="357" t="s">
        <v>3093</v>
      </c>
      <c r="C10" s="1117">
        <f ca="1">IFERROR((IFERROR(IF(OR(AND(CALC_D9_BhaveshMap!$G$12=CALC_D9_BhaveshMap!$G$12,CALC_D9_BhaveshMap!$D$12&lt;&gt;CALC_D9_BhaveshMap!$D$12),AND(CALC_D9_BhaveshMap!$G$8=CALC_D9_BhaveshMap!$G$12,CALC_D9_BhaveshMap!$D$8&lt;&gt;CALC_D9_BhaveshMap!$D$12),AND(CALC_D9_BhaveshMap!$G$9=CALC_D9_BhaveshMap!$G$12,CALC_D9_BhaveshMap!$D$9&lt;&gt;CALC_D9_BhaveshMap!$D$12),AND(CALC_D9_BhaveshMap!$G$11=CALC_D9_BhaveshMap!$G$12,CALC_D9_BhaveshMap!$D$11&lt;&gt;CALC_D9_BhaveshMap!$D$12),AND(CALC_D9_BhaveshMap!$G$13=CALC_D9_BhaveshMap!$G$12,CALC_D9_BhaveshMap!$D$13&lt;&gt;CALC_D9_BhaveshMap!$D$12),AND(CALC_D9_BhaveshMap!$G$14=CALC_D9_BhaveshMap!$G$12,CALC_D9_BhaveshMap!$D$14&lt;&gt;CALC_D9_BhaveshMap!$D$12)),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$12,CALC_D9_BhaveshMap!$D$12&lt;&gt;"Sun"),AND(OR(CALC_PlanetPositions!$M$8="Benefic",CALC_PlanetPositions!$M$8="Yogakaraka"),CALC_PlanetPositions!$B$8=CALC_D9_BhaveshMap!$G$12,CALC_D9_BhaveshMap!$D$12&lt;&gt;"Moon"),AND(OR(CALC_PlanetPositions!$M$9="Benefic",CALC_PlanetPositions!$M$9="Yogakaraka"),CALC_PlanetPositions!$B$9=CALC_D9_BhaveshMap!$G$12,CALC_D9_BhaveshMap!$D$12&lt;&gt;"Mars"),AND(OR(CALC_PlanetPositions!$M$10="Benefic",CALC_PlanetPositions!$M$10="Yogakaraka"),CALC_PlanetPositions!$B$10=CALC_D9_BhaveshMap!$G$12,CALC_D9_BhaveshMap!$D$12&lt;&gt;"Mercury"),AND(OR(CALC_PlanetPositions!$M$11="Benefic",CALC_PlanetPositions!$M$11="Yogakaraka"),CALC_PlanetPositions!$B$11=CALC_D9_BhaveshMap!$G$12,CALC_D9_BhaveshMap!$D$12&lt;&gt;"Jupiter"),AND(OR(CALC_PlanetPositions!$M$12="Benefic",CALC_PlanetPositions!$M$12="Yogakaraka"),CALC_PlanetPositions!$B$12=CALC_D9_BhaveshMap!$G$12,CALC_D9_BhaveshMap!$D$12&lt;&gt;"Venus"),AND(OR(CALC_PlanetPositions!$M$13="Benefic",CALC_PlanetPositions!$M$13="Yogakaraka"),CALC_PlanetPositions!$B$13=CALC_D9_BhaveshMap!$G$12,CALC_D9_BhaveshMap!$D$12&lt;&gt;"Saturn")),1,0),0))*IF(OR(AND(CALC_PlanetPositions!$M$7="Yogakaraka",CALC_PlanetPositions!$B$7=CALC_D9_BhaveshMap!$G$12,CALC_D9_BhaveshMap!$D$12&lt;&gt;"Sun"),AND(CALC_PlanetPositions!$M$8="Yogakaraka",CALC_PlanetPositions!$B$8=CALC_D9_BhaveshMap!$G$12,CALC_D9_BhaveshMap!$D$12&lt;&gt;"Moon"),AND(CALC_PlanetPositions!$M$9="Yogakaraka",CALC_PlanetPositions!$B$9=CALC_D9_BhaveshMap!$G$12,CALC_D9_BhaveshMap!$D$12&lt;&gt;"Mars"),AND(CALC_PlanetPositions!$M$10="Yogakaraka",CALC_PlanetPositions!$B$10=CALC_D9_BhaveshMap!$G$12,CALC_D9_BhaveshMap!$D$12&lt;&gt;"Mercury"),AND(CALC_PlanetPositions!$M$11="Yogakaraka",CALC_PlanetPositions!$B$11=CALC_D9_BhaveshMap!$G$12,CALC_D9_BhaveshMap!$D$12&lt;&gt;"Jupiter"),AND(CALC_PlanetPositions!$M$12="Yogakaraka",CALC_PlanetPositions!$B$12=CALC_D9_BhaveshMap!$G$12,CALC_D9_BhaveshMap!$D$12&lt;&gt;"Venus"),AND(CALC_PlanetPositions!$M$13="Yogakaraka",CALC_PlanetPositions!$B$13=CALC_D9_BhaveshMap!$G$12,CALC_D9_BhaveshMap!$D$12&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$12-(MOD(MATCH(CALC_PlanetPositions!$B$7,{"Aries","Taurus","Gemini","Cancer","Leo","Virgo","Libra","Scorpio","Sagittarius","Capricorn","Aquarius","Pisces"},0)-MATCH(INPUT_Chart!$C$5,{"Aries","Taurus","Gemini","Cancer","Leo","Virgo","Libra","Scorpio","Sagittarius","Capricorn","Aquarius","Pisces"},0),12)+1),12)+1)="FULL",NOT(CALC_PlanetPositions!$B$7=CALC_D9_BhaveshMap!$G$12)),AND(OR(CALC_PlanetPositions!$M$8="Benefic",CALC_PlanetPositions!$M$8="Yogakaraka"),INDEX(REF_Aspects!$D$5:$O$13,2,MOD(CALC_D9_BhaveshMap!$H$12-(MOD(MATCH(CALC_PlanetPositions!$B$8,{"Aries","Taurus","Gemini","Cancer","Leo","Virgo","Libra","Scorpio","Sagittarius","Capricorn","Aquarius","Pisces"},0)-MATCH(INPUT_Chart!$C$5,{"Aries","Taurus","Gemini","Cancer","Leo","Virgo","Libra","Scorpio","Sagittarius","Capricorn","Aquarius","Pisces"},0),12)+1),12)+1)="FULL",NOT(CALC_PlanetPositions!$B$8=CALC_D9_BhaveshMap!$G$12)),AND(OR(CALC_PlanetPositions!$M$9="Benefic",CALC_PlanetPositions!$M$9="Yogakaraka"),INDEX(REF_Aspects!$D$5:$O$13,3,MOD(CALC_D9_BhaveshMap!$H$12-(MOD(MATCH(CALC_PlanetPositions!$B$9,{"Aries","Taurus","Gemini","Cancer","Leo","Virgo","Libra","Scorpio","Sagittarius","Capricorn","Aquarius","Pisces"},0)-MATCH(INPUT_Chart!$C$5,{"Aries","Taurus","Gemini","Cancer","Leo","Virgo","Libra","Scorpio","Sagittarius","Capricorn","Aquarius","Pisces"},0),12)+1),12)+1)="FULL",NOT(CALC_PlanetPositions!$B$9=CALC_D9_BhaveshMap!$G$12)),AND(OR(CALC_PlanetPositions!$M$10="Benefic",CALC_PlanetPositions!$M$10="Yogakaraka"),INDEX(REF_Aspects!$D$5:$O$13,4,MOD(CALC_D9_BhaveshMap!$H$12-(MOD(MATCH(CALC_PlanetPositions!$B$10,{"Aries","Taurus","Gemini","Cancer","Leo","Virgo","Libra","Scorpio","Sagittarius","Capricorn","Aquarius","Pisces"},0)-MATCH(INPUT_Chart!$C$5,{"Aries","Taurus","Gemini","Cancer","Leo","Virgo","Libra","Scorpio","Sagittarius","Capricorn","Aquarius","Pisces"},0),12)+1),12)+1)="FULL",NOT(CALC_PlanetPositions!$B$10=CALC_D9_BhaveshMap!$G$12)),AND(OR(CALC_PlanetPositions!$M$11="Benefic",CALC_PlanetPositions!$M$11="Yogakaraka"),INDEX(REF_Aspects!$D$5:$O$13,5,MOD(CALC_D9_BhaveshMap!$H$12-(MOD(MATCH(CALC_PlanetPositions!$B$11,{"Aries","Taurus","Gemini","Cancer","Leo","Virgo","Libra","Scorpio","Sagittarius","Capricorn","Aquarius","Pisces"},0)-MATCH(INPUT_Chart!$C$5,{"Aries","Taurus","Gemini","Cancer","Leo","Virgo","Libra","Scorpio","Sagittarius","Capricorn","Aquarius","Pisces"},0),12)+1),12)+1)="FULL",NOT(CALC_PlanetPositions!$B$11=CALC_D9_BhaveshMap!$G$12)),AND(OR(CALC_PlanetPositions!$M$12="Benefic",CALC_PlanetPositions!$M$12="Yogakaraka"),INDEX(REF_Aspects!$D$5:$O$13,6,MOD(CALC_D9_BhaveshMap!$H$12-(MOD(MATCH(CALC_PlanetPositions!$B$12,{"Aries","Taurus","Gemini","Cancer","Leo","Virgo","Libra","Scorpio","Sagittarius","Capricorn","Aquarius","Pisces"},0)-MATCH(INPUT_Chart!$C$5,{"Aries","Taurus","Gemini","Cancer","Leo","Virgo","Libra","Scorpio","Sagittarius","Capricorn","Aquarius","Pisces"},0),12)+1),12)+1)="FULL",NOT(CALC_PlanetPositions!$B$12=CALC_D9_BhaveshMap!$G$12)),AND(OR(CALC_PlanetPositions!$M$13="Benefic",CALC_PlanetPositions!$M$13="Yogakaraka"),INDEX(REF_Aspects!$D$5:$O$13,7,MOD(CALC_D9_BhaveshMap!$H$12-(MOD(MATCH(CALC_PlanetPositions!$B$13,{"Aries","Taurus","Gemini","Cancer","Leo","Virgo","Libra","Scorpio","Sagittarius","Capricorn","Aquarius","Pisces"},0)-MATCH(INPUT_Chart!$C$5,{"Aries","Taurus","Gemini","Cancer","Leo","Virgo","Libra","Scorpio","Sagittarius","Capricorn","Aquarius","Pisces"},0),12)+1),12)+1)="FULL",NOT(CALC_PlanetPositions!$B$13=CALC_D9_BhaveshMap!$G$12)),AND(FALSE(),INDEX(REF_Aspects!$D$5:$O$13,8,MOD(CALC_D9_BhaveshMap!$H$12-(MOD(MATCH(CALC_PlanetPositions!$B$14,{"Aries","Taurus","Gemini","Cancer","Leo","Virgo","Libra","Scorpio","Sagittarius","Capricorn","Aquarius","Pisces"},0)-MATCH(INPUT_Chart!$C$5,{"Aries","Taurus","Gemini","Cancer","Leo","Virgo","Libra","Scorpio","Sagittarius","Capricorn","Aquarius","Pisces"},0),12)+1),12)+1)="FULL",NOT(CALC_PlanetPositions!$B$14=CALC_D9_BhaveshMap!$G$12)),AND(FALSE(),INDEX(REF_Aspects!$D$5:$O$13,9,MOD(CALC_D9_BhaveshMap!$H$12-(MOD(MATCH(CALC_PlanetPositions!$B$15,{"Aries","Taurus","Gemini","Cancer","Leo","Virgo","Libra","Scorpio","Sagittarius","Capricorn","Aquarius","Pisces"},0)-MATCH(INPUT_Chart!$C$5,{"Aries","Taurus","Gemini","Cancer","Leo","Virgo","Libra","Scorpio","Sagittarius","Capricorn","Aquarius","Pisces"},0),12)+1),12)+1)="FULL",NOT(CALC_PlanetPositions!$B$15=CALC_D9_BhaveshMap!$G$12))),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$12-2,12)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$12-2,12)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$12-2,12)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$12-2,12)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$12-2,12)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$12-2,12)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$12-2,12)+1)),AND(FALSE(),MOD(MATCH(CALC_PlanetPositions!$B$14,{"Aries","Taurus","Gemini","Cancer","Leo","Virgo","Libra","Scorpio","Sagittarius","Capricorn","Aquarius","Pisces"},0)-MATCH(INPUT_Chart!$C$5,{"Aries","Taurus","Gemini","Cancer","Leo","Virgo","Libra","Scorpio","Sagittarius","Capricorn","Aquarius","Pisces"},0),12)+1=(MOD(CALC_D9_BhaveshMap!$H$12-2,12)+1)),AND(FALSE(),MOD(MATCH(CALC_PlanetPositions!$B$15,{"Aries","Taurus","Gemini","Cancer","Leo","Virgo","Libra","Scorpio","Sagittarius","Capricorn","Aquarius","Pisces"},0)-MATCH(INPUT_Chart!$C$5,{"Aries","Taurus","Gemini","Cancer","Leo","Virgo","Libra","Scorpio","Sagittarius","Capricorn","Aquarius","Pisces"},0),12)+1=(MOD(CALC_D9_BhaveshMap!$H$12-2,12)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$12,12)+1)),AND(FALSE(),MOD(MATCH(CALC_PlanetPositions!$B$14,{"Aries","Taurus","Gemini","Cancer","Leo","Virgo","Libra","Scorpio","Sagittarius","Capricorn","Aquarius","Pisces"},0)-MATCH(INPUT_Chart!$C$5,{"Aries","Taurus","Gemini","Cancer","Leo","Virgo","Libra","Scorpio","Sagittarius","Capricorn","Aquarius","Pisces"},0),12)+1=(MOD(CALC_D9_BhaveshMap!$H$12,12)+1)),AND(FALSE(),MOD(MATCH(CALC_PlanetPositions!$B$15,{"Aries","Taurus","Gemini","Cancer","Leo","Virgo","Libra","Scorpio","Sagittarius","Capricorn","Aquarius","Pisces"},0)-MATCH(INPUT_Chart!$C$5,{"Aries","Taurus","Gemini","Cancer","Leo","Virgo","Libra","Scorpio","Sagittarius","Capricorn","Aquarius","Pisces"},0),12)+1=(MOD(CALC_D9_BhaveshMap!$H$12,12)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$12-(MOD(MATCH(CALC_PlanetPositions!$B$7,{"Aries","Taurus","Gemini","Cancer","Leo","Virgo","Libra","Scorpio","Sagittarius","Capricorn","Aquarius","Pisces"},0)-MATCH(INPUT_Chart!$C$5,{"Aries","Taurus","Gemini","Cancer","Leo","Virgo","Libra","Scorpio","Sagittarius","Capricorn","Aquarius","Pisces"},0),12)+1),12)+1)="FULL",NOT(CALC_PlanetPositions!$B$7=CALC_D9_BhaveshMap!$G$12)),AND(CALC_PlanetPositions!$M$8="Malefic",INDEX(REF_Aspects!$D$5:$O$13,2,MOD(CALC_D9_BhaveshMap!$H$12-(MOD(MATCH(CALC_PlanetPositions!$B$8,{"Aries","Taurus","Gemini","Cancer","Leo","Virgo","Libra","Scorpio","Sagittarius","Capricorn","Aquarius","Pisces"},0)-MATCH(INPUT_Chart!$C$5,{"Aries","Taurus","Gemini","Cancer","Leo","Virgo","Libra","Scorpio","Sagittarius","Capricorn","Aquarius","Pisces"},0),12)+1),12)+1)="FULL",NOT(CALC_PlanetPositions!$B$8=CALC_D9_BhaveshMap!$G$12)),AND(CALC_PlanetPositions!$M$9="Malefic",INDEX(REF_Aspects!$D$5:$O$13,3,MOD(CALC_D9_BhaveshMap!$H$12-(MOD(MATCH(CALC_PlanetPositions!$B$9,{"Aries","Taurus","Gemini","Cancer","Leo","Virgo","Libra","Scorpio","Sagittarius","Capricorn","Aquarius","Pisces"},0)-MATCH(INPUT_Chart!$C$5,{"Aries","Taurus","Gemini","Cancer","Leo","Virgo","Libra","Scorpio","Sagittarius","Capricorn","Aquarius","Pisces"},0),12)+1),12)+1)="FULL",NOT(CALC_PlanetPositions!$B$9=CALC_D9_BhaveshMap!$G$12)),AND(CALC_PlanetPositions!$M$10="Malefic",INDEX(REF_Aspects!$D$5:$O$13,4,MOD(CALC_D9_BhaveshMap!$H$12-(MOD(MATCH(CALC_PlanetPositions!$B$10,{"Aries","Taurus","Gemini","Cancer","Leo","Virgo","Libra","Scorpio","Sagittarius","Capricorn","Aquarius","Pisces"},0)-MATCH(INPUT_Chart!$C$5,{"Aries","Taurus","Gemini","Cancer","Leo","Virgo","Libra","Scorpio","Sagittarius","Capricorn","Aquarius","Pisces"},0),12)+1),12)+1)="FULL",NOT(CALC_PlanetPositions!$B$10=CALC_D9_BhaveshMap!$G$12)),AND(CALC_PlanetPositions!$M$11="Malefic",INDEX(REF_Aspects!$D$5:$O$13,5,MOD(CALC_D9_BhaveshMap!$H$12-(MOD(MATCH(CALC_PlanetPositions!$B$11,{"Aries","Taurus","Gemini","Cancer","Leo","Virgo","Libra","Scorpio","Sagittarius","Capricorn","Aquarius","Pisces"},0)-MATCH(INPUT_Chart!$C$5,{"Aries","Taurus","Gemini","Cancer","Leo","Virgo","Libra","Scorpio","Sagittarius","Capricorn","Aquarius","Pisces"},0),12)+1),12)+1)="FULL",NOT(CALC_PlanetPositions!$B$11=CALC_D9_BhaveshMap!$G$12)),AND(CALC_PlanetPositions!$M$12="Malefic",INDEX(REF_Aspects!$D$5:$O$13,6,MOD(CALC_D9_BhaveshMap!$H$12-(MOD(MATCH(CALC_PlanetPositions!$B$12,{"Aries","Taurus","Gemini","Cancer","Leo","Virgo","Libra","Scorpio","Sagittarius","Capricorn","Aquarius","Pisces"},0)-MATCH(INPUT_Chart!$C$5,{"Aries","Taurus","Gemini","Cancer","Leo","Virgo","Libra","Scorpio","Sagittarius","Capricorn","Aquarius","Pisces"},0),12)+1),12)+1)="FULL",NOT(CALC_PlanetPositions!$B$12=CALC_D9_BhaveshMap!$G$12)),AND(CALC_PlanetPositions!$M$13="Malefic",INDEX(REF_Aspects!$D$5:$O$13,7,MOD(CALC_D9_BhaveshMap!$H$12-(MOD(MATCH(CALC_PlanetPositions!$B$13,{"Aries","Taurus","Gemini","Cancer","Leo","Virgo","Libra","Scorpio","Sagittarius","Capricorn","Aquarius","Pisces"},0)-MATCH(INPUT_Chart!$C$5,{"Aries","Taurus","Gemini","Cancer","Leo","Virgo","Libra","Scorpio","Sagittarius","Capricorn","Aquarius","Pisces"},0),12)+1),12)+1)="FULL",NOT(CALC_PlanetPositions!$B$13=CALC_D9_BhaveshMap!$G$12)),AND(TRUE(),INDEX(REF_Aspects!$D$5:$O$13,8,MOD(CALC_D9_BhaveshMap!$H$12-(MOD(MATCH(CALC_PlanetPositions!$B$14,{"Aries","Taurus","Gemini","Cancer","Leo","Virgo","Libra","Scorpio","Sagittarius","Capricorn","Aquarius","Pisces"},0)-MATCH(INPUT_Chart!$C$5,{"Aries","Taurus","Gemini","Cancer","Leo","Virgo","Libra","Scorpio","Sagittarius","Capricorn","Aquarius","Pisces"},0),12)+1),12)+1)="FULL",NOT(CALC_PlanetPositions!$B$14=CALC_D9_BhaveshMap!$G$12)),AND(TRUE(),INDEX(REF_Aspects!$D$5:$O$13,9,MOD(CALC_D9_BhaveshMap!$H$12-(MOD(MATCH(CALC_PlanetPositions!$B$15,{"Aries","Taurus","Gemini","Cancer","Leo","Virgo","Libra","Scorpio","Sagittarius","Capricorn","Aquarius","Pisces"},0)-MATCH(INPUT_Chart!$C$5,{"Aries","Taurus","Gemini","Cancer","Leo","Virgo","Libra","Scorpio","Sagittarius","Capricorn","Aquarius","Pisces"},0),12)+1),12)+1)="FULL",NOT(CALC_PlanetPositions!$B$15=CALC_D9_BhaveshMap!$G$12))),1,0),0))*-0.5,0)</f>
        <v>0</v>
      </c>
      <c r="D21" s="403" t="s">
        <v>4634</v>
      </c>
    </row>
    <row r="22" spans="1:7" ht="27.75" customHeight="1" x14ac:dyDescent="0.2">
      <c r="A22" s="121" t="s">
        <v>4635</v>
      </c>
      <c r="B22" s="357" t="s">
        <v>3042</v>
      </c>
      <c r="C22" s="1117">
        <f>IFERROR((IFERROR(IF(CALC_D9_BhaveshMap!$K$12="Yes",1,0),0))*IF(REF_Config!$B$6="KP",-1.75,IF(REF_Config!$B$6="Jaimini",-2,-2)),0)</f>
        <v>0</v>
      </c>
      <c r="D22" s="400" t="s">
        <v>4636</v>
      </c>
    </row>
    <row r="23" spans="1:7" ht="27.75" customHeight="1" x14ac:dyDescent="0.2">
      <c r="A23" s="121" t="s">
        <v>4637</v>
      </c>
      <c r="B23" s="203" t="s">
        <v>3059</v>
      </c>
      <c r="C23" s="1118">
        <f ca="1">IFERROR((IFERROR(IF(OR(AND(CALC_D9_BhaveshMap!$G$10=CALC_D9_BhaveshMap!$G$12,CALC_D9_BhaveshMap!$D$10&lt;&gt;CALC_D9_BhaveshMap!$D$12),AND(CALC_D9_BhaveshMap!$G$12=CALC_D9_BhaveshMap!$G$12,CALC_D9_BhaveshMap!$D$12&lt;&gt;CALC_D9_BhaveshMap!$D$12),AND(CALC_D9_BhaveshMap!$G$16=CALC_D9_BhaveshMap!$G$12,CALC_D9_BhaveshMap!$D$16&lt;&gt;CALC_D9_BhaveshMap!$D$12)),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IFERROR(IF(OR(CALC_D9_BhaveshMap!$D$12="Sun",CALC_D9_BhaveshMap!$D$12="Rahu",CALC_D9_BhaveshMap!$D$12="Ketu"),0,IF(CALC_D9_BhaveshMap!$D$12="Moon",IF(CALC_CombustionCheck!$G$4="Cazimi ✓",0.5,IF(CALC_CombustionCheck!$F$4="COMBUST ⚠",-1,0)),IF(CALC_D9_BhaveshMap!$D$12="Mars",IF(CALC_CombustionCheck!$G$5="Cazimi ✓",0.5,IF(AND(CALC_CombustionCheck!$F$5="COMBUST ⚠",CALC_RetrogradeFix!$F$6="Rx ✓"),-0.5,IF(CALC_CombustionCheck!$F$5="COMBUST ⚠",-1,0))),IF(CALC_D9_BhaveshMap!$D$12="Mercury",IF(CALC_CombustionCheck!$G$6="Cazimi ✓",0.5,IF(AND(CALC_CombustionCheck!$F$6="COMBUST ⚠",CALC_RetrogradeFix!$F$7="Rx ✓"),-0.5,IF(CALC_CombustionCheck!$F$6="COMBUST ⚠",-1,0))),IF(CALC_D9_BhaveshMap!$D$12="Jupiter",IF(CALC_CombustionCheck!$G$7="Cazimi ✓",0.5,IF(AND(CALC_CombustionCheck!$F$7="COMBUST ⚠",CALC_RetrogradeFix!$F$8="Rx ✓"),-0.5,IF(CALC_CombustionCheck!$F$7="COMBUST ⚠",-1,0))),IF(CALC_D9_BhaveshMap!$D$12="Venus",IF(CALC_CombustionCheck!$G$8="Cazimi ✓",0.5,IF(AND(CALC_CombustionCheck!$F$8="COMBUST ⚠",CALC_RetrogradeFix!$F$9="Rx ✓"),-0.5,IF(CALC_CombustionCheck!$F$8="COMBUST ⚠",-1,0))),IF(CALC_D9_BhaveshMap!$D$12="Saturn",IF(CALC_CombustionCheck!$G$9="Cazimi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9_BhaveshMap!$D$12="Rahu",CALC_D9_BhaveshMap!$D$12="Ketu"),0,IF(ISNUMBER(MATCH(CALC_D9_BhaveshMap!$D$12,{"Sun","Moon","Mars","Mercury","Jupiter","Venus","Saturn"},0)),IF(INDEX(CALC_DigBala!$F$4:$F$10,MATCH(CALC_D9_BhaveshMap!$D$12,{"Sun","Moon","Mars","Mercury","Jupiter","Venus","Saturn"},0))="Yes",0.5,0),0)),0)</f>
        <v>0</v>
      </c>
      <c r="D28" s="400" t="s">
        <v>4647</v>
      </c>
    </row>
    <row r="29" spans="1:7" ht="27.75" customHeight="1" x14ac:dyDescent="0.2">
      <c r="A29" s="1120" t="s">
        <v>4648</v>
      </c>
      <c r="B29" s="296" t="s">
        <v>3372</v>
      </c>
      <c r="C29" s="1117">
        <f ca="1">IFERROR(IF(COUNTIFS(REF_PushkaraNavamsha!$A$4:$A$27,CALC_D9_BhaveshMap!$G$12,REF_PushkaraNavamsha!$B$4:$B$27,INDEX(CALC_PlanetPositions!$G$7:$G$15,MATCH(CALC_D9_BhaveshMap!$D$12,CALC_PlanetPositions!$A$7:$A$15,0)))&gt;0,0.5,0),0)</f>
        <v>0</v>
      </c>
      <c r="D29" s="400" t="s">
        <v>4649</v>
      </c>
    </row>
    <row r="30" spans="1:7" ht="25.5" customHeight="1" x14ac:dyDescent="0.2">
      <c r="A30" s="147" t="s">
        <v>4650</v>
      </c>
      <c r="B30" s="1121" t="s">
        <v>4651</v>
      </c>
      <c r="C30" s="1122">
        <f>IFERROR(IF(ISNUMBER(MATCH(CALC_D9_BhaveshMap!$D$12,{"Sun","Moon","Mars","Mercury","Jupiter","Venus","Saturn"},0)),INDEX(CALC_RetrogradeFix!$G$4:$G$10,MATCH(CALC_D9_BhaveshMap!$D$12,{"Sun","Moon","Mars","Mercury","Jupiter","Venus","Saturn"},0)),0),0)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-2</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-2.5</v>
      </c>
      <c r="D37" s="1129"/>
    </row>
    <row r="38" spans="1:4" ht="21.75" customHeight="1" x14ac:dyDescent="0.2">
      <c r="A38" s="89" t="s">
        <v>4661</v>
      </c>
      <c r="B38" s="1129"/>
      <c r="C38" s="1131">
        <f ca="1">IFERROR(MAX(-10,MIN(10,C37)),0)</f>
        <v>-2.5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-2.5</v>
      </c>
      <c r="D40" s="1136" t="str">
        <f ca="1">IFERROR(IF(C40&gt;=7,"Excellent — Self domain very strong",IF(C40&gt;=4,"Good — Self domain strong",IF(C40&gt;=1,"Moderate",IF(C40&gt;=-2,"Mixed — Self has challenges",IF(C40&gt;=-5,"Weak","Very weak — Self heavily afflicted"))))),"—")</f>
        <v>Weak</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4740</v>
      </c>
      <c r="B1" s="1518"/>
      <c r="C1" s="1518"/>
      <c r="D1" s="1518"/>
      <c r="L1" s="544" t="s">
        <v>2214</v>
      </c>
    </row>
    <row r="2" spans="1:12" ht="19.5" customHeight="1" x14ac:dyDescent="0.2">
      <c r="A2" s="1595" t="str">
        <f>IFERROR("D9 Lagna: "&amp;CALC_D9_BhaveshMap!$C$5&amp;"  ·  H9 — Fortune","← Enter chart")</f>
        <v>D9 Lagna: Pisces  ·  H9 — Fortune</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IFERROR((IFERROR(IF(INDEX(REF_Zodiac!$D$17:$O$17,MATCH(CALC_D9_BhaveshMap!$C$13,REF_Zodiac!$D$3:$O$3,0))="Gentle",1,0),0))*0.5,0)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IFERROR(IF(AND(OR(CALC_D9_BhaveshMap!$I$13="Yes",CALC_D9_BhaveshMap!$J$13="Yes"),NOT(CALC_D9_BhaveshMap!$K$13="Yes")),1,0)*IF(REF_Config!$B$6="KP",1.5,IF(REF_Config!$B$6="Jaimini",1.5,2)),0)</f>
        <v>0</v>
      </c>
      <c r="D9" s="403" t="s">
        <v>4612</v>
      </c>
    </row>
    <row r="10" spans="1:12" ht="27.75" customHeight="1" x14ac:dyDescent="0.2">
      <c r="A10" s="121" t="s">
        <v>4613</v>
      </c>
      <c r="B10" s="357" t="s">
        <v>3093</v>
      </c>
      <c r="C10" s="1117">
        <f ca="1">IFERROR((IFERROR(IF(OR(AND(CALC_D9_BhaveshMap!$G$13=CALC_D9_BhaveshMap!$G$13,CALC_D9_BhaveshMap!$D$13&lt;&gt;CALC_D9_BhaveshMap!$D$13),AND(CALC_D9_BhaveshMap!$G$8=CALC_D9_BhaveshMap!$G$13,CALC_D9_BhaveshMap!$D$8&lt;&gt;CALC_D9_BhaveshMap!$D$13),AND(CALC_D9_BhaveshMap!$G$9=CALC_D9_BhaveshMap!$G$13,CALC_D9_BhaveshMap!$D$9&lt;&gt;CALC_D9_BhaveshMap!$D$13),AND(CALC_D9_BhaveshMap!$G$11=CALC_D9_BhaveshMap!$G$13,CALC_D9_BhaveshMap!$D$11&lt;&gt;CALC_D9_BhaveshMap!$D$13),AND(CALC_D9_BhaveshMap!$G$13=CALC_D9_BhaveshMap!$G$13,CALC_D9_BhaveshMap!$D$13&lt;&gt;CALC_D9_BhaveshMap!$D$13),AND(CALC_D9_BhaveshMap!$G$14=CALC_D9_BhaveshMap!$G$13,CALC_D9_BhaveshMap!$D$14&lt;&gt;CALC_D9_BhaveshMap!$D$13)),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$13,CALC_D9_BhaveshMap!$D$13&lt;&gt;"Sun"),AND(OR(CALC_PlanetPositions!$M$8="Benefic",CALC_PlanetPositions!$M$8="Yogakaraka"),CALC_PlanetPositions!$B$8=CALC_D9_BhaveshMap!$G$13,CALC_D9_BhaveshMap!$D$13&lt;&gt;"Moon"),AND(OR(CALC_PlanetPositions!$M$9="Benefic",CALC_PlanetPositions!$M$9="Yogakaraka"),CALC_PlanetPositions!$B$9=CALC_D9_BhaveshMap!$G$13,CALC_D9_BhaveshMap!$D$13&lt;&gt;"Mars"),AND(OR(CALC_PlanetPositions!$M$10="Benefic",CALC_PlanetPositions!$M$10="Yogakaraka"),CALC_PlanetPositions!$B$10=CALC_D9_BhaveshMap!$G$13,CALC_D9_BhaveshMap!$D$13&lt;&gt;"Mercury"),AND(OR(CALC_PlanetPositions!$M$11="Benefic",CALC_PlanetPositions!$M$11="Yogakaraka"),CALC_PlanetPositions!$B$11=CALC_D9_BhaveshMap!$G$13,CALC_D9_BhaveshMap!$D$13&lt;&gt;"Jupiter"),AND(OR(CALC_PlanetPositions!$M$12="Benefic",CALC_PlanetPositions!$M$12="Yogakaraka"),CALC_PlanetPositions!$B$12=CALC_D9_BhaveshMap!$G$13,CALC_D9_BhaveshMap!$D$13&lt;&gt;"Venus"),AND(OR(CALC_PlanetPositions!$M$13="Benefic",CALC_PlanetPositions!$M$13="Yogakaraka"),CALC_PlanetPositions!$B$13=CALC_D9_BhaveshMap!$G$13,CALC_D9_BhaveshMap!$D$13&lt;&gt;"Saturn")),1,0),0))*IF(OR(AND(CALC_PlanetPositions!$M$7="Yogakaraka",CALC_PlanetPositions!$B$7=CALC_D9_BhaveshMap!$G$13,CALC_D9_BhaveshMap!$D$13&lt;&gt;"Sun"),AND(CALC_PlanetPositions!$M$8="Yogakaraka",CALC_PlanetPositions!$B$8=CALC_D9_BhaveshMap!$G$13,CALC_D9_BhaveshMap!$D$13&lt;&gt;"Moon"),AND(CALC_PlanetPositions!$M$9="Yogakaraka",CALC_PlanetPositions!$B$9=CALC_D9_BhaveshMap!$G$13,CALC_D9_BhaveshMap!$D$13&lt;&gt;"Mars"),AND(CALC_PlanetPositions!$M$10="Yogakaraka",CALC_PlanetPositions!$B$10=CALC_D9_BhaveshMap!$G$13,CALC_D9_BhaveshMap!$D$13&lt;&gt;"Mercury"),AND(CALC_PlanetPositions!$M$11="Yogakaraka",CALC_PlanetPositions!$B$11=CALC_D9_BhaveshMap!$G$13,CALC_D9_BhaveshMap!$D$13&lt;&gt;"Jupiter"),AND(CALC_PlanetPositions!$M$12="Yogakaraka",CALC_PlanetPositions!$B$12=CALC_D9_BhaveshMap!$G$13,CALC_D9_BhaveshMap!$D$13&lt;&gt;"Venus"),AND(CALC_PlanetPositions!$M$13="Yogakaraka",CALC_PlanetPositions!$B$13=CALC_D9_BhaveshMap!$G$13,CALC_D9_BhaveshMap!$D$13&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$13-(MOD(MATCH(CALC_PlanetPositions!$B$7,{"Aries","Taurus","Gemini","Cancer","Leo","Virgo","Libra","Scorpio","Sagittarius","Capricorn","Aquarius","Pisces"},0)-MATCH(INPUT_Chart!$C$5,{"Aries","Taurus","Gemini","Cancer","Leo","Virgo","Libra","Scorpio","Sagittarius","Capricorn","Aquarius","Pisces"},0),12)+1),12)+1)="FULL",NOT(CALC_PlanetPositions!$B$7=CALC_D9_BhaveshMap!$G$13)),AND(OR(CALC_PlanetPositions!$M$8="Benefic",CALC_PlanetPositions!$M$8="Yogakaraka"),INDEX(REF_Aspects!$D$5:$O$13,2,MOD(CALC_D9_BhaveshMap!$H$13-(MOD(MATCH(CALC_PlanetPositions!$B$8,{"Aries","Taurus","Gemini","Cancer","Leo","Virgo","Libra","Scorpio","Sagittarius","Capricorn","Aquarius","Pisces"},0)-MATCH(INPUT_Chart!$C$5,{"Aries","Taurus","Gemini","Cancer","Leo","Virgo","Libra","Scorpio","Sagittarius","Capricorn","Aquarius","Pisces"},0),12)+1),12)+1)="FULL",NOT(CALC_PlanetPositions!$B$8=CALC_D9_BhaveshMap!$G$13)),AND(OR(CALC_PlanetPositions!$M$9="Benefic",CALC_PlanetPositions!$M$9="Yogakaraka"),INDEX(REF_Aspects!$D$5:$O$13,3,MOD(CALC_D9_BhaveshMap!$H$13-(MOD(MATCH(CALC_PlanetPositions!$B$9,{"Aries","Taurus","Gemini","Cancer","Leo","Virgo","Libra","Scorpio","Sagittarius","Capricorn","Aquarius","Pisces"},0)-MATCH(INPUT_Chart!$C$5,{"Aries","Taurus","Gemini","Cancer","Leo","Virgo","Libra","Scorpio","Sagittarius","Capricorn","Aquarius","Pisces"},0),12)+1),12)+1)="FULL",NOT(CALC_PlanetPositions!$B$9=CALC_D9_BhaveshMap!$G$13)),AND(OR(CALC_PlanetPositions!$M$10="Benefic",CALC_PlanetPositions!$M$10="Yogakaraka"),INDEX(REF_Aspects!$D$5:$O$13,4,MOD(CALC_D9_BhaveshMap!$H$13-(MOD(MATCH(CALC_PlanetPositions!$B$10,{"Aries","Taurus","Gemini","Cancer","Leo","Virgo","Libra","Scorpio","Sagittarius","Capricorn","Aquarius","Pisces"},0)-MATCH(INPUT_Chart!$C$5,{"Aries","Taurus","Gemini","Cancer","Leo","Virgo","Libra","Scorpio","Sagittarius","Capricorn","Aquarius","Pisces"},0),12)+1),12)+1)="FULL",NOT(CALC_PlanetPositions!$B$10=CALC_D9_BhaveshMap!$G$13)),AND(OR(CALC_PlanetPositions!$M$11="Benefic",CALC_PlanetPositions!$M$11="Yogakaraka"),INDEX(REF_Aspects!$D$5:$O$13,5,MOD(CALC_D9_BhaveshMap!$H$13-(MOD(MATCH(CALC_PlanetPositions!$B$11,{"Aries","Taurus","Gemini","Cancer","Leo","Virgo","Libra","Scorpio","Sagittarius","Capricorn","Aquarius","Pisces"},0)-MATCH(INPUT_Chart!$C$5,{"Aries","Taurus","Gemini","Cancer","Leo","Virgo","Libra","Scorpio","Sagittarius","Capricorn","Aquarius","Pisces"},0),12)+1),12)+1)="FULL",NOT(CALC_PlanetPositions!$B$11=CALC_D9_BhaveshMap!$G$13)),AND(OR(CALC_PlanetPositions!$M$12="Benefic",CALC_PlanetPositions!$M$12="Yogakaraka"),INDEX(REF_Aspects!$D$5:$O$13,6,MOD(CALC_D9_BhaveshMap!$H$13-(MOD(MATCH(CALC_PlanetPositions!$B$12,{"Aries","Taurus","Gemini","Cancer","Leo","Virgo","Libra","Scorpio","Sagittarius","Capricorn","Aquarius","Pisces"},0)-MATCH(INPUT_Chart!$C$5,{"Aries","Taurus","Gemini","Cancer","Leo","Virgo","Libra","Scorpio","Sagittarius","Capricorn","Aquarius","Pisces"},0),12)+1),12)+1)="FULL",NOT(CALC_PlanetPositions!$B$12=CALC_D9_BhaveshMap!$G$13)),AND(OR(CALC_PlanetPositions!$M$13="Benefic",CALC_PlanetPositions!$M$13="Yogakaraka"),INDEX(REF_Aspects!$D$5:$O$13,7,MOD(CALC_D9_BhaveshMap!$H$13-(MOD(MATCH(CALC_PlanetPositions!$B$13,{"Aries","Taurus","Gemini","Cancer","Leo","Virgo","Libra","Scorpio","Sagittarius","Capricorn","Aquarius","Pisces"},0)-MATCH(INPUT_Chart!$C$5,{"Aries","Taurus","Gemini","Cancer","Leo","Virgo","Libra","Scorpio","Sagittarius","Capricorn","Aquarius","Pisces"},0),12)+1),12)+1)="FULL",NOT(CALC_PlanetPositions!$B$13=CALC_D9_BhaveshMap!$G$13)),AND(FALSE(),INDEX(REF_Aspects!$D$5:$O$13,8,MOD(CALC_D9_BhaveshMap!$H$13-(MOD(MATCH(CALC_PlanetPositions!$B$14,{"Aries","Taurus","Gemini","Cancer","Leo","Virgo","Libra","Scorpio","Sagittarius","Capricorn","Aquarius","Pisces"},0)-MATCH(INPUT_Chart!$C$5,{"Aries","Taurus","Gemini","Cancer","Leo","Virgo","Libra","Scorpio","Sagittarius","Capricorn","Aquarius","Pisces"},0),12)+1),12)+1)="FULL",NOT(CALC_PlanetPositions!$B$14=CALC_D9_BhaveshMap!$G$13)),AND(FALSE(),INDEX(REF_Aspects!$D$5:$O$13,9,MOD(CALC_D9_BhaveshMap!$H$13-(MOD(MATCH(CALC_PlanetPositions!$B$15,{"Aries","Taurus","Gemini","Cancer","Leo","Virgo","Libra","Scorpio","Sagittarius","Capricorn","Aquarius","Pisces"},0)-MATCH(INPUT_Chart!$C$5,{"Aries","Taurus","Gemini","Cancer","Leo","Virgo","Libra","Scorpio","Sagittarius","Capricorn","Aquarius","Pisces"},0),12)+1),12)+1)="FULL",NOT(CALC_PlanetPositions!$B$15=CALC_D9_BhaveshMap!$G$13))),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$13-2,12)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$13-2,12)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$13-2,12)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$13-2,12)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$13-2,12)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$13-2,12)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$13-2,12)+1)),AND(FALSE(),MOD(MATCH(CALC_PlanetPositions!$B$14,{"Aries","Taurus","Gemini","Cancer","Leo","Virgo","Libra","Scorpio","Sagittarius","Capricorn","Aquarius","Pisces"},0)-MATCH(INPUT_Chart!$C$5,{"Aries","Taurus","Gemini","Cancer","Leo","Virgo","Libra","Scorpio","Sagittarius","Capricorn","Aquarius","Pisces"},0),12)+1=(MOD(CALC_D9_BhaveshMap!$H$13-2,12)+1)),AND(FALSE(),MOD(MATCH(CALC_PlanetPositions!$B$15,{"Aries","Taurus","Gemini","Cancer","Leo","Virgo","Libra","Scorpio","Sagittarius","Capricorn","Aquarius","Pisces"},0)-MATCH(INPUT_Chart!$C$5,{"Aries","Taurus","Gemini","Cancer","Leo","Virgo","Libra","Scorpio","Sagittarius","Capricorn","Aquarius","Pisces"},0),12)+1=(MOD(CALC_D9_BhaveshMap!$H$13-2,12)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$13,12)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$13,12)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$13,12)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$13,12)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$13,12)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$13,12)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$13,12)+1)),AND(FALSE(),MOD(MATCH(CALC_PlanetPositions!$B$14,{"Aries","Taurus","Gemini","Cancer","Leo","Virgo","Libra","Scorpio","Sagittarius","Capricorn","Aquarius","Pisces"},0)-MATCH(INPUT_Chart!$C$5,{"Aries","Taurus","Gemini","Cancer","Leo","Virgo","Libra","Scorpio","Sagittarius","Capricorn","Aquarius","Pisces"},0),12)+1=(MOD(CALC_D9_BhaveshMap!$H$13,12)+1)),AND(FALSE(),MOD(MATCH(CALC_PlanetPositions!$B$15,{"Aries","Taurus","Gemini","Cancer","Leo","Virgo","Libra","Scorpio","Sagittarius","Capricorn","Aquarius","Pisces"},0)-MATCH(INPUT_Chart!$C$5,{"Aries","Taurus","Gemini","Cancer","Leo","Virgo","Libra","Scorpio","Sagittarius","Capricorn","Aquarius","Pisces"},0),12)+1=(MOD(CALC_D9_BhaveshMap!$H$13,12)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$13-(MOD(MATCH(CALC_PlanetPositions!$B$7,{"Aries","Taurus","Gemini","Cancer","Leo","Virgo","Libra","Scorpio","Sagittarius","Capricorn","Aquarius","Pisces"},0)-MATCH(INPUT_Chart!$C$5,{"Aries","Taurus","Gemini","Cancer","Leo","Virgo","Libra","Scorpio","Sagittarius","Capricorn","Aquarius","Pisces"},0),12)+1),12)+1)="FULL",NOT(CALC_PlanetPositions!$B$7=CALC_D9_BhaveshMap!$G$13)),AND(CALC_PlanetPositions!$M$8="Malefic",INDEX(REF_Aspects!$D$5:$O$13,2,MOD(CALC_D9_BhaveshMap!$H$13-(MOD(MATCH(CALC_PlanetPositions!$B$8,{"Aries","Taurus","Gemini","Cancer","Leo","Virgo","Libra","Scorpio","Sagittarius","Capricorn","Aquarius","Pisces"},0)-MATCH(INPUT_Chart!$C$5,{"Aries","Taurus","Gemini","Cancer","Leo","Virgo","Libra","Scorpio","Sagittarius","Capricorn","Aquarius","Pisces"},0),12)+1),12)+1)="FULL",NOT(CALC_PlanetPositions!$B$8=CALC_D9_BhaveshMap!$G$13)),AND(CALC_PlanetPositions!$M$9="Malefic",INDEX(REF_Aspects!$D$5:$O$13,3,MOD(CALC_D9_BhaveshMap!$H$13-(MOD(MATCH(CALC_PlanetPositions!$B$9,{"Aries","Taurus","Gemini","Cancer","Leo","Virgo","Libra","Scorpio","Sagittarius","Capricorn","Aquarius","Pisces"},0)-MATCH(INPUT_Chart!$C$5,{"Aries","Taurus","Gemini","Cancer","Leo","Virgo","Libra","Scorpio","Sagittarius","Capricorn","Aquarius","Pisces"},0),12)+1),12)+1)="FULL",NOT(CALC_PlanetPositions!$B$9=CALC_D9_BhaveshMap!$G$13)),AND(CALC_PlanetPositions!$M$10="Malefic",INDEX(REF_Aspects!$D$5:$O$13,4,MOD(CALC_D9_BhaveshMap!$H$13-(MOD(MATCH(CALC_PlanetPositions!$B$10,{"Aries","Taurus","Gemini","Cancer","Leo","Virgo","Libra","Scorpio","Sagittarius","Capricorn","Aquarius","Pisces"},0)-MATCH(INPUT_Chart!$C$5,{"Aries","Taurus","Gemini","Cancer","Leo","Virgo","Libra","Scorpio","Sagittarius","Capricorn","Aquarius","Pisces"},0),12)+1),12)+1)="FULL",NOT(CALC_PlanetPositions!$B$10=CALC_D9_BhaveshMap!$G$13)),AND(CALC_PlanetPositions!$M$11="Malefic",INDEX(REF_Aspects!$D$5:$O$13,5,MOD(CALC_D9_BhaveshMap!$H$13-(MOD(MATCH(CALC_PlanetPositions!$B$11,{"Aries","Taurus","Gemini","Cancer","Leo","Virgo","Libra","Scorpio","Sagittarius","Capricorn","Aquarius","Pisces"},0)-MATCH(INPUT_Chart!$C$5,{"Aries","Taurus","Gemini","Cancer","Leo","Virgo","Libra","Scorpio","Sagittarius","Capricorn","Aquarius","Pisces"},0),12)+1),12)+1)="FULL",NOT(CALC_PlanetPositions!$B$11=CALC_D9_BhaveshMap!$G$13)),AND(CALC_PlanetPositions!$M$12="Malefic",INDEX(REF_Aspects!$D$5:$O$13,6,MOD(CALC_D9_BhaveshMap!$H$13-(MOD(MATCH(CALC_PlanetPositions!$B$12,{"Aries","Taurus","Gemini","Cancer","Leo","Virgo","Libra","Scorpio","Sagittarius","Capricorn","Aquarius","Pisces"},0)-MATCH(INPUT_Chart!$C$5,{"Aries","Taurus","Gemini","Cancer","Leo","Virgo","Libra","Scorpio","Sagittarius","Capricorn","Aquarius","Pisces"},0),12)+1),12)+1)="FULL",NOT(CALC_PlanetPositions!$B$12=CALC_D9_BhaveshMap!$G$13)),AND(CALC_PlanetPositions!$M$13="Malefic",INDEX(REF_Aspects!$D$5:$O$13,7,MOD(CALC_D9_BhaveshMap!$H$13-(MOD(MATCH(CALC_PlanetPositions!$B$13,{"Aries","Taurus","Gemini","Cancer","Leo","Virgo","Libra","Scorpio","Sagittarius","Capricorn","Aquarius","Pisces"},0)-MATCH(INPUT_Chart!$C$5,{"Aries","Taurus","Gemini","Cancer","Leo","Virgo","Libra","Scorpio","Sagittarius","Capricorn","Aquarius","Pisces"},0),12)+1),12)+1)="FULL",NOT(CALC_PlanetPositions!$B$13=CALC_D9_BhaveshMap!$G$13)),AND(TRUE(),INDEX(REF_Aspects!$D$5:$O$13,8,MOD(CALC_D9_BhaveshMap!$H$13-(MOD(MATCH(CALC_PlanetPositions!$B$14,{"Aries","Taurus","Gemini","Cancer","Leo","Virgo","Libra","Scorpio","Sagittarius","Capricorn","Aquarius","Pisces"},0)-MATCH(INPUT_Chart!$C$5,{"Aries","Taurus","Gemini","Cancer","Leo","Virgo","Libra","Scorpio","Sagittarius","Capricorn","Aquarius","Pisces"},0),12)+1),12)+1)="FULL",NOT(CALC_PlanetPositions!$B$14=CALC_D9_BhaveshMap!$G$13)),AND(TRUE(),INDEX(REF_Aspects!$D$5:$O$13,9,MOD(CALC_D9_BhaveshMap!$H$13-(MOD(MATCH(CALC_PlanetPositions!$B$15,{"Aries","Taurus","Gemini","Cancer","Leo","Virgo","Libra","Scorpio","Sagittarius","Capricorn","Aquarius","Pisces"},0)-MATCH(INPUT_Chart!$C$5,{"Aries","Taurus","Gemini","Cancer","Leo","Virgo","Libra","Scorpio","Sagittarius","Capricorn","Aquarius","Pisces"},0),12)+1),12)+1)="FULL",NOT(CALC_PlanetPositions!$B$15=CALC_D9_BhaveshMap!$G$13))),1,0),0))*-0.5,0)</f>
        <v>0</v>
      </c>
      <c r="D21" s="403" t="s">
        <v>4634</v>
      </c>
    </row>
    <row r="22" spans="1:7" ht="27.75" customHeight="1" x14ac:dyDescent="0.2">
      <c r="A22" s="121" t="s">
        <v>4635</v>
      </c>
      <c r="B22" s="357" t="s">
        <v>3042</v>
      </c>
      <c r="C22" s="1117">
        <f>IFERROR((IFERROR(IF(CALC_D9_BhaveshMap!$K$13="Yes",1,0),0))*IF(REF_Config!$B$6="KP",-1.75,IF(REF_Config!$B$6="Jaimini",-2,-2)),0)</f>
        <v>0</v>
      </c>
      <c r="D22" s="400" t="s">
        <v>4636</v>
      </c>
    </row>
    <row r="23" spans="1:7" ht="27.75" customHeight="1" x14ac:dyDescent="0.2">
      <c r="A23" s="121" t="s">
        <v>4637</v>
      </c>
      <c r="B23" s="203" t="s">
        <v>3059</v>
      </c>
      <c r="C23" s="1118">
        <f ca="1">IFERROR((IFERROR(IF(OR(AND(CALC_D9_BhaveshMap!$G$10=CALC_D9_BhaveshMap!$G$13,CALC_D9_BhaveshMap!$D$10&lt;&gt;CALC_D9_BhaveshMap!$D$13),AND(CALC_D9_BhaveshMap!$G$12=CALC_D9_BhaveshMap!$G$13,CALC_D9_BhaveshMap!$D$12&lt;&gt;CALC_D9_BhaveshMap!$D$13),AND(CALC_D9_BhaveshMap!$G$16=CALC_D9_BhaveshMap!$G$13,CALC_D9_BhaveshMap!$D$16&lt;&gt;CALC_D9_BhaveshMap!$D$13)),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IFERROR(IF(OR(CALC_D9_BhaveshMap!$D$13="Sun",CALC_D9_BhaveshMap!$D$13="Rahu",CALC_D9_BhaveshMap!$D$13="Ketu"),0,IF(CALC_D9_BhaveshMap!$D$13="Moon",IF(CALC_CombustionCheck!$G$4="Cazimi ✓",0.5,IF(CALC_CombustionCheck!$F$4="COMBUST ⚠",-1,0)),IF(CALC_D9_BhaveshMap!$D$13="Mars",IF(CALC_CombustionCheck!$G$5="Cazimi ✓",0.5,IF(AND(CALC_CombustionCheck!$F$5="COMBUST ⚠",CALC_RetrogradeFix!$F$6="Rx ✓"),-0.5,IF(CALC_CombustionCheck!$F$5="COMBUST ⚠",-1,0))),IF(CALC_D9_BhaveshMap!$D$13="Mercury",IF(CALC_CombustionCheck!$G$6="Cazimi ✓",0.5,IF(AND(CALC_CombustionCheck!$F$6="COMBUST ⚠",CALC_RetrogradeFix!$F$7="Rx ✓"),-0.5,IF(CALC_CombustionCheck!$F$6="COMBUST ⚠",-1,0))),IF(CALC_D9_BhaveshMap!$D$13="Jupiter",IF(CALC_CombustionCheck!$G$7="Cazimi ✓",0.5,IF(AND(CALC_CombustionCheck!$F$7="COMBUST ⚠",CALC_RetrogradeFix!$F$8="Rx ✓"),-0.5,IF(CALC_CombustionCheck!$F$7="COMBUST ⚠",-1,0))),IF(CALC_D9_BhaveshMap!$D$13="Venus",IF(CALC_CombustionCheck!$G$8="Cazimi ✓",0.5,IF(AND(CALC_CombustionCheck!$F$8="COMBUST ⚠",CALC_RetrogradeFix!$F$9="Rx ✓"),-0.5,IF(CALC_CombustionCheck!$F$8="COMBUST ⚠",-1,0))),IF(CALC_D9_BhaveshMap!$D$13="Saturn",IF(CALC_CombustionCheck!$G$9="Cazimi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$13="Rahu",CALC_D9_BhaveshMap!$D$13="Ketu"),0,IF(ISNUMBER(MATCH(CALC_D9_BhaveshMap!$D$13,{"Sun","Moon","Mars","Mercury","Jupiter","Venus","Saturn"},0)),IF(INDEX(CALC_DigBala!$F$4:$F$10,MATCH(CALC_D9_BhaveshMap!$D$13,{"Sun","Moon","Mars","Mercury","Jupiter","Venus","Saturn"},0))="Yes",0.5,0),0)),0)</f>
        <v>0</v>
      </c>
      <c r="D28" s="400" t="s">
        <v>4647</v>
      </c>
    </row>
    <row r="29" spans="1:7" ht="27.75" customHeight="1" x14ac:dyDescent="0.2">
      <c r="A29" s="1120" t="s">
        <v>4648</v>
      </c>
      <c r="B29" s="296" t="s">
        <v>3372</v>
      </c>
      <c r="C29" s="1117">
        <f ca="1">IFERROR(IF(COUNTIFS(REF_PushkaraNavamsha!$A$4:$A$27,CALC_D9_BhaveshMap!$G$13,REF_PushkaraNavamsha!$B$4:$B$27,INDEX(CALC_PlanetPositions!$G$7:$G$15,MATCH(CALC_D9_BhaveshMap!$D$13,CALC_PlanetPositions!$A$7:$A$15,0)))&gt;0,0.5,0),0)</f>
        <v>0</v>
      </c>
      <c r="D29" s="400" t="s">
        <v>4649</v>
      </c>
    </row>
    <row r="30" spans="1:7" ht="25.5" customHeight="1" x14ac:dyDescent="0.2">
      <c r="A30" s="147" t="s">
        <v>4650</v>
      </c>
      <c r="B30" s="1121" t="s">
        <v>4651</v>
      </c>
      <c r="C30" s="1122">
        <f>IFERROR(IF(ISNUMBER(MATCH(CALC_D9_BhaveshMap!$D$13,{"Sun","Moon","Mars","Mercury","Jupiter","Venus","Saturn"},0)),INDEX(CALC_RetrogradeFix!$G$4:$G$10,MATCH(CALC_D9_BhaveshMap!$D$13,{"Sun","Moon","Mars","Mercury","Jupiter","Venus","Saturn"},0)),0),0)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v>
      </c>
      <c r="D37" s="1129"/>
    </row>
    <row r="38" spans="1:4" ht="21.75" customHeight="1" x14ac:dyDescent="0.2">
      <c r="A38" s="89" t="s">
        <v>4661</v>
      </c>
      <c r="B38" s="1129"/>
      <c r="C38" s="1131">
        <f ca="1">IFERROR(MAX(-10,MIN(10,C37)),0)</f>
        <v>-2</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-1.8</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4735</v>
      </c>
      <c r="B41" s="1129"/>
      <c r="C41" s="470">
        <v>0.2</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4741</v>
      </c>
      <c r="B1" s="1518"/>
      <c r="C1" s="1518"/>
      <c r="D1" s="1518"/>
      <c r="L1" s="544" t="s">
        <v>2214</v>
      </c>
    </row>
    <row r="2" spans="1:12" ht="19.5" customHeight="1" x14ac:dyDescent="0.2">
      <c r="A2" s="1595" t="str">
        <f>IFERROR("D9 Lagna: "&amp;CALC_D9_BhaveshMap!$C$5&amp;"  ·  H10 — Career","← Enter chart")</f>
        <v>D9 Lagna: Pisces  ·  H10 — Career</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IFERROR((IFERROR(IF(INDEX(REF_Zodiac!$D$17:$O$17,MATCH(CALC_D9_BhaveshMap!$C$14,REF_Zodiac!$D$3:$O$3,0))="Gentle",1,0),0))*0.5,0)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IFERROR(IF(AND(OR(CALC_D9_BhaveshMap!$I$14="Yes",CALC_D9_BhaveshMap!$J$14="Yes"),NOT(CALC_D9_BhaveshMap!$K$14="Yes")),1,0)*IF(REF_Config!$B$6="KP",1.5,IF(REF_Config!$B$6="Jaimini",1.5,2)),0)</f>
        <v>0</v>
      </c>
      <c r="D9" s="403" t="s">
        <v>4612</v>
      </c>
    </row>
    <row r="10" spans="1:12" ht="27.75" customHeight="1" x14ac:dyDescent="0.2">
      <c r="A10" s="121" t="s">
        <v>4613</v>
      </c>
      <c r="B10" s="357" t="s">
        <v>3093</v>
      </c>
      <c r="C10" s="1117">
        <f ca="1">IFERROR((IFERROR(IF(OR(AND(CALC_D9_BhaveshMap!$G$14=CALC_D9_BhaveshMap!$G$14,CALC_D9_BhaveshMap!$D$14&lt;&gt;CALC_D9_BhaveshMap!$D$14),AND(CALC_D9_BhaveshMap!$G$8=CALC_D9_BhaveshMap!$G$14,CALC_D9_BhaveshMap!$D$8&lt;&gt;CALC_D9_BhaveshMap!$D$14),AND(CALC_D9_BhaveshMap!$G$9=CALC_D9_BhaveshMap!$G$14,CALC_D9_BhaveshMap!$D$9&lt;&gt;CALC_D9_BhaveshMap!$D$14),AND(CALC_D9_BhaveshMap!$G$11=CALC_D9_BhaveshMap!$G$14,CALC_D9_BhaveshMap!$D$11&lt;&gt;CALC_D9_BhaveshMap!$D$14),AND(CALC_D9_BhaveshMap!$G$13=CALC_D9_BhaveshMap!$G$14,CALC_D9_BhaveshMap!$D$13&lt;&gt;CALC_D9_BhaveshMap!$D$14),AND(CALC_D9_BhaveshMap!$G$14=CALC_D9_BhaveshMap!$G$14,CALC_D9_BhaveshMap!$D$14&lt;&gt;CALC_D9_BhaveshMap!$D$14)),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$14,CALC_D9_BhaveshMap!$D$14&lt;&gt;"Sun"),AND(OR(CALC_PlanetPositions!$M$8="Benefic",CALC_PlanetPositions!$M$8="Yogakaraka"),CALC_PlanetPositions!$B$8=CALC_D9_BhaveshMap!$G$14,CALC_D9_BhaveshMap!$D$14&lt;&gt;"Moon"),AND(OR(CALC_PlanetPositions!$M$9="Benefic",CALC_PlanetPositions!$M$9="Yogakaraka"),CALC_PlanetPositions!$B$9=CALC_D9_BhaveshMap!$G$14,CALC_D9_BhaveshMap!$D$14&lt;&gt;"Mars"),AND(OR(CALC_PlanetPositions!$M$10="Benefic",CALC_PlanetPositions!$M$10="Yogakaraka"),CALC_PlanetPositions!$B$10=CALC_D9_BhaveshMap!$G$14,CALC_D9_BhaveshMap!$D$14&lt;&gt;"Mercury"),AND(OR(CALC_PlanetPositions!$M$11="Benefic",CALC_PlanetPositions!$M$11="Yogakaraka"),CALC_PlanetPositions!$B$11=CALC_D9_BhaveshMap!$G$14,CALC_D9_BhaveshMap!$D$14&lt;&gt;"Jupiter"),AND(OR(CALC_PlanetPositions!$M$12="Benefic",CALC_PlanetPositions!$M$12="Yogakaraka"),CALC_PlanetPositions!$B$12=CALC_D9_BhaveshMap!$G$14,CALC_D9_BhaveshMap!$D$14&lt;&gt;"Venus"),AND(OR(CALC_PlanetPositions!$M$13="Benefic",CALC_PlanetPositions!$M$13="Yogakaraka"),CALC_PlanetPositions!$B$13=CALC_D9_BhaveshMap!$G$14,CALC_D9_BhaveshMap!$D$14&lt;&gt;"Saturn")),1,0),0))*IF(OR(AND(CALC_PlanetPositions!$M$7="Yogakaraka",CALC_PlanetPositions!$B$7=CALC_D9_BhaveshMap!$G$14,CALC_D9_BhaveshMap!$D$14&lt;&gt;"Sun"),AND(CALC_PlanetPositions!$M$8="Yogakaraka",CALC_PlanetPositions!$B$8=CALC_D9_BhaveshMap!$G$14,CALC_D9_BhaveshMap!$D$14&lt;&gt;"Moon"),AND(CALC_PlanetPositions!$M$9="Yogakaraka",CALC_PlanetPositions!$B$9=CALC_D9_BhaveshMap!$G$14,CALC_D9_BhaveshMap!$D$14&lt;&gt;"Mars"),AND(CALC_PlanetPositions!$M$10="Yogakaraka",CALC_PlanetPositions!$B$10=CALC_D9_BhaveshMap!$G$14,CALC_D9_BhaveshMap!$D$14&lt;&gt;"Mercury"),AND(CALC_PlanetPositions!$M$11="Yogakaraka",CALC_PlanetPositions!$B$11=CALC_D9_BhaveshMap!$G$14,CALC_D9_BhaveshMap!$D$14&lt;&gt;"Jupiter"),AND(CALC_PlanetPositions!$M$12="Yogakaraka",CALC_PlanetPositions!$B$12=CALC_D9_BhaveshMap!$G$14,CALC_D9_BhaveshMap!$D$14&lt;&gt;"Venus"),AND(CALC_PlanetPositions!$M$13="Yogakaraka",CALC_PlanetPositions!$B$13=CALC_D9_BhaveshMap!$G$14,CALC_D9_BhaveshMap!$D$14&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$14-(MOD(MATCH(CALC_PlanetPositions!$B$7,{"Aries","Taurus","Gemini","Cancer","Leo","Virgo","Libra","Scorpio","Sagittarius","Capricorn","Aquarius","Pisces"},0)-MATCH(INPUT_Chart!$C$5,{"Aries","Taurus","Gemini","Cancer","Leo","Virgo","Libra","Scorpio","Sagittarius","Capricorn","Aquarius","Pisces"},0),12)+1),12)+1)="FULL",NOT(CALC_PlanetPositions!$B$7=CALC_D9_BhaveshMap!$G$14)),AND(OR(CALC_PlanetPositions!$M$8="Benefic",CALC_PlanetPositions!$M$8="Yogakaraka"),INDEX(REF_Aspects!$D$5:$O$13,2,MOD(CALC_D9_BhaveshMap!$H$14-(MOD(MATCH(CALC_PlanetPositions!$B$8,{"Aries","Taurus","Gemini","Cancer","Leo","Virgo","Libra","Scorpio","Sagittarius","Capricorn","Aquarius","Pisces"},0)-MATCH(INPUT_Chart!$C$5,{"Aries","Taurus","Gemini","Cancer","Leo","Virgo","Libra","Scorpio","Sagittarius","Capricorn","Aquarius","Pisces"},0),12)+1),12)+1)="FULL",NOT(CALC_PlanetPositions!$B$8=CALC_D9_BhaveshMap!$G$14)),AND(OR(CALC_PlanetPositions!$M$9="Benefic",CALC_PlanetPositions!$M$9="Yogakaraka"),INDEX(REF_Aspects!$D$5:$O$13,3,MOD(CALC_D9_BhaveshMap!$H$14-(MOD(MATCH(CALC_PlanetPositions!$B$9,{"Aries","Taurus","Gemini","Cancer","Leo","Virgo","Libra","Scorpio","Sagittarius","Capricorn","Aquarius","Pisces"},0)-MATCH(INPUT_Chart!$C$5,{"Aries","Taurus","Gemini","Cancer","Leo","Virgo","Libra","Scorpio","Sagittarius","Capricorn","Aquarius","Pisces"},0),12)+1),12)+1)="FULL",NOT(CALC_PlanetPositions!$B$9=CALC_D9_BhaveshMap!$G$14)),AND(OR(CALC_PlanetPositions!$M$10="Benefic",CALC_PlanetPositions!$M$10="Yogakaraka"),INDEX(REF_Aspects!$D$5:$O$13,4,MOD(CALC_D9_BhaveshMap!$H$14-(MOD(MATCH(CALC_PlanetPositions!$B$10,{"Aries","Taurus","Gemini","Cancer","Leo","Virgo","Libra","Scorpio","Sagittarius","Capricorn","Aquarius","Pisces"},0)-MATCH(INPUT_Chart!$C$5,{"Aries","Taurus","Gemini","Cancer","Leo","Virgo","Libra","Scorpio","Sagittarius","Capricorn","Aquarius","Pisces"},0),12)+1),12)+1)="FULL",NOT(CALC_PlanetPositions!$B$10=CALC_D9_BhaveshMap!$G$14)),AND(OR(CALC_PlanetPositions!$M$11="Benefic",CALC_PlanetPositions!$M$11="Yogakaraka"),INDEX(REF_Aspects!$D$5:$O$13,5,MOD(CALC_D9_BhaveshMap!$H$14-(MOD(MATCH(CALC_PlanetPositions!$B$11,{"Aries","Taurus","Gemini","Cancer","Leo","Virgo","Libra","Scorpio","Sagittarius","Capricorn","Aquarius","Pisces"},0)-MATCH(INPUT_Chart!$C$5,{"Aries","Taurus","Gemini","Cancer","Leo","Virgo","Libra","Scorpio","Sagittarius","Capricorn","Aquarius","Pisces"},0),12)+1),12)+1)="FULL",NOT(CALC_PlanetPositions!$B$11=CALC_D9_BhaveshMap!$G$14)),AND(OR(CALC_PlanetPositions!$M$12="Benefic",CALC_PlanetPositions!$M$12="Yogakaraka"),INDEX(REF_Aspects!$D$5:$O$13,6,MOD(CALC_D9_BhaveshMap!$H$14-(MOD(MATCH(CALC_PlanetPositions!$B$12,{"Aries","Taurus","Gemini","Cancer","Leo","Virgo","Libra","Scorpio","Sagittarius","Capricorn","Aquarius","Pisces"},0)-MATCH(INPUT_Chart!$C$5,{"Aries","Taurus","Gemini","Cancer","Leo","Virgo","Libra","Scorpio","Sagittarius","Capricorn","Aquarius","Pisces"},0),12)+1),12)+1)="FULL",NOT(CALC_PlanetPositions!$B$12=CALC_D9_BhaveshMap!$G$14)),AND(OR(CALC_PlanetPositions!$M$13="Benefic",CALC_PlanetPositions!$M$13="Yogakaraka"),INDEX(REF_Aspects!$D$5:$O$13,7,MOD(CALC_D9_BhaveshMap!$H$14-(MOD(MATCH(CALC_PlanetPositions!$B$13,{"Aries","Taurus","Gemini","Cancer","Leo","Virgo","Libra","Scorpio","Sagittarius","Capricorn","Aquarius","Pisces"},0)-MATCH(INPUT_Chart!$C$5,{"Aries","Taurus","Gemini","Cancer","Leo","Virgo","Libra","Scorpio","Sagittarius","Capricorn","Aquarius","Pisces"},0),12)+1),12)+1)="FULL",NOT(CALC_PlanetPositions!$B$13=CALC_D9_BhaveshMap!$G$14)),AND(FALSE(),INDEX(REF_Aspects!$D$5:$O$13,8,MOD(CALC_D9_BhaveshMap!$H$14-(MOD(MATCH(CALC_PlanetPositions!$B$14,{"Aries","Taurus","Gemini","Cancer","Leo","Virgo","Libra","Scorpio","Sagittarius","Capricorn","Aquarius","Pisces"},0)-MATCH(INPUT_Chart!$C$5,{"Aries","Taurus","Gemini","Cancer","Leo","Virgo","Libra","Scorpio","Sagittarius","Capricorn","Aquarius","Pisces"},0),12)+1),12)+1)="FULL",NOT(CALC_PlanetPositions!$B$14=CALC_D9_BhaveshMap!$G$14)),AND(FALSE(),INDEX(REF_Aspects!$D$5:$O$13,9,MOD(CALC_D9_BhaveshMap!$H$14-(MOD(MATCH(CALC_PlanetPositions!$B$15,{"Aries","Taurus","Gemini","Cancer","Leo","Virgo","Libra","Scorpio","Sagittarius","Capricorn","Aquarius","Pisces"},0)-MATCH(INPUT_Chart!$C$5,{"Aries","Taurus","Gemini","Cancer","Leo","Virgo","Libra","Scorpio","Sagittarius","Capricorn","Aquarius","Pisces"},0),12)+1),12)+1)="FULL",NOT(CALC_PlanetPositions!$B$15=CALC_D9_BhaveshMap!$G$14))),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$14-2,12)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$14-2,12)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$14-2,12)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$14-2,12)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$14-2,12)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$14-2,12)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$14-2,12)+1)),AND(FALSE(),MOD(MATCH(CALC_PlanetPositions!$B$14,{"Aries","Taurus","Gemini","Cancer","Leo","Virgo","Libra","Scorpio","Sagittarius","Capricorn","Aquarius","Pisces"},0)-MATCH(INPUT_Chart!$C$5,{"Aries","Taurus","Gemini","Cancer","Leo","Virgo","Libra","Scorpio","Sagittarius","Capricorn","Aquarius","Pisces"},0),12)+1=(MOD(CALC_D9_BhaveshMap!$H$14-2,12)+1)),AND(FALSE(),MOD(MATCH(CALC_PlanetPositions!$B$15,{"Aries","Taurus","Gemini","Cancer","Leo","Virgo","Libra","Scorpio","Sagittarius","Capricorn","Aquarius","Pisces"},0)-MATCH(INPUT_Chart!$C$5,{"Aries","Taurus","Gemini","Cancer","Leo","Virgo","Libra","Scorpio","Sagittarius","Capricorn","Aquarius","Pisces"},0),12)+1=(MOD(CALC_D9_BhaveshMap!$H$14-2,12)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$14,12)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$14,12)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$14,12)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$14,12)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$14,12)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$14,12)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$14,12)+1)),AND(FALSE(),MOD(MATCH(CALC_PlanetPositions!$B$14,{"Aries","Taurus","Gemini","Cancer","Leo","Virgo","Libra","Scorpio","Sagittarius","Capricorn","Aquarius","Pisces"},0)-MATCH(INPUT_Chart!$C$5,{"Aries","Taurus","Gemini","Cancer","Leo","Virgo","Libra","Scorpio","Sagittarius","Capricorn","Aquarius","Pisces"},0),12)+1=(MOD(CALC_D9_BhaveshMap!$H$14,12)+1)),AND(FALSE(),MOD(MATCH(CALC_PlanetPositions!$B$15,{"Aries","Taurus","Gemini","Cancer","Leo","Virgo","Libra","Scorpio","Sagittarius","Capricorn","Aquarius","Pisces"},0)-MATCH(INPUT_Chart!$C$5,{"Aries","Taurus","Gemini","Cancer","Leo","Virgo","Libra","Scorpio","Sagittarius","Capricorn","Aquarius","Pisces"},0),12)+1=(MOD(CALC_D9_BhaveshMap!$H$14,12)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$14-(MOD(MATCH(CALC_PlanetPositions!$B$7,{"Aries","Taurus","Gemini","Cancer","Leo","Virgo","Libra","Scorpio","Sagittarius","Capricorn","Aquarius","Pisces"},0)-MATCH(INPUT_Chart!$C$5,{"Aries","Taurus","Gemini","Cancer","Leo","Virgo","Libra","Scorpio","Sagittarius","Capricorn","Aquarius","Pisces"},0),12)+1),12)+1)="FULL",NOT(CALC_PlanetPositions!$B$7=CALC_D9_BhaveshMap!$G$14)),AND(CALC_PlanetPositions!$M$8="Malefic",INDEX(REF_Aspects!$D$5:$O$13,2,MOD(CALC_D9_BhaveshMap!$H$14-(MOD(MATCH(CALC_PlanetPositions!$B$8,{"Aries","Taurus","Gemini","Cancer","Leo","Virgo","Libra","Scorpio","Sagittarius","Capricorn","Aquarius","Pisces"},0)-MATCH(INPUT_Chart!$C$5,{"Aries","Taurus","Gemini","Cancer","Leo","Virgo","Libra","Scorpio","Sagittarius","Capricorn","Aquarius","Pisces"},0),12)+1),12)+1)="FULL",NOT(CALC_PlanetPositions!$B$8=CALC_D9_BhaveshMap!$G$14)),AND(CALC_PlanetPositions!$M$9="Malefic",INDEX(REF_Aspects!$D$5:$O$13,3,MOD(CALC_D9_BhaveshMap!$H$14-(MOD(MATCH(CALC_PlanetPositions!$B$9,{"Aries","Taurus","Gemini","Cancer","Leo","Virgo","Libra","Scorpio","Sagittarius","Capricorn","Aquarius","Pisces"},0)-MATCH(INPUT_Chart!$C$5,{"Aries","Taurus","Gemini","Cancer","Leo","Virgo","Libra","Scorpio","Sagittarius","Capricorn","Aquarius","Pisces"},0),12)+1),12)+1)="FULL",NOT(CALC_PlanetPositions!$B$9=CALC_D9_BhaveshMap!$G$14)),AND(CALC_PlanetPositions!$M$10="Malefic",INDEX(REF_Aspects!$D$5:$O$13,4,MOD(CALC_D9_BhaveshMap!$H$14-(MOD(MATCH(CALC_PlanetPositions!$B$10,{"Aries","Taurus","Gemini","Cancer","Leo","Virgo","Libra","Scorpio","Sagittarius","Capricorn","Aquarius","Pisces"},0)-MATCH(INPUT_Chart!$C$5,{"Aries","Taurus","Gemini","Cancer","Leo","Virgo","Libra","Scorpio","Sagittarius","Capricorn","Aquarius","Pisces"},0),12)+1),12)+1)="FULL",NOT(CALC_PlanetPositions!$B$10=CALC_D9_BhaveshMap!$G$14)),AND(CALC_PlanetPositions!$M$11="Malefic",INDEX(REF_Aspects!$D$5:$O$13,5,MOD(CALC_D9_BhaveshMap!$H$14-(MOD(MATCH(CALC_PlanetPositions!$B$11,{"Aries","Taurus","Gemini","Cancer","Leo","Virgo","Libra","Scorpio","Sagittarius","Capricorn","Aquarius","Pisces"},0)-MATCH(INPUT_Chart!$C$5,{"Aries","Taurus","Gemini","Cancer","Leo","Virgo","Libra","Scorpio","Sagittarius","Capricorn","Aquarius","Pisces"},0),12)+1),12)+1)="FULL",NOT(CALC_PlanetPositions!$B$11=CALC_D9_BhaveshMap!$G$14)),AND(CALC_PlanetPositions!$M$12="Malefic",INDEX(REF_Aspects!$D$5:$O$13,6,MOD(CALC_D9_BhaveshMap!$H$14-(MOD(MATCH(CALC_PlanetPositions!$B$12,{"Aries","Taurus","Gemini","Cancer","Leo","Virgo","Libra","Scorpio","Sagittarius","Capricorn","Aquarius","Pisces"},0)-MATCH(INPUT_Chart!$C$5,{"Aries","Taurus","Gemini","Cancer","Leo","Virgo","Libra","Scorpio","Sagittarius","Capricorn","Aquarius","Pisces"},0),12)+1),12)+1)="FULL",NOT(CALC_PlanetPositions!$B$12=CALC_D9_BhaveshMap!$G$14)),AND(CALC_PlanetPositions!$M$13="Malefic",INDEX(REF_Aspects!$D$5:$O$13,7,MOD(CALC_D9_BhaveshMap!$H$14-(MOD(MATCH(CALC_PlanetPositions!$B$13,{"Aries","Taurus","Gemini","Cancer","Leo","Virgo","Libra","Scorpio","Sagittarius","Capricorn","Aquarius","Pisces"},0)-MATCH(INPUT_Chart!$C$5,{"Aries","Taurus","Gemini","Cancer","Leo","Virgo","Libra","Scorpio","Sagittarius","Capricorn","Aquarius","Pisces"},0),12)+1),12)+1)="FULL",NOT(CALC_PlanetPositions!$B$13=CALC_D9_BhaveshMap!$G$14)),AND(TRUE(),INDEX(REF_Aspects!$D$5:$O$13,8,MOD(CALC_D9_BhaveshMap!$H$14-(MOD(MATCH(CALC_PlanetPositions!$B$14,{"Aries","Taurus","Gemini","Cancer","Leo","Virgo","Libra","Scorpio","Sagittarius","Capricorn","Aquarius","Pisces"},0)-MATCH(INPUT_Chart!$C$5,{"Aries","Taurus","Gemini","Cancer","Leo","Virgo","Libra","Scorpio","Sagittarius","Capricorn","Aquarius","Pisces"},0),12)+1),12)+1)="FULL",NOT(CALC_PlanetPositions!$B$14=CALC_D9_BhaveshMap!$G$14)),AND(TRUE(),INDEX(REF_Aspects!$D$5:$O$13,9,MOD(CALC_D9_BhaveshMap!$H$14-(MOD(MATCH(CALC_PlanetPositions!$B$15,{"Aries","Taurus","Gemini","Cancer","Leo","Virgo","Libra","Scorpio","Sagittarius","Capricorn","Aquarius","Pisces"},0)-MATCH(INPUT_Chart!$C$5,{"Aries","Taurus","Gemini","Cancer","Leo","Virgo","Libra","Scorpio","Sagittarius","Capricorn","Aquarius","Pisces"},0),12)+1),12)+1)="FULL",NOT(CALC_PlanetPositions!$B$15=CALC_D9_BhaveshMap!$G$14))),1,0),0))*-0.5,0)</f>
        <v>0</v>
      </c>
      <c r="D21" s="403" t="s">
        <v>4634</v>
      </c>
    </row>
    <row r="22" spans="1:7" ht="27.75" customHeight="1" x14ac:dyDescent="0.2">
      <c r="A22" s="121" t="s">
        <v>4635</v>
      </c>
      <c r="B22" s="357" t="s">
        <v>3042</v>
      </c>
      <c r="C22" s="1117">
        <f>IFERROR((IFERROR(IF(CALC_D9_BhaveshMap!$K$14="Yes",1,0),0))*IF(REF_Config!$B$6="KP",-1.75,IF(REF_Config!$B$6="Jaimini",-2,-2)),0)</f>
        <v>0</v>
      </c>
      <c r="D22" s="400" t="s">
        <v>4636</v>
      </c>
    </row>
    <row r="23" spans="1:7" ht="27.75" customHeight="1" x14ac:dyDescent="0.2">
      <c r="A23" s="121" t="s">
        <v>4637</v>
      </c>
      <c r="B23" s="203" t="s">
        <v>3059</v>
      </c>
      <c r="C23" s="1118">
        <f ca="1">IFERROR((IFERROR(IF(OR(AND(CALC_D9_BhaveshMap!$G$10=CALC_D9_BhaveshMap!$G$14,CALC_D9_BhaveshMap!$D$10&lt;&gt;CALC_D9_BhaveshMap!$D$14),AND(CALC_D9_BhaveshMap!$G$12=CALC_D9_BhaveshMap!$G$14,CALC_D9_BhaveshMap!$D$12&lt;&gt;CALC_D9_BhaveshMap!$D$14),AND(CALC_D9_BhaveshMap!$G$16=CALC_D9_BhaveshMap!$G$14,CALC_D9_BhaveshMap!$D$16&lt;&gt;CALC_D9_BhaveshMap!$D$14)),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IFERROR(IF(OR(CALC_D9_BhaveshMap!$D$14="Sun",CALC_D9_BhaveshMap!$D$14="Rahu",CALC_D9_BhaveshMap!$D$14="Ketu"),0,IF(CALC_D9_BhaveshMap!$D$14="Moon",IF(CALC_CombustionCheck!$G$4="Cazimi ✓",0.5,IF(CALC_CombustionCheck!$F$4="COMBUST ⚠",-1,0)),IF(CALC_D9_BhaveshMap!$D$14="Mars",IF(CALC_CombustionCheck!$G$5="Cazimi ✓",0.5,IF(AND(CALC_CombustionCheck!$F$5="COMBUST ⚠",CALC_RetrogradeFix!$F$6="Rx ✓"),-0.5,IF(CALC_CombustionCheck!$F$5="COMBUST ⚠",-1,0))),IF(CALC_D9_BhaveshMap!$D$14="Mercury",IF(CALC_CombustionCheck!$G$6="Cazimi ✓",0.5,IF(AND(CALC_CombustionCheck!$F$6="COMBUST ⚠",CALC_RetrogradeFix!$F$7="Rx ✓"),-0.5,IF(CALC_CombustionCheck!$F$6="COMBUST ⚠",-1,0))),IF(CALC_D9_BhaveshMap!$D$14="Jupiter",IF(CALC_CombustionCheck!$G$7="Cazimi ✓",0.5,IF(AND(CALC_CombustionCheck!$F$7="COMBUST ⚠",CALC_RetrogradeFix!$F$8="Rx ✓"),-0.5,IF(CALC_CombustionCheck!$F$7="COMBUST ⚠",-1,0))),IF(CALC_D9_BhaveshMap!$D$14="Venus",IF(CALC_CombustionCheck!$G$8="Cazimi ✓",0.5,IF(AND(CALC_CombustionCheck!$F$8="COMBUST ⚠",CALC_RetrogradeFix!$F$9="Rx ✓"),-0.5,IF(CALC_CombustionCheck!$F$8="COMBUST ⚠",-1,0))),IF(CALC_D9_BhaveshMap!$D$14="Saturn",IF(CALC_CombustionCheck!$G$9="Cazimi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$14="Rahu",CALC_D9_BhaveshMap!$D$14="Ketu"),0,IF(ISNUMBER(MATCH(CALC_D9_BhaveshMap!$D$14,{"Sun","Moon","Mars","Mercury","Jupiter","Venus","Saturn"},0)),IF(INDEX(CALC_DigBala!$F$4:$F$10,MATCH(CALC_D9_BhaveshMap!$D$14,{"Sun","Moon","Mars","Mercury","Jupiter","Venus","Saturn"},0))="Yes",0.5,0),0)),0)</f>
        <v>0</v>
      </c>
      <c r="D28" s="400" t="s">
        <v>4647</v>
      </c>
    </row>
    <row r="29" spans="1:7" ht="27.75" customHeight="1" x14ac:dyDescent="0.2">
      <c r="A29" s="1120" t="s">
        <v>4648</v>
      </c>
      <c r="B29" s="296" t="s">
        <v>3372</v>
      </c>
      <c r="C29" s="1117">
        <f ca="1">IFERROR(IF(COUNTIFS(REF_PushkaraNavamsha!$A$4:$A$27,CALC_D9_BhaveshMap!$G$14,REF_PushkaraNavamsha!$B$4:$B$27,INDEX(CALC_PlanetPositions!$G$7:$G$15,MATCH(CALC_D9_BhaveshMap!$D$14,CALC_PlanetPositions!$A$7:$A$15,0)))&gt;0,0.5,0),0)</f>
        <v>0</v>
      </c>
      <c r="D29" s="400" t="s">
        <v>4649</v>
      </c>
    </row>
    <row r="30" spans="1:7" ht="25.5" customHeight="1" x14ac:dyDescent="0.2">
      <c r="A30" s="147" t="s">
        <v>4650</v>
      </c>
      <c r="B30" s="1121" t="s">
        <v>4651</v>
      </c>
      <c r="C30" s="1122">
        <f>IFERROR(IF(ISNUMBER(MATCH(CALC_D9_BhaveshMap!$D$14,{"Sun","Moon","Mars","Mercury","Jupiter","Venus","Saturn"},0)),INDEX(CALC_RetrogradeFix!$G$4:$G$10,MATCH(CALC_D9_BhaveshMap!$D$14,{"Sun","Moon","Mars","Mercury","Jupiter","Venus","Saturn"},0)),0),0)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4742</v>
      </c>
      <c r="B1" s="1518"/>
      <c r="C1" s="1518"/>
      <c r="D1" s="1518"/>
      <c r="L1" s="544" t="s">
        <v>2214</v>
      </c>
    </row>
    <row r="2" spans="1:12" ht="19.5" customHeight="1" x14ac:dyDescent="0.2">
      <c r="A2" s="1595" t="str">
        <f>IFERROR("D9 Lagna: "&amp;CALC_D9_BhaveshMap!$C$5&amp;"  ·  H11 — Gains","← Enter chart")</f>
        <v>D9 Lagna: Pisces  ·  H11 — Gains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IFERROR((IFERROR(IF(INDEX(REF_Zodiac!$D$17:$O$17,MATCH(CALC_D9_BhaveshMap!$C$15,REF_Zodiac!$D$3:$O$3,0))="Gentle",1,0),0))*0.5,0)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IFERROR(IF(AND(OR(CALC_D9_BhaveshMap!$I$15="Yes",CALC_D9_BhaveshMap!$J$15="Yes"),NOT(CALC_D9_BhaveshMap!$K$15="Yes")),1,0)*IF(REF_Config!$B$6="KP",1.5,IF(REF_Config!$B$6="Jaimini",1.5,2)),0)</f>
        <v>0</v>
      </c>
      <c r="D9" s="403" t="s">
        <v>4612</v>
      </c>
    </row>
    <row r="10" spans="1:12" ht="27.75" customHeight="1" x14ac:dyDescent="0.2">
      <c r="A10" s="121" t="s">
        <v>4613</v>
      </c>
      <c r="B10" s="357" t="s">
        <v>3093</v>
      </c>
      <c r="C10" s="1117">
        <f ca="1">IFERROR((IFERROR(IF(OR(AND(CALC_D9_BhaveshMap!$G$15=CALC_D9_BhaveshMap!$G$15,CALC_D9_BhaveshMap!$D$15&lt;&gt;CALC_D9_BhaveshMap!$D$15),AND(CALC_D9_BhaveshMap!$G$8=CALC_D9_BhaveshMap!$G$15,CALC_D9_BhaveshMap!$D$8&lt;&gt;CALC_D9_BhaveshMap!$D$15),AND(CALC_D9_BhaveshMap!$G$9=CALC_D9_BhaveshMap!$G$15,CALC_D9_BhaveshMap!$D$9&lt;&gt;CALC_D9_BhaveshMap!$D$15),AND(CALC_D9_BhaveshMap!$G$11=CALC_D9_BhaveshMap!$G$15,CALC_D9_BhaveshMap!$D$11&lt;&gt;CALC_D9_BhaveshMap!$D$15),AND(CALC_D9_BhaveshMap!$G$13=CALC_D9_BhaveshMap!$G$15,CALC_D9_BhaveshMap!$D$13&lt;&gt;CALC_D9_BhaveshMap!$D$15),AND(CALC_D9_BhaveshMap!$G$14=CALC_D9_BhaveshMap!$G$15,CALC_D9_BhaveshMap!$D$14&lt;&gt;CALC_D9_BhaveshMap!$D$15)),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$15,CALC_D9_BhaveshMap!$D$15&lt;&gt;"Sun"),AND(OR(CALC_PlanetPositions!$M$8="Benefic",CALC_PlanetPositions!$M$8="Yogakaraka"),CALC_PlanetPositions!$B$8=CALC_D9_BhaveshMap!$G$15,CALC_D9_BhaveshMap!$D$15&lt;&gt;"Moon"),AND(OR(CALC_PlanetPositions!$M$9="Benefic",CALC_PlanetPositions!$M$9="Yogakaraka"),CALC_PlanetPositions!$B$9=CALC_D9_BhaveshMap!$G$15,CALC_D9_BhaveshMap!$D$15&lt;&gt;"Mars"),AND(OR(CALC_PlanetPositions!$M$10="Benefic",CALC_PlanetPositions!$M$10="Yogakaraka"),CALC_PlanetPositions!$B$10=CALC_D9_BhaveshMap!$G$15,CALC_D9_BhaveshMap!$D$15&lt;&gt;"Mercury"),AND(OR(CALC_PlanetPositions!$M$11="Benefic",CALC_PlanetPositions!$M$11="Yogakaraka"),CALC_PlanetPositions!$B$11=CALC_D9_BhaveshMap!$G$15,CALC_D9_BhaveshMap!$D$15&lt;&gt;"Jupiter"),AND(OR(CALC_PlanetPositions!$M$12="Benefic",CALC_PlanetPositions!$M$12="Yogakaraka"),CALC_PlanetPositions!$B$12=CALC_D9_BhaveshMap!$G$15,CALC_D9_BhaveshMap!$D$15&lt;&gt;"Venus"),AND(OR(CALC_PlanetPositions!$M$13="Benefic",CALC_PlanetPositions!$M$13="Yogakaraka"),CALC_PlanetPositions!$B$13=CALC_D9_BhaveshMap!$G$15,CALC_D9_BhaveshMap!$D$15&lt;&gt;"Saturn")),1,0),0))*IF(OR(AND(CALC_PlanetPositions!$M$7="Yogakaraka",CALC_PlanetPositions!$B$7=CALC_D9_BhaveshMap!$G$15,CALC_D9_BhaveshMap!$D$15&lt;&gt;"Sun"),AND(CALC_PlanetPositions!$M$8="Yogakaraka",CALC_PlanetPositions!$B$8=CALC_D9_BhaveshMap!$G$15,CALC_D9_BhaveshMap!$D$15&lt;&gt;"Moon"),AND(CALC_PlanetPositions!$M$9="Yogakaraka",CALC_PlanetPositions!$B$9=CALC_D9_BhaveshMap!$G$15,CALC_D9_BhaveshMap!$D$15&lt;&gt;"Mars"),AND(CALC_PlanetPositions!$M$10="Yogakaraka",CALC_PlanetPositions!$B$10=CALC_D9_BhaveshMap!$G$15,CALC_D9_BhaveshMap!$D$15&lt;&gt;"Mercury"),AND(CALC_PlanetPositions!$M$11="Yogakaraka",CALC_PlanetPositions!$B$11=CALC_D9_BhaveshMap!$G$15,CALC_D9_BhaveshMap!$D$15&lt;&gt;"Jupiter"),AND(CALC_PlanetPositions!$M$12="Yogakaraka",CALC_PlanetPositions!$B$12=CALC_D9_BhaveshMap!$G$15,CALC_D9_BhaveshMap!$D$15&lt;&gt;"Venus"),AND(CALC_PlanetPositions!$M$13="Yogakaraka",CALC_PlanetPositions!$B$13=CALC_D9_BhaveshMap!$G$15,CALC_D9_BhaveshMap!$D$15&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$15-(MOD(MATCH(CALC_PlanetPositions!$B$7,{"Aries","Taurus","Gemini","Cancer","Leo","Virgo","Libra","Scorpio","Sagittarius","Capricorn","Aquarius","Pisces"},0)-MATCH(INPUT_Chart!$C$5,{"Aries","Taurus","Gemini","Cancer","Leo","Virgo","Libra","Scorpio","Sagittarius","Capricorn","Aquarius","Pisces"},0),12)+1),12)+1)="FULL",NOT(CALC_PlanetPositions!$B$7=CALC_D9_BhaveshMap!$G$15)),AND(OR(CALC_PlanetPositions!$M$8="Benefic",CALC_PlanetPositions!$M$8="Yogakaraka"),INDEX(REF_Aspects!$D$5:$O$13,2,MOD(CALC_D9_BhaveshMap!$H$15-(MOD(MATCH(CALC_PlanetPositions!$B$8,{"Aries","Taurus","Gemini","Cancer","Leo","Virgo","Libra","Scorpio","Sagittarius","Capricorn","Aquarius","Pisces"},0)-MATCH(INPUT_Chart!$C$5,{"Aries","Taurus","Gemini","Cancer","Leo","Virgo","Libra","Scorpio","Sagittarius","Capricorn","Aquarius","Pisces"},0),12)+1),12)+1)="FULL",NOT(CALC_PlanetPositions!$B$8=CALC_D9_BhaveshMap!$G$15)),AND(OR(CALC_PlanetPositions!$M$9="Benefic",CALC_PlanetPositions!$M$9="Yogakaraka"),INDEX(REF_Aspects!$D$5:$O$13,3,MOD(CALC_D9_BhaveshMap!$H$15-(MOD(MATCH(CALC_PlanetPositions!$B$9,{"Aries","Taurus","Gemini","Cancer","Leo","Virgo","Libra","Scorpio","Sagittarius","Capricorn","Aquarius","Pisces"},0)-MATCH(INPUT_Chart!$C$5,{"Aries","Taurus","Gemini","Cancer","Leo","Virgo","Libra","Scorpio","Sagittarius","Capricorn","Aquarius","Pisces"},0),12)+1),12)+1)="FULL",NOT(CALC_PlanetPositions!$B$9=CALC_D9_BhaveshMap!$G$15)),AND(OR(CALC_PlanetPositions!$M$10="Benefic",CALC_PlanetPositions!$M$10="Yogakaraka"),INDEX(REF_Aspects!$D$5:$O$13,4,MOD(CALC_D9_BhaveshMap!$H$15-(MOD(MATCH(CALC_PlanetPositions!$B$10,{"Aries","Taurus","Gemini","Cancer","Leo","Virgo","Libra","Scorpio","Sagittarius","Capricorn","Aquarius","Pisces"},0)-MATCH(INPUT_Chart!$C$5,{"Aries","Taurus","Gemini","Cancer","Leo","Virgo","Libra","Scorpio","Sagittarius","Capricorn","Aquarius","Pisces"},0),12)+1),12)+1)="FULL",NOT(CALC_PlanetPositions!$B$10=CALC_D9_BhaveshMap!$G$15)),AND(OR(CALC_PlanetPositions!$M$11="Benefic",CALC_PlanetPositions!$M$11="Yogakaraka"),INDEX(REF_Aspects!$D$5:$O$13,5,MOD(CALC_D9_BhaveshMap!$H$15-(MOD(MATCH(CALC_PlanetPositions!$B$11,{"Aries","Taurus","Gemini","Cancer","Leo","Virgo","Libra","Scorpio","Sagittarius","Capricorn","Aquarius","Pisces"},0)-MATCH(INPUT_Chart!$C$5,{"Aries","Taurus","Gemini","Cancer","Leo","Virgo","Libra","Scorpio","Sagittarius","Capricorn","Aquarius","Pisces"},0),12)+1),12)+1)="FULL",NOT(CALC_PlanetPositions!$B$11=CALC_D9_BhaveshMap!$G$15)),AND(OR(CALC_PlanetPositions!$M$12="Benefic",CALC_PlanetPositions!$M$12="Yogakaraka"),INDEX(REF_Aspects!$D$5:$O$13,6,MOD(CALC_D9_BhaveshMap!$H$15-(MOD(MATCH(CALC_PlanetPositions!$B$12,{"Aries","Taurus","Gemini","Cancer","Leo","Virgo","Libra","Scorpio","Sagittarius","Capricorn","Aquarius","Pisces"},0)-MATCH(INPUT_Chart!$C$5,{"Aries","Taurus","Gemini","Cancer","Leo","Virgo","Libra","Scorpio","Sagittarius","Capricorn","Aquarius","Pisces"},0),12)+1),12)+1)="FULL",NOT(CALC_PlanetPositions!$B$12=CALC_D9_BhaveshMap!$G$15)),AND(OR(CALC_PlanetPositions!$M$13="Benefic",CALC_PlanetPositions!$M$13="Yogakaraka"),INDEX(REF_Aspects!$D$5:$O$13,7,MOD(CALC_D9_BhaveshMap!$H$15-(MOD(MATCH(CALC_PlanetPositions!$B$13,{"Aries","Taurus","Gemini","Cancer","Leo","Virgo","Libra","Scorpio","Sagittarius","Capricorn","Aquarius","Pisces"},0)-MATCH(INPUT_Chart!$C$5,{"Aries","Taurus","Gemini","Cancer","Leo","Virgo","Libra","Scorpio","Sagittarius","Capricorn","Aquarius","Pisces"},0),12)+1),12)+1)="FULL",NOT(CALC_PlanetPositions!$B$13=CALC_D9_BhaveshMap!$G$15)),AND(FALSE(),INDEX(REF_Aspects!$D$5:$O$13,8,MOD(CALC_D9_BhaveshMap!$H$15-(MOD(MATCH(CALC_PlanetPositions!$B$14,{"Aries","Taurus","Gemini","Cancer","Leo","Virgo","Libra","Scorpio","Sagittarius","Capricorn","Aquarius","Pisces"},0)-MATCH(INPUT_Chart!$C$5,{"Aries","Taurus","Gemini","Cancer","Leo","Virgo","Libra","Scorpio","Sagittarius","Capricorn","Aquarius","Pisces"},0),12)+1),12)+1)="FULL",NOT(CALC_PlanetPositions!$B$14=CALC_D9_BhaveshMap!$G$15)),AND(FALSE(),INDEX(REF_Aspects!$D$5:$O$13,9,MOD(CALC_D9_BhaveshMap!$H$15-(MOD(MATCH(CALC_PlanetPositions!$B$15,{"Aries","Taurus","Gemini","Cancer","Leo","Virgo","Libra","Scorpio","Sagittarius","Capricorn","Aquarius","Pisces"},0)-MATCH(INPUT_Chart!$C$5,{"Aries","Taurus","Gemini","Cancer","Leo","Virgo","Libra","Scorpio","Sagittarius","Capricorn","Aquarius","Pisces"},0),12)+1),12)+1)="FULL",NOT(CALC_PlanetPositions!$B$15=CALC_D9_BhaveshMap!$G$15))),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$15-2,12)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$15-2,12)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$15-2,12)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$15-2,12)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$15-2,12)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$15-2,12)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$15-2,12)+1)),AND(FALSE(),MOD(MATCH(CALC_PlanetPositions!$B$14,{"Aries","Taurus","Gemini","Cancer","Leo","Virgo","Libra","Scorpio","Sagittarius","Capricorn","Aquarius","Pisces"},0)-MATCH(INPUT_Chart!$C$5,{"Aries","Taurus","Gemini","Cancer","Leo","Virgo","Libra","Scorpio","Sagittarius","Capricorn","Aquarius","Pisces"},0),12)+1=(MOD(CALC_D9_BhaveshMap!$H$15-2,12)+1)),AND(FALSE(),MOD(MATCH(CALC_PlanetPositions!$B$15,{"Aries","Taurus","Gemini","Cancer","Leo","Virgo","Libra","Scorpio","Sagittarius","Capricorn","Aquarius","Pisces"},0)-MATCH(INPUT_Chart!$C$5,{"Aries","Taurus","Gemini","Cancer","Leo","Virgo","Libra","Scorpio","Sagittarius","Capricorn","Aquarius","Pisces"},0),12)+1=(MOD(CALC_D9_BhaveshMap!$H$15-2,12)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$15,12)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$15,12)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$15,12)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$15,12)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$15,12)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$15,12)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$15,12)+1)),AND(FALSE(),MOD(MATCH(CALC_PlanetPositions!$B$14,{"Aries","Taurus","Gemini","Cancer","Leo","Virgo","Libra","Scorpio","Sagittarius","Capricorn","Aquarius","Pisces"},0)-MATCH(INPUT_Chart!$C$5,{"Aries","Taurus","Gemini","Cancer","Leo","Virgo","Libra","Scorpio","Sagittarius","Capricorn","Aquarius","Pisces"},0),12)+1=(MOD(CALC_D9_BhaveshMap!$H$15,12)+1)),AND(FALSE(),MOD(MATCH(CALC_PlanetPositions!$B$15,{"Aries","Taurus","Gemini","Cancer","Leo","Virgo","Libra","Scorpio","Sagittarius","Capricorn","Aquarius","Pisces"},0)-MATCH(INPUT_Chart!$C$5,{"Aries","Taurus","Gemini","Cancer","Leo","Virgo","Libra","Scorpio","Sagittarius","Capricorn","Aquarius","Pisces"},0),12)+1=(MOD(CALC_D9_BhaveshMap!$H$15,12)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$15-(MOD(MATCH(CALC_PlanetPositions!$B$7,{"Aries","Taurus","Gemini","Cancer","Leo","Virgo","Libra","Scorpio","Sagittarius","Capricorn","Aquarius","Pisces"},0)-MATCH(INPUT_Chart!$C$5,{"Aries","Taurus","Gemini","Cancer","Leo","Virgo","Libra","Scorpio","Sagittarius","Capricorn","Aquarius","Pisces"},0),12)+1),12)+1)="FULL",NOT(CALC_PlanetPositions!$B$7=CALC_D9_BhaveshMap!$G$15)),AND(CALC_PlanetPositions!$M$8="Malefic",INDEX(REF_Aspects!$D$5:$O$13,2,MOD(CALC_D9_BhaveshMap!$H$15-(MOD(MATCH(CALC_PlanetPositions!$B$8,{"Aries","Taurus","Gemini","Cancer","Leo","Virgo","Libra","Scorpio","Sagittarius","Capricorn","Aquarius","Pisces"},0)-MATCH(INPUT_Chart!$C$5,{"Aries","Taurus","Gemini","Cancer","Leo","Virgo","Libra","Scorpio","Sagittarius","Capricorn","Aquarius","Pisces"},0),12)+1),12)+1)="FULL",NOT(CALC_PlanetPositions!$B$8=CALC_D9_BhaveshMap!$G$15)),AND(CALC_PlanetPositions!$M$9="Malefic",INDEX(REF_Aspects!$D$5:$O$13,3,MOD(CALC_D9_BhaveshMap!$H$15-(MOD(MATCH(CALC_PlanetPositions!$B$9,{"Aries","Taurus","Gemini","Cancer","Leo","Virgo","Libra","Scorpio","Sagittarius","Capricorn","Aquarius","Pisces"},0)-MATCH(INPUT_Chart!$C$5,{"Aries","Taurus","Gemini","Cancer","Leo","Virgo","Libra","Scorpio","Sagittarius","Capricorn","Aquarius","Pisces"},0),12)+1),12)+1)="FULL",NOT(CALC_PlanetPositions!$B$9=CALC_D9_BhaveshMap!$G$15)),AND(CALC_PlanetPositions!$M$10="Malefic",INDEX(REF_Aspects!$D$5:$O$13,4,MOD(CALC_D9_BhaveshMap!$H$15-(MOD(MATCH(CALC_PlanetPositions!$B$10,{"Aries","Taurus","Gemini","Cancer","Leo","Virgo","Libra","Scorpio","Sagittarius","Capricorn","Aquarius","Pisces"},0)-MATCH(INPUT_Chart!$C$5,{"Aries","Taurus","Gemini","Cancer","Leo","Virgo","Libra","Scorpio","Sagittarius","Capricorn","Aquarius","Pisces"},0),12)+1),12)+1)="FULL",NOT(CALC_PlanetPositions!$B$10=CALC_D9_BhaveshMap!$G$15)),AND(CALC_PlanetPositions!$M$11="Malefic",INDEX(REF_Aspects!$D$5:$O$13,5,MOD(CALC_D9_BhaveshMap!$H$15-(MOD(MATCH(CALC_PlanetPositions!$B$11,{"Aries","Taurus","Gemini","Cancer","Leo","Virgo","Libra","Scorpio","Sagittarius","Capricorn","Aquarius","Pisces"},0)-MATCH(INPUT_Chart!$C$5,{"Aries","Taurus","Gemini","Cancer","Leo","Virgo","Libra","Scorpio","Sagittarius","Capricorn","Aquarius","Pisces"},0),12)+1),12)+1)="FULL",NOT(CALC_PlanetPositions!$B$11=CALC_D9_BhaveshMap!$G$15)),AND(CALC_PlanetPositions!$M$12="Malefic",INDEX(REF_Aspects!$D$5:$O$13,6,MOD(CALC_D9_BhaveshMap!$H$15-(MOD(MATCH(CALC_PlanetPositions!$B$12,{"Aries","Taurus","Gemini","Cancer","Leo","Virgo","Libra","Scorpio","Sagittarius","Capricorn","Aquarius","Pisces"},0)-MATCH(INPUT_Chart!$C$5,{"Aries","Taurus","Gemini","Cancer","Leo","Virgo","Libra","Scorpio","Sagittarius","Capricorn","Aquarius","Pisces"},0),12)+1),12)+1)="FULL",NOT(CALC_PlanetPositions!$B$12=CALC_D9_BhaveshMap!$G$15)),AND(CALC_PlanetPositions!$M$13="Malefic",INDEX(REF_Aspects!$D$5:$O$13,7,MOD(CALC_D9_BhaveshMap!$H$15-(MOD(MATCH(CALC_PlanetPositions!$B$13,{"Aries","Taurus","Gemini","Cancer","Leo","Virgo","Libra","Scorpio","Sagittarius","Capricorn","Aquarius","Pisces"},0)-MATCH(INPUT_Chart!$C$5,{"Aries","Taurus","Gemini","Cancer","Leo","Virgo","Libra","Scorpio","Sagittarius","Capricorn","Aquarius","Pisces"},0),12)+1),12)+1)="FULL",NOT(CALC_PlanetPositions!$B$13=CALC_D9_BhaveshMap!$G$15)),AND(TRUE(),INDEX(REF_Aspects!$D$5:$O$13,8,MOD(CALC_D9_BhaveshMap!$H$15-(MOD(MATCH(CALC_PlanetPositions!$B$14,{"Aries","Taurus","Gemini","Cancer","Leo","Virgo","Libra","Scorpio","Sagittarius","Capricorn","Aquarius","Pisces"},0)-MATCH(INPUT_Chart!$C$5,{"Aries","Taurus","Gemini","Cancer","Leo","Virgo","Libra","Scorpio","Sagittarius","Capricorn","Aquarius","Pisces"},0),12)+1),12)+1)="FULL",NOT(CALC_PlanetPositions!$B$14=CALC_D9_BhaveshMap!$G$15)),AND(TRUE(),INDEX(REF_Aspects!$D$5:$O$13,9,MOD(CALC_D9_BhaveshMap!$H$15-(MOD(MATCH(CALC_PlanetPositions!$B$15,{"Aries","Taurus","Gemini","Cancer","Leo","Virgo","Libra","Scorpio","Sagittarius","Capricorn","Aquarius","Pisces"},0)-MATCH(INPUT_Chart!$C$5,{"Aries","Taurus","Gemini","Cancer","Leo","Virgo","Libra","Scorpio","Sagittarius","Capricorn","Aquarius","Pisces"},0),12)+1),12)+1)="FULL",NOT(CALC_PlanetPositions!$B$15=CALC_D9_BhaveshMap!$G$15))),1,0),0))*-0.5,0)</f>
        <v>0</v>
      </c>
      <c r="D21" s="403" t="s">
        <v>4634</v>
      </c>
    </row>
    <row r="22" spans="1:7" ht="27.75" customHeight="1" x14ac:dyDescent="0.2">
      <c r="A22" s="121" t="s">
        <v>4635</v>
      </c>
      <c r="B22" s="357" t="s">
        <v>3042</v>
      </c>
      <c r="C22" s="1117">
        <f>IFERROR((IFERROR(IF(CALC_D9_BhaveshMap!$K$15="Yes",1,0),0))*IF(REF_Config!$B$6="KP",-1.75,IF(REF_Config!$B$6="Jaimini",-2,-2)),0)</f>
        <v>0</v>
      </c>
      <c r="D22" s="400" t="s">
        <v>4636</v>
      </c>
    </row>
    <row r="23" spans="1:7" ht="27.75" customHeight="1" x14ac:dyDescent="0.2">
      <c r="A23" s="121" t="s">
        <v>4637</v>
      </c>
      <c r="B23" s="203" t="s">
        <v>3059</v>
      </c>
      <c r="C23" s="1118">
        <f ca="1">IFERROR((IFERROR(IF(OR(AND(CALC_D9_BhaveshMap!$G$10=CALC_D9_BhaveshMap!$G$15,CALC_D9_BhaveshMap!$D$10&lt;&gt;CALC_D9_BhaveshMap!$D$15),AND(CALC_D9_BhaveshMap!$G$12=CALC_D9_BhaveshMap!$G$15,CALC_D9_BhaveshMap!$D$12&lt;&gt;CALC_D9_BhaveshMap!$D$15),AND(CALC_D9_BhaveshMap!$G$16=CALC_D9_BhaveshMap!$G$15,CALC_D9_BhaveshMap!$D$16&lt;&gt;CALC_D9_BhaveshMap!$D$15)),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IFERROR(IF(OR(CALC_D9_BhaveshMap!$D$15="Sun",CALC_D9_BhaveshMap!$D$15="Rahu",CALC_D9_BhaveshMap!$D$15="Ketu"),0,IF(CALC_D9_BhaveshMap!$D$15="Moon",IF(CALC_CombustionCheck!$G$4="Cazimi ✓",0.5,IF(CALC_CombustionCheck!$F$4="COMBUST ⚠",-1,0)),IF(CALC_D9_BhaveshMap!$D$15="Mars",IF(CALC_CombustionCheck!$G$5="Cazimi ✓",0.5,IF(AND(CALC_CombustionCheck!$F$5="COMBUST ⚠",CALC_RetrogradeFix!$F$6="Rx ✓"),-0.5,IF(CALC_CombustionCheck!$F$5="COMBUST ⚠",-1,0))),IF(CALC_D9_BhaveshMap!$D$15="Mercury",IF(CALC_CombustionCheck!$G$6="Cazimi ✓",0.5,IF(AND(CALC_CombustionCheck!$F$6="COMBUST ⚠",CALC_RetrogradeFix!$F$7="Rx ✓"),-0.5,IF(CALC_CombustionCheck!$F$6="COMBUST ⚠",-1,0))),IF(CALC_D9_BhaveshMap!$D$15="Jupiter",IF(CALC_CombustionCheck!$G$7="Cazimi ✓",0.5,IF(AND(CALC_CombustionCheck!$F$7="COMBUST ⚠",CALC_RetrogradeFix!$F$8="Rx ✓"),-0.5,IF(CALC_CombustionCheck!$F$7="COMBUST ⚠",-1,0))),IF(CALC_D9_BhaveshMap!$D$15="Venus",IF(CALC_CombustionCheck!$G$8="Cazimi ✓",0.5,IF(AND(CALC_CombustionCheck!$F$8="COMBUST ⚠",CALC_RetrogradeFix!$F$9="Rx ✓"),-0.5,IF(CALC_CombustionCheck!$F$8="COMBUST ⚠",-1,0))),IF(CALC_D9_BhaveshMap!$D$15="Saturn",IF(CALC_CombustionCheck!$G$9="Cazimi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9_BhaveshMap!$D$15="Rahu",CALC_D9_BhaveshMap!$D$15="Ketu"),0,IF(ISNUMBER(MATCH(CALC_D9_BhaveshMap!$D$15,{"Sun","Moon","Mars","Mercury","Jupiter","Venus","Saturn"},0)),IF(INDEX(CALC_DigBala!$F$4:$F$10,MATCH(CALC_D9_BhaveshMap!$D$15,{"Sun","Moon","Mars","Mercury","Jupiter","Venus","Saturn"},0))="Yes",0.5,0),0)),0)</f>
        <v>0</v>
      </c>
      <c r="D28" s="400" t="s">
        <v>4647</v>
      </c>
    </row>
    <row r="29" spans="1:7" ht="27.75" customHeight="1" x14ac:dyDescent="0.2">
      <c r="A29" s="1120" t="s">
        <v>4648</v>
      </c>
      <c r="B29" s="296" t="s">
        <v>3372</v>
      </c>
      <c r="C29" s="1117">
        <f ca="1">IFERROR(IF(COUNTIFS(REF_PushkaraNavamsha!$A$4:$A$27,CALC_D9_BhaveshMap!$G$15,REF_PushkaraNavamsha!$B$4:$B$27,INDEX(CALC_PlanetPositions!$G$7:$G$15,MATCH(CALC_D9_BhaveshMap!$D$15,CALC_PlanetPositions!$A$7:$A$15,0)))&gt;0,0.5,0),0)</f>
        <v>0</v>
      </c>
      <c r="D29" s="400" t="s">
        <v>4649</v>
      </c>
    </row>
    <row r="30" spans="1:7" ht="25.5" customHeight="1" x14ac:dyDescent="0.2">
      <c r="A30" s="147" t="s">
        <v>4650</v>
      </c>
      <c r="B30" s="1121" t="s">
        <v>4651</v>
      </c>
      <c r="C30" s="1122">
        <f>IFERROR(IF(ISNUMBER(MATCH(CALC_D9_BhaveshMap!$D$15,{"Sun","Moon","Mars","Mercury","Jupiter","Venus","Saturn"},0)),INDEX(CALC_RetrogradeFix!$G$4:$G$10,MATCH(CALC_D9_BhaveshMap!$D$15,{"Sun","Moon","Mars","Mercury","Jupiter","Venus","Saturn"},0)),0),0)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-2</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-3</v>
      </c>
      <c r="D37" s="1129"/>
    </row>
    <row r="38" spans="1:4" ht="21.75" customHeight="1" x14ac:dyDescent="0.2">
      <c r="A38" s="89" t="s">
        <v>4661</v>
      </c>
      <c r="B38" s="1129"/>
      <c r="C38" s="1131">
        <f ca="1">IFERROR(MAX(-10,MIN(10,C37)),0)</f>
        <v>-3</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-3</v>
      </c>
      <c r="D40" s="1136" t="str">
        <f ca="1">IFERROR(IF(C40&gt;=7,"Excellent — Self domain very strong",IF(C40&gt;=4,"Good — Self domain strong",IF(C40&gt;=1,"Moderate",IF(C40&gt;=-2,"Mixed — Self has challenges",IF(C40&gt;=-5,"Weak","Very weak — Self heavily afflicted"))))),"—")</f>
        <v>Weak</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4743</v>
      </c>
      <c r="B1" s="1518"/>
      <c r="C1" s="1518"/>
      <c r="D1" s="1518"/>
      <c r="L1" s="544" t="s">
        <v>2214</v>
      </c>
    </row>
    <row r="2" spans="1:12" ht="19.5" customHeight="1" x14ac:dyDescent="0.2">
      <c r="A2" s="1595" t="str">
        <f>IFERROR("D9 Lagna: "&amp;CALC_D9_BhaveshMap!$C$5&amp;"  ·  H12 — Liberation","← Enter chart")</f>
        <v>D9 Lagna: Pisces  ·  H12 — Liberation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IFERROR((IFERROR(IF(INDEX(REF_Zodiac!$D$17:$O$17,MATCH(CALC_D9_BhaveshMap!$C$16,REF_Zodiac!$D$3:$O$3,0))="Gentle",1,0),0))*0.5,0)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IFERROR(IF(AND(OR(CALC_D9_BhaveshMap!$I$16="Yes",CALC_D9_BhaveshMap!$J$16="Yes"),NOT(CALC_D9_BhaveshMap!$K$16="Yes")),1,0)*IF(REF_Config!$B$6="KP",1.5,IF(REF_Config!$B$6="Jaimini",1.5,2)),0)</f>
        <v>0</v>
      </c>
      <c r="D9" s="403" t="s">
        <v>4612</v>
      </c>
    </row>
    <row r="10" spans="1:12" ht="27.75" customHeight="1" x14ac:dyDescent="0.2">
      <c r="A10" s="121" t="s">
        <v>4613</v>
      </c>
      <c r="B10" s="357" t="s">
        <v>3093</v>
      </c>
      <c r="C10" s="1117">
        <f ca="1">IFERROR((IFERROR(IF(OR(AND(CALC_D9_BhaveshMap!$G$16=CALC_D9_BhaveshMap!$G$16,CALC_D9_BhaveshMap!$D$16&lt;&gt;CALC_D9_BhaveshMap!$D$16),AND(CALC_D9_BhaveshMap!$G$8=CALC_D9_BhaveshMap!$G$16,CALC_D9_BhaveshMap!$D$8&lt;&gt;CALC_D9_BhaveshMap!$D$16),AND(CALC_D9_BhaveshMap!$G$9=CALC_D9_BhaveshMap!$G$16,CALC_D9_BhaveshMap!$D$9&lt;&gt;CALC_D9_BhaveshMap!$D$16),AND(CALC_D9_BhaveshMap!$G$11=CALC_D9_BhaveshMap!$G$16,CALC_D9_BhaveshMap!$D$11&lt;&gt;CALC_D9_BhaveshMap!$D$16),AND(CALC_D9_BhaveshMap!$G$13=CALC_D9_BhaveshMap!$G$16,CALC_D9_BhaveshMap!$D$13&lt;&gt;CALC_D9_BhaveshMap!$D$16),AND(CALC_D9_BhaveshMap!$G$14=CALC_D9_BhaveshMap!$G$16,CALC_D9_BhaveshMap!$D$14&lt;&gt;CALC_D9_BhaveshMap!$D$16)),1,0),0))*0.5,0)</f>
        <v>0.5</v>
      </c>
      <c r="D10" s="400" t="s">
        <v>4614</v>
      </c>
    </row>
    <row r="11" spans="1:12" ht="27.75" customHeight="1" x14ac:dyDescent="0.2">
      <c r="A11" s="121" t="s">
        <v>4615</v>
      </c>
      <c r="B11" s="203" t="s">
        <v>4540</v>
      </c>
      <c r="C11" s="1118">
        <f ca="1">IFERROR((IFERROR(IF(OR(AND(OR(CALC_PlanetPositions!$M$7="Benefic",CALC_PlanetPositions!$M$7="Yogakaraka"),CALC_PlanetPositions!$B$7=CALC_D9_BhaveshMap!$G$16,CALC_D9_BhaveshMap!$D$16&lt;&gt;"Sun"),AND(OR(CALC_PlanetPositions!$M$8="Benefic",CALC_PlanetPositions!$M$8="Yogakaraka"),CALC_PlanetPositions!$B$8=CALC_D9_BhaveshMap!$G$16,CALC_D9_BhaveshMap!$D$16&lt;&gt;"Moon"),AND(OR(CALC_PlanetPositions!$M$9="Benefic",CALC_PlanetPositions!$M$9="Yogakaraka"),CALC_PlanetPositions!$B$9=CALC_D9_BhaveshMap!$G$16,CALC_D9_BhaveshMap!$D$16&lt;&gt;"Mars"),AND(OR(CALC_PlanetPositions!$M$10="Benefic",CALC_PlanetPositions!$M$10="Yogakaraka"),CALC_PlanetPositions!$B$10=CALC_D9_BhaveshMap!$G$16,CALC_D9_BhaveshMap!$D$16&lt;&gt;"Mercury"),AND(OR(CALC_PlanetPositions!$M$11="Benefic",CALC_PlanetPositions!$M$11="Yogakaraka"),CALC_PlanetPositions!$B$11=CALC_D9_BhaveshMap!$G$16,CALC_D9_BhaveshMap!$D$16&lt;&gt;"Jupiter"),AND(OR(CALC_PlanetPositions!$M$12="Benefic",CALC_PlanetPositions!$M$12="Yogakaraka"),CALC_PlanetPositions!$B$12=CALC_D9_BhaveshMap!$G$16,CALC_D9_BhaveshMap!$D$16&lt;&gt;"Venus"),AND(OR(CALC_PlanetPositions!$M$13="Benefic",CALC_PlanetPositions!$M$13="Yogakaraka"),CALC_PlanetPositions!$B$13=CALC_D9_BhaveshMap!$G$16,CALC_D9_BhaveshMap!$D$16&lt;&gt;"Saturn")),1,0),0))*IF(OR(AND(CALC_PlanetPositions!$M$7="Yogakaraka",CALC_PlanetPositions!$B$7=CALC_D9_BhaveshMap!$G$16,CALC_D9_BhaveshMap!$D$16&lt;&gt;"Sun"),AND(CALC_PlanetPositions!$M$8="Yogakaraka",CALC_PlanetPositions!$B$8=CALC_D9_BhaveshMap!$G$16,CALC_D9_BhaveshMap!$D$16&lt;&gt;"Moon"),AND(CALC_PlanetPositions!$M$9="Yogakaraka",CALC_PlanetPositions!$B$9=CALC_D9_BhaveshMap!$G$16,CALC_D9_BhaveshMap!$D$16&lt;&gt;"Mars"),AND(CALC_PlanetPositions!$M$10="Yogakaraka",CALC_PlanetPositions!$B$10=CALC_D9_BhaveshMap!$G$16,CALC_D9_BhaveshMap!$D$16&lt;&gt;"Mercury"),AND(CALC_PlanetPositions!$M$11="Yogakaraka",CALC_PlanetPositions!$B$11=CALC_D9_BhaveshMap!$G$16,CALC_D9_BhaveshMap!$D$16&lt;&gt;"Jupiter"),AND(CALC_PlanetPositions!$M$12="Yogakaraka",CALC_PlanetPositions!$B$12=CALC_D9_BhaveshMap!$G$16,CALC_D9_BhaveshMap!$D$16&lt;&gt;"Venus"),AND(CALC_PlanetPositions!$M$13="Yogakaraka",CALC_PlanetPositions!$B$13=CALC_D9_BhaveshMap!$G$16,CALC_D9_BhaveshMap!$D$16&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$16-(MOD(MATCH(CALC_PlanetPositions!$B$7,{"Aries","Taurus","Gemini","Cancer","Leo","Virgo","Libra","Scorpio","Sagittarius","Capricorn","Aquarius","Pisces"},0)-MATCH(INPUT_Chart!$C$5,{"Aries","Taurus","Gemini","Cancer","Leo","Virgo","Libra","Scorpio","Sagittarius","Capricorn","Aquarius","Pisces"},0),12)+1),12)+1)="FULL",NOT(CALC_PlanetPositions!$B$7=CALC_D9_BhaveshMap!$G$16)),AND(OR(CALC_PlanetPositions!$M$8="Benefic",CALC_PlanetPositions!$M$8="Yogakaraka"),INDEX(REF_Aspects!$D$5:$O$13,2,MOD(CALC_D9_BhaveshMap!$H$16-(MOD(MATCH(CALC_PlanetPositions!$B$8,{"Aries","Taurus","Gemini","Cancer","Leo","Virgo","Libra","Scorpio","Sagittarius","Capricorn","Aquarius","Pisces"},0)-MATCH(INPUT_Chart!$C$5,{"Aries","Taurus","Gemini","Cancer","Leo","Virgo","Libra","Scorpio","Sagittarius","Capricorn","Aquarius","Pisces"},0),12)+1),12)+1)="FULL",NOT(CALC_PlanetPositions!$B$8=CALC_D9_BhaveshMap!$G$16)),AND(OR(CALC_PlanetPositions!$M$9="Benefic",CALC_PlanetPositions!$M$9="Yogakaraka"),INDEX(REF_Aspects!$D$5:$O$13,3,MOD(CALC_D9_BhaveshMap!$H$16-(MOD(MATCH(CALC_PlanetPositions!$B$9,{"Aries","Taurus","Gemini","Cancer","Leo","Virgo","Libra","Scorpio","Sagittarius","Capricorn","Aquarius","Pisces"},0)-MATCH(INPUT_Chart!$C$5,{"Aries","Taurus","Gemini","Cancer","Leo","Virgo","Libra","Scorpio","Sagittarius","Capricorn","Aquarius","Pisces"},0),12)+1),12)+1)="FULL",NOT(CALC_PlanetPositions!$B$9=CALC_D9_BhaveshMap!$G$16)),AND(OR(CALC_PlanetPositions!$M$10="Benefic",CALC_PlanetPositions!$M$10="Yogakaraka"),INDEX(REF_Aspects!$D$5:$O$13,4,MOD(CALC_D9_BhaveshMap!$H$16-(MOD(MATCH(CALC_PlanetPositions!$B$10,{"Aries","Taurus","Gemini","Cancer","Leo","Virgo","Libra","Scorpio","Sagittarius","Capricorn","Aquarius","Pisces"},0)-MATCH(INPUT_Chart!$C$5,{"Aries","Taurus","Gemini","Cancer","Leo","Virgo","Libra","Scorpio","Sagittarius","Capricorn","Aquarius","Pisces"},0),12)+1),12)+1)="FULL",NOT(CALC_PlanetPositions!$B$10=CALC_D9_BhaveshMap!$G$16)),AND(OR(CALC_PlanetPositions!$M$11="Benefic",CALC_PlanetPositions!$M$11="Yogakaraka"),INDEX(REF_Aspects!$D$5:$O$13,5,MOD(CALC_D9_BhaveshMap!$H$16-(MOD(MATCH(CALC_PlanetPositions!$B$11,{"Aries","Taurus","Gemini","Cancer","Leo","Virgo","Libra","Scorpio","Sagittarius","Capricorn","Aquarius","Pisces"},0)-MATCH(INPUT_Chart!$C$5,{"Aries","Taurus","Gemini","Cancer","Leo","Virgo","Libra","Scorpio","Sagittarius","Capricorn","Aquarius","Pisces"},0),12)+1),12)+1)="FULL",NOT(CALC_PlanetPositions!$B$11=CALC_D9_BhaveshMap!$G$16)),AND(OR(CALC_PlanetPositions!$M$12="Benefic",CALC_PlanetPositions!$M$12="Yogakaraka"),INDEX(REF_Aspects!$D$5:$O$13,6,MOD(CALC_D9_BhaveshMap!$H$16-(MOD(MATCH(CALC_PlanetPositions!$B$12,{"Aries","Taurus","Gemini","Cancer","Leo","Virgo","Libra","Scorpio","Sagittarius","Capricorn","Aquarius","Pisces"},0)-MATCH(INPUT_Chart!$C$5,{"Aries","Taurus","Gemini","Cancer","Leo","Virgo","Libra","Scorpio","Sagittarius","Capricorn","Aquarius","Pisces"},0),12)+1),12)+1)="FULL",NOT(CALC_PlanetPositions!$B$12=CALC_D9_BhaveshMap!$G$16)),AND(OR(CALC_PlanetPositions!$M$13="Benefic",CALC_PlanetPositions!$M$13="Yogakaraka"),INDEX(REF_Aspects!$D$5:$O$13,7,MOD(CALC_D9_BhaveshMap!$H$16-(MOD(MATCH(CALC_PlanetPositions!$B$13,{"Aries","Taurus","Gemini","Cancer","Leo","Virgo","Libra","Scorpio","Sagittarius","Capricorn","Aquarius","Pisces"},0)-MATCH(INPUT_Chart!$C$5,{"Aries","Taurus","Gemini","Cancer","Leo","Virgo","Libra","Scorpio","Sagittarius","Capricorn","Aquarius","Pisces"},0),12)+1),12)+1)="FULL",NOT(CALC_PlanetPositions!$B$13=CALC_D9_BhaveshMap!$G$16)),AND(FALSE(),INDEX(REF_Aspects!$D$5:$O$13,8,MOD(CALC_D9_BhaveshMap!$H$16-(MOD(MATCH(CALC_PlanetPositions!$B$14,{"Aries","Taurus","Gemini","Cancer","Leo","Virgo","Libra","Scorpio","Sagittarius","Capricorn","Aquarius","Pisces"},0)-MATCH(INPUT_Chart!$C$5,{"Aries","Taurus","Gemini","Cancer","Leo","Virgo","Libra","Scorpio","Sagittarius","Capricorn","Aquarius","Pisces"},0),12)+1),12)+1)="FULL",NOT(CALC_PlanetPositions!$B$14=CALC_D9_BhaveshMap!$G$16)),AND(FALSE(),INDEX(REF_Aspects!$D$5:$O$13,9,MOD(CALC_D9_BhaveshMap!$H$16-(MOD(MATCH(CALC_PlanetPositions!$B$15,{"Aries","Taurus","Gemini","Cancer","Leo","Virgo","Libra","Scorpio","Sagittarius","Capricorn","Aquarius","Pisces"},0)-MATCH(INPUT_Chart!$C$5,{"Aries","Taurus","Gemini","Cancer","Leo","Virgo","Libra","Scorpio","Sagittarius","Capricorn","Aquarius","Pisces"},0),12)+1),12)+1)="FULL",NOT(CALC_PlanetPositions!$B$15=CALC_D9_BhaveshMap!$G$16))),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$16-2,12)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$16-2,12)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$16-2,12)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$16-2,12)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$16-2,12)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$16-2,12)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$16-2,12)+1)),AND(FALSE(),MOD(MATCH(CALC_PlanetPositions!$B$14,{"Aries","Taurus","Gemini","Cancer","Leo","Virgo","Libra","Scorpio","Sagittarius","Capricorn","Aquarius","Pisces"},0)-MATCH(INPUT_Chart!$C$5,{"Aries","Taurus","Gemini","Cancer","Leo","Virgo","Libra","Scorpio","Sagittarius","Capricorn","Aquarius","Pisces"},0),12)+1=(MOD(CALC_D9_BhaveshMap!$H$16-2,12)+1)),AND(FALSE(),MOD(MATCH(CALC_PlanetPositions!$B$15,{"Aries","Taurus","Gemini","Cancer","Leo","Virgo","Libra","Scorpio","Sagittarius","Capricorn","Aquarius","Pisces"},0)-MATCH(INPUT_Chart!$C$5,{"Aries","Taurus","Gemini","Cancer","Leo","Virgo","Libra","Scorpio","Sagittarius","Capricorn","Aquarius","Pisces"},0),12)+1=(MOD(CALC_D9_BhaveshMap!$H$16-2,12)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9_BhaveshMap!$H$16,12)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9_BhaveshMap!$H$16,12)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9_BhaveshMap!$H$16,12)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9_BhaveshMap!$H$16,12)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9_BhaveshMap!$H$16,12)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9_BhaveshMap!$H$16,12)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9_BhaveshMap!$H$16,12)+1)),AND(FALSE(),MOD(MATCH(CALC_PlanetPositions!$B$14,{"Aries","Taurus","Gemini","Cancer","Leo","Virgo","Libra","Scorpio","Sagittarius","Capricorn","Aquarius","Pisces"},0)-MATCH(INPUT_Chart!$C$5,{"Aries","Taurus","Gemini","Cancer","Leo","Virgo","Libra","Scorpio","Sagittarius","Capricorn","Aquarius","Pisces"},0),12)+1=(MOD(CALC_D9_BhaveshMap!$H$16,12)+1)),AND(FALSE(),MOD(MATCH(CALC_PlanetPositions!$B$15,{"Aries","Taurus","Gemini","Cancer","Leo","Virgo","Libra","Scorpio","Sagittarius","Capricorn","Aquarius","Pisces"},0)-MATCH(INPUT_Chart!$C$5,{"Aries","Taurus","Gemini","Cancer","Leo","Virgo","Libra","Scorpio","Sagittarius","Capricorn","Aquarius","Pisces"},0),12)+1=(MOD(CALC_D9_BhaveshMap!$H$16,12)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$16-(MOD(MATCH(CALC_PlanetPositions!$B$7,{"Aries","Taurus","Gemini","Cancer","Leo","Virgo","Libra","Scorpio","Sagittarius","Capricorn","Aquarius","Pisces"},0)-MATCH(INPUT_Chart!$C$5,{"Aries","Taurus","Gemini","Cancer","Leo","Virgo","Libra","Scorpio","Sagittarius","Capricorn","Aquarius","Pisces"},0),12)+1),12)+1)="FULL",NOT(CALC_PlanetPositions!$B$7=CALC_D9_BhaveshMap!$G$16)),AND(CALC_PlanetPositions!$M$8="Malefic",INDEX(REF_Aspects!$D$5:$O$13,2,MOD(CALC_D9_BhaveshMap!$H$16-(MOD(MATCH(CALC_PlanetPositions!$B$8,{"Aries","Taurus","Gemini","Cancer","Leo","Virgo","Libra","Scorpio","Sagittarius","Capricorn","Aquarius","Pisces"},0)-MATCH(INPUT_Chart!$C$5,{"Aries","Taurus","Gemini","Cancer","Leo","Virgo","Libra","Scorpio","Sagittarius","Capricorn","Aquarius","Pisces"},0),12)+1),12)+1)="FULL",NOT(CALC_PlanetPositions!$B$8=CALC_D9_BhaveshMap!$G$16)),AND(CALC_PlanetPositions!$M$9="Malefic",INDEX(REF_Aspects!$D$5:$O$13,3,MOD(CALC_D9_BhaveshMap!$H$16-(MOD(MATCH(CALC_PlanetPositions!$B$9,{"Aries","Taurus","Gemini","Cancer","Leo","Virgo","Libra","Scorpio","Sagittarius","Capricorn","Aquarius","Pisces"},0)-MATCH(INPUT_Chart!$C$5,{"Aries","Taurus","Gemini","Cancer","Leo","Virgo","Libra","Scorpio","Sagittarius","Capricorn","Aquarius","Pisces"},0),12)+1),12)+1)="FULL",NOT(CALC_PlanetPositions!$B$9=CALC_D9_BhaveshMap!$G$16)),AND(CALC_PlanetPositions!$M$10="Malefic",INDEX(REF_Aspects!$D$5:$O$13,4,MOD(CALC_D9_BhaveshMap!$H$16-(MOD(MATCH(CALC_PlanetPositions!$B$10,{"Aries","Taurus","Gemini","Cancer","Leo","Virgo","Libra","Scorpio","Sagittarius","Capricorn","Aquarius","Pisces"},0)-MATCH(INPUT_Chart!$C$5,{"Aries","Taurus","Gemini","Cancer","Leo","Virgo","Libra","Scorpio","Sagittarius","Capricorn","Aquarius","Pisces"},0),12)+1),12)+1)="FULL",NOT(CALC_PlanetPositions!$B$10=CALC_D9_BhaveshMap!$G$16)),AND(CALC_PlanetPositions!$M$11="Malefic",INDEX(REF_Aspects!$D$5:$O$13,5,MOD(CALC_D9_BhaveshMap!$H$16-(MOD(MATCH(CALC_PlanetPositions!$B$11,{"Aries","Taurus","Gemini","Cancer","Leo","Virgo","Libra","Scorpio","Sagittarius","Capricorn","Aquarius","Pisces"},0)-MATCH(INPUT_Chart!$C$5,{"Aries","Taurus","Gemini","Cancer","Leo","Virgo","Libra","Scorpio","Sagittarius","Capricorn","Aquarius","Pisces"},0),12)+1),12)+1)="FULL",NOT(CALC_PlanetPositions!$B$11=CALC_D9_BhaveshMap!$G$16)),AND(CALC_PlanetPositions!$M$12="Malefic",INDEX(REF_Aspects!$D$5:$O$13,6,MOD(CALC_D9_BhaveshMap!$H$16-(MOD(MATCH(CALC_PlanetPositions!$B$12,{"Aries","Taurus","Gemini","Cancer","Leo","Virgo","Libra","Scorpio","Sagittarius","Capricorn","Aquarius","Pisces"},0)-MATCH(INPUT_Chart!$C$5,{"Aries","Taurus","Gemini","Cancer","Leo","Virgo","Libra","Scorpio","Sagittarius","Capricorn","Aquarius","Pisces"},0),12)+1),12)+1)="FULL",NOT(CALC_PlanetPositions!$B$12=CALC_D9_BhaveshMap!$G$16)),AND(CALC_PlanetPositions!$M$13="Malefic",INDEX(REF_Aspects!$D$5:$O$13,7,MOD(CALC_D9_BhaveshMap!$H$16-(MOD(MATCH(CALC_PlanetPositions!$B$13,{"Aries","Taurus","Gemini","Cancer","Leo","Virgo","Libra","Scorpio","Sagittarius","Capricorn","Aquarius","Pisces"},0)-MATCH(INPUT_Chart!$C$5,{"Aries","Taurus","Gemini","Cancer","Leo","Virgo","Libra","Scorpio","Sagittarius","Capricorn","Aquarius","Pisces"},0),12)+1),12)+1)="FULL",NOT(CALC_PlanetPositions!$B$13=CALC_D9_BhaveshMap!$G$16)),AND(TRUE(),INDEX(REF_Aspects!$D$5:$O$13,8,MOD(CALC_D9_BhaveshMap!$H$16-(MOD(MATCH(CALC_PlanetPositions!$B$14,{"Aries","Taurus","Gemini","Cancer","Leo","Virgo","Libra","Scorpio","Sagittarius","Capricorn","Aquarius","Pisces"},0)-MATCH(INPUT_Chart!$C$5,{"Aries","Taurus","Gemini","Cancer","Leo","Virgo","Libra","Scorpio","Sagittarius","Capricorn","Aquarius","Pisces"},0),12)+1),12)+1)="FULL",NOT(CALC_PlanetPositions!$B$14=CALC_D9_BhaveshMap!$G$16)),AND(TRUE(),INDEX(REF_Aspects!$D$5:$O$13,9,MOD(CALC_D9_BhaveshMap!$H$16-(MOD(MATCH(CALC_PlanetPositions!$B$15,{"Aries","Taurus","Gemini","Cancer","Leo","Virgo","Libra","Scorpio","Sagittarius","Capricorn","Aquarius","Pisces"},0)-MATCH(INPUT_Chart!$C$5,{"Aries","Taurus","Gemini","Cancer","Leo","Virgo","Libra","Scorpio","Sagittarius","Capricorn","Aquarius","Pisces"},0),12)+1),12)+1)="FULL",NOT(CALC_PlanetPositions!$B$15=CALC_D9_BhaveshMap!$G$16))),1,0),0))*-0.5,0)</f>
        <v>0</v>
      </c>
      <c r="D21" s="403" t="s">
        <v>4634</v>
      </c>
    </row>
    <row r="22" spans="1:7" ht="27.75" customHeight="1" x14ac:dyDescent="0.2">
      <c r="A22" s="121" t="s">
        <v>4635</v>
      </c>
      <c r="B22" s="357" t="s">
        <v>3042</v>
      </c>
      <c r="C22" s="1117">
        <f>IFERROR((IFERROR(IF(CALC_D9_BhaveshMap!$K$16="Yes",1,0),0))*IF(REF_Config!$B$6="KP",-1.75,IF(REF_Config!$B$6="Jaimini",-2,-2)),0)</f>
        <v>0</v>
      </c>
      <c r="D22" s="400" t="s">
        <v>4636</v>
      </c>
    </row>
    <row r="23" spans="1:7" ht="27.75" customHeight="1" x14ac:dyDescent="0.2">
      <c r="A23" s="121" t="s">
        <v>4637</v>
      </c>
      <c r="B23" s="203" t="s">
        <v>3059</v>
      </c>
      <c r="C23" s="1118">
        <f ca="1">IFERROR((IFERROR(IF(OR(AND(CALC_D9_BhaveshMap!$G$10=CALC_D9_BhaveshMap!$G$16,CALC_D9_BhaveshMap!$D$10&lt;&gt;CALC_D9_BhaveshMap!$D$16),AND(CALC_D9_BhaveshMap!$G$12=CALC_D9_BhaveshMap!$G$16,CALC_D9_BhaveshMap!$D$12&lt;&gt;CALC_D9_BhaveshMap!$D$16),AND(CALC_D9_BhaveshMap!$G$16=CALC_D9_BhaveshMap!$G$16,CALC_D9_BhaveshMap!$D$16&lt;&gt;CALC_D9_BhaveshMap!$D$16)),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IFERROR(IF(OR(CALC_D9_BhaveshMap!$D$16="Sun",CALC_D9_BhaveshMap!$D$16="Rahu",CALC_D9_BhaveshMap!$D$16="Ketu"),0,IF(CALC_D9_BhaveshMap!$D$16="Moon",IF(CALC_CombustionCheck!$G$4="Cazimi ✓",0.5,IF(CALC_CombustionCheck!$F$4="COMBUST ⚠",-1,0)),IF(CALC_D9_BhaveshMap!$D$16="Mars",IF(CALC_CombustionCheck!$G$5="Cazimi ✓",0.5,IF(AND(CALC_CombustionCheck!$F$5="COMBUST ⚠",CALC_RetrogradeFix!$F$6="Rx ✓"),-0.5,IF(CALC_CombustionCheck!$F$5="COMBUST ⚠",-1,0))),IF(CALC_D9_BhaveshMap!$D$16="Mercury",IF(CALC_CombustionCheck!$G$6="Cazimi ✓",0.5,IF(AND(CALC_CombustionCheck!$F$6="COMBUST ⚠",CALC_RetrogradeFix!$F$7="Rx ✓"),-0.5,IF(CALC_CombustionCheck!$F$6="COMBUST ⚠",-1,0))),IF(CALC_D9_BhaveshMap!$D$16="Jupiter",IF(CALC_CombustionCheck!$G$7="Cazimi ✓",0.5,IF(AND(CALC_CombustionCheck!$F$7="COMBUST ⚠",CALC_RetrogradeFix!$F$8="Rx ✓"),-0.5,IF(CALC_CombustionCheck!$F$7="COMBUST ⚠",-1,0))),IF(CALC_D9_BhaveshMap!$D$16="Venus",IF(CALC_CombustionCheck!$G$8="Cazimi ✓",0.5,IF(AND(CALC_CombustionCheck!$F$8="COMBUST ⚠",CALC_RetrogradeFix!$F$9="Rx ✓"),-0.5,IF(CALC_CombustionCheck!$F$8="COMBUST ⚠",-1,0))),IF(CALC_D9_BhaveshMap!$D$16="Saturn",IF(CALC_CombustionCheck!$G$9="Cazimi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9_BhaveshMap!$D$16="Rahu",CALC_D9_BhaveshMap!$D$16="Ketu"),0,IF(ISNUMBER(MATCH(CALC_D9_BhaveshMap!$D$16,{"Sun","Moon","Mars","Mercury","Jupiter","Venus","Saturn"},0)),IF(INDEX(CALC_DigBala!$F$4:$F$10,MATCH(CALC_D9_BhaveshMap!$D$16,{"Sun","Moon","Mars","Mercury","Jupiter","Venus","Saturn"},0))="Yes",0.5,0),0)),0)</f>
        <v>0</v>
      </c>
      <c r="D28" s="400" t="s">
        <v>4647</v>
      </c>
    </row>
    <row r="29" spans="1:7" ht="27.75" customHeight="1" x14ac:dyDescent="0.2">
      <c r="A29" s="1120" t="s">
        <v>4648</v>
      </c>
      <c r="B29" s="296" t="s">
        <v>3372</v>
      </c>
      <c r="C29" s="1117">
        <f ca="1">IFERROR(IF(COUNTIFS(REF_PushkaraNavamsha!$A$4:$A$27,CALC_D9_BhaveshMap!$G$16,REF_PushkaraNavamsha!$B$4:$B$27,INDEX(CALC_PlanetPositions!$G$7:$G$15,MATCH(CALC_D9_BhaveshMap!$D$16,CALC_PlanetPositions!$A$7:$A$15,0)))&gt;0,0.5,0),0)</f>
        <v>0</v>
      </c>
      <c r="D29" s="400" t="s">
        <v>4649</v>
      </c>
    </row>
    <row r="30" spans="1:7" ht="25.5" customHeight="1" x14ac:dyDescent="0.2">
      <c r="A30" s="147" t="s">
        <v>4650</v>
      </c>
      <c r="B30" s="1121" t="s">
        <v>4651</v>
      </c>
      <c r="C30" s="1122">
        <f>IFERROR(IF(ISNUMBER(MATCH(CALC_D9_BhaveshMap!$D$16,{"Sun","Moon","Mars","Mercury","Jupiter","Venus","Saturn"},0)),INDEX(CALC_RetrogradeFix!$G$4:$G$10,MATCH(CALC_D9_BhaveshMap!$D$16,{"Sun","Moon","Mars","Mercury","Jupiter","Venus","Saturn"},0)),0),0)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-2</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-3</v>
      </c>
      <c r="D37" s="1129"/>
    </row>
    <row r="38" spans="1:4" ht="21.75" customHeight="1" x14ac:dyDescent="0.2">
      <c r="A38" s="89" t="s">
        <v>4661</v>
      </c>
      <c r="B38" s="1129"/>
      <c r="C38" s="1131">
        <f ca="1">IFERROR(MAX(-10,MIN(10,C37)),0)</f>
        <v>-3</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-3</v>
      </c>
      <c r="D40" s="1136" t="str">
        <f ca="1">IFERROR(IF(C40&gt;=7,"Excellent — Self domain very strong",IF(C40&gt;=4,"Good — Self domain strong",IF(C40&gt;=1,"Moderate",IF(C40&gt;=-2,"Mixed — Self has challenges",IF(C40&gt;=-5,"Weak","Very weak — Self heavily afflicted"))))),"—")</f>
        <v>Weak</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4744</v>
      </c>
      <c r="B1" s="1518"/>
      <c r="C1" s="1518"/>
      <c r="D1" s="1518"/>
      <c r="L1" s="544" t="s">
        <v>2214</v>
      </c>
    </row>
    <row r="2" spans="1:12" ht="19.5" customHeight="1" x14ac:dyDescent="0.2">
      <c r="A2" s="1595" t="str">
        <f>IFERROR("D10 Lagna: "&amp;CALC_D10_Dashamsha!$C$5&amp;"  ·  H1 — Self","← Enter chart")</f>
        <v>D10 Lagna: Aries  ·  H1 — Self</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IFERROR((IFERROR(IF(INDEX(REF_Zodiac!$D$17:$O$17,MATCH(CALC_D10_Dashamsha!$C$5,REF_Zodiac!$D$3:$O$3,0))="Gentle",1,0),0))*0.5,0)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IFERROR(IF(AND(OR(CALC_D10_Dashamsha!$I$5="Yes",CALC_D10_Dashamsha!$J$5="Yes"),NOT(CALC_D10_Dashamsha!$K$5="Yes")),1,0)*IF(REF_Config!$B$6="KP",1.5,IF(REF_Config!$B$6="Jaimini",1.5,2)),0)</f>
        <v>0</v>
      </c>
      <c r="D9" s="403" t="s">
        <v>4612</v>
      </c>
    </row>
    <row r="10" spans="1:12" ht="27.75" customHeight="1" x14ac:dyDescent="0.2">
      <c r="A10" s="121" t="s">
        <v>4613</v>
      </c>
      <c r="B10" s="357" t="s">
        <v>3093</v>
      </c>
      <c r="C10" s="1117">
        <f ca="1">IFERROR((IFERROR(IF(OR(AND(CALC_D10_Dashamsha!$G$5=CALC_D10_Dashamsha!$G$5,CALC_D10_Dashamsha!$D$5&lt;&gt;CALC_D10_Dashamsha!$D$5),AND(CALC_D10_Dashamsha!$G$8=CALC_D10_Dashamsha!$G$5,CALC_D10_Dashamsha!$D$8&lt;&gt;CALC_D10_Dashamsha!$D$5),AND(CALC_D10_Dashamsha!$G$9=CALC_D10_Dashamsha!$G$5,CALC_D10_Dashamsha!$D$9&lt;&gt;CALC_D10_Dashamsha!$D$5),AND(CALC_D10_Dashamsha!$G$11=CALC_D10_Dashamsha!$G$5,CALC_D10_Dashamsha!$D$11&lt;&gt;CALC_D10_Dashamsha!$D$5),AND(CALC_D10_Dashamsha!$G$13=CALC_D10_Dashamsha!$G$5,CALC_D10_Dashamsha!$D$13&lt;&gt;CALC_D10_Dashamsha!$D$5),AND(CALC_D10_Dashamsha!$G$14=CALC_D10_Dashamsha!$G$5,CALC_D10_Dashamsha!$D$14&lt;&gt;CALC_D10_Dashamsha!$D$5)),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$5,CALC_D10_Dashamsha!$D$5&lt;&gt;"Sun"),AND(OR(CALC_PlanetPositions!$M$8="Benefic",CALC_PlanetPositions!$M$8="Yogakaraka"),CALC_PlanetPositions!$B$8=CALC_D10_Dashamsha!$G$5,CALC_D10_Dashamsha!$D$5&lt;&gt;"Moon"),AND(OR(CALC_PlanetPositions!$M$9="Benefic",CALC_PlanetPositions!$M$9="Yogakaraka"),CALC_PlanetPositions!$B$9=CALC_D10_Dashamsha!$G$5,CALC_D10_Dashamsha!$D$5&lt;&gt;"Mars"),AND(OR(CALC_PlanetPositions!$M$10="Benefic",CALC_PlanetPositions!$M$10="Yogakaraka"),CALC_PlanetPositions!$B$10=CALC_D10_Dashamsha!$G$5,CALC_D10_Dashamsha!$D$5&lt;&gt;"Mercury"),AND(OR(CALC_PlanetPositions!$M$11="Benefic",CALC_PlanetPositions!$M$11="Yogakaraka"),CALC_PlanetPositions!$B$11=CALC_D10_Dashamsha!$G$5,CALC_D10_Dashamsha!$D$5&lt;&gt;"Jupiter"),AND(OR(CALC_PlanetPositions!$M$12="Benefic",CALC_PlanetPositions!$M$12="Yogakaraka"),CALC_PlanetPositions!$B$12=CALC_D10_Dashamsha!$G$5,CALC_D10_Dashamsha!$D$5&lt;&gt;"Venus"),AND(OR(CALC_PlanetPositions!$M$13="Benefic",CALC_PlanetPositions!$M$13="Yogakaraka"),CALC_PlanetPositions!$B$13=CALC_D10_Dashamsha!$G$5,CALC_D10_Dashamsha!$D$5&lt;&gt;"Saturn")),1,0),0))*IF(OR(AND(CALC_PlanetPositions!$M$7="Yogakaraka",CALC_PlanetPositions!$B$7=CALC_D10_Dashamsha!$G$5,CALC_D10_Dashamsha!$D$5&lt;&gt;"Sun"),AND(CALC_PlanetPositions!$M$8="Yogakaraka",CALC_PlanetPositions!$B$8=CALC_D10_Dashamsha!$G$5,CALC_D10_Dashamsha!$D$5&lt;&gt;"Moon"),AND(CALC_PlanetPositions!$M$9="Yogakaraka",CALC_PlanetPositions!$B$9=CALC_D10_Dashamsha!$G$5,CALC_D10_Dashamsha!$D$5&lt;&gt;"Mars"),AND(CALC_PlanetPositions!$M$10="Yogakaraka",CALC_PlanetPositions!$B$10=CALC_D10_Dashamsha!$G$5,CALC_D10_Dashamsha!$D$5&lt;&gt;"Mercury"),AND(CALC_PlanetPositions!$M$11="Yogakaraka",CALC_PlanetPositions!$B$11=CALC_D10_Dashamsha!$G$5,CALC_D10_Dashamsha!$D$5&lt;&gt;"Jupiter"),AND(CALC_PlanetPositions!$M$12="Yogakaraka",CALC_PlanetPositions!$B$12=CALC_D10_Dashamsha!$G$5,CALC_D10_Dashamsha!$D$5&lt;&gt;"Venus"),AND(CALC_PlanetPositions!$M$13="Yogakaraka",CALC_PlanetPositions!$B$13=CALC_D10_Dashamsha!$G$5,CALC_D10_Dashamsha!$D$5&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$5-(MOD(MATCH(CALC_PlanetPositions!$B$7,{"Aries","Taurus","Gemini","Cancer","Leo","Virgo","Libra","Scorpio","Sagittarius","Capricorn","Aquarius","Pisces"},0)-MATCH(INPUT_Chart!$C$5,{"Aries","Taurus","Gemini","Cancer","Leo","Virgo","Libra","Scorpio","Sagittarius","Capricorn","Aquarius","Pisces"},0),12)+1),12)+1)="FULL",NOT(CALC_PlanetPositions!$B$7=CALC_D10_Dashamsha!$G$5)),AND(OR(CALC_PlanetPositions!$M$8="Benefic",CALC_PlanetPositions!$M$8="Yogakaraka"),INDEX(REF_Aspects!$D$5:$O$13,2,MOD(CALC_D10_Dashamsha!$H$5-(MOD(MATCH(CALC_PlanetPositions!$B$8,{"Aries","Taurus","Gemini","Cancer","Leo","Virgo","Libra","Scorpio","Sagittarius","Capricorn","Aquarius","Pisces"},0)-MATCH(INPUT_Chart!$C$5,{"Aries","Taurus","Gemini","Cancer","Leo","Virgo","Libra","Scorpio","Sagittarius","Capricorn","Aquarius","Pisces"},0),12)+1),12)+1)="FULL",NOT(CALC_PlanetPositions!$B$8=CALC_D10_Dashamsha!$G$5)),AND(OR(CALC_PlanetPositions!$M$9="Benefic",CALC_PlanetPositions!$M$9="Yogakaraka"),INDEX(REF_Aspects!$D$5:$O$13,3,MOD(CALC_D10_Dashamsha!$H$5-(MOD(MATCH(CALC_PlanetPositions!$B$9,{"Aries","Taurus","Gemini","Cancer","Leo","Virgo","Libra","Scorpio","Sagittarius","Capricorn","Aquarius","Pisces"},0)-MATCH(INPUT_Chart!$C$5,{"Aries","Taurus","Gemini","Cancer","Leo","Virgo","Libra","Scorpio","Sagittarius","Capricorn","Aquarius","Pisces"},0),12)+1),12)+1)="FULL",NOT(CALC_PlanetPositions!$B$9=CALC_D10_Dashamsha!$G$5)),AND(OR(CALC_PlanetPositions!$M$10="Benefic",CALC_PlanetPositions!$M$10="Yogakaraka"),INDEX(REF_Aspects!$D$5:$O$13,4,MOD(CALC_D10_Dashamsha!$H$5-(MOD(MATCH(CALC_PlanetPositions!$B$10,{"Aries","Taurus","Gemini","Cancer","Leo","Virgo","Libra","Scorpio","Sagittarius","Capricorn","Aquarius","Pisces"},0)-MATCH(INPUT_Chart!$C$5,{"Aries","Taurus","Gemini","Cancer","Leo","Virgo","Libra","Scorpio","Sagittarius","Capricorn","Aquarius","Pisces"},0),12)+1),12)+1)="FULL",NOT(CALC_PlanetPositions!$B$10=CALC_D10_Dashamsha!$G$5)),AND(OR(CALC_PlanetPositions!$M$11="Benefic",CALC_PlanetPositions!$M$11="Yogakaraka"),INDEX(REF_Aspects!$D$5:$O$13,5,MOD(CALC_D10_Dashamsha!$H$5-(MOD(MATCH(CALC_PlanetPositions!$B$11,{"Aries","Taurus","Gemini","Cancer","Leo","Virgo","Libra","Scorpio","Sagittarius","Capricorn","Aquarius","Pisces"},0)-MATCH(INPUT_Chart!$C$5,{"Aries","Taurus","Gemini","Cancer","Leo","Virgo","Libra","Scorpio","Sagittarius","Capricorn","Aquarius","Pisces"},0),12)+1),12)+1)="FULL",NOT(CALC_PlanetPositions!$B$11=CALC_D10_Dashamsha!$G$5)),AND(OR(CALC_PlanetPositions!$M$12="Benefic",CALC_PlanetPositions!$M$12="Yogakaraka"),INDEX(REF_Aspects!$D$5:$O$13,6,MOD(CALC_D10_Dashamsha!$H$5-(MOD(MATCH(CALC_PlanetPositions!$B$12,{"Aries","Taurus","Gemini","Cancer","Leo","Virgo","Libra","Scorpio","Sagittarius","Capricorn","Aquarius","Pisces"},0)-MATCH(INPUT_Chart!$C$5,{"Aries","Taurus","Gemini","Cancer","Leo","Virgo","Libra","Scorpio","Sagittarius","Capricorn","Aquarius","Pisces"},0),12)+1),12)+1)="FULL",NOT(CALC_PlanetPositions!$B$12=CALC_D10_Dashamsha!$G$5)),AND(OR(CALC_PlanetPositions!$M$13="Benefic",CALC_PlanetPositions!$M$13="Yogakaraka"),INDEX(REF_Aspects!$D$5:$O$13,7,MOD(CALC_D10_Dashamsha!$H$5-(MOD(MATCH(CALC_PlanetPositions!$B$13,{"Aries","Taurus","Gemini","Cancer","Leo","Virgo","Libra","Scorpio","Sagittarius","Capricorn","Aquarius","Pisces"},0)-MATCH(INPUT_Chart!$C$5,{"Aries","Taurus","Gemini","Cancer","Leo","Virgo","Libra","Scorpio","Sagittarius","Capricorn","Aquarius","Pisces"},0),12)+1),12)+1)="FULL",NOT(CALC_PlanetPositions!$B$13=CALC_D10_Dashamsha!$G$5)),AND(FALSE(),INDEX(REF_Aspects!$D$5:$O$13,8,MOD(CALC_D10_Dashamsha!$H$5-(MOD(MATCH(CALC_PlanetPositions!$B$14,{"Aries","Taurus","Gemini","Cancer","Leo","Virgo","Libra","Scorpio","Sagittarius","Capricorn","Aquarius","Pisces"},0)-MATCH(INPUT_Chart!$C$5,{"Aries","Taurus","Gemini","Cancer","Leo","Virgo","Libra","Scorpio","Sagittarius","Capricorn","Aquarius","Pisces"},0),12)+1),12)+1)="FULL",NOT(CALC_PlanetPositions!$B$14=CALC_D10_Dashamsha!$G$5)),AND(FALSE(),INDEX(REF_Aspects!$D$5:$O$13,9,MOD(CALC_D10_Dashamsha!$H$5-(MOD(MATCH(CALC_PlanetPositions!$B$15,{"Aries","Taurus","Gemini","Cancer","Leo","Virgo","Libra","Scorpio","Sagittarius","Capricorn","Aquarius","Pisces"},0)-MATCH(INPUT_Chart!$C$5,{"Aries","Taurus","Gemini","Cancer","Leo","Virgo","Libra","Scorpio","Sagittarius","Capricorn","Aquarius","Pisces"},0),12)+1),12)+1)="FULL",NOT(CALC_PlanetPositions!$B$15=CALC_D10_Dashamsha!$G$5))),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$5-2,12)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$5-2,12)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$5-2,12)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$5-2,12)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$5-2,12)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$5-2,12)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$5-2,12)+1)),AND(FALSE(),MOD(MATCH(CALC_PlanetPositions!$B$14,{"Aries","Taurus","Gemini","Cancer","Leo","Virgo","Libra","Scorpio","Sagittarius","Capricorn","Aquarius","Pisces"},0)-MATCH(INPUT_Chart!$C$5,{"Aries","Taurus","Gemini","Cancer","Leo","Virgo","Libra","Scorpio","Sagittarius","Capricorn","Aquarius","Pisces"},0),12)+1=(MOD(CALC_D10_Dashamsha!$H$5-2,12)+1)),AND(FALSE(),MOD(MATCH(CALC_PlanetPositions!$B$15,{"Aries","Taurus","Gemini","Cancer","Leo","Virgo","Libra","Scorpio","Sagittarius","Capricorn","Aquarius","Pisces"},0)-MATCH(INPUT_Chart!$C$5,{"Aries","Taurus","Gemini","Cancer","Leo","Virgo","Libra","Scorpio","Sagittarius","Capricorn","Aquarius","Pisces"},0),12)+1=(MOD(CALC_D10_Dashamsha!$H$5-2,12)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$5,12)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$5,12)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$5,12)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$5,12)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$5,12)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$5,12)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$5,12)+1)),AND(FALSE(),MOD(MATCH(CALC_PlanetPositions!$B$14,{"Aries","Taurus","Gemini","Cancer","Leo","Virgo","Libra","Scorpio","Sagittarius","Capricorn","Aquarius","Pisces"},0)-MATCH(INPUT_Chart!$C$5,{"Aries","Taurus","Gemini","Cancer","Leo","Virgo","Libra","Scorpio","Sagittarius","Capricorn","Aquarius","Pisces"},0),12)+1=(MOD(CALC_D10_Dashamsha!$H$5,12)+1)),AND(FALSE(),MOD(MATCH(CALC_PlanetPositions!$B$15,{"Aries","Taurus","Gemini","Cancer","Leo","Virgo","Libra","Scorpio","Sagittarius","Capricorn","Aquarius","Pisces"},0)-MATCH(INPUT_Chart!$C$5,{"Aries","Taurus","Gemini","Cancer","Leo","Virgo","Libra","Scorpio","Sagittarius","Capricorn","Aquarius","Pisces"},0),12)+1=(MOD(CALC_D10_Dashamsha!$H$5,12)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$5-(MOD(MATCH(CALC_PlanetPositions!$B$7,{"Aries","Taurus","Gemini","Cancer","Leo","Virgo","Libra","Scorpio","Sagittarius","Capricorn","Aquarius","Pisces"},0)-MATCH(INPUT_Chart!$C$5,{"Aries","Taurus","Gemini","Cancer","Leo","Virgo","Libra","Scorpio","Sagittarius","Capricorn","Aquarius","Pisces"},0),12)+1),12)+1)="FULL",NOT(CALC_PlanetPositions!$B$7=CALC_D10_Dashamsha!$G$5)),AND(CALC_PlanetPositions!$M$8="Malefic",INDEX(REF_Aspects!$D$5:$O$13,2,MOD(CALC_D10_Dashamsha!$H$5-(MOD(MATCH(CALC_PlanetPositions!$B$8,{"Aries","Taurus","Gemini","Cancer","Leo","Virgo","Libra","Scorpio","Sagittarius","Capricorn","Aquarius","Pisces"},0)-MATCH(INPUT_Chart!$C$5,{"Aries","Taurus","Gemini","Cancer","Leo","Virgo","Libra","Scorpio","Sagittarius","Capricorn","Aquarius","Pisces"},0),12)+1),12)+1)="FULL",NOT(CALC_PlanetPositions!$B$8=CALC_D10_Dashamsha!$G$5)),AND(CALC_PlanetPositions!$M$9="Malefic",INDEX(REF_Aspects!$D$5:$O$13,3,MOD(CALC_D10_Dashamsha!$H$5-(MOD(MATCH(CALC_PlanetPositions!$B$9,{"Aries","Taurus","Gemini","Cancer","Leo","Virgo","Libra","Scorpio","Sagittarius","Capricorn","Aquarius","Pisces"},0)-MATCH(INPUT_Chart!$C$5,{"Aries","Taurus","Gemini","Cancer","Leo","Virgo","Libra","Scorpio","Sagittarius","Capricorn","Aquarius","Pisces"},0),12)+1),12)+1)="FULL",NOT(CALC_PlanetPositions!$B$9=CALC_D10_Dashamsha!$G$5)),AND(CALC_PlanetPositions!$M$10="Malefic",INDEX(REF_Aspects!$D$5:$O$13,4,MOD(CALC_D10_Dashamsha!$H$5-(MOD(MATCH(CALC_PlanetPositions!$B$10,{"Aries","Taurus","Gemini","Cancer","Leo","Virgo","Libra","Scorpio","Sagittarius","Capricorn","Aquarius","Pisces"},0)-MATCH(INPUT_Chart!$C$5,{"Aries","Taurus","Gemini","Cancer","Leo","Virgo","Libra","Scorpio","Sagittarius","Capricorn","Aquarius","Pisces"},0),12)+1),12)+1)="FULL",NOT(CALC_PlanetPositions!$B$10=CALC_D10_Dashamsha!$G$5)),AND(CALC_PlanetPositions!$M$11="Malefic",INDEX(REF_Aspects!$D$5:$O$13,5,MOD(CALC_D10_Dashamsha!$H$5-(MOD(MATCH(CALC_PlanetPositions!$B$11,{"Aries","Taurus","Gemini","Cancer","Leo","Virgo","Libra","Scorpio","Sagittarius","Capricorn","Aquarius","Pisces"},0)-MATCH(INPUT_Chart!$C$5,{"Aries","Taurus","Gemini","Cancer","Leo","Virgo","Libra","Scorpio","Sagittarius","Capricorn","Aquarius","Pisces"},0),12)+1),12)+1)="FULL",NOT(CALC_PlanetPositions!$B$11=CALC_D10_Dashamsha!$G$5)),AND(CALC_PlanetPositions!$M$12="Malefic",INDEX(REF_Aspects!$D$5:$O$13,6,MOD(CALC_D10_Dashamsha!$H$5-(MOD(MATCH(CALC_PlanetPositions!$B$12,{"Aries","Taurus","Gemini","Cancer","Leo","Virgo","Libra","Scorpio","Sagittarius","Capricorn","Aquarius","Pisces"},0)-MATCH(INPUT_Chart!$C$5,{"Aries","Taurus","Gemini","Cancer","Leo","Virgo","Libra","Scorpio","Sagittarius","Capricorn","Aquarius","Pisces"},0),12)+1),12)+1)="FULL",NOT(CALC_PlanetPositions!$B$12=CALC_D10_Dashamsha!$G$5)),AND(CALC_PlanetPositions!$M$13="Malefic",INDEX(REF_Aspects!$D$5:$O$13,7,MOD(CALC_D10_Dashamsha!$H$5-(MOD(MATCH(CALC_PlanetPositions!$B$13,{"Aries","Taurus","Gemini","Cancer","Leo","Virgo","Libra","Scorpio","Sagittarius","Capricorn","Aquarius","Pisces"},0)-MATCH(INPUT_Chart!$C$5,{"Aries","Taurus","Gemini","Cancer","Leo","Virgo","Libra","Scorpio","Sagittarius","Capricorn","Aquarius","Pisces"},0),12)+1),12)+1)="FULL",NOT(CALC_PlanetPositions!$B$13=CALC_D10_Dashamsha!$G$5)),AND(TRUE(),INDEX(REF_Aspects!$D$5:$O$13,8,MOD(CALC_D10_Dashamsha!$H$5-(MOD(MATCH(CALC_PlanetPositions!$B$14,{"Aries","Taurus","Gemini","Cancer","Leo","Virgo","Libra","Scorpio","Sagittarius","Capricorn","Aquarius","Pisces"},0)-MATCH(INPUT_Chart!$C$5,{"Aries","Taurus","Gemini","Cancer","Leo","Virgo","Libra","Scorpio","Sagittarius","Capricorn","Aquarius","Pisces"},0),12)+1),12)+1)="FULL",NOT(CALC_PlanetPositions!$B$14=CALC_D10_Dashamsha!$G$5)),AND(TRUE(),INDEX(REF_Aspects!$D$5:$O$13,9,MOD(CALC_D10_Dashamsha!$H$5-(MOD(MATCH(CALC_PlanetPositions!$B$15,{"Aries","Taurus","Gemini","Cancer","Leo","Virgo","Libra","Scorpio","Sagittarius","Capricorn","Aquarius","Pisces"},0)-MATCH(INPUT_Chart!$C$5,{"Aries","Taurus","Gemini","Cancer","Leo","Virgo","Libra","Scorpio","Sagittarius","Capricorn","Aquarius","Pisces"},0),12)+1),12)+1)="FULL",NOT(CALC_PlanetPositions!$B$15=CALC_D10_Dashamsha!$G$5))),1,0),0))*-0.5,0)</f>
        <v>0</v>
      </c>
      <c r="D21" s="403" t="s">
        <v>4634</v>
      </c>
    </row>
    <row r="22" spans="1:7" ht="27.75" customHeight="1" x14ac:dyDescent="0.2">
      <c r="A22" s="121" t="s">
        <v>4635</v>
      </c>
      <c r="B22" s="357" t="s">
        <v>3042</v>
      </c>
      <c r="C22" s="1117">
        <f>IFERROR((IFERROR(IF(CALC_D10_Dashamsha!$K$5="Yes",1,0),0))*IF(REF_Config!$B$6="KP",-1.75,IF(REF_Config!$B$6="Jaimini",-2,-2)),0)</f>
        <v>0</v>
      </c>
      <c r="D22" s="400" t="s">
        <v>4636</v>
      </c>
    </row>
    <row r="23" spans="1:7" ht="27.75" customHeight="1" x14ac:dyDescent="0.2">
      <c r="A23" s="121" t="s">
        <v>4637</v>
      </c>
      <c r="B23" s="203" t="s">
        <v>3059</v>
      </c>
      <c r="C23" s="1118">
        <f ca="1">IFERROR((IFERROR(IF(OR(AND(CALC_D10_Dashamsha!$G$10=CALC_D10_Dashamsha!$G$5,CALC_D10_Dashamsha!$D$10&lt;&gt;CALC_D10_Dashamsha!$D$5),AND(CALC_D10_Dashamsha!$G$12=CALC_D10_Dashamsha!$G$5,CALC_D10_Dashamsha!$D$12&lt;&gt;CALC_D10_Dashamsha!$D$5),AND(CALC_D10_Dashamsha!$G$16=CALC_D10_Dashamsha!$G$5,CALC_D10_Dashamsha!$D$16&lt;&gt;CALC_D10_Dashamsha!$D$5)),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IFERROR(IF(OR(CALC_D10_Dashamsha!$D$5="Sun",CALC_D10_Dashamsha!$D$5="Rahu",CALC_D10_Dashamsha!$D$5="Ketu"),0,IF(CALC_D10_Dashamsha!$D$5="Moon",IF(CALC_CombustionCheck!$G$4="Cazimi ✓",0.5,IF(CALC_CombustionCheck!$F$4="COMBUST ⚠",-1,0)),IF(CALC_D10_Dashamsha!$D$5="Mars",IF(CALC_CombustionCheck!$G$5="Cazimi ✓",0.5,IF(AND(CALC_CombustionCheck!$F$5="COMBUST ⚠",CALC_RetrogradeFix!$F$6="Rx ✓"),-0.5,IF(CALC_CombustionCheck!$F$5="COMBUST ⚠",-1,0))),IF(CALC_D10_Dashamsha!$D$5="Mercury",IF(CALC_CombustionCheck!$G$6="Cazimi ✓",0.5,IF(AND(CALC_CombustionCheck!$F$6="COMBUST ⚠",CALC_RetrogradeFix!$F$7="Rx ✓"),-0.5,IF(CALC_CombustionCheck!$F$6="COMBUST ⚠",-1,0))),IF(CALC_D10_Dashamsha!$D$5="Jupiter",IF(CALC_CombustionCheck!$G$7="Cazimi ✓",0.5,IF(AND(CALC_CombustionCheck!$F$7="COMBUST ⚠",CALC_RetrogradeFix!$F$8="Rx ✓"),-0.5,IF(CALC_CombustionCheck!$F$7="COMBUST ⚠",-1,0))),IF(CALC_D10_Dashamsha!$D$5="Venus",IF(CALC_CombustionCheck!$G$8="Cazimi ✓",0.5,IF(AND(CALC_CombustionCheck!$F$8="COMBUST ⚠",CALC_RetrogradeFix!$F$9="Rx ✓"),-0.5,IF(CALC_CombustionCheck!$F$8="COMBUST ⚠",-1,0))),IF(CALC_D10_Dashamsha!$D$5="Saturn",IF(CALC_CombustionCheck!$G$9="Cazimi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10_Dashamsha!$D$5="Rahu",CALC_D10_Dashamsha!$D$5="Ketu"),0,IF(ISNUMBER(MATCH(CALC_D10_Dashamsha!$D$5,{"Sun","Moon","Mars","Mercury","Jupiter","Venus","Saturn"},0)),IF(INDEX(CALC_DigBala!$F$4:$F$10,MATCH(CALC_D10_Dashamsha!$D$5,{"Sun","Moon","Mars","Mercury","Jupiter","Venus","Saturn"},0))="Yes",0.5,0),0)),0)</f>
        <v>0</v>
      </c>
      <c r="D28" s="400" t="s">
        <v>4647</v>
      </c>
    </row>
    <row r="29" spans="1:7" ht="27.75" customHeight="1" x14ac:dyDescent="0.2">
      <c r="A29" s="1120" t="s">
        <v>4648</v>
      </c>
      <c r="B29" s="296" t="s">
        <v>3372</v>
      </c>
      <c r="C29" s="1117">
        <f ca="1">IFERROR(IF(COUNTIFS(REF_PushkaraNavamsha!$A$4:$A$27,CALC_D10_Dashamsha!$G$5,REF_PushkaraNavamsha!$B$4:$B$27,INDEX(CALC_PlanetPositions!$G$7:$G$15,MATCH(CALC_D10_Dashamsha!$D$5,CALC_PlanetPositions!$A$7:$A$15,0)))&gt;0,0.5,0),0)</f>
        <v>0</v>
      </c>
      <c r="D29" s="400" t="s">
        <v>4649</v>
      </c>
    </row>
    <row r="30" spans="1:7" ht="25.5" customHeight="1" x14ac:dyDescent="0.2">
      <c r="A30" s="147" t="s">
        <v>4650</v>
      </c>
      <c r="B30" s="1121" t="s">
        <v>4651</v>
      </c>
      <c r="C30" s="1122">
        <f>IFERROR(IF(ISNUMBER(MATCH(CALC_D10_Dashamsha!$D$5,{"Sun","Moon","Mars","Mercury","Jupiter","Venus","Saturn"},0)),INDEX(CALC_RetrogradeFix!$G$4:$G$10,MATCH(CALC_D10_Dashamsha!$D$5,{"Sun","Moon","Mars","Mercury","Jupiter","Venus","Saturn"},0)),0),0)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v>
      </c>
      <c r="D37" s="1129"/>
    </row>
    <row r="38" spans="1:4" ht="21.75" customHeight="1" x14ac:dyDescent="0.2">
      <c r="A38" s="89" t="s">
        <v>4661</v>
      </c>
      <c r="B38" s="1129"/>
      <c r="C38" s="1131">
        <f ca="1">IFERROR(MAX(-10,MIN(10,C37)),0)</f>
        <v>-2</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-1.9</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4677</v>
      </c>
      <c r="B41" s="1129"/>
      <c r="C41" s="470">
        <v>0.1</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4745</v>
      </c>
      <c r="B1" s="1518"/>
      <c r="C1" s="1518"/>
      <c r="D1" s="1518"/>
      <c r="L1" s="544" t="s">
        <v>2214</v>
      </c>
    </row>
    <row r="2" spans="1:12" ht="19.5" customHeight="1" x14ac:dyDescent="0.2">
      <c r="A2" s="1595" t="str">
        <f>IFERROR("D10 Lagna: "&amp;CALC_D10_Dashamsha!$C$5&amp;"  ·  H2 — Wealth","← Enter chart")</f>
        <v>D10 Lagna: Aries  ·  H2 — Wealth</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IFERROR((IFERROR(IF(INDEX(REF_Zodiac!$D$17:$O$17,MATCH(CALC_D10_Dashamsha!$C$6,REF_Zodiac!$D$3:$O$3,0))="Gentle",1,0),0))*0.5,0)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IFERROR(IF(AND(OR(CALC_D10_Dashamsha!$I$6="Yes",CALC_D10_Dashamsha!$J$6="Yes"),NOT(CALC_D10_Dashamsha!$K$6="Yes")),1,0)*IF(REF_Config!$B$6="KP",1.5,IF(REF_Config!$B$6="Jaimini",1.5,2)),0)</f>
        <v>0</v>
      </c>
      <c r="D9" s="403" t="s">
        <v>4612</v>
      </c>
    </row>
    <row r="10" spans="1:12" ht="27.75" customHeight="1" x14ac:dyDescent="0.2">
      <c r="A10" s="121" t="s">
        <v>4613</v>
      </c>
      <c r="B10" s="357" t="s">
        <v>3093</v>
      </c>
      <c r="C10" s="1117">
        <f ca="1">IFERROR((IFERROR(IF(OR(AND(CALC_D10_Dashamsha!$G$6=CALC_D10_Dashamsha!$G$6,CALC_D10_Dashamsha!$D$6&lt;&gt;CALC_D10_Dashamsha!$D$6),AND(CALC_D10_Dashamsha!$G$8=CALC_D10_Dashamsha!$G$6,CALC_D10_Dashamsha!$D$8&lt;&gt;CALC_D10_Dashamsha!$D$6),AND(CALC_D10_Dashamsha!$G$9=CALC_D10_Dashamsha!$G$6,CALC_D10_Dashamsha!$D$9&lt;&gt;CALC_D10_Dashamsha!$D$6),AND(CALC_D10_Dashamsha!$G$11=CALC_D10_Dashamsha!$G$6,CALC_D10_Dashamsha!$D$11&lt;&gt;CALC_D10_Dashamsha!$D$6),AND(CALC_D10_Dashamsha!$G$13=CALC_D10_Dashamsha!$G$6,CALC_D10_Dashamsha!$D$13&lt;&gt;CALC_D10_Dashamsha!$D$6),AND(CALC_D10_Dashamsha!$G$14=CALC_D10_Dashamsha!$G$6,CALC_D10_Dashamsha!$D$14&lt;&gt;CALC_D10_Dashamsha!$D$6)),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$6,CALC_D10_Dashamsha!$D$6&lt;&gt;"Sun"),AND(OR(CALC_PlanetPositions!$M$8="Benefic",CALC_PlanetPositions!$M$8="Yogakaraka"),CALC_PlanetPositions!$B$8=CALC_D10_Dashamsha!$G$6,CALC_D10_Dashamsha!$D$6&lt;&gt;"Moon"),AND(OR(CALC_PlanetPositions!$M$9="Benefic",CALC_PlanetPositions!$M$9="Yogakaraka"),CALC_PlanetPositions!$B$9=CALC_D10_Dashamsha!$G$6,CALC_D10_Dashamsha!$D$6&lt;&gt;"Mars"),AND(OR(CALC_PlanetPositions!$M$10="Benefic",CALC_PlanetPositions!$M$10="Yogakaraka"),CALC_PlanetPositions!$B$10=CALC_D10_Dashamsha!$G$6,CALC_D10_Dashamsha!$D$6&lt;&gt;"Mercury"),AND(OR(CALC_PlanetPositions!$M$11="Benefic",CALC_PlanetPositions!$M$11="Yogakaraka"),CALC_PlanetPositions!$B$11=CALC_D10_Dashamsha!$G$6,CALC_D10_Dashamsha!$D$6&lt;&gt;"Jupiter"),AND(OR(CALC_PlanetPositions!$M$12="Benefic",CALC_PlanetPositions!$M$12="Yogakaraka"),CALC_PlanetPositions!$B$12=CALC_D10_Dashamsha!$G$6,CALC_D10_Dashamsha!$D$6&lt;&gt;"Venus"),AND(OR(CALC_PlanetPositions!$M$13="Benefic",CALC_PlanetPositions!$M$13="Yogakaraka"),CALC_PlanetPositions!$B$13=CALC_D10_Dashamsha!$G$6,CALC_D10_Dashamsha!$D$6&lt;&gt;"Saturn")),1,0),0))*IF(OR(AND(CALC_PlanetPositions!$M$7="Yogakaraka",CALC_PlanetPositions!$B$7=CALC_D10_Dashamsha!$G$6,CALC_D10_Dashamsha!$D$6&lt;&gt;"Sun"),AND(CALC_PlanetPositions!$M$8="Yogakaraka",CALC_PlanetPositions!$B$8=CALC_D10_Dashamsha!$G$6,CALC_D10_Dashamsha!$D$6&lt;&gt;"Moon"),AND(CALC_PlanetPositions!$M$9="Yogakaraka",CALC_PlanetPositions!$B$9=CALC_D10_Dashamsha!$G$6,CALC_D10_Dashamsha!$D$6&lt;&gt;"Mars"),AND(CALC_PlanetPositions!$M$10="Yogakaraka",CALC_PlanetPositions!$B$10=CALC_D10_Dashamsha!$G$6,CALC_D10_Dashamsha!$D$6&lt;&gt;"Mercury"),AND(CALC_PlanetPositions!$M$11="Yogakaraka",CALC_PlanetPositions!$B$11=CALC_D10_Dashamsha!$G$6,CALC_D10_Dashamsha!$D$6&lt;&gt;"Jupiter"),AND(CALC_PlanetPositions!$M$12="Yogakaraka",CALC_PlanetPositions!$B$12=CALC_D10_Dashamsha!$G$6,CALC_D10_Dashamsha!$D$6&lt;&gt;"Venus"),AND(CALC_PlanetPositions!$M$13="Yogakaraka",CALC_PlanetPositions!$B$13=CALC_D10_Dashamsha!$G$6,CALC_D10_Dashamsha!$D$6&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$6-(MOD(MATCH(CALC_PlanetPositions!$B$7,{"Aries","Taurus","Gemini","Cancer","Leo","Virgo","Libra","Scorpio","Sagittarius","Capricorn","Aquarius","Pisces"},0)-MATCH(INPUT_Chart!$C$5,{"Aries","Taurus","Gemini","Cancer","Leo","Virgo","Libra","Scorpio","Sagittarius","Capricorn","Aquarius","Pisces"},0),12)+1),12)+1)="FULL",NOT(CALC_PlanetPositions!$B$7=CALC_D10_Dashamsha!$G$6)),AND(OR(CALC_PlanetPositions!$M$8="Benefic",CALC_PlanetPositions!$M$8="Yogakaraka"),INDEX(REF_Aspects!$D$5:$O$13,2,MOD(CALC_D10_Dashamsha!$H$6-(MOD(MATCH(CALC_PlanetPositions!$B$8,{"Aries","Taurus","Gemini","Cancer","Leo","Virgo","Libra","Scorpio","Sagittarius","Capricorn","Aquarius","Pisces"},0)-MATCH(INPUT_Chart!$C$5,{"Aries","Taurus","Gemini","Cancer","Leo","Virgo","Libra","Scorpio","Sagittarius","Capricorn","Aquarius","Pisces"},0),12)+1),12)+1)="FULL",NOT(CALC_PlanetPositions!$B$8=CALC_D10_Dashamsha!$G$6)),AND(OR(CALC_PlanetPositions!$M$9="Benefic",CALC_PlanetPositions!$M$9="Yogakaraka"),INDEX(REF_Aspects!$D$5:$O$13,3,MOD(CALC_D10_Dashamsha!$H$6-(MOD(MATCH(CALC_PlanetPositions!$B$9,{"Aries","Taurus","Gemini","Cancer","Leo","Virgo","Libra","Scorpio","Sagittarius","Capricorn","Aquarius","Pisces"},0)-MATCH(INPUT_Chart!$C$5,{"Aries","Taurus","Gemini","Cancer","Leo","Virgo","Libra","Scorpio","Sagittarius","Capricorn","Aquarius","Pisces"},0),12)+1),12)+1)="FULL",NOT(CALC_PlanetPositions!$B$9=CALC_D10_Dashamsha!$G$6)),AND(OR(CALC_PlanetPositions!$M$10="Benefic",CALC_PlanetPositions!$M$10="Yogakaraka"),INDEX(REF_Aspects!$D$5:$O$13,4,MOD(CALC_D10_Dashamsha!$H$6-(MOD(MATCH(CALC_PlanetPositions!$B$10,{"Aries","Taurus","Gemini","Cancer","Leo","Virgo","Libra","Scorpio","Sagittarius","Capricorn","Aquarius","Pisces"},0)-MATCH(INPUT_Chart!$C$5,{"Aries","Taurus","Gemini","Cancer","Leo","Virgo","Libra","Scorpio","Sagittarius","Capricorn","Aquarius","Pisces"},0),12)+1),12)+1)="FULL",NOT(CALC_PlanetPositions!$B$10=CALC_D10_Dashamsha!$G$6)),AND(OR(CALC_PlanetPositions!$M$11="Benefic",CALC_PlanetPositions!$M$11="Yogakaraka"),INDEX(REF_Aspects!$D$5:$O$13,5,MOD(CALC_D10_Dashamsha!$H$6-(MOD(MATCH(CALC_PlanetPositions!$B$11,{"Aries","Taurus","Gemini","Cancer","Leo","Virgo","Libra","Scorpio","Sagittarius","Capricorn","Aquarius","Pisces"},0)-MATCH(INPUT_Chart!$C$5,{"Aries","Taurus","Gemini","Cancer","Leo","Virgo","Libra","Scorpio","Sagittarius","Capricorn","Aquarius","Pisces"},0),12)+1),12)+1)="FULL",NOT(CALC_PlanetPositions!$B$11=CALC_D10_Dashamsha!$G$6)),AND(OR(CALC_PlanetPositions!$M$12="Benefic",CALC_PlanetPositions!$M$12="Yogakaraka"),INDEX(REF_Aspects!$D$5:$O$13,6,MOD(CALC_D10_Dashamsha!$H$6-(MOD(MATCH(CALC_PlanetPositions!$B$12,{"Aries","Taurus","Gemini","Cancer","Leo","Virgo","Libra","Scorpio","Sagittarius","Capricorn","Aquarius","Pisces"},0)-MATCH(INPUT_Chart!$C$5,{"Aries","Taurus","Gemini","Cancer","Leo","Virgo","Libra","Scorpio","Sagittarius","Capricorn","Aquarius","Pisces"},0),12)+1),12)+1)="FULL",NOT(CALC_PlanetPositions!$B$12=CALC_D10_Dashamsha!$G$6)),AND(OR(CALC_PlanetPositions!$M$13="Benefic",CALC_PlanetPositions!$M$13="Yogakaraka"),INDEX(REF_Aspects!$D$5:$O$13,7,MOD(CALC_D10_Dashamsha!$H$6-(MOD(MATCH(CALC_PlanetPositions!$B$13,{"Aries","Taurus","Gemini","Cancer","Leo","Virgo","Libra","Scorpio","Sagittarius","Capricorn","Aquarius","Pisces"},0)-MATCH(INPUT_Chart!$C$5,{"Aries","Taurus","Gemini","Cancer","Leo","Virgo","Libra","Scorpio","Sagittarius","Capricorn","Aquarius","Pisces"},0),12)+1),12)+1)="FULL",NOT(CALC_PlanetPositions!$B$13=CALC_D10_Dashamsha!$G$6)),AND(FALSE(),INDEX(REF_Aspects!$D$5:$O$13,8,MOD(CALC_D10_Dashamsha!$H$6-(MOD(MATCH(CALC_PlanetPositions!$B$14,{"Aries","Taurus","Gemini","Cancer","Leo","Virgo","Libra","Scorpio","Sagittarius","Capricorn","Aquarius","Pisces"},0)-MATCH(INPUT_Chart!$C$5,{"Aries","Taurus","Gemini","Cancer","Leo","Virgo","Libra","Scorpio","Sagittarius","Capricorn","Aquarius","Pisces"},0),12)+1),12)+1)="FULL",NOT(CALC_PlanetPositions!$B$14=CALC_D10_Dashamsha!$G$6)),AND(FALSE(),INDEX(REF_Aspects!$D$5:$O$13,9,MOD(CALC_D10_Dashamsha!$H$6-(MOD(MATCH(CALC_PlanetPositions!$B$15,{"Aries","Taurus","Gemini","Cancer","Leo","Virgo","Libra","Scorpio","Sagittarius","Capricorn","Aquarius","Pisces"},0)-MATCH(INPUT_Chart!$C$5,{"Aries","Taurus","Gemini","Cancer","Leo","Virgo","Libra","Scorpio","Sagittarius","Capricorn","Aquarius","Pisces"},0),12)+1),12)+1)="FULL",NOT(CALC_PlanetPositions!$B$15=CALC_D10_Dashamsha!$G$6))),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$6-2,12)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$6-2,12)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$6-2,12)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$6-2,12)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$6-2,12)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$6-2,12)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$6-2,12)+1)),AND(FALSE(),MOD(MATCH(CALC_PlanetPositions!$B$14,{"Aries","Taurus","Gemini","Cancer","Leo","Virgo","Libra","Scorpio","Sagittarius","Capricorn","Aquarius","Pisces"},0)-MATCH(INPUT_Chart!$C$5,{"Aries","Taurus","Gemini","Cancer","Leo","Virgo","Libra","Scorpio","Sagittarius","Capricorn","Aquarius","Pisces"},0),12)+1=(MOD(CALC_D10_Dashamsha!$H$6-2,12)+1)),AND(FALSE(),MOD(MATCH(CALC_PlanetPositions!$B$15,{"Aries","Taurus","Gemini","Cancer","Leo","Virgo","Libra","Scorpio","Sagittarius","Capricorn","Aquarius","Pisces"},0)-MATCH(INPUT_Chart!$C$5,{"Aries","Taurus","Gemini","Cancer","Leo","Virgo","Libra","Scorpio","Sagittarius","Capricorn","Aquarius","Pisces"},0),12)+1=(MOD(CALC_D10_Dashamsha!$H$6-2,12)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$6,12)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$6,12)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$6,12)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$6,12)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$6,12)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$6,12)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$6,12)+1)),AND(FALSE(),MOD(MATCH(CALC_PlanetPositions!$B$14,{"Aries","Taurus","Gemini","Cancer","Leo","Virgo","Libra","Scorpio","Sagittarius","Capricorn","Aquarius","Pisces"},0)-MATCH(INPUT_Chart!$C$5,{"Aries","Taurus","Gemini","Cancer","Leo","Virgo","Libra","Scorpio","Sagittarius","Capricorn","Aquarius","Pisces"},0),12)+1=(MOD(CALC_D10_Dashamsha!$H$6,12)+1)),AND(FALSE(),MOD(MATCH(CALC_PlanetPositions!$B$15,{"Aries","Taurus","Gemini","Cancer","Leo","Virgo","Libra","Scorpio","Sagittarius","Capricorn","Aquarius","Pisces"},0)-MATCH(INPUT_Chart!$C$5,{"Aries","Taurus","Gemini","Cancer","Leo","Virgo","Libra","Scorpio","Sagittarius","Capricorn","Aquarius","Pisces"},0),12)+1=(MOD(CALC_D10_Dashamsha!$H$6,12)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$6-(MOD(MATCH(CALC_PlanetPositions!$B$7,{"Aries","Taurus","Gemini","Cancer","Leo","Virgo","Libra","Scorpio","Sagittarius","Capricorn","Aquarius","Pisces"},0)-MATCH(INPUT_Chart!$C$5,{"Aries","Taurus","Gemini","Cancer","Leo","Virgo","Libra","Scorpio","Sagittarius","Capricorn","Aquarius","Pisces"},0),12)+1),12)+1)="FULL",NOT(CALC_PlanetPositions!$B$7=CALC_D10_Dashamsha!$G$6)),AND(CALC_PlanetPositions!$M$8="Malefic",INDEX(REF_Aspects!$D$5:$O$13,2,MOD(CALC_D10_Dashamsha!$H$6-(MOD(MATCH(CALC_PlanetPositions!$B$8,{"Aries","Taurus","Gemini","Cancer","Leo","Virgo","Libra","Scorpio","Sagittarius","Capricorn","Aquarius","Pisces"},0)-MATCH(INPUT_Chart!$C$5,{"Aries","Taurus","Gemini","Cancer","Leo","Virgo","Libra","Scorpio","Sagittarius","Capricorn","Aquarius","Pisces"},0),12)+1),12)+1)="FULL",NOT(CALC_PlanetPositions!$B$8=CALC_D10_Dashamsha!$G$6)),AND(CALC_PlanetPositions!$M$9="Malefic",INDEX(REF_Aspects!$D$5:$O$13,3,MOD(CALC_D10_Dashamsha!$H$6-(MOD(MATCH(CALC_PlanetPositions!$B$9,{"Aries","Taurus","Gemini","Cancer","Leo","Virgo","Libra","Scorpio","Sagittarius","Capricorn","Aquarius","Pisces"},0)-MATCH(INPUT_Chart!$C$5,{"Aries","Taurus","Gemini","Cancer","Leo","Virgo","Libra","Scorpio","Sagittarius","Capricorn","Aquarius","Pisces"},0),12)+1),12)+1)="FULL",NOT(CALC_PlanetPositions!$B$9=CALC_D10_Dashamsha!$G$6)),AND(CALC_PlanetPositions!$M$10="Malefic",INDEX(REF_Aspects!$D$5:$O$13,4,MOD(CALC_D10_Dashamsha!$H$6-(MOD(MATCH(CALC_PlanetPositions!$B$10,{"Aries","Taurus","Gemini","Cancer","Leo","Virgo","Libra","Scorpio","Sagittarius","Capricorn","Aquarius","Pisces"},0)-MATCH(INPUT_Chart!$C$5,{"Aries","Taurus","Gemini","Cancer","Leo","Virgo","Libra","Scorpio","Sagittarius","Capricorn","Aquarius","Pisces"},0),12)+1),12)+1)="FULL",NOT(CALC_PlanetPositions!$B$10=CALC_D10_Dashamsha!$G$6)),AND(CALC_PlanetPositions!$M$11="Malefic",INDEX(REF_Aspects!$D$5:$O$13,5,MOD(CALC_D10_Dashamsha!$H$6-(MOD(MATCH(CALC_PlanetPositions!$B$11,{"Aries","Taurus","Gemini","Cancer","Leo","Virgo","Libra","Scorpio","Sagittarius","Capricorn","Aquarius","Pisces"},0)-MATCH(INPUT_Chart!$C$5,{"Aries","Taurus","Gemini","Cancer","Leo","Virgo","Libra","Scorpio","Sagittarius","Capricorn","Aquarius","Pisces"},0),12)+1),12)+1)="FULL",NOT(CALC_PlanetPositions!$B$11=CALC_D10_Dashamsha!$G$6)),AND(CALC_PlanetPositions!$M$12="Malefic",INDEX(REF_Aspects!$D$5:$O$13,6,MOD(CALC_D10_Dashamsha!$H$6-(MOD(MATCH(CALC_PlanetPositions!$B$12,{"Aries","Taurus","Gemini","Cancer","Leo","Virgo","Libra","Scorpio","Sagittarius","Capricorn","Aquarius","Pisces"},0)-MATCH(INPUT_Chart!$C$5,{"Aries","Taurus","Gemini","Cancer","Leo","Virgo","Libra","Scorpio","Sagittarius","Capricorn","Aquarius","Pisces"},0),12)+1),12)+1)="FULL",NOT(CALC_PlanetPositions!$B$12=CALC_D10_Dashamsha!$G$6)),AND(CALC_PlanetPositions!$M$13="Malefic",INDEX(REF_Aspects!$D$5:$O$13,7,MOD(CALC_D10_Dashamsha!$H$6-(MOD(MATCH(CALC_PlanetPositions!$B$13,{"Aries","Taurus","Gemini","Cancer","Leo","Virgo","Libra","Scorpio","Sagittarius","Capricorn","Aquarius","Pisces"},0)-MATCH(INPUT_Chart!$C$5,{"Aries","Taurus","Gemini","Cancer","Leo","Virgo","Libra","Scorpio","Sagittarius","Capricorn","Aquarius","Pisces"},0),12)+1),12)+1)="FULL",NOT(CALC_PlanetPositions!$B$13=CALC_D10_Dashamsha!$G$6)),AND(TRUE(),INDEX(REF_Aspects!$D$5:$O$13,8,MOD(CALC_D10_Dashamsha!$H$6-(MOD(MATCH(CALC_PlanetPositions!$B$14,{"Aries","Taurus","Gemini","Cancer","Leo","Virgo","Libra","Scorpio","Sagittarius","Capricorn","Aquarius","Pisces"},0)-MATCH(INPUT_Chart!$C$5,{"Aries","Taurus","Gemini","Cancer","Leo","Virgo","Libra","Scorpio","Sagittarius","Capricorn","Aquarius","Pisces"},0),12)+1),12)+1)="FULL",NOT(CALC_PlanetPositions!$B$14=CALC_D10_Dashamsha!$G$6)),AND(TRUE(),INDEX(REF_Aspects!$D$5:$O$13,9,MOD(CALC_D10_Dashamsha!$H$6-(MOD(MATCH(CALC_PlanetPositions!$B$15,{"Aries","Taurus","Gemini","Cancer","Leo","Virgo","Libra","Scorpio","Sagittarius","Capricorn","Aquarius","Pisces"},0)-MATCH(INPUT_Chart!$C$5,{"Aries","Taurus","Gemini","Cancer","Leo","Virgo","Libra","Scorpio","Sagittarius","Capricorn","Aquarius","Pisces"},0),12)+1),12)+1)="FULL",NOT(CALC_PlanetPositions!$B$15=CALC_D10_Dashamsha!$G$6))),1,0),0))*-0.5,0)</f>
        <v>0</v>
      </c>
      <c r="D21" s="403" t="s">
        <v>4634</v>
      </c>
    </row>
    <row r="22" spans="1:7" ht="27.75" customHeight="1" x14ac:dyDescent="0.2">
      <c r="A22" s="121" t="s">
        <v>4635</v>
      </c>
      <c r="B22" s="357" t="s">
        <v>3042</v>
      </c>
      <c r="C22" s="1117">
        <f>IFERROR((IFERROR(IF(CALC_D10_Dashamsha!$K$6="Yes",1,0),0))*IF(REF_Config!$B$6="KP",-1.75,IF(REF_Config!$B$6="Jaimini",-2,-2)),0)</f>
        <v>0</v>
      </c>
      <c r="D22" s="400" t="s">
        <v>4636</v>
      </c>
    </row>
    <row r="23" spans="1:7" ht="27.75" customHeight="1" x14ac:dyDescent="0.2">
      <c r="A23" s="121" t="s">
        <v>4637</v>
      </c>
      <c r="B23" s="203" t="s">
        <v>3059</v>
      </c>
      <c r="C23" s="1118">
        <f ca="1">IFERROR((IFERROR(IF(OR(AND(CALC_D10_Dashamsha!$G$10=CALC_D10_Dashamsha!$G$6,CALC_D10_Dashamsha!$D$10&lt;&gt;CALC_D10_Dashamsha!$D$6),AND(CALC_D10_Dashamsha!$G$12=CALC_D10_Dashamsha!$G$6,CALC_D10_Dashamsha!$D$12&lt;&gt;CALC_D10_Dashamsha!$D$6),AND(CALC_D10_Dashamsha!$G$16=CALC_D10_Dashamsha!$G$6,CALC_D10_Dashamsha!$D$16&lt;&gt;CALC_D10_Dashamsha!$D$6)),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IFERROR(IF(OR(CALC_D10_Dashamsha!$D$6="Sun",CALC_D10_Dashamsha!$D$6="Rahu",CALC_D10_Dashamsha!$D$6="Ketu"),0,IF(CALC_D10_Dashamsha!$D$6="Moon",IF(CALC_CombustionCheck!$G$4="Cazimi ✓",0.5,IF(CALC_CombustionCheck!$F$4="COMBUST ⚠",-1,0)),IF(CALC_D10_Dashamsha!$D$6="Mars",IF(CALC_CombustionCheck!$G$5="Cazimi ✓",0.5,IF(AND(CALC_CombustionCheck!$F$5="COMBUST ⚠",CALC_RetrogradeFix!$F$6="Rx ✓"),-0.5,IF(CALC_CombustionCheck!$F$5="COMBUST ⚠",-1,0))),IF(CALC_D10_Dashamsha!$D$6="Mercury",IF(CALC_CombustionCheck!$G$6="Cazimi ✓",0.5,IF(AND(CALC_CombustionCheck!$F$6="COMBUST ⚠",CALC_RetrogradeFix!$F$7="Rx ✓"),-0.5,IF(CALC_CombustionCheck!$F$6="COMBUST ⚠",-1,0))),IF(CALC_D10_Dashamsha!$D$6="Jupiter",IF(CALC_CombustionCheck!$G$7="Cazimi ✓",0.5,IF(AND(CALC_CombustionCheck!$F$7="COMBUST ⚠",CALC_RetrogradeFix!$F$8="Rx ✓"),-0.5,IF(CALC_CombustionCheck!$F$7="COMBUST ⚠",-1,0))),IF(CALC_D10_Dashamsha!$D$6="Venus",IF(CALC_CombustionCheck!$G$8="Cazimi ✓",0.5,IF(AND(CALC_CombustionCheck!$F$8="COMBUST ⚠",CALC_RetrogradeFix!$F$9="Rx ✓"),-0.5,IF(CALC_CombustionCheck!$F$8="COMBUST ⚠",-1,0))),IF(CALC_D10_Dashamsha!$D$6="Saturn",IF(CALC_CombustionCheck!$G$9="Cazimi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10_Dashamsha!$D$6="Rahu",CALC_D10_Dashamsha!$D$6="Ketu"),0,IF(ISNUMBER(MATCH(CALC_D10_Dashamsha!$D$6,{"Sun","Moon","Mars","Mercury","Jupiter","Venus","Saturn"},0)),IF(INDEX(CALC_DigBala!$F$4:$F$10,MATCH(CALC_D10_Dashamsha!$D$6,{"Sun","Moon","Mars","Mercury","Jupiter","Venus","Saturn"},0))="Yes",0.5,0),0)),0)</f>
        <v>0</v>
      </c>
      <c r="D28" s="400" t="s">
        <v>4647</v>
      </c>
    </row>
    <row r="29" spans="1:7" ht="27.75" customHeight="1" x14ac:dyDescent="0.2">
      <c r="A29" s="1120" t="s">
        <v>4648</v>
      </c>
      <c r="B29" s="296" t="s">
        <v>3372</v>
      </c>
      <c r="C29" s="1117">
        <f ca="1">IFERROR(IF(COUNTIFS(REF_PushkaraNavamsha!$A$4:$A$27,CALC_D10_Dashamsha!$G$6,REF_PushkaraNavamsha!$B$4:$B$27,INDEX(CALC_PlanetPositions!$G$7:$G$15,MATCH(CALC_D10_Dashamsha!$D$6,CALC_PlanetPositions!$A$7:$A$15,0)))&gt;0,0.5,0),0)</f>
        <v>0</v>
      </c>
      <c r="D29" s="400" t="s">
        <v>4649</v>
      </c>
    </row>
    <row r="30" spans="1:7" ht="25.5" customHeight="1" x14ac:dyDescent="0.2">
      <c r="A30" s="147" t="s">
        <v>4650</v>
      </c>
      <c r="B30" s="1121" t="s">
        <v>4651</v>
      </c>
      <c r="C30" s="1122">
        <f>IFERROR(IF(ISNUMBER(MATCH(CALC_D10_Dashamsha!$D$6,{"Sun","Moon","Mars","Mercury","Jupiter","Venus","Saturn"},0)),INDEX(CALC_RetrogradeFix!$G$4:$G$10,MATCH(CALC_D10_Dashamsha!$D$6,{"Sun","Moon","Mars","Mercury","Jupiter","Venus","Saturn"},0)),0),0)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-2</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-2.5</v>
      </c>
      <c r="D37" s="1129"/>
    </row>
    <row r="38" spans="1:4" ht="21.75" customHeight="1" x14ac:dyDescent="0.2">
      <c r="A38" s="89" t="s">
        <v>4661</v>
      </c>
      <c r="B38" s="1129"/>
      <c r="C38" s="1131">
        <f ca="1">IFERROR(MAX(-10,MIN(10,C37)),0)</f>
        <v>-2.5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-2.5</v>
      </c>
      <c r="D40" s="1136" t="str">
        <f ca="1">IFERROR(IF(C40&gt;=7,"Excellent — Self domain very strong",IF(C40&gt;=4,"Good — Self domain strong",IF(C40&gt;=1,"Moderate",IF(C40&gt;=-2,"Mixed — Self has challenges",IF(C40&gt;=-5,"Weak","Very weak — Self heavily afflicted"))))),"—")</f>
        <v>Weak</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4746</v>
      </c>
      <c r="B1" s="1518"/>
      <c r="C1" s="1518"/>
      <c r="D1" s="1518"/>
      <c r="L1" s="544" t="s">
        <v>2214</v>
      </c>
    </row>
    <row r="2" spans="1:12" ht="19.5" customHeight="1" x14ac:dyDescent="0.2">
      <c r="A2" s="1595" t="str">
        <f>IFERROR("D10 Lagna: "&amp;CALC_D10_Dashamsha!$C$5&amp;"  ·  H3 — Courage","← Enter chart")</f>
        <v>D10 Lagna: Aries  ·  H3 — Courage</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IFERROR((IFERROR(IF(INDEX(REF_Zodiac!$D$17:$O$17,MATCH(CALC_D10_Dashamsha!$C$7,REF_Zodiac!$D$3:$O$3,0))="Gentle",1,0),0))*0.5,0)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IFERROR(IF(AND(OR(CALC_D10_Dashamsha!$I$7="Yes",CALC_D10_Dashamsha!$J$7="Yes"),NOT(CALC_D10_Dashamsha!$K$7="Yes")),1,0)*IF(REF_Config!$B$6="KP",1.5,IF(REF_Config!$B$6="Jaimini",1.5,2)),0)</f>
        <v>0</v>
      </c>
      <c r="D9" s="403" t="s">
        <v>4612</v>
      </c>
    </row>
    <row r="10" spans="1:12" ht="27.75" customHeight="1" x14ac:dyDescent="0.2">
      <c r="A10" s="121" t="s">
        <v>4613</v>
      </c>
      <c r="B10" s="357" t="s">
        <v>3093</v>
      </c>
      <c r="C10" s="1117">
        <f ca="1">IFERROR((IFERROR(IF(OR(AND(CALC_D10_Dashamsha!$G$7=CALC_D10_Dashamsha!$G$7,CALC_D10_Dashamsha!$D$7&lt;&gt;CALC_D10_Dashamsha!$D$7),AND(CALC_D10_Dashamsha!$G$8=CALC_D10_Dashamsha!$G$7,CALC_D10_Dashamsha!$D$8&lt;&gt;CALC_D10_Dashamsha!$D$7),AND(CALC_D10_Dashamsha!$G$9=CALC_D10_Dashamsha!$G$7,CALC_D10_Dashamsha!$D$9&lt;&gt;CALC_D10_Dashamsha!$D$7),AND(CALC_D10_Dashamsha!$G$11=CALC_D10_Dashamsha!$G$7,CALC_D10_Dashamsha!$D$11&lt;&gt;CALC_D10_Dashamsha!$D$7),AND(CALC_D10_Dashamsha!$G$13=CALC_D10_Dashamsha!$G$7,CALC_D10_Dashamsha!$D$13&lt;&gt;CALC_D10_Dashamsha!$D$7),AND(CALC_D10_Dashamsha!$G$14=CALC_D10_Dashamsha!$G$7,CALC_D10_Dashamsha!$D$14&lt;&gt;CALC_D10_Dashamsha!$D$7)),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$7,CALC_D10_Dashamsha!$D$7&lt;&gt;"Sun"),AND(OR(CALC_PlanetPositions!$M$8="Benefic",CALC_PlanetPositions!$M$8="Yogakaraka"),CALC_PlanetPositions!$B$8=CALC_D10_Dashamsha!$G$7,CALC_D10_Dashamsha!$D$7&lt;&gt;"Moon"),AND(OR(CALC_PlanetPositions!$M$9="Benefic",CALC_PlanetPositions!$M$9="Yogakaraka"),CALC_PlanetPositions!$B$9=CALC_D10_Dashamsha!$G$7,CALC_D10_Dashamsha!$D$7&lt;&gt;"Mars"),AND(OR(CALC_PlanetPositions!$M$10="Benefic",CALC_PlanetPositions!$M$10="Yogakaraka"),CALC_PlanetPositions!$B$10=CALC_D10_Dashamsha!$G$7,CALC_D10_Dashamsha!$D$7&lt;&gt;"Mercury"),AND(OR(CALC_PlanetPositions!$M$11="Benefic",CALC_PlanetPositions!$M$11="Yogakaraka"),CALC_PlanetPositions!$B$11=CALC_D10_Dashamsha!$G$7,CALC_D10_Dashamsha!$D$7&lt;&gt;"Jupiter"),AND(OR(CALC_PlanetPositions!$M$12="Benefic",CALC_PlanetPositions!$M$12="Yogakaraka"),CALC_PlanetPositions!$B$12=CALC_D10_Dashamsha!$G$7,CALC_D10_Dashamsha!$D$7&lt;&gt;"Venus"),AND(OR(CALC_PlanetPositions!$M$13="Benefic",CALC_PlanetPositions!$M$13="Yogakaraka"),CALC_PlanetPositions!$B$13=CALC_D10_Dashamsha!$G$7,CALC_D10_Dashamsha!$D$7&lt;&gt;"Saturn")),1,0),0))*IF(OR(AND(CALC_PlanetPositions!$M$7="Yogakaraka",CALC_PlanetPositions!$B$7=CALC_D10_Dashamsha!$G$7,CALC_D10_Dashamsha!$D$7&lt;&gt;"Sun"),AND(CALC_PlanetPositions!$M$8="Yogakaraka",CALC_PlanetPositions!$B$8=CALC_D10_Dashamsha!$G$7,CALC_D10_Dashamsha!$D$7&lt;&gt;"Moon"),AND(CALC_PlanetPositions!$M$9="Yogakaraka",CALC_PlanetPositions!$B$9=CALC_D10_Dashamsha!$G$7,CALC_D10_Dashamsha!$D$7&lt;&gt;"Mars"),AND(CALC_PlanetPositions!$M$10="Yogakaraka",CALC_PlanetPositions!$B$10=CALC_D10_Dashamsha!$G$7,CALC_D10_Dashamsha!$D$7&lt;&gt;"Mercury"),AND(CALC_PlanetPositions!$M$11="Yogakaraka",CALC_PlanetPositions!$B$11=CALC_D10_Dashamsha!$G$7,CALC_D10_Dashamsha!$D$7&lt;&gt;"Jupiter"),AND(CALC_PlanetPositions!$M$12="Yogakaraka",CALC_PlanetPositions!$B$12=CALC_D10_Dashamsha!$G$7,CALC_D10_Dashamsha!$D$7&lt;&gt;"Venus"),AND(CALC_PlanetPositions!$M$13="Yogakaraka",CALC_PlanetPositions!$B$13=CALC_D10_Dashamsha!$G$7,CALC_D10_Dashamsha!$D$7&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$7-(MOD(MATCH(CALC_PlanetPositions!$B$7,{"Aries","Taurus","Gemini","Cancer","Leo","Virgo","Libra","Scorpio","Sagittarius","Capricorn","Aquarius","Pisces"},0)-MATCH(INPUT_Chart!$C$5,{"Aries","Taurus","Gemini","Cancer","Leo","Virgo","Libra","Scorpio","Sagittarius","Capricorn","Aquarius","Pisces"},0),12)+1),12)+1)="FULL",NOT(CALC_PlanetPositions!$B$7=CALC_D10_Dashamsha!$G$7)),AND(OR(CALC_PlanetPositions!$M$8="Benefic",CALC_PlanetPositions!$M$8="Yogakaraka"),INDEX(REF_Aspects!$D$5:$O$13,2,MOD(CALC_D10_Dashamsha!$H$7-(MOD(MATCH(CALC_PlanetPositions!$B$8,{"Aries","Taurus","Gemini","Cancer","Leo","Virgo","Libra","Scorpio","Sagittarius","Capricorn","Aquarius","Pisces"},0)-MATCH(INPUT_Chart!$C$5,{"Aries","Taurus","Gemini","Cancer","Leo","Virgo","Libra","Scorpio","Sagittarius","Capricorn","Aquarius","Pisces"},0),12)+1),12)+1)="FULL",NOT(CALC_PlanetPositions!$B$8=CALC_D10_Dashamsha!$G$7)),AND(OR(CALC_PlanetPositions!$M$9="Benefic",CALC_PlanetPositions!$M$9="Yogakaraka"),INDEX(REF_Aspects!$D$5:$O$13,3,MOD(CALC_D10_Dashamsha!$H$7-(MOD(MATCH(CALC_PlanetPositions!$B$9,{"Aries","Taurus","Gemini","Cancer","Leo","Virgo","Libra","Scorpio","Sagittarius","Capricorn","Aquarius","Pisces"},0)-MATCH(INPUT_Chart!$C$5,{"Aries","Taurus","Gemini","Cancer","Leo","Virgo","Libra","Scorpio","Sagittarius","Capricorn","Aquarius","Pisces"},0),12)+1),12)+1)="FULL",NOT(CALC_PlanetPositions!$B$9=CALC_D10_Dashamsha!$G$7)),AND(OR(CALC_PlanetPositions!$M$10="Benefic",CALC_PlanetPositions!$M$10="Yogakaraka"),INDEX(REF_Aspects!$D$5:$O$13,4,MOD(CALC_D10_Dashamsha!$H$7-(MOD(MATCH(CALC_PlanetPositions!$B$10,{"Aries","Taurus","Gemini","Cancer","Leo","Virgo","Libra","Scorpio","Sagittarius","Capricorn","Aquarius","Pisces"},0)-MATCH(INPUT_Chart!$C$5,{"Aries","Taurus","Gemini","Cancer","Leo","Virgo","Libra","Scorpio","Sagittarius","Capricorn","Aquarius","Pisces"},0),12)+1),12)+1)="FULL",NOT(CALC_PlanetPositions!$B$10=CALC_D10_Dashamsha!$G$7)),AND(OR(CALC_PlanetPositions!$M$11="Benefic",CALC_PlanetPositions!$M$11="Yogakaraka"),INDEX(REF_Aspects!$D$5:$O$13,5,MOD(CALC_D10_Dashamsha!$H$7-(MOD(MATCH(CALC_PlanetPositions!$B$11,{"Aries","Taurus","Gemini","Cancer","Leo","Virgo","Libra","Scorpio","Sagittarius","Capricorn","Aquarius","Pisces"},0)-MATCH(INPUT_Chart!$C$5,{"Aries","Taurus","Gemini","Cancer","Leo","Virgo","Libra","Scorpio","Sagittarius","Capricorn","Aquarius","Pisces"},0),12)+1),12)+1)="FULL",NOT(CALC_PlanetPositions!$B$11=CALC_D10_Dashamsha!$G$7)),AND(OR(CALC_PlanetPositions!$M$12="Benefic",CALC_PlanetPositions!$M$12="Yogakaraka"),INDEX(REF_Aspects!$D$5:$O$13,6,MOD(CALC_D10_Dashamsha!$H$7-(MOD(MATCH(CALC_PlanetPositions!$B$12,{"Aries","Taurus","Gemini","Cancer","Leo","Virgo","Libra","Scorpio","Sagittarius","Capricorn","Aquarius","Pisces"},0)-MATCH(INPUT_Chart!$C$5,{"Aries","Taurus","Gemini","Cancer","Leo","Virgo","Libra","Scorpio","Sagittarius","Capricorn","Aquarius","Pisces"},0),12)+1),12)+1)="FULL",NOT(CALC_PlanetPositions!$B$12=CALC_D10_Dashamsha!$G$7)),AND(OR(CALC_PlanetPositions!$M$13="Benefic",CALC_PlanetPositions!$M$13="Yogakaraka"),INDEX(REF_Aspects!$D$5:$O$13,7,MOD(CALC_D10_Dashamsha!$H$7-(MOD(MATCH(CALC_PlanetPositions!$B$13,{"Aries","Taurus","Gemini","Cancer","Leo","Virgo","Libra","Scorpio","Sagittarius","Capricorn","Aquarius","Pisces"},0)-MATCH(INPUT_Chart!$C$5,{"Aries","Taurus","Gemini","Cancer","Leo","Virgo","Libra","Scorpio","Sagittarius","Capricorn","Aquarius","Pisces"},0),12)+1),12)+1)="FULL",NOT(CALC_PlanetPositions!$B$13=CALC_D10_Dashamsha!$G$7)),AND(FALSE(),INDEX(REF_Aspects!$D$5:$O$13,8,MOD(CALC_D10_Dashamsha!$H$7-(MOD(MATCH(CALC_PlanetPositions!$B$14,{"Aries","Taurus","Gemini","Cancer","Leo","Virgo","Libra","Scorpio","Sagittarius","Capricorn","Aquarius","Pisces"},0)-MATCH(INPUT_Chart!$C$5,{"Aries","Taurus","Gemini","Cancer","Leo","Virgo","Libra","Scorpio","Sagittarius","Capricorn","Aquarius","Pisces"},0),12)+1),12)+1)="FULL",NOT(CALC_PlanetPositions!$B$14=CALC_D10_Dashamsha!$G$7)),AND(FALSE(),INDEX(REF_Aspects!$D$5:$O$13,9,MOD(CALC_D10_Dashamsha!$H$7-(MOD(MATCH(CALC_PlanetPositions!$B$15,{"Aries","Taurus","Gemini","Cancer","Leo","Virgo","Libra","Scorpio","Sagittarius","Capricorn","Aquarius","Pisces"},0)-MATCH(INPUT_Chart!$C$5,{"Aries","Taurus","Gemini","Cancer","Leo","Virgo","Libra","Scorpio","Sagittarius","Capricorn","Aquarius","Pisces"},0),12)+1),12)+1)="FULL",NOT(CALC_PlanetPositions!$B$15=CALC_D10_Dashamsha!$G$7))),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$7-2,12)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$7-2,12)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$7-2,12)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$7-2,12)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$7-2,12)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$7-2,12)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$7-2,12)+1)),AND(FALSE(),MOD(MATCH(CALC_PlanetPositions!$B$14,{"Aries","Taurus","Gemini","Cancer","Leo","Virgo","Libra","Scorpio","Sagittarius","Capricorn","Aquarius","Pisces"},0)-MATCH(INPUT_Chart!$C$5,{"Aries","Taurus","Gemini","Cancer","Leo","Virgo","Libra","Scorpio","Sagittarius","Capricorn","Aquarius","Pisces"},0),12)+1=(MOD(CALC_D10_Dashamsha!$H$7-2,12)+1)),AND(FALSE(),MOD(MATCH(CALC_PlanetPositions!$B$15,{"Aries","Taurus","Gemini","Cancer","Leo","Virgo","Libra","Scorpio","Sagittarius","Capricorn","Aquarius","Pisces"},0)-MATCH(INPUT_Chart!$C$5,{"Aries","Taurus","Gemini","Cancer","Leo","Virgo","Libra","Scorpio","Sagittarius","Capricorn","Aquarius","Pisces"},0),12)+1=(MOD(CALC_D10_Dashamsha!$H$7-2,12)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$7,12)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$7,12)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$7,12)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$7,12)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$7,12)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$7,12)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$7,12)+1)),AND(FALSE(),MOD(MATCH(CALC_PlanetPositions!$B$14,{"Aries","Taurus","Gemini","Cancer","Leo","Virgo","Libra","Scorpio","Sagittarius","Capricorn","Aquarius","Pisces"},0)-MATCH(INPUT_Chart!$C$5,{"Aries","Taurus","Gemini","Cancer","Leo","Virgo","Libra","Scorpio","Sagittarius","Capricorn","Aquarius","Pisces"},0),12)+1=(MOD(CALC_D10_Dashamsha!$H$7,12)+1)),AND(FALSE(),MOD(MATCH(CALC_PlanetPositions!$B$15,{"Aries","Taurus","Gemini","Cancer","Leo","Virgo","Libra","Scorpio","Sagittarius","Capricorn","Aquarius","Pisces"},0)-MATCH(INPUT_Chart!$C$5,{"Aries","Taurus","Gemini","Cancer","Leo","Virgo","Libra","Scorpio","Sagittarius","Capricorn","Aquarius","Pisces"},0),12)+1=(MOD(CALC_D10_Dashamsha!$H$7,12)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$7-(MOD(MATCH(CALC_PlanetPositions!$B$7,{"Aries","Taurus","Gemini","Cancer","Leo","Virgo","Libra","Scorpio","Sagittarius","Capricorn","Aquarius","Pisces"},0)-MATCH(INPUT_Chart!$C$5,{"Aries","Taurus","Gemini","Cancer","Leo","Virgo","Libra","Scorpio","Sagittarius","Capricorn","Aquarius","Pisces"},0),12)+1),12)+1)="FULL",NOT(CALC_PlanetPositions!$B$7=CALC_D10_Dashamsha!$G$7)),AND(CALC_PlanetPositions!$M$8="Malefic",INDEX(REF_Aspects!$D$5:$O$13,2,MOD(CALC_D10_Dashamsha!$H$7-(MOD(MATCH(CALC_PlanetPositions!$B$8,{"Aries","Taurus","Gemini","Cancer","Leo","Virgo","Libra","Scorpio","Sagittarius","Capricorn","Aquarius","Pisces"},0)-MATCH(INPUT_Chart!$C$5,{"Aries","Taurus","Gemini","Cancer","Leo","Virgo","Libra","Scorpio","Sagittarius","Capricorn","Aquarius","Pisces"},0),12)+1),12)+1)="FULL",NOT(CALC_PlanetPositions!$B$8=CALC_D10_Dashamsha!$G$7)),AND(CALC_PlanetPositions!$M$9="Malefic",INDEX(REF_Aspects!$D$5:$O$13,3,MOD(CALC_D10_Dashamsha!$H$7-(MOD(MATCH(CALC_PlanetPositions!$B$9,{"Aries","Taurus","Gemini","Cancer","Leo","Virgo","Libra","Scorpio","Sagittarius","Capricorn","Aquarius","Pisces"},0)-MATCH(INPUT_Chart!$C$5,{"Aries","Taurus","Gemini","Cancer","Leo","Virgo","Libra","Scorpio","Sagittarius","Capricorn","Aquarius","Pisces"},0),12)+1),12)+1)="FULL",NOT(CALC_PlanetPositions!$B$9=CALC_D10_Dashamsha!$G$7)),AND(CALC_PlanetPositions!$M$10="Malefic",INDEX(REF_Aspects!$D$5:$O$13,4,MOD(CALC_D10_Dashamsha!$H$7-(MOD(MATCH(CALC_PlanetPositions!$B$10,{"Aries","Taurus","Gemini","Cancer","Leo","Virgo","Libra","Scorpio","Sagittarius","Capricorn","Aquarius","Pisces"},0)-MATCH(INPUT_Chart!$C$5,{"Aries","Taurus","Gemini","Cancer","Leo","Virgo","Libra","Scorpio","Sagittarius","Capricorn","Aquarius","Pisces"},0),12)+1),12)+1)="FULL",NOT(CALC_PlanetPositions!$B$10=CALC_D10_Dashamsha!$G$7)),AND(CALC_PlanetPositions!$M$11="Malefic",INDEX(REF_Aspects!$D$5:$O$13,5,MOD(CALC_D10_Dashamsha!$H$7-(MOD(MATCH(CALC_PlanetPositions!$B$11,{"Aries","Taurus","Gemini","Cancer","Leo","Virgo","Libra","Scorpio","Sagittarius","Capricorn","Aquarius","Pisces"},0)-MATCH(INPUT_Chart!$C$5,{"Aries","Taurus","Gemini","Cancer","Leo","Virgo","Libra","Scorpio","Sagittarius","Capricorn","Aquarius","Pisces"},0),12)+1),12)+1)="FULL",NOT(CALC_PlanetPositions!$B$11=CALC_D10_Dashamsha!$G$7)),AND(CALC_PlanetPositions!$M$12="Malefic",INDEX(REF_Aspects!$D$5:$O$13,6,MOD(CALC_D10_Dashamsha!$H$7-(MOD(MATCH(CALC_PlanetPositions!$B$12,{"Aries","Taurus","Gemini","Cancer","Leo","Virgo","Libra","Scorpio","Sagittarius","Capricorn","Aquarius","Pisces"},0)-MATCH(INPUT_Chart!$C$5,{"Aries","Taurus","Gemini","Cancer","Leo","Virgo","Libra","Scorpio","Sagittarius","Capricorn","Aquarius","Pisces"},0),12)+1),12)+1)="FULL",NOT(CALC_PlanetPositions!$B$12=CALC_D10_Dashamsha!$G$7)),AND(CALC_PlanetPositions!$M$13="Malefic",INDEX(REF_Aspects!$D$5:$O$13,7,MOD(CALC_D10_Dashamsha!$H$7-(MOD(MATCH(CALC_PlanetPositions!$B$13,{"Aries","Taurus","Gemini","Cancer","Leo","Virgo","Libra","Scorpio","Sagittarius","Capricorn","Aquarius","Pisces"},0)-MATCH(INPUT_Chart!$C$5,{"Aries","Taurus","Gemini","Cancer","Leo","Virgo","Libra","Scorpio","Sagittarius","Capricorn","Aquarius","Pisces"},0),12)+1),12)+1)="FULL",NOT(CALC_PlanetPositions!$B$13=CALC_D10_Dashamsha!$G$7)),AND(TRUE(),INDEX(REF_Aspects!$D$5:$O$13,8,MOD(CALC_D10_Dashamsha!$H$7-(MOD(MATCH(CALC_PlanetPositions!$B$14,{"Aries","Taurus","Gemini","Cancer","Leo","Virgo","Libra","Scorpio","Sagittarius","Capricorn","Aquarius","Pisces"},0)-MATCH(INPUT_Chart!$C$5,{"Aries","Taurus","Gemini","Cancer","Leo","Virgo","Libra","Scorpio","Sagittarius","Capricorn","Aquarius","Pisces"},0),12)+1),12)+1)="FULL",NOT(CALC_PlanetPositions!$B$14=CALC_D10_Dashamsha!$G$7)),AND(TRUE(),INDEX(REF_Aspects!$D$5:$O$13,9,MOD(CALC_D10_Dashamsha!$H$7-(MOD(MATCH(CALC_PlanetPositions!$B$15,{"Aries","Taurus","Gemini","Cancer","Leo","Virgo","Libra","Scorpio","Sagittarius","Capricorn","Aquarius","Pisces"},0)-MATCH(INPUT_Chart!$C$5,{"Aries","Taurus","Gemini","Cancer","Leo","Virgo","Libra","Scorpio","Sagittarius","Capricorn","Aquarius","Pisces"},0),12)+1),12)+1)="FULL",NOT(CALC_PlanetPositions!$B$15=CALC_D10_Dashamsha!$G$7))),1,0),0))*-0.5,0)</f>
        <v>0</v>
      </c>
      <c r="D21" s="403" t="s">
        <v>4634</v>
      </c>
    </row>
    <row r="22" spans="1:7" ht="27.75" customHeight="1" x14ac:dyDescent="0.2">
      <c r="A22" s="121" t="s">
        <v>4635</v>
      </c>
      <c r="B22" s="357" t="s">
        <v>3042</v>
      </c>
      <c r="C22" s="1117">
        <f>IFERROR((IFERROR(IF(CALC_D10_Dashamsha!$K$7="Yes",1,0),0))*IF(REF_Config!$B$6="KP",-1.75,IF(REF_Config!$B$6="Jaimini",-2,-2)),0)</f>
        <v>0</v>
      </c>
      <c r="D22" s="400" t="s">
        <v>4636</v>
      </c>
    </row>
    <row r="23" spans="1:7" ht="27.75" customHeight="1" x14ac:dyDescent="0.2">
      <c r="A23" s="121" t="s">
        <v>4637</v>
      </c>
      <c r="B23" s="203" t="s">
        <v>3059</v>
      </c>
      <c r="C23" s="1118">
        <f ca="1">IFERROR((IFERROR(IF(OR(AND(CALC_D10_Dashamsha!$G$10=CALC_D10_Dashamsha!$G$7,CALC_D10_Dashamsha!$D$10&lt;&gt;CALC_D10_Dashamsha!$D$7),AND(CALC_D10_Dashamsha!$G$12=CALC_D10_Dashamsha!$G$7,CALC_D10_Dashamsha!$D$12&lt;&gt;CALC_D10_Dashamsha!$D$7),AND(CALC_D10_Dashamsha!$G$16=CALC_D10_Dashamsha!$G$7,CALC_D10_Dashamsha!$D$16&lt;&gt;CALC_D10_Dashamsha!$D$7)),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IFERROR(IF(OR(CALC_D10_Dashamsha!$D$7="Sun",CALC_D10_Dashamsha!$D$7="Rahu",CALC_D10_Dashamsha!$D$7="Ketu"),0,IF(CALC_D10_Dashamsha!$D$7="Moon",IF(CALC_CombustionCheck!$G$4="Cazimi ✓",0.5,IF(CALC_CombustionCheck!$F$4="COMBUST ⚠",-1,0)),IF(CALC_D10_Dashamsha!$D$7="Mars",IF(CALC_CombustionCheck!$G$5="Cazimi ✓",0.5,IF(AND(CALC_CombustionCheck!$F$5="COMBUST ⚠",CALC_RetrogradeFix!$F$6="Rx ✓"),-0.5,IF(CALC_CombustionCheck!$F$5="COMBUST ⚠",-1,0))),IF(CALC_D10_Dashamsha!$D$7="Mercury",IF(CALC_CombustionCheck!$G$6="Cazimi ✓",0.5,IF(AND(CALC_CombustionCheck!$F$6="COMBUST ⚠",CALC_RetrogradeFix!$F$7="Rx ✓"),-0.5,IF(CALC_CombustionCheck!$F$6="COMBUST ⚠",-1,0))),IF(CALC_D10_Dashamsha!$D$7="Jupiter",IF(CALC_CombustionCheck!$G$7="Cazimi ✓",0.5,IF(AND(CALC_CombustionCheck!$F$7="COMBUST ⚠",CALC_RetrogradeFix!$F$8="Rx ✓"),-0.5,IF(CALC_CombustionCheck!$F$7="COMBUST ⚠",-1,0))),IF(CALC_D10_Dashamsha!$D$7="Venus",IF(CALC_CombustionCheck!$G$8="Cazimi ✓",0.5,IF(AND(CALC_CombustionCheck!$F$8="COMBUST ⚠",CALC_RetrogradeFix!$F$9="Rx ✓"),-0.5,IF(CALC_CombustionCheck!$F$8="COMBUST ⚠",-1,0))),IF(CALC_D10_Dashamsha!$D$7="Saturn",IF(CALC_CombustionCheck!$G$9="Cazimi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10_Dashamsha!$D$7="Rahu",CALC_D10_Dashamsha!$D$7="Ketu"),0,IF(ISNUMBER(MATCH(CALC_D10_Dashamsha!$D$7,{"Sun","Moon","Mars","Mercury","Jupiter","Venus","Saturn"},0)),IF(INDEX(CALC_DigBala!$F$4:$F$10,MATCH(CALC_D10_Dashamsha!$D$7,{"Sun","Moon","Mars","Mercury","Jupiter","Venus","Saturn"},0))="Yes",0.5,0),0)),0)</f>
        <v>0</v>
      </c>
      <c r="D28" s="400" t="s">
        <v>4647</v>
      </c>
    </row>
    <row r="29" spans="1:7" ht="27.75" customHeight="1" x14ac:dyDescent="0.2">
      <c r="A29" s="1120" t="s">
        <v>4648</v>
      </c>
      <c r="B29" s="296" t="s">
        <v>3372</v>
      </c>
      <c r="C29" s="1117">
        <f ca="1">IFERROR(IF(COUNTIFS(REF_PushkaraNavamsha!$A$4:$A$27,CALC_D10_Dashamsha!$G$7,REF_PushkaraNavamsha!$B$4:$B$27,INDEX(CALC_PlanetPositions!$G$7:$G$15,MATCH(CALC_D10_Dashamsha!$D$7,CALC_PlanetPositions!$A$7:$A$15,0)))&gt;0,0.5,0),0)</f>
        <v>0</v>
      </c>
      <c r="D29" s="400" t="s">
        <v>4649</v>
      </c>
    </row>
    <row r="30" spans="1:7" ht="25.5" customHeight="1" x14ac:dyDescent="0.2">
      <c r="A30" s="147" t="s">
        <v>4650</v>
      </c>
      <c r="B30" s="1121" t="s">
        <v>4651</v>
      </c>
      <c r="C30" s="1122">
        <f>IFERROR(IF(ISNUMBER(MATCH(CALC_D10_Dashamsha!$D$7,{"Sun","Moon","Mars","Mercury","Jupiter","Venus","Saturn"},0)),INDEX(CALC_RetrogradeFix!$G$4:$G$10,MATCH(CALC_D10_Dashamsha!$D$7,{"Sun","Moon","Mars","Mercury","Jupiter","Venus","Saturn"},0)),0),0)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4747</v>
      </c>
      <c r="B1" s="1518"/>
      <c r="C1" s="1518"/>
      <c r="D1" s="1518"/>
      <c r="L1" s="544" t="s">
        <v>2214</v>
      </c>
    </row>
    <row r="2" spans="1:12" ht="19.5" customHeight="1" x14ac:dyDescent="0.2">
      <c r="A2" s="1595" t="str">
        <f>IFERROR("D10 Lagna: "&amp;CALC_D10_Dashamsha!$C$5&amp;"  ·  H4 — Home","← Enter chart")</f>
        <v>D10 Lagna: Aries  ·  H4 — Home</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IFERROR((IFERROR(IF(INDEX(REF_Zodiac!$D$17:$O$17,MATCH(CALC_D10_Dashamsha!$C$8,REF_Zodiac!$D$3:$O$3,0))="Gentle",1,0),0))*0.5,0)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IFERROR(IF(AND(OR(CALC_D10_Dashamsha!$I$8="Yes",CALC_D10_Dashamsha!$J$8="Yes"),NOT(CALC_D10_Dashamsha!$K$8="Yes")),1,0)*IF(REF_Config!$B$6="KP",1.5,IF(REF_Config!$B$6="Jaimini",1.5,2)),0)</f>
        <v>0</v>
      </c>
      <c r="D9" s="403" t="s">
        <v>4612</v>
      </c>
    </row>
    <row r="10" spans="1:12" ht="27.75" customHeight="1" x14ac:dyDescent="0.2">
      <c r="A10" s="121" t="s">
        <v>4613</v>
      </c>
      <c r="B10" s="357" t="s">
        <v>3093</v>
      </c>
      <c r="C10" s="1117">
        <f ca="1">IFERROR((IFERROR(IF(OR(AND(CALC_D10_Dashamsha!$G$8=CALC_D10_Dashamsha!$G$8,CALC_D10_Dashamsha!$D$8&lt;&gt;CALC_D10_Dashamsha!$D$8),AND(CALC_D10_Dashamsha!$G$8=CALC_D10_Dashamsha!$G$8,CALC_D10_Dashamsha!$D$8&lt;&gt;CALC_D10_Dashamsha!$D$8),AND(CALC_D10_Dashamsha!$G$9=CALC_D10_Dashamsha!$G$8,CALC_D10_Dashamsha!$D$9&lt;&gt;CALC_D10_Dashamsha!$D$8),AND(CALC_D10_Dashamsha!$G$11=CALC_D10_Dashamsha!$G$8,CALC_D10_Dashamsha!$D$11&lt;&gt;CALC_D10_Dashamsha!$D$8),AND(CALC_D10_Dashamsha!$G$13=CALC_D10_Dashamsha!$G$8,CALC_D10_Dashamsha!$D$13&lt;&gt;CALC_D10_Dashamsha!$D$8),AND(CALC_D10_Dashamsha!$G$14=CALC_D10_Dashamsha!$G$8,CALC_D10_Dashamsha!$D$14&lt;&gt;CALC_D10_Dashamsha!$D$8)),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$8,CALC_D10_Dashamsha!$D$8&lt;&gt;"Sun"),AND(OR(CALC_PlanetPositions!$M$8="Benefic",CALC_PlanetPositions!$M$8="Yogakaraka"),CALC_PlanetPositions!$B$8=CALC_D10_Dashamsha!$G$8,CALC_D10_Dashamsha!$D$8&lt;&gt;"Moon"),AND(OR(CALC_PlanetPositions!$M$9="Benefic",CALC_PlanetPositions!$M$9="Yogakaraka"),CALC_PlanetPositions!$B$9=CALC_D10_Dashamsha!$G$8,CALC_D10_Dashamsha!$D$8&lt;&gt;"Mars"),AND(OR(CALC_PlanetPositions!$M$10="Benefic",CALC_PlanetPositions!$M$10="Yogakaraka"),CALC_PlanetPositions!$B$10=CALC_D10_Dashamsha!$G$8,CALC_D10_Dashamsha!$D$8&lt;&gt;"Mercury"),AND(OR(CALC_PlanetPositions!$M$11="Benefic",CALC_PlanetPositions!$M$11="Yogakaraka"),CALC_PlanetPositions!$B$11=CALC_D10_Dashamsha!$G$8,CALC_D10_Dashamsha!$D$8&lt;&gt;"Jupiter"),AND(OR(CALC_PlanetPositions!$M$12="Benefic",CALC_PlanetPositions!$M$12="Yogakaraka"),CALC_PlanetPositions!$B$12=CALC_D10_Dashamsha!$G$8,CALC_D10_Dashamsha!$D$8&lt;&gt;"Venus"),AND(OR(CALC_PlanetPositions!$M$13="Benefic",CALC_PlanetPositions!$M$13="Yogakaraka"),CALC_PlanetPositions!$B$13=CALC_D10_Dashamsha!$G$8,CALC_D10_Dashamsha!$D$8&lt;&gt;"Saturn")),1,0),0))*IF(OR(AND(CALC_PlanetPositions!$M$7="Yogakaraka",CALC_PlanetPositions!$B$7=CALC_D10_Dashamsha!$G$8,CALC_D10_Dashamsha!$D$8&lt;&gt;"Sun"),AND(CALC_PlanetPositions!$M$8="Yogakaraka",CALC_PlanetPositions!$B$8=CALC_D10_Dashamsha!$G$8,CALC_D10_Dashamsha!$D$8&lt;&gt;"Moon"),AND(CALC_PlanetPositions!$M$9="Yogakaraka",CALC_PlanetPositions!$B$9=CALC_D10_Dashamsha!$G$8,CALC_D10_Dashamsha!$D$8&lt;&gt;"Mars"),AND(CALC_PlanetPositions!$M$10="Yogakaraka",CALC_PlanetPositions!$B$10=CALC_D10_Dashamsha!$G$8,CALC_D10_Dashamsha!$D$8&lt;&gt;"Mercury"),AND(CALC_PlanetPositions!$M$11="Yogakaraka",CALC_PlanetPositions!$B$11=CALC_D10_Dashamsha!$G$8,CALC_D10_Dashamsha!$D$8&lt;&gt;"Jupiter"),AND(CALC_PlanetPositions!$M$12="Yogakaraka",CALC_PlanetPositions!$B$12=CALC_D10_Dashamsha!$G$8,CALC_D10_Dashamsha!$D$8&lt;&gt;"Venus"),AND(CALC_PlanetPositions!$M$13="Yogakaraka",CALC_PlanetPositions!$B$13=CALC_D10_Dashamsha!$G$8,CALC_D10_Dashamsha!$D$8&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$8-(MOD(MATCH(CALC_PlanetPositions!$B$7,{"Aries","Taurus","Gemini","Cancer","Leo","Virgo","Libra","Scorpio","Sagittarius","Capricorn","Aquarius","Pisces"},0)-MATCH(INPUT_Chart!$C$5,{"Aries","Taurus","Gemini","Cancer","Leo","Virgo","Libra","Scorpio","Sagittarius","Capricorn","Aquarius","Pisces"},0),12)+1),12)+1)="FULL",NOT(CALC_PlanetPositions!$B$7=CALC_D10_Dashamsha!$G$8)),AND(OR(CALC_PlanetPositions!$M$8="Benefic",CALC_PlanetPositions!$M$8="Yogakaraka"),INDEX(REF_Aspects!$D$5:$O$13,2,MOD(CALC_D10_Dashamsha!$H$8-(MOD(MATCH(CALC_PlanetPositions!$B$8,{"Aries","Taurus","Gemini","Cancer","Leo","Virgo","Libra","Scorpio","Sagittarius","Capricorn","Aquarius","Pisces"},0)-MATCH(INPUT_Chart!$C$5,{"Aries","Taurus","Gemini","Cancer","Leo","Virgo","Libra","Scorpio","Sagittarius","Capricorn","Aquarius","Pisces"},0),12)+1),12)+1)="FULL",NOT(CALC_PlanetPositions!$B$8=CALC_D10_Dashamsha!$G$8)),AND(OR(CALC_PlanetPositions!$M$9="Benefic",CALC_PlanetPositions!$M$9="Yogakaraka"),INDEX(REF_Aspects!$D$5:$O$13,3,MOD(CALC_D10_Dashamsha!$H$8-(MOD(MATCH(CALC_PlanetPositions!$B$9,{"Aries","Taurus","Gemini","Cancer","Leo","Virgo","Libra","Scorpio","Sagittarius","Capricorn","Aquarius","Pisces"},0)-MATCH(INPUT_Chart!$C$5,{"Aries","Taurus","Gemini","Cancer","Leo","Virgo","Libra","Scorpio","Sagittarius","Capricorn","Aquarius","Pisces"},0),12)+1),12)+1)="FULL",NOT(CALC_PlanetPositions!$B$9=CALC_D10_Dashamsha!$G$8)),AND(OR(CALC_PlanetPositions!$M$10="Benefic",CALC_PlanetPositions!$M$10="Yogakaraka"),INDEX(REF_Aspects!$D$5:$O$13,4,MOD(CALC_D10_Dashamsha!$H$8-(MOD(MATCH(CALC_PlanetPositions!$B$10,{"Aries","Taurus","Gemini","Cancer","Leo","Virgo","Libra","Scorpio","Sagittarius","Capricorn","Aquarius","Pisces"},0)-MATCH(INPUT_Chart!$C$5,{"Aries","Taurus","Gemini","Cancer","Leo","Virgo","Libra","Scorpio","Sagittarius","Capricorn","Aquarius","Pisces"},0),12)+1),12)+1)="FULL",NOT(CALC_PlanetPositions!$B$10=CALC_D10_Dashamsha!$G$8)),AND(OR(CALC_PlanetPositions!$M$11="Benefic",CALC_PlanetPositions!$M$11="Yogakaraka"),INDEX(REF_Aspects!$D$5:$O$13,5,MOD(CALC_D10_Dashamsha!$H$8-(MOD(MATCH(CALC_PlanetPositions!$B$11,{"Aries","Taurus","Gemini","Cancer","Leo","Virgo","Libra","Scorpio","Sagittarius","Capricorn","Aquarius","Pisces"},0)-MATCH(INPUT_Chart!$C$5,{"Aries","Taurus","Gemini","Cancer","Leo","Virgo","Libra","Scorpio","Sagittarius","Capricorn","Aquarius","Pisces"},0),12)+1),12)+1)="FULL",NOT(CALC_PlanetPositions!$B$11=CALC_D10_Dashamsha!$G$8)),AND(OR(CALC_PlanetPositions!$M$12="Benefic",CALC_PlanetPositions!$M$12="Yogakaraka"),INDEX(REF_Aspects!$D$5:$O$13,6,MOD(CALC_D10_Dashamsha!$H$8-(MOD(MATCH(CALC_PlanetPositions!$B$12,{"Aries","Taurus","Gemini","Cancer","Leo","Virgo","Libra","Scorpio","Sagittarius","Capricorn","Aquarius","Pisces"},0)-MATCH(INPUT_Chart!$C$5,{"Aries","Taurus","Gemini","Cancer","Leo","Virgo","Libra","Scorpio","Sagittarius","Capricorn","Aquarius","Pisces"},0),12)+1),12)+1)="FULL",NOT(CALC_PlanetPositions!$B$12=CALC_D10_Dashamsha!$G$8)),AND(OR(CALC_PlanetPositions!$M$13="Benefic",CALC_PlanetPositions!$M$13="Yogakaraka"),INDEX(REF_Aspects!$D$5:$O$13,7,MOD(CALC_D10_Dashamsha!$H$8-(MOD(MATCH(CALC_PlanetPositions!$B$13,{"Aries","Taurus","Gemini","Cancer","Leo","Virgo","Libra","Scorpio","Sagittarius","Capricorn","Aquarius","Pisces"},0)-MATCH(INPUT_Chart!$C$5,{"Aries","Taurus","Gemini","Cancer","Leo","Virgo","Libra","Scorpio","Sagittarius","Capricorn","Aquarius","Pisces"},0),12)+1),12)+1)="FULL",NOT(CALC_PlanetPositions!$B$13=CALC_D10_Dashamsha!$G$8)),AND(FALSE(),INDEX(REF_Aspects!$D$5:$O$13,8,MOD(CALC_D10_Dashamsha!$H$8-(MOD(MATCH(CALC_PlanetPositions!$B$14,{"Aries","Taurus","Gemini","Cancer","Leo","Virgo","Libra","Scorpio","Sagittarius","Capricorn","Aquarius","Pisces"},0)-MATCH(INPUT_Chart!$C$5,{"Aries","Taurus","Gemini","Cancer","Leo","Virgo","Libra","Scorpio","Sagittarius","Capricorn","Aquarius","Pisces"},0),12)+1),12)+1)="FULL",NOT(CALC_PlanetPositions!$B$14=CALC_D10_Dashamsha!$G$8)),AND(FALSE(),INDEX(REF_Aspects!$D$5:$O$13,9,MOD(CALC_D10_Dashamsha!$H$8-(MOD(MATCH(CALC_PlanetPositions!$B$15,{"Aries","Taurus","Gemini","Cancer","Leo","Virgo","Libra","Scorpio","Sagittarius","Capricorn","Aquarius","Pisces"},0)-MATCH(INPUT_Chart!$C$5,{"Aries","Taurus","Gemini","Cancer","Leo","Virgo","Libra","Scorpio","Sagittarius","Capricorn","Aquarius","Pisces"},0),12)+1),12)+1)="FULL",NOT(CALC_PlanetPositions!$B$15=CALC_D10_Dashamsha!$G$8))),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$8-2,12)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$8-2,12)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$8-2,12)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$8-2,12)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$8-2,12)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$8-2,12)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$8-2,12)+1)),AND(FALSE(),MOD(MATCH(CALC_PlanetPositions!$B$14,{"Aries","Taurus","Gemini","Cancer","Leo","Virgo","Libra","Scorpio","Sagittarius","Capricorn","Aquarius","Pisces"},0)-MATCH(INPUT_Chart!$C$5,{"Aries","Taurus","Gemini","Cancer","Leo","Virgo","Libra","Scorpio","Sagittarius","Capricorn","Aquarius","Pisces"},0),12)+1=(MOD(CALC_D10_Dashamsha!$H$8-2,12)+1)),AND(FALSE(),MOD(MATCH(CALC_PlanetPositions!$B$15,{"Aries","Taurus","Gemini","Cancer","Leo","Virgo","Libra","Scorpio","Sagittarius","Capricorn","Aquarius","Pisces"},0)-MATCH(INPUT_Chart!$C$5,{"Aries","Taurus","Gemini","Cancer","Leo","Virgo","Libra","Scorpio","Sagittarius","Capricorn","Aquarius","Pisces"},0),12)+1=(MOD(CALC_D10_Dashamsha!$H$8-2,12)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$8,12)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$8,12)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$8,12)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$8,12)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$8,12)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$8,12)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$8,12)+1)),AND(FALSE(),MOD(MATCH(CALC_PlanetPositions!$B$14,{"Aries","Taurus","Gemini","Cancer","Leo","Virgo","Libra","Scorpio","Sagittarius","Capricorn","Aquarius","Pisces"},0)-MATCH(INPUT_Chart!$C$5,{"Aries","Taurus","Gemini","Cancer","Leo","Virgo","Libra","Scorpio","Sagittarius","Capricorn","Aquarius","Pisces"},0),12)+1=(MOD(CALC_D10_Dashamsha!$H$8,12)+1)),AND(FALSE(),MOD(MATCH(CALC_PlanetPositions!$B$15,{"Aries","Taurus","Gemini","Cancer","Leo","Virgo","Libra","Scorpio","Sagittarius","Capricorn","Aquarius","Pisces"},0)-MATCH(INPUT_Chart!$C$5,{"Aries","Taurus","Gemini","Cancer","Leo","Virgo","Libra","Scorpio","Sagittarius","Capricorn","Aquarius","Pisces"},0),12)+1=(MOD(CALC_D10_Dashamsha!$H$8,12)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$8-(MOD(MATCH(CALC_PlanetPositions!$B$7,{"Aries","Taurus","Gemini","Cancer","Leo","Virgo","Libra","Scorpio","Sagittarius","Capricorn","Aquarius","Pisces"},0)-MATCH(INPUT_Chart!$C$5,{"Aries","Taurus","Gemini","Cancer","Leo","Virgo","Libra","Scorpio","Sagittarius","Capricorn","Aquarius","Pisces"},0),12)+1),12)+1)="FULL",NOT(CALC_PlanetPositions!$B$7=CALC_D10_Dashamsha!$G$8)),AND(CALC_PlanetPositions!$M$8="Malefic",INDEX(REF_Aspects!$D$5:$O$13,2,MOD(CALC_D10_Dashamsha!$H$8-(MOD(MATCH(CALC_PlanetPositions!$B$8,{"Aries","Taurus","Gemini","Cancer","Leo","Virgo","Libra","Scorpio","Sagittarius","Capricorn","Aquarius","Pisces"},0)-MATCH(INPUT_Chart!$C$5,{"Aries","Taurus","Gemini","Cancer","Leo","Virgo","Libra","Scorpio","Sagittarius","Capricorn","Aquarius","Pisces"},0),12)+1),12)+1)="FULL",NOT(CALC_PlanetPositions!$B$8=CALC_D10_Dashamsha!$G$8)),AND(CALC_PlanetPositions!$M$9="Malefic",INDEX(REF_Aspects!$D$5:$O$13,3,MOD(CALC_D10_Dashamsha!$H$8-(MOD(MATCH(CALC_PlanetPositions!$B$9,{"Aries","Taurus","Gemini","Cancer","Leo","Virgo","Libra","Scorpio","Sagittarius","Capricorn","Aquarius","Pisces"},0)-MATCH(INPUT_Chart!$C$5,{"Aries","Taurus","Gemini","Cancer","Leo","Virgo","Libra","Scorpio","Sagittarius","Capricorn","Aquarius","Pisces"},0),12)+1),12)+1)="FULL",NOT(CALC_PlanetPositions!$B$9=CALC_D10_Dashamsha!$G$8)),AND(CALC_PlanetPositions!$M$10="Malefic",INDEX(REF_Aspects!$D$5:$O$13,4,MOD(CALC_D10_Dashamsha!$H$8-(MOD(MATCH(CALC_PlanetPositions!$B$10,{"Aries","Taurus","Gemini","Cancer","Leo","Virgo","Libra","Scorpio","Sagittarius","Capricorn","Aquarius","Pisces"},0)-MATCH(INPUT_Chart!$C$5,{"Aries","Taurus","Gemini","Cancer","Leo","Virgo","Libra","Scorpio","Sagittarius","Capricorn","Aquarius","Pisces"},0),12)+1),12)+1)="FULL",NOT(CALC_PlanetPositions!$B$10=CALC_D10_Dashamsha!$G$8)),AND(CALC_PlanetPositions!$M$11="Malefic",INDEX(REF_Aspects!$D$5:$O$13,5,MOD(CALC_D10_Dashamsha!$H$8-(MOD(MATCH(CALC_PlanetPositions!$B$11,{"Aries","Taurus","Gemini","Cancer","Leo","Virgo","Libra","Scorpio","Sagittarius","Capricorn","Aquarius","Pisces"},0)-MATCH(INPUT_Chart!$C$5,{"Aries","Taurus","Gemini","Cancer","Leo","Virgo","Libra","Scorpio","Sagittarius","Capricorn","Aquarius","Pisces"},0),12)+1),12)+1)="FULL",NOT(CALC_PlanetPositions!$B$11=CALC_D10_Dashamsha!$G$8)),AND(CALC_PlanetPositions!$M$12="Malefic",INDEX(REF_Aspects!$D$5:$O$13,6,MOD(CALC_D10_Dashamsha!$H$8-(MOD(MATCH(CALC_PlanetPositions!$B$12,{"Aries","Taurus","Gemini","Cancer","Leo","Virgo","Libra","Scorpio","Sagittarius","Capricorn","Aquarius","Pisces"},0)-MATCH(INPUT_Chart!$C$5,{"Aries","Taurus","Gemini","Cancer","Leo","Virgo","Libra","Scorpio","Sagittarius","Capricorn","Aquarius","Pisces"},0),12)+1),12)+1)="FULL",NOT(CALC_PlanetPositions!$B$12=CALC_D10_Dashamsha!$G$8)),AND(CALC_PlanetPositions!$M$13="Malefic",INDEX(REF_Aspects!$D$5:$O$13,7,MOD(CALC_D10_Dashamsha!$H$8-(MOD(MATCH(CALC_PlanetPositions!$B$13,{"Aries","Taurus","Gemini","Cancer","Leo","Virgo","Libra","Scorpio","Sagittarius","Capricorn","Aquarius","Pisces"},0)-MATCH(INPUT_Chart!$C$5,{"Aries","Taurus","Gemini","Cancer","Leo","Virgo","Libra","Scorpio","Sagittarius","Capricorn","Aquarius","Pisces"},0),12)+1),12)+1)="FULL",NOT(CALC_PlanetPositions!$B$13=CALC_D10_Dashamsha!$G$8)),AND(TRUE(),INDEX(REF_Aspects!$D$5:$O$13,8,MOD(CALC_D10_Dashamsha!$H$8-(MOD(MATCH(CALC_PlanetPositions!$B$14,{"Aries","Taurus","Gemini","Cancer","Leo","Virgo","Libra","Scorpio","Sagittarius","Capricorn","Aquarius","Pisces"},0)-MATCH(INPUT_Chart!$C$5,{"Aries","Taurus","Gemini","Cancer","Leo","Virgo","Libra","Scorpio","Sagittarius","Capricorn","Aquarius","Pisces"},0),12)+1),12)+1)="FULL",NOT(CALC_PlanetPositions!$B$14=CALC_D10_Dashamsha!$G$8)),AND(TRUE(),INDEX(REF_Aspects!$D$5:$O$13,9,MOD(CALC_D10_Dashamsha!$H$8-(MOD(MATCH(CALC_PlanetPositions!$B$15,{"Aries","Taurus","Gemini","Cancer","Leo","Virgo","Libra","Scorpio","Sagittarius","Capricorn","Aquarius","Pisces"},0)-MATCH(INPUT_Chart!$C$5,{"Aries","Taurus","Gemini","Cancer","Leo","Virgo","Libra","Scorpio","Sagittarius","Capricorn","Aquarius","Pisces"},0),12)+1),12)+1)="FULL",NOT(CALC_PlanetPositions!$B$15=CALC_D10_Dashamsha!$G$8))),1,0),0))*-0.5,0)</f>
        <v>0</v>
      </c>
      <c r="D21" s="403" t="s">
        <v>4634</v>
      </c>
    </row>
    <row r="22" spans="1:7" ht="27.75" customHeight="1" x14ac:dyDescent="0.2">
      <c r="A22" s="121" t="s">
        <v>4635</v>
      </c>
      <c r="B22" s="357" t="s">
        <v>3042</v>
      </c>
      <c r="C22" s="1117">
        <f>IFERROR((IFERROR(IF(CALC_D10_Dashamsha!$K$8="Yes",1,0),0))*IF(REF_Config!$B$6="KP",-1.75,IF(REF_Config!$B$6="Jaimini",-2,-2)),0)</f>
        <v>0</v>
      </c>
      <c r="D22" s="400" t="s">
        <v>4636</v>
      </c>
    </row>
    <row r="23" spans="1:7" ht="27.75" customHeight="1" x14ac:dyDescent="0.2">
      <c r="A23" s="121" t="s">
        <v>4637</v>
      </c>
      <c r="B23" s="203" t="s">
        <v>3059</v>
      </c>
      <c r="C23" s="1118">
        <f ca="1">IFERROR((IFERROR(IF(OR(AND(CALC_D10_Dashamsha!$G$10=CALC_D10_Dashamsha!$G$8,CALC_D10_Dashamsha!$D$10&lt;&gt;CALC_D10_Dashamsha!$D$8),AND(CALC_D10_Dashamsha!$G$12=CALC_D10_Dashamsha!$G$8,CALC_D10_Dashamsha!$D$12&lt;&gt;CALC_D10_Dashamsha!$D$8),AND(CALC_D10_Dashamsha!$G$16=CALC_D10_Dashamsha!$G$8,CALC_D10_Dashamsha!$D$16&lt;&gt;CALC_D10_Dashamsha!$D$8)),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IFERROR(IF(OR(CALC_D10_Dashamsha!$D$8="Sun",CALC_D10_Dashamsha!$D$8="Rahu",CALC_D10_Dashamsha!$D$8="Ketu"),0,IF(CALC_D10_Dashamsha!$D$8="Moon",IF(CALC_CombustionCheck!$G$4="Cazimi ✓",0.5,IF(CALC_CombustionCheck!$F$4="COMBUST ⚠",-1,0)),IF(CALC_D10_Dashamsha!$D$8="Mars",IF(CALC_CombustionCheck!$G$5="Cazimi ✓",0.5,IF(AND(CALC_CombustionCheck!$F$5="COMBUST ⚠",CALC_RetrogradeFix!$F$6="Rx ✓"),-0.5,IF(CALC_CombustionCheck!$F$5="COMBUST ⚠",-1,0))),IF(CALC_D10_Dashamsha!$D$8="Mercury",IF(CALC_CombustionCheck!$G$6="Cazimi ✓",0.5,IF(AND(CALC_CombustionCheck!$F$6="COMBUST ⚠",CALC_RetrogradeFix!$F$7="Rx ✓"),-0.5,IF(CALC_CombustionCheck!$F$6="COMBUST ⚠",-1,0))),IF(CALC_D10_Dashamsha!$D$8="Jupiter",IF(CALC_CombustionCheck!$G$7="Cazimi ✓",0.5,IF(AND(CALC_CombustionCheck!$F$7="COMBUST ⚠",CALC_RetrogradeFix!$F$8="Rx ✓"),-0.5,IF(CALC_CombustionCheck!$F$7="COMBUST ⚠",-1,0))),IF(CALC_D10_Dashamsha!$D$8="Venus",IF(CALC_CombustionCheck!$G$8="Cazimi ✓",0.5,IF(AND(CALC_CombustionCheck!$F$8="COMBUST ⚠",CALC_RetrogradeFix!$F$9="Rx ✓"),-0.5,IF(CALC_CombustionCheck!$F$8="COMBUST ⚠",-1,0))),IF(CALC_D10_Dashamsha!$D$8="Saturn",IF(CALC_CombustionCheck!$G$9="Cazimi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10_Dashamsha!$D$8="Rahu",CALC_D10_Dashamsha!$D$8="Ketu"),0,IF(ISNUMBER(MATCH(CALC_D10_Dashamsha!$D$8,{"Sun","Moon","Mars","Mercury","Jupiter","Venus","Saturn"},0)),IF(INDEX(CALC_DigBala!$F$4:$F$10,MATCH(CALC_D10_Dashamsha!$D$8,{"Sun","Moon","Mars","Mercury","Jupiter","Venus","Saturn"},0))="Yes",0.5,0),0)),0)</f>
        <v>0</v>
      </c>
      <c r="D28" s="400" t="s">
        <v>4647</v>
      </c>
    </row>
    <row r="29" spans="1:7" ht="27.75" customHeight="1" x14ac:dyDescent="0.2">
      <c r="A29" s="1120" t="s">
        <v>4648</v>
      </c>
      <c r="B29" s="296" t="s">
        <v>3372</v>
      </c>
      <c r="C29" s="1117">
        <f ca="1">IFERROR(IF(COUNTIFS(REF_PushkaraNavamsha!$A$4:$A$27,CALC_D10_Dashamsha!$G$8,REF_PushkaraNavamsha!$B$4:$B$27,INDEX(CALC_PlanetPositions!$G$7:$G$15,MATCH(CALC_D10_Dashamsha!$D$8,CALC_PlanetPositions!$A$7:$A$15,0)))&gt;0,0.5,0),0)</f>
        <v>0</v>
      </c>
      <c r="D29" s="400" t="s">
        <v>4649</v>
      </c>
    </row>
    <row r="30" spans="1:7" ht="25.5" customHeight="1" x14ac:dyDescent="0.2">
      <c r="A30" s="147" t="s">
        <v>4650</v>
      </c>
      <c r="B30" s="1121" t="s">
        <v>4651</v>
      </c>
      <c r="C30" s="1122">
        <f>IFERROR(IF(ISNUMBER(MATCH(CALC_D10_Dashamsha!$D$8,{"Sun","Moon","Mars","Mercury","Jupiter","Venus","Saturn"},0)),INDEX(CALC_RetrogradeFix!$G$4:$G$10,MATCH(CALC_D10_Dashamsha!$D$8,{"Sun","Moon","Mars","Mercury","Jupiter","Venus","Saturn"},0)),0),0)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4748</v>
      </c>
      <c r="B1" s="1518"/>
      <c r="C1" s="1518"/>
      <c r="D1" s="1518"/>
      <c r="L1" s="544" t="s">
        <v>2214</v>
      </c>
    </row>
    <row r="2" spans="1:12" ht="19.5" customHeight="1" x14ac:dyDescent="0.2">
      <c r="A2" s="1595" t="str">
        <f>IFERROR("D10 Lagna: "&amp;CALC_D10_Dashamsha!$C$5&amp;"  ·  H5 — Intellect","← Enter chart")</f>
        <v>D10 Lagna: Aries  ·  H5 — Intellect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IFERROR((IFERROR(IF(INDEX(REF_Zodiac!$D$17:$O$17,MATCH(CALC_D10_Dashamsha!$C$9,REF_Zodiac!$D$3:$O$3,0))="Gentle",1,0),0))*0.5,0)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IFERROR(IF(AND(OR(CALC_D10_Dashamsha!$I$9="Yes",CALC_D10_Dashamsha!$J$9="Yes"),NOT(CALC_D10_Dashamsha!$K$9="Yes")),1,0)*IF(REF_Config!$B$6="KP",1.5,IF(REF_Config!$B$6="Jaimini",1.5,2)),0)</f>
        <v>0</v>
      </c>
      <c r="D9" s="403" t="s">
        <v>4612</v>
      </c>
    </row>
    <row r="10" spans="1:12" ht="27.75" customHeight="1" x14ac:dyDescent="0.2">
      <c r="A10" s="121" t="s">
        <v>4613</v>
      </c>
      <c r="B10" s="357" t="s">
        <v>3093</v>
      </c>
      <c r="C10" s="1117">
        <f ca="1">IFERROR((IFERROR(IF(OR(AND(CALC_D10_Dashamsha!$G$9=CALC_D10_Dashamsha!$G$9,CALC_D10_Dashamsha!$D$9&lt;&gt;CALC_D10_Dashamsha!$D$9),AND(CALC_D10_Dashamsha!$G$8=CALC_D10_Dashamsha!$G$9,CALC_D10_Dashamsha!$D$8&lt;&gt;CALC_D10_Dashamsha!$D$9),AND(CALC_D10_Dashamsha!$G$9=CALC_D10_Dashamsha!$G$9,CALC_D10_Dashamsha!$D$9&lt;&gt;CALC_D10_Dashamsha!$D$9),AND(CALC_D10_Dashamsha!$G$11=CALC_D10_Dashamsha!$G$9,CALC_D10_Dashamsha!$D$11&lt;&gt;CALC_D10_Dashamsha!$D$9),AND(CALC_D10_Dashamsha!$G$13=CALC_D10_Dashamsha!$G$9,CALC_D10_Dashamsha!$D$13&lt;&gt;CALC_D10_Dashamsha!$D$9),AND(CALC_D10_Dashamsha!$G$14=CALC_D10_Dashamsha!$G$9,CALC_D10_Dashamsha!$D$14&lt;&gt;CALC_D10_Dashamsha!$D$9)),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$9,CALC_D10_Dashamsha!$D$9&lt;&gt;"Sun"),AND(OR(CALC_PlanetPositions!$M$8="Benefic",CALC_PlanetPositions!$M$8="Yogakaraka"),CALC_PlanetPositions!$B$8=CALC_D10_Dashamsha!$G$9,CALC_D10_Dashamsha!$D$9&lt;&gt;"Moon"),AND(OR(CALC_PlanetPositions!$M$9="Benefic",CALC_PlanetPositions!$M$9="Yogakaraka"),CALC_PlanetPositions!$B$9=CALC_D10_Dashamsha!$G$9,CALC_D10_Dashamsha!$D$9&lt;&gt;"Mars"),AND(OR(CALC_PlanetPositions!$M$10="Benefic",CALC_PlanetPositions!$M$10="Yogakaraka"),CALC_PlanetPositions!$B$10=CALC_D10_Dashamsha!$G$9,CALC_D10_Dashamsha!$D$9&lt;&gt;"Mercury"),AND(OR(CALC_PlanetPositions!$M$11="Benefic",CALC_PlanetPositions!$M$11="Yogakaraka"),CALC_PlanetPositions!$B$11=CALC_D10_Dashamsha!$G$9,CALC_D10_Dashamsha!$D$9&lt;&gt;"Jupiter"),AND(OR(CALC_PlanetPositions!$M$12="Benefic",CALC_PlanetPositions!$M$12="Yogakaraka"),CALC_PlanetPositions!$B$12=CALC_D10_Dashamsha!$G$9,CALC_D10_Dashamsha!$D$9&lt;&gt;"Venus"),AND(OR(CALC_PlanetPositions!$M$13="Benefic",CALC_PlanetPositions!$M$13="Yogakaraka"),CALC_PlanetPositions!$B$13=CALC_D10_Dashamsha!$G$9,CALC_D10_Dashamsha!$D$9&lt;&gt;"Saturn")),1,0),0))*IF(OR(AND(CALC_PlanetPositions!$M$7="Yogakaraka",CALC_PlanetPositions!$B$7=CALC_D10_Dashamsha!$G$9,CALC_D10_Dashamsha!$D$9&lt;&gt;"Sun"),AND(CALC_PlanetPositions!$M$8="Yogakaraka",CALC_PlanetPositions!$B$8=CALC_D10_Dashamsha!$G$9,CALC_D10_Dashamsha!$D$9&lt;&gt;"Moon"),AND(CALC_PlanetPositions!$M$9="Yogakaraka",CALC_PlanetPositions!$B$9=CALC_D10_Dashamsha!$G$9,CALC_D10_Dashamsha!$D$9&lt;&gt;"Mars"),AND(CALC_PlanetPositions!$M$10="Yogakaraka",CALC_PlanetPositions!$B$10=CALC_D10_Dashamsha!$G$9,CALC_D10_Dashamsha!$D$9&lt;&gt;"Mercury"),AND(CALC_PlanetPositions!$M$11="Yogakaraka",CALC_PlanetPositions!$B$11=CALC_D10_Dashamsha!$G$9,CALC_D10_Dashamsha!$D$9&lt;&gt;"Jupiter"),AND(CALC_PlanetPositions!$M$12="Yogakaraka",CALC_PlanetPositions!$B$12=CALC_D10_Dashamsha!$G$9,CALC_D10_Dashamsha!$D$9&lt;&gt;"Venus"),AND(CALC_PlanetPositions!$M$13="Yogakaraka",CALC_PlanetPositions!$B$13=CALC_D10_Dashamsha!$G$9,CALC_D10_Dashamsha!$D$9&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$9-(MOD(MATCH(CALC_PlanetPositions!$B$7,{"Aries","Taurus","Gemini","Cancer","Leo","Virgo","Libra","Scorpio","Sagittarius","Capricorn","Aquarius","Pisces"},0)-MATCH(INPUT_Chart!$C$5,{"Aries","Taurus","Gemini","Cancer","Leo","Virgo","Libra","Scorpio","Sagittarius","Capricorn","Aquarius","Pisces"},0),12)+1),12)+1)="FULL",NOT(CALC_PlanetPositions!$B$7=CALC_D10_Dashamsha!$G$9)),AND(OR(CALC_PlanetPositions!$M$8="Benefic",CALC_PlanetPositions!$M$8="Yogakaraka"),INDEX(REF_Aspects!$D$5:$O$13,2,MOD(CALC_D10_Dashamsha!$H$9-(MOD(MATCH(CALC_PlanetPositions!$B$8,{"Aries","Taurus","Gemini","Cancer","Leo","Virgo","Libra","Scorpio","Sagittarius","Capricorn","Aquarius","Pisces"},0)-MATCH(INPUT_Chart!$C$5,{"Aries","Taurus","Gemini","Cancer","Leo","Virgo","Libra","Scorpio","Sagittarius","Capricorn","Aquarius","Pisces"},0),12)+1),12)+1)="FULL",NOT(CALC_PlanetPositions!$B$8=CALC_D10_Dashamsha!$G$9)),AND(OR(CALC_PlanetPositions!$M$9="Benefic",CALC_PlanetPositions!$M$9="Yogakaraka"),INDEX(REF_Aspects!$D$5:$O$13,3,MOD(CALC_D10_Dashamsha!$H$9-(MOD(MATCH(CALC_PlanetPositions!$B$9,{"Aries","Taurus","Gemini","Cancer","Leo","Virgo","Libra","Scorpio","Sagittarius","Capricorn","Aquarius","Pisces"},0)-MATCH(INPUT_Chart!$C$5,{"Aries","Taurus","Gemini","Cancer","Leo","Virgo","Libra","Scorpio","Sagittarius","Capricorn","Aquarius","Pisces"},0),12)+1),12)+1)="FULL",NOT(CALC_PlanetPositions!$B$9=CALC_D10_Dashamsha!$G$9)),AND(OR(CALC_PlanetPositions!$M$10="Benefic",CALC_PlanetPositions!$M$10="Yogakaraka"),INDEX(REF_Aspects!$D$5:$O$13,4,MOD(CALC_D10_Dashamsha!$H$9-(MOD(MATCH(CALC_PlanetPositions!$B$10,{"Aries","Taurus","Gemini","Cancer","Leo","Virgo","Libra","Scorpio","Sagittarius","Capricorn","Aquarius","Pisces"},0)-MATCH(INPUT_Chart!$C$5,{"Aries","Taurus","Gemini","Cancer","Leo","Virgo","Libra","Scorpio","Sagittarius","Capricorn","Aquarius","Pisces"},0),12)+1),12)+1)="FULL",NOT(CALC_PlanetPositions!$B$10=CALC_D10_Dashamsha!$G$9)),AND(OR(CALC_PlanetPositions!$M$11="Benefic",CALC_PlanetPositions!$M$11="Yogakaraka"),INDEX(REF_Aspects!$D$5:$O$13,5,MOD(CALC_D10_Dashamsha!$H$9-(MOD(MATCH(CALC_PlanetPositions!$B$11,{"Aries","Taurus","Gemini","Cancer","Leo","Virgo","Libra","Scorpio","Sagittarius","Capricorn","Aquarius","Pisces"},0)-MATCH(INPUT_Chart!$C$5,{"Aries","Taurus","Gemini","Cancer","Leo","Virgo","Libra","Scorpio","Sagittarius","Capricorn","Aquarius","Pisces"},0),12)+1),12)+1)="FULL",NOT(CALC_PlanetPositions!$B$11=CALC_D10_Dashamsha!$G$9)),AND(OR(CALC_PlanetPositions!$M$12="Benefic",CALC_PlanetPositions!$M$12="Yogakaraka"),INDEX(REF_Aspects!$D$5:$O$13,6,MOD(CALC_D10_Dashamsha!$H$9-(MOD(MATCH(CALC_PlanetPositions!$B$12,{"Aries","Taurus","Gemini","Cancer","Leo","Virgo","Libra","Scorpio","Sagittarius","Capricorn","Aquarius","Pisces"},0)-MATCH(INPUT_Chart!$C$5,{"Aries","Taurus","Gemini","Cancer","Leo","Virgo","Libra","Scorpio","Sagittarius","Capricorn","Aquarius","Pisces"},0),12)+1),12)+1)="FULL",NOT(CALC_PlanetPositions!$B$12=CALC_D10_Dashamsha!$G$9)),AND(OR(CALC_PlanetPositions!$M$13="Benefic",CALC_PlanetPositions!$M$13="Yogakaraka"),INDEX(REF_Aspects!$D$5:$O$13,7,MOD(CALC_D10_Dashamsha!$H$9-(MOD(MATCH(CALC_PlanetPositions!$B$13,{"Aries","Taurus","Gemini","Cancer","Leo","Virgo","Libra","Scorpio","Sagittarius","Capricorn","Aquarius","Pisces"},0)-MATCH(INPUT_Chart!$C$5,{"Aries","Taurus","Gemini","Cancer","Leo","Virgo","Libra","Scorpio","Sagittarius","Capricorn","Aquarius","Pisces"},0),12)+1),12)+1)="FULL",NOT(CALC_PlanetPositions!$B$13=CALC_D10_Dashamsha!$G$9)),AND(FALSE(),INDEX(REF_Aspects!$D$5:$O$13,8,MOD(CALC_D10_Dashamsha!$H$9-(MOD(MATCH(CALC_PlanetPositions!$B$14,{"Aries","Taurus","Gemini","Cancer","Leo","Virgo","Libra","Scorpio","Sagittarius","Capricorn","Aquarius","Pisces"},0)-MATCH(INPUT_Chart!$C$5,{"Aries","Taurus","Gemini","Cancer","Leo","Virgo","Libra","Scorpio","Sagittarius","Capricorn","Aquarius","Pisces"},0),12)+1),12)+1)="FULL",NOT(CALC_PlanetPositions!$B$14=CALC_D10_Dashamsha!$G$9)),AND(FALSE(),INDEX(REF_Aspects!$D$5:$O$13,9,MOD(CALC_D10_Dashamsha!$H$9-(MOD(MATCH(CALC_PlanetPositions!$B$15,{"Aries","Taurus","Gemini","Cancer","Leo","Virgo","Libra","Scorpio","Sagittarius","Capricorn","Aquarius","Pisces"},0)-MATCH(INPUT_Chart!$C$5,{"Aries","Taurus","Gemini","Cancer","Leo","Virgo","Libra","Scorpio","Sagittarius","Capricorn","Aquarius","Pisces"},0),12)+1),12)+1)="FULL",NOT(CALC_PlanetPositions!$B$15=CALC_D10_Dashamsha!$G$9))),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$9-2,12)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$9-2,12)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$9-2,12)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$9-2,12)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$9-2,12)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$9-2,12)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$9-2,12)+1)),AND(FALSE(),MOD(MATCH(CALC_PlanetPositions!$B$14,{"Aries","Taurus","Gemini","Cancer","Leo","Virgo","Libra","Scorpio","Sagittarius","Capricorn","Aquarius","Pisces"},0)-MATCH(INPUT_Chart!$C$5,{"Aries","Taurus","Gemini","Cancer","Leo","Virgo","Libra","Scorpio","Sagittarius","Capricorn","Aquarius","Pisces"},0),12)+1=(MOD(CALC_D10_Dashamsha!$H$9-2,12)+1)),AND(FALSE(),MOD(MATCH(CALC_PlanetPositions!$B$15,{"Aries","Taurus","Gemini","Cancer","Leo","Virgo","Libra","Scorpio","Sagittarius","Capricorn","Aquarius","Pisces"},0)-MATCH(INPUT_Chart!$C$5,{"Aries","Taurus","Gemini","Cancer","Leo","Virgo","Libra","Scorpio","Sagittarius","Capricorn","Aquarius","Pisces"},0),12)+1=(MOD(CALC_D10_Dashamsha!$H$9-2,12)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$9,12)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$9,12)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$9,12)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$9,12)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$9,12)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$9,12)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$9,12)+1)),AND(FALSE(),MOD(MATCH(CALC_PlanetPositions!$B$14,{"Aries","Taurus","Gemini","Cancer","Leo","Virgo","Libra","Scorpio","Sagittarius","Capricorn","Aquarius","Pisces"},0)-MATCH(INPUT_Chart!$C$5,{"Aries","Taurus","Gemini","Cancer","Leo","Virgo","Libra","Scorpio","Sagittarius","Capricorn","Aquarius","Pisces"},0),12)+1=(MOD(CALC_D10_Dashamsha!$H$9,12)+1)),AND(FALSE(),MOD(MATCH(CALC_PlanetPositions!$B$15,{"Aries","Taurus","Gemini","Cancer","Leo","Virgo","Libra","Scorpio","Sagittarius","Capricorn","Aquarius","Pisces"},0)-MATCH(INPUT_Chart!$C$5,{"Aries","Taurus","Gemini","Cancer","Leo","Virgo","Libra","Scorpio","Sagittarius","Capricorn","Aquarius","Pisces"},0),12)+1=(MOD(CALC_D10_Dashamsha!$H$9,12)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$9-(MOD(MATCH(CALC_PlanetPositions!$B$7,{"Aries","Taurus","Gemini","Cancer","Leo","Virgo","Libra","Scorpio","Sagittarius","Capricorn","Aquarius","Pisces"},0)-MATCH(INPUT_Chart!$C$5,{"Aries","Taurus","Gemini","Cancer","Leo","Virgo","Libra","Scorpio","Sagittarius","Capricorn","Aquarius","Pisces"},0),12)+1),12)+1)="FULL",NOT(CALC_PlanetPositions!$B$7=CALC_D10_Dashamsha!$G$9)),AND(CALC_PlanetPositions!$M$8="Malefic",INDEX(REF_Aspects!$D$5:$O$13,2,MOD(CALC_D10_Dashamsha!$H$9-(MOD(MATCH(CALC_PlanetPositions!$B$8,{"Aries","Taurus","Gemini","Cancer","Leo","Virgo","Libra","Scorpio","Sagittarius","Capricorn","Aquarius","Pisces"},0)-MATCH(INPUT_Chart!$C$5,{"Aries","Taurus","Gemini","Cancer","Leo","Virgo","Libra","Scorpio","Sagittarius","Capricorn","Aquarius","Pisces"},0),12)+1),12)+1)="FULL",NOT(CALC_PlanetPositions!$B$8=CALC_D10_Dashamsha!$G$9)),AND(CALC_PlanetPositions!$M$9="Malefic",INDEX(REF_Aspects!$D$5:$O$13,3,MOD(CALC_D10_Dashamsha!$H$9-(MOD(MATCH(CALC_PlanetPositions!$B$9,{"Aries","Taurus","Gemini","Cancer","Leo","Virgo","Libra","Scorpio","Sagittarius","Capricorn","Aquarius","Pisces"},0)-MATCH(INPUT_Chart!$C$5,{"Aries","Taurus","Gemini","Cancer","Leo","Virgo","Libra","Scorpio","Sagittarius","Capricorn","Aquarius","Pisces"},0),12)+1),12)+1)="FULL",NOT(CALC_PlanetPositions!$B$9=CALC_D10_Dashamsha!$G$9)),AND(CALC_PlanetPositions!$M$10="Malefic",INDEX(REF_Aspects!$D$5:$O$13,4,MOD(CALC_D10_Dashamsha!$H$9-(MOD(MATCH(CALC_PlanetPositions!$B$10,{"Aries","Taurus","Gemini","Cancer","Leo","Virgo","Libra","Scorpio","Sagittarius","Capricorn","Aquarius","Pisces"},0)-MATCH(INPUT_Chart!$C$5,{"Aries","Taurus","Gemini","Cancer","Leo","Virgo","Libra","Scorpio","Sagittarius","Capricorn","Aquarius","Pisces"},0),12)+1),12)+1)="FULL",NOT(CALC_PlanetPositions!$B$10=CALC_D10_Dashamsha!$G$9)),AND(CALC_PlanetPositions!$M$11="Malefic",INDEX(REF_Aspects!$D$5:$O$13,5,MOD(CALC_D10_Dashamsha!$H$9-(MOD(MATCH(CALC_PlanetPositions!$B$11,{"Aries","Taurus","Gemini","Cancer","Leo","Virgo","Libra","Scorpio","Sagittarius","Capricorn","Aquarius","Pisces"},0)-MATCH(INPUT_Chart!$C$5,{"Aries","Taurus","Gemini","Cancer","Leo","Virgo","Libra","Scorpio","Sagittarius","Capricorn","Aquarius","Pisces"},0),12)+1),12)+1)="FULL",NOT(CALC_PlanetPositions!$B$11=CALC_D10_Dashamsha!$G$9)),AND(CALC_PlanetPositions!$M$12="Malefic",INDEX(REF_Aspects!$D$5:$O$13,6,MOD(CALC_D10_Dashamsha!$H$9-(MOD(MATCH(CALC_PlanetPositions!$B$12,{"Aries","Taurus","Gemini","Cancer","Leo","Virgo","Libra","Scorpio","Sagittarius","Capricorn","Aquarius","Pisces"},0)-MATCH(INPUT_Chart!$C$5,{"Aries","Taurus","Gemini","Cancer","Leo","Virgo","Libra","Scorpio","Sagittarius","Capricorn","Aquarius","Pisces"},0),12)+1),12)+1)="FULL",NOT(CALC_PlanetPositions!$B$12=CALC_D10_Dashamsha!$G$9)),AND(CALC_PlanetPositions!$M$13="Malefic",INDEX(REF_Aspects!$D$5:$O$13,7,MOD(CALC_D10_Dashamsha!$H$9-(MOD(MATCH(CALC_PlanetPositions!$B$13,{"Aries","Taurus","Gemini","Cancer","Leo","Virgo","Libra","Scorpio","Sagittarius","Capricorn","Aquarius","Pisces"},0)-MATCH(INPUT_Chart!$C$5,{"Aries","Taurus","Gemini","Cancer","Leo","Virgo","Libra","Scorpio","Sagittarius","Capricorn","Aquarius","Pisces"},0),12)+1),12)+1)="FULL",NOT(CALC_PlanetPositions!$B$13=CALC_D10_Dashamsha!$G$9)),AND(TRUE(),INDEX(REF_Aspects!$D$5:$O$13,8,MOD(CALC_D10_Dashamsha!$H$9-(MOD(MATCH(CALC_PlanetPositions!$B$14,{"Aries","Taurus","Gemini","Cancer","Leo","Virgo","Libra","Scorpio","Sagittarius","Capricorn","Aquarius","Pisces"},0)-MATCH(INPUT_Chart!$C$5,{"Aries","Taurus","Gemini","Cancer","Leo","Virgo","Libra","Scorpio","Sagittarius","Capricorn","Aquarius","Pisces"},0),12)+1),12)+1)="FULL",NOT(CALC_PlanetPositions!$B$14=CALC_D10_Dashamsha!$G$9)),AND(TRUE(),INDEX(REF_Aspects!$D$5:$O$13,9,MOD(CALC_D10_Dashamsha!$H$9-(MOD(MATCH(CALC_PlanetPositions!$B$15,{"Aries","Taurus","Gemini","Cancer","Leo","Virgo","Libra","Scorpio","Sagittarius","Capricorn","Aquarius","Pisces"},0)-MATCH(INPUT_Chart!$C$5,{"Aries","Taurus","Gemini","Cancer","Leo","Virgo","Libra","Scorpio","Sagittarius","Capricorn","Aquarius","Pisces"},0),12)+1),12)+1)="FULL",NOT(CALC_PlanetPositions!$B$15=CALC_D10_Dashamsha!$G$9))),1,0),0))*-0.5,0)</f>
        <v>0</v>
      </c>
      <c r="D21" s="403" t="s">
        <v>4634</v>
      </c>
    </row>
    <row r="22" spans="1:7" ht="27.75" customHeight="1" x14ac:dyDescent="0.2">
      <c r="A22" s="121" t="s">
        <v>4635</v>
      </c>
      <c r="B22" s="357" t="s">
        <v>3042</v>
      </c>
      <c r="C22" s="1117">
        <f>IFERROR((IFERROR(IF(CALC_D10_Dashamsha!$K$9="Yes",1,0),0))*IF(REF_Config!$B$6="KP",-1.75,IF(REF_Config!$B$6="Jaimini",-2,-2)),0)</f>
        <v>0</v>
      </c>
      <c r="D22" s="400" t="s">
        <v>4636</v>
      </c>
    </row>
    <row r="23" spans="1:7" ht="27.75" customHeight="1" x14ac:dyDescent="0.2">
      <c r="A23" s="121" t="s">
        <v>4637</v>
      </c>
      <c r="B23" s="203" t="s">
        <v>3059</v>
      </c>
      <c r="C23" s="1118">
        <f ca="1">IFERROR((IFERROR(IF(OR(AND(CALC_D10_Dashamsha!$G$10=CALC_D10_Dashamsha!$G$9,CALC_D10_Dashamsha!$D$10&lt;&gt;CALC_D10_Dashamsha!$D$9),AND(CALC_D10_Dashamsha!$G$12=CALC_D10_Dashamsha!$G$9,CALC_D10_Dashamsha!$D$12&lt;&gt;CALC_D10_Dashamsha!$D$9),AND(CALC_D10_Dashamsha!$G$16=CALC_D10_Dashamsha!$G$9,CALC_D10_Dashamsha!$D$16&lt;&gt;CALC_D10_Dashamsha!$D$9)),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IFERROR(IF(OR(CALC_D10_Dashamsha!$D$9="Sun",CALC_D10_Dashamsha!$D$9="Rahu",CALC_D10_Dashamsha!$D$9="Ketu"),0,IF(CALC_D10_Dashamsha!$D$9="Moon",IF(CALC_CombustionCheck!$G$4="Cazimi ✓",0.5,IF(CALC_CombustionCheck!$F$4="COMBUST ⚠",-1,0)),IF(CALC_D10_Dashamsha!$D$9="Mars",IF(CALC_CombustionCheck!$G$5="Cazimi ✓",0.5,IF(AND(CALC_CombustionCheck!$F$5="COMBUST ⚠",CALC_RetrogradeFix!$F$6="Rx ✓"),-0.5,IF(CALC_CombustionCheck!$F$5="COMBUST ⚠",-1,0))),IF(CALC_D10_Dashamsha!$D$9="Mercury",IF(CALC_CombustionCheck!$G$6="Cazimi ✓",0.5,IF(AND(CALC_CombustionCheck!$F$6="COMBUST ⚠",CALC_RetrogradeFix!$F$7="Rx ✓"),-0.5,IF(CALC_CombustionCheck!$F$6="COMBUST ⚠",-1,0))),IF(CALC_D10_Dashamsha!$D$9="Jupiter",IF(CALC_CombustionCheck!$G$7="Cazimi ✓",0.5,IF(AND(CALC_CombustionCheck!$F$7="COMBUST ⚠",CALC_RetrogradeFix!$F$8="Rx ✓"),-0.5,IF(CALC_CombustionCheck!$F$7="COMBUST ⚠",-1,0))),IF(CALC_D10_Dashamsha!$D$9="Venus",IF(CALC_CombustionCheck!$G$8="Cazimi ✓",0.5,IF(AND(CALC_CombustionCheck!$F$8="COMBUST ⚠",CALC_RetrogradeFix!$F$9="Rx ✓"),-0.5,IF(CALC_CombustionCheck!$F$8="COMBUST ⚠",-1,0))),IF(CALC_D10_Dashamsha!$D$9="Saturn",IF(CALC_CombustionCheck!$G$9="Cazimi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10_Dashamsha!$D$9="Rahu",CALC_D10_Dashamsha!$D$9="Ketu"),0,IF(ISNUMBER(MATCH(CALC_D10_Dashamsha!$D$9,{"Sun","Moon","Mars","Mercury","Jupiter","Venus","Saturn"},0)),IF(INDEX(CALC_DigBala!$F$4:$F$10,MATCH(CALC_D10_Dashamsha!$D$9,{"Sun","Moon","Mars","Mercury","Jupiter","Venus","Saturn"},0))="Yes",0.5,0),0)),0)</f>
        <v>0</v>
      </c>
      <c r="D28" s="400" t="s">
        <v>4647</v>
      </c>
    </row>
    <row r="29" spans="1:7" ht="27.75" customHeight="1" x14ac:dyDescent="0.2">
      <c r="A29" s="1120" t="s">
        <v>4648</v>
      </c>
      <c r="B29" s="296" t="s">
        <v>3372</v>
      </c>
      <c r="C29" s="1117">
        <f ca="1">IFERROR(IF(COUNTIFS(REF_PushkaraNavamsha!$A$4:$A$27,CALC_D10_Dashamsha!$G$9,REF_PushkaraNavamsha!$B$4:$B$27,INDEX(CALC_PlanetPositions!$G$7:$G$15,MATCH(CALC_D10_Dashamsha!$D$9,CALC_PlanetPositions!$A$7:$A$15,0)))&gt;0,0.5,0),0)</f>
        <v>0</v>
      </c>
      <c r="D29" s="400" t="s">
        <v>4649</v>
      </c>
    </row>
    <row r="30" spans="1:7" ht="25.5" customHeight="1" x14ac:dyDescent="0.2">
      <c r="A30" s="147" t="s">
        <v>4650</v>
      </c>
      <c r="B30" s="1121" t="s">
        <v>4651</v>
      </c>
      <c r="C30" s="1122">
        <f>IFERROR(IF(ISNUMBER(MATCH(CALC_D10_Dashamsha!$D$9,{"Sun","Moon","Mars","Mercury","Jupiter","Venus","Saturn"},0)),INDEX(CALC_RetrogradeFix!$G$4:$G$10,MATCH(CALC_D10_Dashamsha!$D$9,{"Sun","Moon","Mars","Mercury","Jupiter","Venus","Saturn"},0)),0),0)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v>
      </c>
      <c r="D37" s="1129"/>
    </row>
    <row r="38" spans="1:4" ht="21.75" customHeight="1" x14ac:dyDescent="0.2">
      <c r="A38" s="89" t="s">
        <v>4661</v>
      </c>
      <c r="B38" s="1129"/>
      <c r="C38" s="1131">
        <f ca="1">IFERROR(MAX(-10,MIN(10,C37)),0)</f>
        <v>-2</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-2</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4749</v>
      </c>
      <c r="B1" s="1518"/>
      <c r="C1" s="1518"/>
      <c r="D1" s="1518"/>
      <c r="L1" s="544" t="s">
        <v>2214</v>
      </c>
    </row>
    <row r="2" spans="1:12" ht="19.5" customHeight="1" x14ac:dyDescent="0.2">
      <c r="A2" s="1595" t="str">
        <f>IFERROR("D10 Lagna: "&amp;CALC_D10_Dashamsha!$C$5&amp;"  ·  H6 — Conflicts","← Enter chart")</f>
        <v>D10 Lagna: Aries  ·  H6 — Conflicts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IFERROR((IFERROR(IF(INDEX(REF_Zodiac!$D$17:$O$17,MATCH(CALC_D10_Dashamsha!$C$10,REF_Zodiac!$D$3:$O$3,0))="Gentle",1,0),0))*0.5,0)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IFERROR(IF(AND(OR(CALC_D10_Dashamsha!$I$10="Yes",CALC_D10_Dashamsha!$J$10="Yes"),NOT(CALC_D10_Dashamsha!$K$10="Yes")),1,0)*IF(REF_Config!$B$6="KP",1.5,IF(REF_Config!$B$6="Jaimini",1.5,2)),0)</f>
        <v>0</v>
      </c>
      <c r="D9" s="403" t="s">
        <v>4612</v>
      </c>
    </row>
    <row r="10" spans="1:12" ht="27.75" customHeight="1" x14ac:dyDescent="0.2">
      <c r="A10" s="121" t="s">
        <v>4613</v>
      </c>
      <c r="B10" s="357" t="s">
        <v>3093</v>
      </c>
      <c r="C10" s="1117">
        <f ca="1">IFERROR((IFERROR(IF(OR(AND(CALC_D10_Dashamsha!$G$10=CALC_D10_Dashamsha!$G$10,CALC_D10_Dashamsha!$D$10&lt;&gt;CALC_D10_Dashamsha!$D$10),AND(CALC_D10_Dashamsha!$G$8=CALC_D10_Dashamsha!$G$10,CALC_D10_Dashamsha!$D$8&lt;&gt;CALC_D10_Dashamsha!$D$10),AND(CALC_D10_Dashamsha!$G$9=CALC_D10_Dashamsha!$G$10,CALC_D10_Dashamsha!$D$9&lt;&gt;CALC_D10_Dashamsha!$D$10),AND(CALC_D10_Dashamsha!$G$11=CALC_D10_Dashamsha!$G$10,CALC_D10_Dashamsha!$D$11&lt;&gt;CALC_D10_Dashamsha!$D$10),AND(CALC_D10_Dashamsha!$G$13=CALC_D10_Dashamsha!$G$10,CALC_D10_Dashamsha!$D$13&lt;&gt;CALC_D10_Dashamsha!$D$10),AND(CALC_D10_Dashamsha!$G$14=CALC_D10_Dashamsha!$G$10,CALC_D10_Dashamsha!$D$14&lt;&gt;CALC_D10_Dashamsha!$D$10)),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$10,CALC_D10_Dashamsha!$D$10&lt;&gt;"Sun"),AND(OR(CALC_PlanetPositions!$M$8="Benefic",CALC_PlanetPositions!$M$8="Yogakaraka"),CALC_PlanetPositions!$B$8=CALC_D10_Dashamsha!$G$10,CALC_D10_Dashamsha!$D$10&lt;&gt;"Moon"),AND(OR(CALC_PlanetPositions!$M$9="Benefic",CALC_PlanetPositions!$M$9="Yogakaraka"),CALC_PlanetPositions!$B$9=CALC_D10_Dashamsha!$G$10,CALC_D10_Dashamsha!$D$10&lt;&gt;"Mars"),AND(OR(CALC_PlanetPositions!$M$10="Benefic",CALC_PlanetPositions!$M$10="Yogakaraka"),CALC_PlanetPositions!$B$10=CALC_D10_Dashamsha!$G$10,CALC_D10_Dashamsha!$D$10&lt;&gt;"Mercury"),AND(OR(CALC_PlanetPositions!$M$11="Benefic",CALC_PlanetPositions!$M$11="Yogakaraka"),CALC_PlanetPositions!$B$11=CALC_D10_Dashamsha!$G$10,CALC_D10_Dashamsha!$D$10&lt;&gt;"Jupiter"),AND(OR(CALC_PlanetPositions!$M$12="Benefic",CALC_PlanetPositions!$M$12="Yogakaraka"),CALC_PlanetPositions!$B$12=CALC_D10_Dashamsha!$G$10,CALC_D10_Dashamsha!$D$10&lt;&gt;"Venus"),AND(OR(CALC_PlanetPositions!$M$13="Benefic",CALC_PlanetPositions!$M$13="Yogakaraka"),CALC_PlanetPositions!$B$13=CALC_D10_Dashamsha!$G$10,CALC_D10_Dashamsha!$D$10&lt;&gt;"Saturn")),1,0),0))*IF(OR(AND(CALC_PlanetPositions!$M$7="Yogakaraka",CALC_PlanetPositions!$B$7=CALC_D10_Dashamsha!$G$10,CALC_D10_Dashamsha!$D$10&lt;&gt;"Sun"),AND(CALC_PlanetPositions!$M$8="Yogakaraka",CALC_PlanetPositions!$B$8=CALC_D10_Dashamsha!$G$10,CALC_D10_Dashamsha!$D$10&lt;&gt;"Moon"),AND(CALC_PlanetPositions!$M$9="Yogakaraka",CALC_PlanetPositions!$B$9=CALC_D10_Dashamsha!$G$10,CALC_D10_Dashamsha!$D$10&lt;&gt;"Mars"),AND(CALC_PlanetPositions!$M$10="Yogakaraka",CALC_PlanetPositions!$B$10=CALC_D10_Dashamsha!$G$10,CALC_D10_Dashamsha!$D$10&lt;&gt;"Mercury"),AND(CALC_PlanetPositions!$M$11="Yogakaraka",CALC_PlanetPositions!$B$11=CALC_D10_Dashamsha!$G$10,CALC_D10_Dashamsha!$D$10&lt;&gt;"Jupiter"),AND(CALC_PlanetPositions!$M$12="Yogakaraka",CALC_PlanetPositions!$B$12=CALC_D10_Dashamsha!$G$10,CALC_D10_Dashamsha!$D$10&lt;&gt;"Venus"),AND(CALC_PlanetPositions!$M$13="Yogakaraka",CALC_PlanetPositions!$B$13=CALC_D10_Dashamsha!$G$10,CALC_D10_Dashamsha!$D$10&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$10-(MOD(MATCH(CALC_PlanetPositions!$B$7,{"Aries","Taurus","Gemini","Cancer","Leo","Virgo","Libra","Scorpio","Sagittarius","Capricorn","Aquarius","Pisces"},0)-MATCH(INPUT_Chart!$C$5,{"Aries","Taurus","Gemini","Cancer","Leo","Virgo","Libra","Scorpio","Sagittarius","Capricorn","Aquarius","Pisces"},0),12)+1),12)+1)="FULL",NOT(CALC_PlanetPositions!$B$7=CALC_D10_Dashamsha!$G$10)),AND(OR(CALC_PlanetPositions!$M$8="Benefic",CALC_PlanetPositions!$M$8="Yogakaraka"),INDEX(REF_Aspects!$D$5:$O$13,2,MOD(CALC_D10_Dashamsha!$H$10-(MOD(MATCH(CALC_PlanetPositions!$B$8,{"Aries","Taurus","Gemini","Cancer","Leo","Virgo","Libra","Scorpio","Sagittarius","Capricorn","Aquarius","Pisces"},0)-MATCH(INPUT_Chart!$C$5,{"Aries","Taurus","Gemini","Cancer","Leo","Virgo","Libra","Scorpio","Sagittarius","Capricorn","Aquarius","Pisces"},0),12)+1),12)+1)="FULL",NOT(CALC_PlanetPositions!$B$8=CALC_D10_Dashamsha!$G$10)),AND(OR(CALC_PlanetPositions!$M$9="Benefic",CALC_PlanetPositions!$M$9="Yogakaraka"),INDEX(REF_Aspects!$D$5:$O$13,3,MOD(CALC_D10_Dashamsha!$H$10-(MOD(MATCH(CALC_PlanetPositions!$B$9,{"Aries","Taurus","Gemini","Cancer","Leo","Virgo","Libra","Scorpio","Sagittarius","Capricorn","Aquarius","Pisces"},0)-MATCH(INPUT_Chart!$C$5,{"Aries","Taurus","Gemini","Cancer","Leo","Virgo","Libra","Scorpio","Sagittarius","Capricorn","Aquarius","Pisces"},0),12)+1),12)+1)="FULL",NOT(CALC_PlanetPositions!$B$9=CALC_D10_Dashamsha!$G$10)),AND(OR(CALC_PlanetPositions!$M$10="Benefic",CALC_PlanetPositions!$M$10="Yogakaraka"),INDEX(REF_Aspects!$D$5:$O$13,4,MOD(CALC_D10_Dashamsha!$H$10-(MOD(MATCH(CALC_PlanetPositions!$B$10,{"Aries","Taurus","Gemini","Cancer","Leo","Virgo","Libra","Scorpio","Sagittarius","Capricorn","Aquarius","Pisces"},0)-MATCH(INPUT_Chart!$C$5,{"Aries","Taurus","Gemini","Cancer","Leo","Virgo","Libra","Scorpio","Sagittarius","Capricorn","Aquarius","Pisces"},0),12)+1),12)+1)="FULL",NOT(CALC_PlanetPositions!$B$10=CALC_D10_Dashamsha!$G$10)),AND(OR(CALC_PlanetPositions!$M$11="Benefic",CALC_PlanetPositions!$M$11="Yogakaraka"),INDEX(REF_Aspects!$D$5:$O$13,5,MOD(CALC_D10_Dashamsha!$H$10-(MOD(MATCH(CALC_PlanetPositions!$B$11,{"Aries","Taurus","Gemini","Cancer","Leo","Virgo","Libra","Scorpio","Sagittarius","Capricorn","Aquarius","Pisces"},0)-MATCH(INPUT_Chart!$C$5,{"Aries","Taurus","Gemini","Cancer","Leo","Virgo","Libra","Scorpio","Sagittarius","Capricorn","Aquarius","Pisces"},0),12)+1),12)+1)="FULL",NOT(CALC_PlanetPositions!$B$11=CALC_D10_Dashamsha!$G$10)),AND(OR(CALC_PlanetPositions!$M$12="Benefic",CALC_PlanetPositions!$M$12="Yogakaraka"),INDEX(REF_Aspects!$D$5:$O$13,6,MOD(CALC_D10_Dashamsha!$H$10-(MOD(MATCH(CALC_PlanetPositions!$B$12,{"Aries","Taurus","Gemini","Cancer","Leo","Virgo","Libra","Scorpio","Sagittarius","Capricorn","Aquarius","Pisces"},0)-MATCH(INPUT_Chart!$C$5,{"Aries","Taurus","Gemini","Cancer","Leo","Virgo","Libra","Scorpio","Sagittarius","Capricorn","Aquarius","Pisces"},0),12)+1),12)+1)="FULL",NOT(CALC_PlanetPositions!$B$12=CALC_D10_Dashamsha!$G$10)),AND(OR(CALC_PlanetPositions!$M$13="Benefic",CALC_PlanetPositions!$M$13="Yogakaraka"),INDEX(REF_Aspects!$D$5:$O$13,7,MOD(CALC_D10_Dashamsha!$H$10-(MOD(MATCH(CALC_PlanetPositions!$B$13,{"Aries","Taurus","Gemini","Cancer","Leo","Virgo","Libra","Scorpio","Sagittarius","Capricorn","Aquarius","Pisces"},0)-MATCH(INPUT_Chart!$C$5,{"Aries","Taurus","Gemini","Cancer","Leo","Virgo","Libra","Scorpio","Sagittarius","Capricorn","Aquarius","Pisces"},0),12)+1),12)+1)="FULL",NOT(CALC_PlanetPositions!$B$13=CALC_D10_Dashamsha!$G$10)),AND(FALSE(),INDEX(REF_Aspects!$D$5:$O$13,8,MOD(CALC_D10_Dashamsha!$H$10-(MOD(MATCH(CALC_PlanetPositions!$B$14,{"Aries","Taurus","Gemini","Cancer","Leo","Virgo","Libra","Scorpio","Sagittarius","Capricorn","Aquarius","Pisces"},0)-MATCH(INPUT_Chart!$C$5,{"Aries","Taurus","Gemini","Cancer","Leo","Virgo","Libra","Scorpio","Sagittarius","Capricorn","Aquarius","Pisces"},0),12)+1),12)+1)="FULL",NOT(CALC_PlanetPositions!$B$14=CALC_D10_Dashamsha!$G$10)),AND(FALSE(),INDEX(REF_Aspects!$D$5:$O$13,9,MOD(CALC_D10_Dashamsha!$H$10-(MOD(MATCH(CALC_PlanetPositions!$B$15,{"Aries","Taurus","Gemini","Cancer","Leo","Virgo","Libra","Scorpio","Sagittarius","Capricorn","Aquarius","Pisces"},0)-MATCH(INPUT_Chart!$C$5,{"Aries","Taurus","Gemini","Cancer","Leo","Virgo","Libra","Scorpio","Sagittarius","Capricorn","Aquarius","Pisces"},0),12)+1),12)+1)="FULL",NOT(CALC_PlanetPositions!$B$15=CALC_D10_Dashamsha!$G$10))),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$10-2,12)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$10-2,12)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$10-2,12)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$10-2,12)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$10-2,12)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$10-2,12)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$10-2,12)+1)),AND(FALSE(),MOD(MATCH(CALC_PlanetPositions!$B$14,{"Aries","Taurus","Gemini","Cancer","Leo","Virgo","Libra","Scorpio","Sagittarius","Capricorn","Aquarius","Pisces"},0)-MATCH(INPUT_Chart!$C$5,{"Aries","Taurus","Gemini","Cancer","Leo","Virgo","Libra","Scorpio","Sagittarius","Capricorn","Aquarius","Pisces"},0),12)+1=(MOD(CALC_D10_Dashamsha!$H$10-2,12)+1)),AND(FALSE(),MOD(MATCH(CALC_PlanetPositions!$B$15,{"Aries","Taurus","Gemini","Cancer","Leo","Virgo","Libra","Scorpio","Sagittarius","Capricorn","Aquarius","Pisces"},0)-MATCH(INPUT_Chart!$C$5,{"Aries","Taurus","Gemini","Cancer","Leo","Virgo","Libra","Scorpio","Sagittarius","Capricorn","Aquarius","Pisces"},0),12)+1=(MOD(CALC_D10_Dashamsha!$H$10-2,12)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$10,12)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$10,12)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$10,12)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$10,12)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$10,12)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$10,12)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$10,12)+1)),AND(FALSE(),MOD(MATCH(CALC_PlanetPositions!$B$14,{"Aries","Taurus","Gemini","Cancer","Leo","Virgo","Libra","Scorpio","Sagittarius","Capricorn","Aquarius","Pisces"},0)-MATCH(INPUT_Chart!$C$5,{"Aries","Taurus","Gemini","Cancer","Leo","Virgo","Libra","Scorpio","Sagittarius","Capricorn","Aquarius","Pisces"},0),12)+1=(MOD(CALC_D10_Dashamsha!$H$10,12)+1)),AND(FALSE(),MOD(MATCH(CALC_PlanetPositions!$B$15,{"Aries","Taurus","Gemini","Cancer","Leo","Virgo","Libra","Scorpio","Sagittarius","Capricorn","Aquarius","Pisces"},0)-MATCH(INPUT_Chart!$C$5,{"Aries","Taurus","Gemini","Cancer","Leo","Virgo","Libra","Scorpio","Sagittarius","Capricorn","Aquarius","Pisces"},0),12)+1=(MOD(CALC_D10_Dashamsha!$H$10,12)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$10-(MOD(MATCH(CALC_PlanetPositions!$B$7,{"Aries","Taurus","Gemini","Cancer","Leo","Virgo","Libra","Scorpio","Sagittarius","Capricorn","Aquarius","Pisces"},0)-MATCH(INPUT_Chart!$C$5,{"Aries","Taurus","Gemini","Cancer","Leo","Virgo","Libra","Scorpio","Sagittarius","Capricorn","Aquarius","Pisces"},0),12)+1),12)+1)="FULL",NOT(CALC_PlanetPositions!$B$7=CALC_D10_Dashamsha!$G$10)),AND(CALC_PlanetPositions!$M$8="Malefic",INDEX(REF_Aspects!$D$5:$O$13,2,MOD(CALC_D10_Dashamsha!$H$10-(MOD(MATCH(CALC_PlanetPositions!$B$8,{"Aries","Taurus","Gemini","Cancer","Leo","Virgo","Libra","Scorpio","Sagittarius","Capricorn","Aquarius","Pisces"},0)-MATCH(INPUT_Chart!$C$5,{"Aries","Taurus","Gemini","Cancer","Leo","Virgo","Libra","Scorpio","Sagittarius","Capricorn","Aquarius","Pisces"},0),12)+1),12)+1)="FULL",NOT(CALC_PlanetPositions!$B$8=CALC_D10_Dashamsha!$G$10)),AND(CALC_PlanetPositions!$M$9="Malefic",INDEX(REF_Aspects!$D$5:$O$13,3,MOD(CALC_D10_Dashamsha!$H$10-(MOD(MATCH(CALC_PlanetPositions!$B$9,{"Aries","Taurus","Gemini","Cancer","Leo","Virgo","Libra","Scorpio","Sagittarius","Capricorn","Aquarius","Pisces"},0)-MATCH(INPUT_Chart!$C$5,{"Aries","Taurus","Gemini","Cancer","Leo","Virgo","Libra","Scorpio","Sagittarius","Capricorn","Aquarius","Pisces"},0),12)+1),12)+1)="FULL",NOT(CALC_PlanetPositions!$B$9=CALC_D10_Dashamsha!$G$10)),AND(CALC_PlanetPositions!$M$10="Malefic",INDEX(REF_Aspects!$D$5:$O$13,4,MOD(CALC_D10_Dashamsha!$H$10-(MOD(MATCH(CALC_PlanetPositions!$B$10,{"Aries","Taurus","Gemini","Cancer","Leo","Virgo","Libra","Scorpio","Sagittarius","Capricorn","Aquarius","Pisces"},0)-MATCH(INPUT_Chart!$C$5,{"Aries","Taurus","Gemini","Cancer","Leo","Virgo","Libra","Scorpio","Sagittarius","Capricorn","Aquarius","Pisces"},0),12)+1),12)+1)="FULL",NOT(CALC_PlanetPositions!$B$10=CALC_D10_Dashamsha!$G$10)),AND(CALC_PlanetPositions!$M$11="Malefic",INDEX(REF_Aspects!$D$5:$O$13,5,MOD(CALC_D10_Dashamsha!$H$10-(MOD(MATCH(CALC_PlanetPositions!$B$11,{"Aries","Taurus","Gemini","Cancer","Leo","Virgo","Libra","Scorpio","Sagittarius","Capricorn","Aquarius","Pisces"},0)-MATCH(INPUT_Chart!$C$5,{"Aries","Taurus","Gemini","Cancer","Leo","Virgo","Libra","Scorpio","Sagittarius","Capricorn","Aquarius","Pisces"},0),12)+1),12)+1)="FULL",NOT(CALC_PlanetPositions!$B$11=CALC_D10_Dashamsha!$G$10)),AND(CALC_PlanetPositions!$M$12="Malefic",INDEX(REF_Aspects!$D$5:$O$13,6,MOD(CALC_D10_Dashamsha!$H$10-(MOD(MATCH(CALC_PlanetPositions!$B$12,{"Aries","Taurus","Gemini","Cancer","Leo","Virgo","Libra","Scorpio","Sagittarius","Capricorn","Aquarius","Pisces"},0)-MATCH(INPUT_Chart!$C$5,{"Aries","Taurus","Gemini","Cancer","Leo","Virgo","Libra","Scorpio","Sagittarius","Capricorn","Aquarius","Pisces"},0),12)+1),12)+1)="FULL",NOT(CALC_PlanetPositions!$B$12=CALC_D10_Dashamsha!$G$10)),AND(CALC_PlanetPositions!$M$13="Malefic",INDEX(REF_Aspects!$D$5:$O$13,7,MOD(CALC_D10_Dashamsha!$H$10-(MOD(MATCH(CALC_PlanetPositions!$B$13,{"Aries","Taurus","Gemini","Cancer","Leo","Virgo","Libra","Scorpio","Sagittarius","Capricorn","Aquarius","Pisces"},0)-MATCH(INPUT_Chart!$C$5,{"Aries","Taurus","Gemini","Cancer","Leo","Virgo","Libra","Scorpio","Sagittarius","Capricorn","Aquarius","Pisces"},0),12)+1),12)+1)="FULL",NOT(CALC_PlanetPositions!$B$13=CALC_D10_Dashamsha!$G$10)),AND(TRUE(),INDEX(REF_Aspects!$D$5:$O$13,8,MOD(CALC_D10_Dashamsha!$H$10-(MOD(MATCH(CALC_PlanetPositions!$B$14,{"Aries","Taurus","Gemini","Cancer","Leo","Virgo","Libra","Scorpio","Sagittarius","Capricorn","Aquarius","Pisces"},0)-MATCH(INPUT_Chart!$C$5,{"Aries","Taurus","Gemini","Cancer","Leo","Virgo","Libra","Scorpio","Sagittarius","Capricorn","Aquarius","Pisces"},0),12)+1),12)+1)="FULL",NOT(CALC_PlanetPositions!$B$14=CALC_D10_Dashamsha!$G$10)),AND(TRUE(),INDEX(REF_Aspects!$D$5:$O$13,9,MOD(CALC_D10_Dashamsha!$H$10-(MOD(MATCH(CALC_PlanetPositions!$B$15,{"Aries","Taurus","Gemini","Cancer","Leo","Virgo","Libra","Scorpio","Sagittarius","Capricorn","Aquarius","Pisces"},0)-MATCH(INPUT_Chart!$C$5,{"Aries","Taurus","Gemini","Cancer","Leo","Virgo","Libra","Scorpio","Sagittarius","Capricorn","Aquarius","Pisces"},0),12)+1),12)+1)="FULL",NOT(CALC_PlanetPositions!$B$15=CALC_D10_Dashamsha!$G$10))),1,0),0))*-0.5,0)</f>
        <v>0</v>
      </c>
      <c r="D21" s="403" t="s">
        <v>4634</v>
      </c>
    </row>
    <row r="22" spans="1:7" ht="27.75" customHeight="1" x14ac:dyDescent="0.2">
      <c r="A22" s="121" t="s">
        <v>4635</v>
      </c>
      <c r="B22" s="357" t="s">
        <v>3042</v>
      </c>
      <c r="C22" s="1117">
        <f>IFERROR((IFERROR(IF(CALC_D10_Dashamsha!$K$10="Yes",1,0),0))*IF(REF_Config!$B$6="KP",-1.75,IF(REF_Config!$B$6="Jaimini",-2,-2)),0)</f>
        <v>0</v>
      </c>
      <c r="D22" s="400" t="s">
        <v>4636</v>
      </c>
    </row>
    <row r="23" spans="1:7" ht="27.75" customHeight="1" x14ac:dyDescent="0.2">
      <c r="A23" s="121" t="s">
        <v>4637</v>
      </c>
      <c r="B23" s="203" t="s">
        <v>3059</v>
      </c>
      <c r="C23" s="1118">
        <f ca="1">IFERROR((IFERROR(IF(OR(AND(CALC_D10_Dashamsha!$G$10=CALC_D10_Dashamsha!$G$10,CALC_D10_Dashamsha!$D$10&lt;&gt;CALC_D10_Dashamsha!$D$10),AND(CALC_D10_Dashamsha!$G$12=CALC_D10_Dashamsha!$G$10,CALC_D10_Dashamsha!$D$12&lt;&gt;CALC_D10_Dashamsha!$D$10),AND(CALC_D10_Dashamsha!$G$16=CALC_D10_Dashamsha!$G$10,CALC_D10_Dashamsha!$D$16&lt;&gt;CALC_D10_Dashamsha!$D$10)),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IFERROR(IF(OR(CALC_D10_Dashamsha!$D$10="Sun",CALC_D10_Dashamsha!$D$10="Rahu",CALC_D10_Dashamsha!$D$10="Ketu"),0,IF(CALC_D10_Dashamsha!$D$10="Moon",IF(CALC_CombustionCheck!$G$4="Cazimi ✓",0.5,IF(CALC_CombustionCheck!$F$4="COMBUST ⚠",-1,0)),IF(CALC_D10_Dashamsha!$D$10="Mars",IF(CALC_CombustionCheck!$G$5="Cazimi ✓",0.5,IF(AND(CALC_CombustionCheck!$F$5="COMBUST ⚠",CALC_RetrogradeFix!$F$6="Rx ✓"),-0.5,IF(CALC_CombustionCheck!$F$5="COMBUST ⚠",-1,0))),IF(CALC_D10_Dashamsha!$D$10="Mercury",IF(CALC_CombustionCheck!$G$6="Cazimi ✓",0.5,IF(AND(CALC_CombustionCheck!$F$6="COMBUST ⚠",CALC_RetrogradeFix!$F$7="Rx ✓"),-0.5,IF(CALC_CombustionCheck!$F$6="COMBUST ⚠",-1,0))),IF(CALC_D10_Dashamsha!$D$10="Jupiter",IF(CALC_CombustionCheck!$G$7="Cazimi ✓",0.5,IF(AND(CALC_CombustionCheck!$F$7="COMBUST ⚠",CALC_RetrogradeFix!$F$8="Rx ✓"),-0.5,IF(CALC_CombustionCheck!$F$7="COMBUST ⚠",-1,0))),IF(CALC_D10_Dashamsha!$D$10="Venus",IF(CALC_CombustionCheck!$G$8="Cazimi ✓",0.5,IF(AND(CALC_CombustionCheck!$F$8="COMBUST ⚠",CALC_RetrogradeFix!$F$9="Rx ✓"),-0.5,IF(CALC_CombustionCheck!$F$8="COMBUST ⚠",-1,0))),IF(CALC_D10_Dashamsha!$D$10="Saturn",IF(CALC_CombustionCheck!$G$9="Cazimi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10_Dashamsha!$D$10="Rahu",CALC_D10_Dashamsha!$D$10="Ketu"),0,IF(ISNUMBER(MATCH(CALC_D10_Dashamsha!$D$10,{"Sun","Moon","Mars","Mercury","Jupiter","Venus","Saturn"},0)),IF(INDEX(CALC_DigBala!$F$4:$F$10,MATCH(CALC_D10_Dashamsha!$D$10,{"Sun","Moon","Mars","Mercury","Jupiter","Venus","Saturn"},0))="Yes",0.5,0),0)),0)</f>
        <v>0</v>
      </c>
      <c r="D28" s="400" t="s">
        <v>4647</v>
      </c>
    </row>
    <row r="29" spans="1:7" ht="27.75" customHeight="1" x14ac:dyDescent="0.2">
      <c r="A29" s="1120" t="s">
        <v>4648</v>
      </c>
      <c r="B29" s="296" t="s">
        <v>3372</v>
      </c>
      <c r="C29" s="1117">
        <f ca="1">IFERROR(IF(COUNTIFS(REF_PushkaraNavamsha!$A$4:$A$27,CALC_D10_Dashamsha!$G$10,REF_PushkaraNavamsha!$B$4:$B$27,INDEX(CALC_PlanetPositions!$G$7:$G$15,MATCH(CALC_D10_Dashamsha!$D$10,CALC_PlanetPositions!$A$7:$A$15,0)))&gt;0,0.5,0),0)</f>
        <v>0</v>
      </c>
      <c r="D29" s="400" t="s">
        <v>4649</v>
      </c>
    </row>
    <row r="30" spans="1:7" ht="25.5" customHeight="1" x14ac:dyDescent="0.2">
      <c r="A30" s="147" t="s">
        <v>4650</v>
      </c>
      <c r="B30" s="1121" t="s">
        <v>4651</v>
      </c>
      <c r="C30" s="1122">
        <f>IFERROR(IF(ISNUMBER(MATCH(CALC_D10_Dashamsha!$D$10,{"Sun","Moon","Mars","Mercury","Jupiter","Venus","Saturn"},0)),INDEX(CALC_RetrogradeFix!$G$4:$G$10,MATCH(CALC_D10_Dashamsha!$D$10,{"Sun","Moon","Mars","Mercury","Jupiter","Venus","Saturn"},0)),0),0)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4750</v>
      </c>
      <c r="B1" s="1518"/>
      <c r="C1" s="1518"/>
      <c r="D1" s="1518"/>
      <c r="L1" s="544" t="s">
        <v>2214</v>
      </c>
    </row>
    <row r="2" spans="1:12" ht="19.5" customHeight="1" x14ac:dyDescent="0.2">
      <c r="A2" s="1595" t="str">
        <f>IFERROR("D10 Lagna: "&amp;CALC_D10_Dashamsha!$C$5&amp;"  ·  H7 — Partnerships","← Enter chart")</f>
        <v>D10 Lagna: Aries  ·  H7 — Partnerships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IFERROR((IFERROR(IF(INDEX(REF_Zodiac!$D$17:$O$17,MATCH(CALC_D10_Dashamsha!$C$11,REF_Zodiac!$D$3:$O$3,0))="Gentle",1,0),0))*0.5,0)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IFERROR(IF(AND(OR(CALC_D10_Dashamsha!$I$11="Yes",CALC_D10_Dashamsha!$J$11="Yes"),NOT(CALC_D10_Dashamsha!$K$11="Yes")),1,0)*IF(REF_Config!$B$6="KP",1.5,IF(REF_Config!$B$6="Jaimini",1.5,2)),0)</f>
        <v>0</v>
      </c>
      <c r="D9" s="403" t="s">
        <v>4612</v>
      </c>
    </row>
    <row r="10" spans="1:12" ht="27.75" customHeight="1" x14ac:dyDescent="0.2">
      <c r="A10" s="121" t="s">
        <v>4613</v>
      </c>
      <c r="B10" s="357" t="s">
        <v>3093</v>
      </c>
      <c r="C10" s="1117">
        <f ca="1">IFERROR((IFERROR(IF(OR(AND(CALC_D10_Dashamsha!$G$11=CALC_D10_Dashamsha!$G$11,CALC_D10_Dashamsha!$D$11&lt;&gt;CALC_D10_Dashamsha!$D$11),AND(CALC_D10_Dashamsha!$G$8=CALC_D10_Dashamsha!$G$11,CALC_D10_Dashamsha!$D$8&lt;&gt;CALC_D10_Dashamsha!$D$11),AND(CALC_D10_Dashamsha!$G$9=CALC_D10_Dashamsha!$G$11,CALC_D10_Dashamsha!$D$9&lt;&gt;CALC_D10_Dashamsha!$D$11),AND(CALC_D10_Dashamsha!$G$11=CALC_D10_Dashamsha!$G$11,CALC_D10_Dashamsha!$D$11&lt;&gt;CALC_D10_Dashamsha!$D$11),AND(CALC_D10_Dashamsha!$G$13=CALC_D10_Dashamsha!$G$11,CALC_D10_Dashamsha!$D$13&lt;&gt;CALC_D10_Dashamsha!$D$11),AND(CALC_D10_Dashamsha!$G$14=CALC_D10_Dashamsha!$G$11,CALC_D10_Dashamsha!$D$14&lt;&gt;CALC_D10_Dashamsha!$D$11)),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$11,CALC_D10_Dashamsha!$D$11&lt;&gt;"Sun"),AND(OR(CALC_PlanetPositions!$M$8="Benefic",CALC_PlanetPositions!$M$8="Yogakaraka"),CALC_PlanetPositions!$B$8=CALC_D10_Dashamsha!$G$11,CALC_D10_Dashamsha!$D$11&lt;&gt;"Moon"),AND(OR(CALC_PlanetPositions!$M$9="Benefic",CALC_PlanetPositions!$M$9="Yogakaraka"),CALC_PlanetPositions!$B$9=CALC_D10_Dashamsha!$G$11,CALC_D10_Dashamsha!$D$11&lt;&gt;"Mars"),AND(OR(CALC_PlanetPositions!$M$10="Benefic",CALC_PlanetPositions!$M$10="Yogakaraka"),CALC_PlanetPositions!$B$10=CALC_D10_Dashamsha!$G$11,CALC_D10_Dashamsha!$D$11&lt;&gt;"Mercury"),AND(OR(CALC_PlanetPositions!$M$11="Benefic",CALC_PlanetPositions!$M$11="Yogakaraka"),CALC_PlanetPositions!$B$11=CALC_D10_Dashamsha!$G$11,CALC_D10_Dashamsha!$D$11&lt;&gt;"Jupiter"),AND(OR(CALC_PlanetPositions!$M$12="Benefic",CALC_PlanetPositions!$M$12="Yogakaraka"),CALC_PlanetPositions!$B$12=CALC_D10_Dashamsha!$G$11,CALC_D10_Dashamsha!$D$11&lt;&gt;"Venus"),AND(OR(CALC_PlanetPositions!$M$13="Benefic",CALC_PlanetPositions!$M$13="Yogakaraka"),CALC_PlanetPositions!$B$13=CALC_D10_Dashamsha!$G$11,CALC_D10_Dashamsha!$D$11&lt;&gt;"Saturn")),1,0),0))*IF(OR(AND(CALC_PlanetPositions!$M$7="Yogakaraka",CALC_PlanetPositions!$B$7=CALC_D10_Dashamsha!$G$11,CALC_D10_Dashamsha!$D$11&lt;&gt;"Sun"),AND(CALC_PlanetPositions!$M$8="Yogakaraka",CALC_PlanetPositions!$B$8=CALC_D10_Dashamsha!$G$11,CALC_D10_Dashamsha!$D$11&lt;&gt;"Moon"),AND(CALC_PlanetPositions!$M$9="Yogakaraka",CALC_PlanetPositions!$B$9=CALC_D10_Dashamsha!$G$11,CALC_D10_Dashamsha!$D$11&lt;&gt;"Mars"),AND(CALC_PlanetPositions!$M$10="Yogakaraka",CALC_PlanetPositions!$B$10=CALC_D10_Dashamsha!$G$11,CALC_D10_Dashamsha!$D$11&lt;&gt;"Mercury"),AND(CALC_PlanetPositions!$M$11="Yogakaraka",CALC_PlanetPositions!$B$11=CALC_D10_Dashamsha!$G$11,CALC_D10_Dashamsha!$D$11&lt;&gt;"Jupiter"),AND(CALC_PlanetPositions!$M$12="Yogakaraka",CALC_PlanetPositions!$B$12=CALC_D10_Dashamsha!$G$11,CALC_D10_Dashamsha!$D$11&lt;&gt;"Venus"),AND(CALC_PlanetPositions!$M$13="Yogakaraka",CALC_PlanetPositions!$B$13=CALC_D10_Dashamsha!$G$11,CALC_D10_Dashamsha!$D$11&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$11-(MOD(MATCH(CALC_PlanetPositions!$B$7,{"Aries","Taurus","Gemini","Cancer","Leo","Virgo","Libra","Scorpio","Sagittarius","Capricorn","Aquarius","Pisces"},0)-MATCH(INPUT_Chart!$C$5,{"Aries","Taurus","Gemini","Cancer","Leo","Virgo","Libra","Scorpio","Sagittarius","Capricorn","Aquarius","Pisces"},0),12)+1),12)+1)="FULL",NOT(CALC_PlanetPositions!$B$7=CALC_D10_Dashamsha!$G$11)),AND(OR(CALC_PlanetPositions!$M$8="Benefic",CALC_PlanetPositions!$M$8="Yogakaraka"),INDEX(REF_Aspects!$D$5:$O$13,2,MOD(CALC_D10_Dashamsha!$H$11-(MOD(MATCH(CALC_PlanetPositions!$B$8,{"Aries","Taurus","Gemini","Cancer","Leo","Virgo","Libra","Scorpio","Sagittarius","Capricorn","Aquarius","Pisces"},0)-MATCH(INPUT_Chart!$C$5,{"Aries","Taurus","Gemini","Cancer","Leo","Virgo","Libra","Scorpio","Sagittarius","Capricorn","Aquarius","Pisces"},0),12)+1),12)+1)="FULL",NOT(CALC_PlanetPositions!$B$8=CALC_D10_Dashamsha!$G$11)),AND(OR(CALC_PlanetPositions!$M$9="Benefic",CALC_PlanetPositions!$M$9="Yogakaraka"),INDEX(REF_Aspects!$D$5:$O$13,3,MOD(CALC_D10_Dashamsha!$H$11-(MOD(MATCH(CALC_PlanetPositions!$B$9,{"Aries","Taurus","Gemini","Cancer","Leo","Virgo","Libra","Scorpio","Sagittarius","Capricorn","Aquarius","Pisces"},0)-MATCH(INPUT_Chart!$C$5,{"Aries","Taurus","Gemini","Cancer","Leo","Virgo","Libra","Scorpio","Sagittarius","Capricorn","Aquarius","Pisces"},0),12)+1),12)+1)="FULL",NOT(CALC_PlanetPositions!$B$9=CALC_D10_Dashamsha!$G$11)),AND(OR(CALC_PlanetPositions!$M$10="Benefic",CALC_PlanetPositions!$M$10="Yogakaraka"),INDEX(REF_Aspects!$D$5:$O$13,4,MOD(CALC_D10_Dashamsha!$H$11-(MOD(MATCH(CALC_PlanetPositions!$B$10,{"Aries","Taurus","Gemini","Cancer","Leo","Virgo","Libra","Scorpio","Sagittarius","Capricorn","Aquarius","Pisces"},0)-MATCH(INPUT_Chart!$C$5,{"Aries","Taurus","Gemini","Cancer","Leo","Virgo","Libra","Scorpio","Sagittarius","Capricorn","Aquarius","Pisces"},0),12)+1),12)+1)="FULL",NOT(CALC_PlanetPositions!$B$10=CALC_D10_Dashamsha!$G$11)),AND(OR(CALC_PlanetPositions!$M$11="Benefic",CALC_PlanetPositions!$M$11="Yogakaraka"),INDEX(REF_Aspects!$D$5:$O$13,5,MOD(CALC_D10_Dashamsha!$H$11-(MOD(MATCH(CALC_PlanetPositions!$B$11,{"Aries","Taurus","Gemini","Cancer","Leo","Virgo","Libra","Scorpio","Sagittarius","Capricorn","Aquarius","Pisces"},0)-MATCH(INPUT_Chart!$C$5,{"Aries","Taurus","Gemini","Cancer","Leo","Virgo","Libra","Scorpio","Sagittarius","Capricorn","Aquarius","Pisces"},0),12)+1),12)+1)="FULL",NOT(CALC_PlanetPositions!$B$11=CALC_D10_Dashamsha!$G$11)),AND(OR(CALC_PlanetPositions!$M$12="Benefic",CALC_PlanetPositions!$M$12="Yogakaraka"),INDEX(REF_Aspects!$D$5:$O$13,6,MOD(CALC_D10_Dashamsha!$H$11-(MOD(MATCH(CALC_PlanetPositions!$B$12,{"Aries","Taurus","Gemini","Cancer","Leo","Virgo","Libra","Scorpio","Sagittarius","Capricorn","Aquarius","Pisces"},0)-MATCH(INPUT_Chart!$C$5,{"Aries","Taurus","Gemini","Cancer","Leo","Virgo","Libra","Scorpio","Sagittarius","Capricorn","Aquarius","Pisces"},0),12)+1),12)+1)="FULL",NOT(CALC_PlanetPositions!$B$12=CALC_D10_Dashamsha!$G$11)),AND(OR(CALC_PlanetPositions!$M$13="Benefic",CALC_PlanetPositions!$M$13="Yogakaraka"),INDEX(REF_Aspects!$D$5:$O$13,7,MOD(CALC_D10_Dashamsha!$H$11-(MOD(MATCH(CALC_PlanetPositions!$B$13,{"Aries","Taurus","Gemini","Cancer","Leo","Virgo","Libra","Scorpio","Sagittarius","Capricorn","Aquarius","Pisces"},0)-MATCH(INPUT_Chart!$C$5,{"Aries","Taurus","Gemini","Cancer","Leo","Virgo","Libra","Scorpio","Sagittarius","Capricorn","Aquarius","Pisces"},0),12)+1),12)+1)="FULL",NOT(CALC_PlanetPositions!$B$13=CALC_D10_Dashamsha!$G$11)),AND(FALSE(),INDEX(REF_Aspects!$D$5:$O$13,8,MOD(CALC_D10_Dashamsha!$H$11-(MOD(MATCH(CALC_PlanetPositions!$B$14,{"Aries","Taurus","Gemini","Cancer","Leo","Virgo","Libra","Scorpio","Sagittarius","Capricorn","Aquarius","Pisces"},0)-MATCH(INPUT_Chart!$C$5,{"Aries","Taurus","Gemini","Cancer","Leo","Virgo","Libra","Scorpio","Sagittarius","Capricorn","Aquarius","Pisces"},0),12)+1),12)+1)="FULL",NOT(CALC_PlanetPositions!$B$14=CALC_D10_Dashamsha!$G$11)),AND(FALSE(),INDEX(REF_Aspects!$D$5:$O$13,9,MOD(CALC_D10_Dashamsha!$H$11-(MOD(MATCH(CALC_PlanetPositions!$B$15,{"Aries","Taurus","Gemini","Cancer","Leo","Virgo","Libra","Scorpio","Sagittarius","Capricorn","Aquarius","Pisces"},0)-MATCH(INPUT_Chart!$C$5,{"Aries","Taurus","Gemini","Cancer","Leo","Virgo","Libra","Scorpio","Sagittarius","Capricorn","Aquarius","Pisces"},0),12)+1),12)+1)="FULL",NOT(CALC_PlanetPositions!$B$15=CALC_D10_Dashamsha!$G$11))),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$11-2,12)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$11-2,12)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$11-2,12)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$11-2,12)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$11-2,12)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$11-2,12)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$11-2,12)+1)),AND(FALSE(),MOD(MATCH(CALC_PlanetPositions!$B$14,{"Aries","Taurus","Gemini","Cancer","Leo","Virgo","Libra","Scorpio","Sagittarius","Capricorn","Aquarius","Pisces"},0)-MATCH(INPUT_Chart!$C$5,{"Aries","Taurus","Gemini","Cancer","Leo","Virgo","Libra","Scorpio","Sagittarius","Capricorn","Aquarius","Pisces"},0),12)+1=(MOD(CALC_D10_Dashamsha!$H$11-2,12)+1)),AND(FALSE(),MOD(MATCH(CALC_PlanetPositions!$B$15,{"Aries","Taurus","Gemini","Cancer","Leo","Virgo","Libra","Scorpio","Sagittarius","Capricorn","Aquarius","Pisces"},0)-MATCH(INPUT_Chart!$C$5,{"Aries","Taurus","Gemini","Cancer","Leo","Virgo","Libra","Scorpio","Sagittarius","Capricorn","Aquarius","Pisces"},0),12)+1=(MOD(CALC_D10_Dashamsha!$H$11-2,12)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$11,12)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$11,12)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$11,12)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$11,12)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$11,12)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$11,12)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$11,12)+1)),AND(FALSE(),MOD(MATCH(CALC_PlanetPositions!$B$14,{"Aries","Taurus","Gemini","Cancer","Leo","Virgo","Libra","Scorpio","Sagittarius","Capricorn","Aquarius","Pisces"},0)-MATCH(INPUT_Chart!$C$5,{"Aries","Taurus","Gemini","Cancer","Leo","Virgo","Libra","Scorpio","Sagittarius","Capricorn","Aquarius","Pisces"},0),12)+1=(MOD(CALC_D10_Dashamsha!$H$11,12)+1)),AND(FALSE(),MOD(MATCH(CALC_PlanetPositions!$B$15,{"Aries","Taurus","Gemini","Cancer","Leo","Virgo","Libra","Scorpio","Sagittarius","Capricorn","Aquarius","Pisces"},0)-MATCH(INPUT_Chart!$C$5,{"Aries","Taurus","Gemini","Cancer","Leo","Virgo","Libra","Scorpio","Sagittarius","Capricorn","Aquarius","Pisces"},0),12)+1=(MOD(CALC_D10_Dashamsha!$H$11,12)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$11-(MOD(MATCH(CALC_PlanetPositions!$B$7,{"Aries","Taurus","Gemini","Cancer","Leo","Virgo","Libra","Scorpio","Sagittarius","Capricorn","Aquarius","Pisces"},0)-MATCH(INPUT_Chart!$C$5,{"Aries","Taurus","Gemini","Cancer","Leo","Virgo","Libra","Scorpio","Sagittarius","Capricorn","Aquarius","Pisces"},0),12)+1),12)+1)="FULL",NOT(CALC_PlanetPositions!$B$7=CALC_D10_Dashamsha!$G$11)),AND(CALC_PlanetPositions!$M$8="Malefic",INDEX(REF_Aspects!$D$5:$O$13,2,MOD(CALC_D10_Dashamsha!$H$11-(MOD(MATCH(CALC_PlanetPositions!$B$8,{"Aries","Taurus","Gemini","Cancer","Leo","Virgo","Libra","Scorpio","Sagittarius","Capricorn","Aquarius","Pisces"},0)-MATCH(INPUT_Chart!$C$5,{"Aries","Taurus","Gemini","Cancer","Leo","Virgo","Libra","Scorpio","Sagittarius","Capricorn","Aquarius","Pisces"},0),12)+1),12)+1)="FULL",NOT(CALC_PlanetPositions!$B$8=CALC_D10_Dashamsha!$G$11)),AND(CALC_PlanetPositions!$M$9="Malefic",INDEX(REF_Aspects!$D$5:$O$13,3,MOD(CALC_D10_Dashamsha!$H$11-(MOD(MATCH(CALC_PlanetPositions!$B$9,{"Aries","Taurus","Gemini","Cancer","Leo","Virgo","Libra","Scorpio","Sagittarius","Capricorn","Aquarius","Pisces"},0)-MATCH(INPUT_Chart!$C$5,{"Aries","Taurus","Gemini","Cancer","Leo","Virgo","Libra","Scorpio","Sagittarius","Capricorn","Aquarius","Pisces"},0),12)+1),12)+1)="FULL",NOT(CALC_PlanetPositions!$B$9=CALC_D10_Dashamsha!$G$11)),AND(CALC_PlanetPositions!$M$10="Malefic",INDEX(REF_Aspects!$D$5:$O$13,4,MOD(CALC_D10_Dashamsha!$H$11-(MOD(MATCH(CALC_PlanetPositions!$B$10,{"Aries","Taurus","Gemini","Cancer","Leo","Virgo","Libra","Scorpio","Sagittarius","Capricorn","Aquarius","Pisces"},0)-MATCH(INPUT_Chart!$C$5,{"Aries","Taurus","Gemini","Cancer","Leo","Virgo","Libra","Scorpio","Sagittarius","Capricorn","Aquarius","Pisces"},0),12)+1),12)+1)="FULL",NOT(CALC_PlanetPositions!$B$10=CALC_D10_Dashamsha!$G$11)),AND(CALC_PlanetPositions!$M$11="Malefic",INDEX(REF_Aspects!$D$5:$O$13,5,MOD(CALC_D10_Dashamsha!$H$11-(MOD(MATCH(CALC_PlanetPositions!$B$11,{"Aries","Taurus","Gemini","Cancer","Leo","Virgo","Libra","Scorpio","Sagittarius","Capricorn","Aquarius","Pisces"},0)-MATCH(INPUT_Chart!$C$5,{"Aries","Taurus","Gemini","Cancer","Leo","Virgo","Libra","Scorpio","Sagittarius","Capricorn","Aquarius","Pisces"},0),12)+1),12)+1)="FULL",NOT(CALC_PlanetPositions!$B$11=CALC_D10_Dashamsha!$G$11)),AND(CALC_PlanetPositions!$M$12="Malefic",INDEX(REF_Aspects!$D$5:$O$13,6,MOD(CALC_D10_Dashamsha!$H$11-(MOD(MATCH(CALC_PlanetPositions!$B$12,{"Aries","Taurus","Gemini","Cancer","Leo","Virgo","Libra","Scorpio","Sagittarius","Capricorn","Aquarius","Pisces"},0)-MATCH(INPUT_Chart!$C$5,{"Aries","Taurus","Gemini","Cancer","Leo","Virgo","Libra","Scorpio","Sagittarius","Capricorn","Aquarius","Pisces"},0),12)+1),12)+1)="FULL",NOT(CALC_PlanetPositions!$B$12=CALC_D10_Dashamsha!$G$11)),AND(CALC_PlanetPositions!$M$13="Malefic",INDEX(REF_Aspects!$D$5:$O$13,7,MOD(CALC_D10_Dashamsha!$H$11-(MOD(MATCH(CALC_PlanetPositions!$B$13,{"Aries","Taurus","Gemini","Cancer","Leo","Virgo","Libra","Scorpio","Sagittarius","Capricorn","Aquarius","Pisces"},0)-MATCH(INPUT_Chart!$C$5,{"Aries","Taurus","Gemini","Cancer","Leo","Virgo","Libra","Scorpio","Sagittarius","Capricorn","Aquarius","Pisces"},0),12)+1),12)+1)="FULL",NOT(CALC_PlanetPositions!$B$13=CALC_D10_Dashamsha!$G$11)),AND(TRUE(),INDEX(REF_Aspects!$D$5:$O$13,8,MOD(CALC_D10_Dashamsha!$H$11-(MOD(MATCH(CALC_PlanetPositions!$B$14,{"Aries","Taurus","Gemini","Cancer","Leo","Virgo","Libra","Scorpio","Sagittarius","Capricorn","Aquarius","Pisces"},0)-MATCH(INPUT_Chart!$C$5,{"Aries","Taurus","Gemini","Cancer","Leo","Virgo","Libra","Scorpio","Sagittarius","Capricorn","Aquarius","Pisces"},0),12)+1),12)+1)="FULL",NOT(CALC_PlanetPositions!$B$14=CALC_D10_Dashamsha!$G$11)),AND(TRUE(),INDEX(REF_Aspects!$D$5:$O$13,9,MOD(CALC_D10_Dashamsha!$H$11-(MOD(MATCH(CALC_PlanetPositions!$B$15,{"Aries","Taurus","Gemini","Cancer","Leo","Virgo","Libra","Scorpio","Sagittarius","Capricorn","Aquarius","Pisces"},0)-MATCH(INPUT_Chart!$C$5,{"Aries","Taurus","Gemini","Cancer","Leo","Virgo","Libra","Scorpio","Sagittarius","Capricorn","Aquarius","Pisces"},0),12)+1),12)+1)="FULL",NOT(CALC_PlanetPositions!$B$15=CALC_D10_Dashamsha!$G$11))),1,0),0))*-0.5,0)</f>
        <v>0</v>
      </c>
      <c r="D21" s="403" t="s">
        <v>4634</v>
      </c>
    </row>
    <row r="22" spans="1:7" ht="27.75" customHeight="1" x14ac:dyDescent="0.2">
      <c r="A22" s="121" t="s">
        <v>4635</v>
      </c>
      <c r="B22" s="357" t="s">
        <v>3042</v>
      </c>
      <c r="C22" s="1117">
        <f>IFERROR((IFERROR(IF(CALC_D10_Dashamsha!$K$11="Yes",1,0),0))*IF(REF_Config!$B$6="KP",-1.75,IF(REF_Config!$B$6="Jaimini",-2,-2)),0)</f>
        <v>0</v>
      </c>
      <c r="D22" s="400" t="s">
        <v>4636</v>
      </c>
    </row>
    <row r="23" spans="1:7" ht="27.75" customHeight="1" x14ac:dyDescent="0.2">
      <c r="A23" s="121" t="s">
        <v>4637</v>
      </c>
      <c r="B23" s="203" t="s">
        <v>3059</v>
      </c>
      <c r="C23" s="1118">
        <f ca="1">IFERROR((IFERROR(IF(OR(AND(CALC_D10_Dashamsha!$G$10=CALC_D10_Dashamsha!$G$11,CALC_D10_Dashamsha!$D$10&lt;&gt;CALC_D10_Dashamsha!$D$11),AND(CALC_D10_Dashamsha!$G$12=CALC_D10_Dashamsha!$G$11,CALC_D10_Dashamsha!$D$12&lt;&gt;CALC_D10_Dashamsha!$D$11),AND(CALC_D10_Dashamsha!$G$16=CALC_D10_Dashamsha!$G$11,CALC_D10_Dashamsha!$D$16&lt;&gt;CALC_D10_Dashamsha!$D$11)),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IFERROR(IF(OR(CALC_D10_Dashamsha!$D$11="Sun",CALC_D10_Dashamsha!$D$11="Rahu",CALC_D10_Dashamsha!$D$11="Ketu"),0,IF(CALC_D10_Dashamsha!$D$11="Moon",IF(CALC_CombustionCheck!$G$4="Cazimi ✓",0.5,IF(CALC_CombustionCheck!$F$4="COMBUST ⚠",-1,0)),IF(CALC_D10_Dashamsha!$D$11="Mars",IF(CALC_CombustionCheck!$G$5="Cazimi ✓",0.5,IF(AND(CALC_CombustionCheck!$F$5="COMBUST ⚠",CALC_RetrogradeFix!$F$6="Rx ✓"),-0.5,IF(CALC_CombustionCheck!$F$5="COMBUST ⚠",-1,0))),IF(CALC_D10_Dashamsha!$D$11="Mercury",IF(CALC_CombustionCheck!$G$6="Cazimi ✓",0.5,IF(AND(CALC_CombustionCheck!$F$6="COMBUST ⚠",CALC_RetrogradeFix!$F$7="Rx ✓"),-0.5,IF(CALC_CombustionCheck!$F$6="COMBUST ⚠",-1,0))),IF(CALC_D10_Dashamsha!$D$11="Jupiter",IF(CALC_CombustionCheck!$G$7="Cazimi ✓",0.5,IF(AND(CALC_CombustionCheck!$F$7="COMBUST ⚠",CALC_RetrogradeFix!$F$8="Rx ✓"),-0.5,IF(CALC_CombustionCheck!$F$7="COMBUST ⚠",-1,0))),IF(CALC_D10_Dashamsha!$D$11="Venus",IF(CALC_CombustionCheck!$G$8="Cazimi ✓",0.5,IF(AND(CALC_CombustionCheck!$F$8="COMBUST ⚠",CALC_RetrogradeFix!$F$9="Rx ✓"),-0.5,IF(CALC_CombustionCheck!$F$8="COMBUST ⚠",-1,0))),IF(CALC_D10_Dashamsha!$D$11="Saturn",IF(CALC_CombustionCheck!$G$9="Cazimi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10_Dashamsha!$D$11="Rahu",CALC_D10_Dashamsha!$D$11="Ketu"),0,IF(ISNUMBER(MATCH(CALC_D10_Dashamsha!$D$11,{"Sun","Moon","Mars","Mercury","Jupiter","Venus","Saturn"},0)),IF(INDEX(CALC_DigBala!$F$4:$F$10,MATCH(CALC_D10_Dashamsha!$D$11,{"Sun","Moon","Mars","Mercury","Jupiter","Venus","Saturn"},0))="Yes",0.5,0),0)),0)</f>
        <v>0</v>
      </c>
      <c r="D28" s="400" t="s">
        <v>4647</v>
      </c>
    </row>
    <row r="29" spans="1:7" ht="27.75" customHeight="1" x14ac:dyDescent="0.2">
      <c r="A29" s="1120" t="s">
        <v>4648</v>
      </c>
      <c r="B29" s="296" t="s">
        <v>3372</v>
      </c>
      <c r="C29" s="1117">
        <f ca="1">IFERROR(IF(COUNTIFS(REF_PushkaraNavamsha!$A$4:$A$27,CALC_D10_Dashamsha!$G$11,REF_PushkaraNavamsha!$B$4:$B$27,INDEX(CALC_PlanetPositions!$G$7:$G$15,MATCH(CALC_D10_Dashamsha!$D$11,CALC_PlanetPositions!$A$7:$A$15,0)))&gt;0,0.5,0),0)</f>
        <v>0</v>
      </c>
      <c r="D29" s="400" t="s">
        <v>4649</v>
      </c>
    </row>
    <row r="30" spans="1:7" ht="25.5" customHeight="1" x14ac:dyDescent="0.2">
      <c r="A30" s="147" t="s">
        <v>4650</v>
      </c>
      <c r="B30" s="1121" t="s">
        <v>4651</v>
      </c>
      <c r="C30" s="1122">
        <f>IFERROR(IF(ISNUMBER(MATCH(CALC_D10_Dashamsha!$D$11,{"Sun","Moon","Mars","Mercury","Jupiter","Venus","Saturn"},0)),INDEX(CALC_RetrogradeFix!$G$4:$G$10,MATCH(CALC_D10_Dashamsha!$D$11,{"Sun","Moon","Mars","Mercury","Jupiter","Venus","Saturn"},0)),0),0)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-2</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-2.5</v>
      </c>
      <c r="D37" s="1129"/>
    </row>
    <row r="38" spans="1:4" ht="21.75" customHeight="1" x14ac:dyDescent="0.2">
      <c r="A38" s="89" t="s">
        <v>4661</v>
      </c>
      <c r="B38" s="1129"/>
      <c r="C38" s="1131">
        <f ca="1">IFERROR(MAX(-10,MIN(10,C37)),0)</f>
        <v>-2.5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-2.4</v>
      </c>
      <c r="D40" s="1136" t="str">
        <f ca="1">IFERROR(IF(C40&gt;=7,"Excellent — Self domain very strong",IF(C40&gt;=4,"Good — Self domain strong",IF(C40&gt;=1,"Moderate",IF(C40&gt;=-2,"Mixed — Self has challenges",IF(C40&gt;=-5,"Weak","Very weak — Self heavily afflicted"))))),"—")</f>
        <v>Weak</v>
      </c>
    </row>
    <row r="41" spans="1:4" ht="18" customHeight="1" x14ac:dyDescent="0.2">
      <c r="A41" s="147" t="s">
        <v>4677</v>
      </c>
      <c r="B41" s="1129"/>
      <c r="C41" s="470">
        <v>0.1</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4751</v>
      </c>
      <c r="B1" s="1518"/>
      <c r="C1" s="1518"/>
      <c r="D1" s="1518"/>
      <c r="L1" s="544" t="s">
        <v>2214</v>
      </c>
    </row>
    <row r="2" spans="1:12" ht="19.5" customHeight="1" x14ac:dyDescent="0.2">
      <c r="A2" s="1595" t="str">
        <f>IFERROR("D10 Lagna: "&amp;CALC_D10_Dashamsha!$C$5&amp;"  ·  H8 — Longevity","← Enter chart")</f>
        <v>D10 Lagna: Aries  ·  H8 — Longevity</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IFERROR((IFERROR(IF(INDEX(REF_Zodiac!$D$17:$O$17,MATCH(CALC_D10_Dashamsha!$C$12,REF_Zodiac!$D$3:$O$3,0))="Gentle",1,0),0))*0.5,0)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IFERROR(IF(AND(OR(CALC_D10_Dashamsha!$I$12="Yes",CALC_D10_Dashamsha!$J$12="Yes"),NOT(CALC_D10_Dashamsha!$K$12="Yes")),1,0)*IF(REF_Config!$B$6="KP",1.5,IF(REF_Config!$B$6="Jaimini",1.5,2)),0)</f>
        <v>0</v>
      </c>
      <c r="D9" s="403" t="s">
        <v>4612</v>
      </c>
    </row>
    <row r="10" spans="1:12" ht="27.75" customHeight="1" x14ac:dyDescent="0.2">
      <c r="A10" s="121" t="s">
        <v>4613</v>
      </c>
      <c r="B10" s="357" t="s">
        <v>3093</v>
      </c>
      <c r="C10" s="1117">
        <f ca="1">IFERROR((IFERROR(IF(OR(AND(CALC_D10_Dashamsha!$G$12=CALC_D10_Dashamsha!$G$12,CALC_D10_Dashamsha!$D$12&lt;&gt;CALC_D10_Dashamsha!$D$12),AND(CALC_D10_Dashamsha!$G$8=CALC_D10_Dashamsha!$G$12,CALC_D10_Dashamsha!$D$8&lt;&gt;CALC_D10_Dashamsha!$D$12),AND(CALC_D10_Dashamsha!$G$9=CALC_D10_Dashamsha!$G$12,CALC_D10_Dashamsha!$D$9&lt;&gt;CALC_D10_Dashamsha!$D$12),AND(CALC_D10_Dashamsha!$G$11=CALC_D10_Dashamsha!$G$12,CALC_D10_Dashamsha!$D$11&lt;&gt;CALC_D10_Dashamsha!$D$12),AND(CALC_D10_Dashamsha!$G$13=CALC_D10_Dashamsha!$G$12,CALC_D10_Dashamsha!$D$13&lt;&gt;CALC_D10_Dashamsha!$D$12),AND(CALC_D10_Dashamsha!$G$14=CALC_D10_Dashamsha!$G$12,CALC_D10_Dashamsha!$D$14&lt;&gt;CALC_D10_Dashamsha!$D$12)),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$12,CALC_D10_Dashamsha!$D$12&lt;&gt;"Sun"),AND(OR(CALC_PlanetPositions!$M$8="Benefic",CALC_PlanetPositions!$M$8="Yogakaraka"),CALC_PlanetPositions!$B$8=CALC_D10_Dashamsha!$G$12,CALC_D10_Dashamsha!$D$12&lt;&gt;"Moon"),AND(OR(CALC_PlanetPositions!$M$9="Benefic",CALC_PlanetPositions!$M$9="Yogakaraka"),CALC_PlanetPositions!$B$9=CALC_D10_Dashamsha!$G$12,CALC_D10_Dashamsha!$D$12&lt;&gt;"Mars"),AND(OR(CALC_PlanetPositions!$M$10="Benefic",CALC_PlanetPositions!$M$10="Yogakaraka"),CALC_PlanetPositions!$B$10=CALC_D10_Dashamsha!$G$12,CALC_D10_Dashamsha!$D$12&lt;&gt;"Mercury"),AND(OR(CALC_PlanetPositions!$M$11="Benefic",CALC_PlanetPositions!$M$11="Yogakaraka"),CALC_PlanetPositions!$B$11=CALC_D10_Dashamsha!$G$12,CALC_D10_Dashamsha!$D$12&lt;&gt;"Jupiter"),AND(OR(CALC_PlanetPositions!$M$12="Benefic",CALC_PlanetPositions!$M$12="Yogakaraka"),CALC_PlanetPositions!$B$12=CALC_D10_Dashamsha!$G$12,CALC_D10_Dashamsha!$D$12&lt;&gt;"Venus"),AND(OR(CALC_PlanetPositions!$M$13="Benefic",CALC_PlanetPositions!$M$13="Yogakaraka"),CALC_PlanetPositions!$B$13=CALC_D10_Dashamsha!$G$12,CALC_D10_Dashamsha!$D$12&lt;&gt;"Saturn")),1,0),0))*IF(OR(AND(CALC_PlanetPositions!$M$7="Yogakaraka",CALC_PlanetPositions!$B$7=CALC_D10_Dashamsha!$G$12,CALC_D10_Dashamsha!$D$12&lt;&gt;"Sun"),AND(CALC_PlanetPositions!$M$8="Yogakaraka",CALC_PlanetPositions!$B$8=CALC_D10_Dashamsha!$G$12,CALC_D10_Dashamsha!$D$12&lt;&gt;"Moon"),AND(CALC_PlanetPositions!$M$9="Yogakaraka",CALC_PlanetPositions!$B$9=CALC_D10_Dashamsha!$G$12,CALC_D10_Dashamsha!$D$12&lt;&gt;"Mars"),AND(CALC_PlanetPositions!$M$10="Yogakaraka",CALC_PlanetPositions!$B$10=CALC_D10_Dashamsha!$G$12,CALC_D10_Dashamsha!$D$12&lt;&gt;"Mercury"),AND(CALC_PlanetPositions!$M$11="Yogakaraka",CALC_PlanetPositions!$B$11=CALC_D10_Dashamsha!$G$12,CALC_D10_Dashamsha!$D$12&lt;&gt;"Jupiter"),AND(CALC_PlanetPositions!$M$12="Yogakaraka",CALC_PlanetPositions!$B$12=CALC_D10_Dashamsha!$G$12,CALC_D10_Dashamsha!$D$12&lt;&gt;"Venus"),AND(CALC_PlanetPositions!$M$13="Yogakaraka",CALC_PlanetPositions!$B$13=CALC_D10_Dashamsha!$G$12,CALC_D10_Dashamsha!$D$12&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$12-(MOD(MATCH(CALC_PlanetPositions!$B$7,{"Aries","Taurus","Gemini","Cancer","Leo","Virgo","Libra","Scorpio","Sagittarius","Capricorn","Aquarius","Pisces"},0)-MATCH(INPUT_Chart!$C$5,{"Aries","Taurus","Gemini","Cancer","Leo","Virgo","Libra","Scorpio","Sagittarius","Capricorn","Aquarius","Pisces"},0),12)+1),12)+1)="FULL",NOT(CALC_PlanetPositions!$B$7=CALC_D10_Dashamsha!$G$12)),AND(OR(CALC_PlanetPositions!$M$8="Benefic",CALC_PlanetPositions!$M$8="Yogakaraka"),INDEX(REF_Aspects!$D$5:$O$13,2,MOD(CALC_D10_Dashamsha!$H$12-(MOD(MATCH(CALC_PlanetPositions!$B$8,{"Aries","Taurus","Gemini","Cancer","Leo","Virgo","Libra","Scorpio","Sagittarius","Capricorn","Aquarius","Pisces"},0)-MATCH(INPUT_Chart!$C$5,{"Aries","Taurus","Gemini","Cancer","Leo","Virgo","Libra","Scorpio","Sagittarius","Capricorn","Aquarius","Pisces"},0),12)+1),12)+1)="FULL",NOT(CALC_PlanetPositions!$B$8=CALC_D10_Dashamsha!$G$12)),AND(OR(CALC_PlanetPositions!$M$9="Benefic",CALC_PlanetPositions!$M$9="Yogakaraka"),INDEX(REF_Aspects!$D$5:$O$13,3,MOD(CALC_D10_Dashamsha!$H$12-(MOD(MATCH(CALC_PlanetPositions!$B$9,{"Aries","Taurus","Gemini","Cancer","Leo","Virgo","Libra","Scorpio","Sagittarius","Capricorn","Aquarius","Pisces"},0)-MATCH(INPUT_Chart!$C$5,{"Aries","Taurus","Gemini","Cancer","Leo","Virgo","Libra","Scorpio","Sagittarius","Capricorn","Aquarius","Pisces"},0),12)+1),12)+1)="FULL",NOT(CALC_PlanetPositions!$B$9=CALC_D10_Dashamsha!$G$12)),AND(OR(CALC_PlanetPositions!$M$10="Benefic",CALC_PlanetPositions!$M$10="Yogakaraka"),INDEX(REF_Aspects!$D$5:$O$13,4,MOD(CALC_D10_Dashamsha!$H$12-(MOD(MATCH(CALC_PlanetPositions!$B$10,{"Aries","Taurus","Gemini","Cancer","Leo","Virgo","Libra","Scorpio","Sagittarius","Capricorn","Aquarius","Pisces"},0)-MATCH(INPUT_Chart!$C$5,{"Aries","Taurus","Gemini","Cancer","Leo","Virgo","Libra","Scorpio","Sagittarius","Capricorn","Aquarius","Pisces"},0),12)+1),12)+1)="FULL",NOT(CALC_PlanetPositions!$B$10=CALC_D10_Dashamsha!$G$12)),AND(OR(CALC_PlanetPositions!$M$11="Benefic",CALC_PlanetPositions!$M$11="Yogakaraka"),INDEX(REF_Aspects!$D$5:$O$13,5,MOD(CALC_D10_Dashamsha!$H$12-(MOD(MATCH(CALC_PlanetPositions!$B$11,{"Aries","Taurus","Gemini","Cancer","Leo","Virgo","Libra","Scorpio","Sagittarius","Capricorn","Aquarius","Pisces"},0)-MATCH(INPUT_Chart!$C$5,{"Aries","Taurus","Gemini","Cancer","Leo","Virgo","Libra","Scorpio","Sagittarius","Capricorn","Aquarius","Pisces"},0),12)+1),12)+1)="FULL",NOT(CALC_PlanetPositions!$B$11=CALC_D10_Dashamsha!$G$12)),AND(OR(CALC_PlanetPositions!$M$12="Benefic",CALC_PlanetPositions!$M$12="Yogakaraka"),INDEX(REF_Aspects!$D$5:$O$13,6,MOD(CALC_D10_Dashamsha!$H$12-(MOD(MATCH(CALC_PlanetPositions!$B$12,{"Aries","Taurus","Gemini","Cancer","Leo","Virgo","Libra","Scorpio","Sagittarius","Capricorn","Aquarius","Pisces"},0)-MATCH(INPUT_Chart!$C$5,{"Aries","Taurus","Gemini","Cancer","Leo","Virgo","Libra","Scorpio","Sagittarius","Capricorn","Aquarius","Pisces"},0),12)+1),12)+1)="FULL",NOT(CALC_PlanetPositions!$B$12=CALC_D10_Dashamsha!$G$12)),AND(OR(CALC_PlanetPositions!$M$13="Benefic",CALC_PlanetPositions!$M$13="Yogakaraka"),INDEX(REF_Aspects!$D$5:$O$13,7,MOD(CALC_D10_Dashamsha!$H$12-(MOD(MATCH(CALC_PlanetPositions!$B$13,{"Aries","Taurus","Gemini","Cancer","Leo","Virgo","Libra","Scorpio","Sagittarius","Capricorn","Aquarius","Pisces"},0)-MATCH(INPUT_Chart!$C$5,{"Aries","Taurus","Gemini","Cancer","Leo","Virgo","Libra","Scorpio","Sagittarius","Capricorn","Aquarius","Pisces"},0),12)+1),12)+1)="FULL",NOT(CALC_PlanetPositions!$B$13=CALC_D10_Dashamsha!$G$12)),AND(FALSE(),INDEX(REF_Aspects!$D$5:$O$13,8,MOD(CALC_D10_Dashamsha!$H$12-(MOD(MATCH(CALC_PlanetPositions!$B$14,{"Aries","Taurus","Gemini","Cancer","Leo","Virgo","Libra","Scorpio","Sagittarius","Capricorn","Aquarius","Pisces"},0)-MATCH(INPUT_Chart!$C$5,{"Aries","Taurus","Gemini","Cancer","Leo","Virgo","Libra","Scorpio","Sagittarius","Capricorn","Aquarius","Pisces"},0),12)+1),12)+1)="FULL",NOT(CALC_PlanetPositions!$B$14=CALC_D10_Dashamsha!$G$12)),AND(FALSE(),INDEX(REF_Aspects!$D$5:$O$13,9,MOD(CALC_D10_Dashamsha!$H$12-(MOD(MATCH(CALC_PlanetPositions!$B$15,{"Aries","Taurus","Gemini","Cancer","Leo","Virgo","Libra","Scorpio","Sagittarius","Capricorn","Aquarius","Pisces"},0)-MATCH(INPUT_Chart!$C$5,{"Aries","Taurus","Gemini","Cancer","Leo","Virgo","Libra","Scorpio","Sagittarius","Capricorn","Aquarius","Pisces"},0),12)+1),12)+1)="FULL",NOT(CALC_PlanetPositions!$B$15=CALC_D10_Dashamsha!$G$12))),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$12-2,12)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$12-2,12)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$12-2,12)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$12-2,12)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$12-2,12)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$12-2,12)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$12-2,12)+1)),AND(FALSE(),MOD(MATCH(CALC_PlanetPositions!$B$14,{"Aries","Taurus","Gemini","Cancer","Leo","Virgo","Libra","Scorpio","Sagittarius","Capricorn","Aquarius","Pisces"},0)-MATCH(INPUT_Chart!$C$5,{"Aries","Taurus","Gemini","Cancer","Leo","Virgo","Libra","Scorpio","Sagittarius","Capricorn","Aquarius","Pisces"},0),12)+1=(MOD(CALC_D10_Dashamsha!$H$12-2,12)+1)),AND(FALSE(),MOD(MATCH(CALC_PlanetPositions!$B$15,{"Aries","Taurus","Gemini","Cancer","Leo","Virgo","Libra","Scorpio","Sagittarius","Capricorn","Aquarius","Pisces"},0)-MATCH(INPUT_Chart!$C$5,{"Aries","Taurus","Gemini","Cancer","Leo","Virgo","Libra","Scorpio","Sagittarius","Capricorn","Aquarius","Pisces"},0),12)+1=(MOD(CALC_D10_Dashamsha!$H$12-2,12)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$12,12)+1)),AND(FALSE(),MOD(MATCH(CALC_PlanetPositions!$B$14,{"Aries","Taurus","Gemini","Cancer","Leo","Virgo","Libra","Scorpio","Sagittarius","Capricorn","Aquarius","Pisces"},0)-MATCH(INPUT_Chart!$C$5,{"Aries","Taurus","Gemini","Cancer","Leo","Virgo","Libra","Scorpio","Sagittarius","Capricorn","Aquarius","Pisces"},0),12)+1=(MOD(CALC_D10_Dashamsha!$H$12,12)+1)),AND(FALSE(),MOD(MATCH(CALC_PlanetPositions!$B$15,{"Aries","Taurus","Gemini","Cancer","Leo","Virgo","Libra","Scorpio","Sagittarius","Capricorn","Aquarius","Pisces"},0)-MATCH(INPUT_Chart!$C$5,{"Aries","Taurus","Gemini","Cancer","Leo","Virgo","Libra","Scorpio","Sagittarius","Capricorn","Aquarius","Pisces"},0),12)+1=(MOD(CALC_D10_Dashamsha!$H$12,12)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$12-(MOD(MATCH(CALC_PlanetPositions!$B$7,{"Aries","Taurus","Gemini","Cancer","Leo","Virgo","Libra","Scorpio","Sagittarius","Capricorn","Aquarius","Pisces"},0)-MATCH(INPUT_Chart!$C$5,{"Aries","Taurus","Gemini","Cancer","Leo","Virgo","Libra","Scorpio","Sagittarius","Capricorn","Aquarius","Pisces"},0),12)+1),12)+1)="FULL",NOT(CALC_PlanetPositions!$B$7=CALC_D10_Dashamsha!$G$12)),AND(CALC_PlanetPositions!$M$8="Malefic",INDEX(REF_Aspects!$D$5:$O$13,2,MOD(CALC_D10_Dashamsha!$H$12-(MOD(MATCH(CALC_PlanetPositions!$B$8,{"Aries","Taurus","Gemini","Cancer","Leo","Virgo","Libra","Scorpio","Sagittarius","Capricorn","Aquarius","Pisces"},0)-MATCH(INPUT_Chart!$C$5,{"Aries","Taurus","Gemini","Cancer","Leo","Virgo","Libra","Scorpio","Sagittarius","Capricorn","Aquarius","Pisces"},0),12)+1),12)+1)="FULL",NOT(CALC_PlanetPositions!$B$8=CALC_D10_Dashamsha!$G$12)),AND(CALC_PlanetPositions!$M$9="Malefic",INDEX(REF_Aspects!$D$5:$O$13,3,MOD(CALC_D10_Dashamsha!$H$12-(MOD(MATCH(CALC_PlanetPositions!$B$9,{"Aries","Taurus","Gemini","Cancer","Leo","Virgo","Libra","Scorpio","Sagittarius","Capricorn","Aquarius","Pisces"},0)-MATCH(INPUT_Chart!$C$5,{"Aries","Taurus","Gemini","Cancer","Leo","Virgo","Libra","Scorpio","Sagittarius","Capricorn","Aquarius","Pisces"},0),12)+1),12)+1)="FULL",NOT(CALC_PlanetPositions!$B$9=CALC_D10_Dashamsha!$G$12)),AND(CALC_PlanetPositions!$M$10="Malefic",INDEX(REF_Aspects!$D$5:$O$13,4,MOD(CALC_D10_Dashamsha!$H$12-(MOD(MATCH(CALC_PlanetPositions!$B$10,{"Aries","Taurus","Gemini","Cancer","Leo","Virgo","Libra","Scorpio","Sagittarius","Capricorn","Aquarius","Pisces"},0)-MATCH(INPUT_Chart!$C$5,{"Aries","Taurus","Gemini","Cancer","Leo","Virgo","Libra","Scorpio","Sagittarius","Capricorn","Aquarius","Pisces"},0),12)+1),12)+1)="FULL",NOT(CALC_PlanetPositions!$B$10=CALC_D10_Dashamsha!$G$12)),AND(CALC_PlanetPositions!$M$11="Malefic",INDEX(REF_Aspects!$D$5:$O$13,5,MOD(CALC_D10_Dashamsha!$H$12-(MOD(MATCH(CALC_PlanetPositions!$B$11,{"Aries","Taurus","Gemini","Cancer","Leo","Virgo","Libra","Scorpio","Sagittarius","Capricorn","Aquarius","Pisces"},0)-MATCH(INPUT_Chart!$C$5,{"Aries","Taurus","Gemini","Cancer","Leo","Virgo","Libra","Scorpio","Sagittarius","Capricorn","Aquarius","Pisces"},0),12)+1),12)+1)="FULL",NOT(CALC_PlanetPositions!$B$11=CALC_D10_Dashamsha!$G$12)),AND(CALC_PlanetPositions!$M$12="Malefic",INDEX(REF_Aspects!$D$5:$O$13,6,MOD(CALC_D10_Dashamsha!$H$12-(MOD(MATCH(CALC_PlanetPositions!$B$12,{"Aries","Taurus","Gemini","Cancer","Leo","Virgo","Libra","Scorpio","Sagittarius","Capricorn","Aquarius","Pisces"},0)-MATCH(INPUT_Chart!$C$5,{"Aries","Taurus","Gemini","Cancer","Leo","Virgo","Libra","Scorpio","Sagittarius","Capricorn","Aquarius","Pisces"},0),12)+1),12)+1)="FULL",NOT(CALC_PlanetPositions!$B$12=CALC_D10_Dashamsha!$G$12)),AND(CALC_PlanetPositions!$M$13="Malefic",INDEX(REF_Aspects!$D$5:$O$13,7,MOD(CALC_D10_Dashamsha!$H$12-(MOD(MATCH(CALC_PlanetPositions!$B$13,{"Aries","Taurus","Gemini","Cancer","Leo","Virgo","Libra","Scorpio","Sagittarius","Capricorn","Aquarius","Pisces"},0)-MATCH(INPUT_Chart!$C$5,{"Aries","Taurus","Gemini","Cancer","Leo","Virgo","Libra","Scorpio","Sagittarius","Capricorn","Aquarius","Pisces"},0),12)+1),12)+1)="FULL",NOT(CALC_PlanetPositions!$B$13=CALC_D10_Dashamsha!$G$12)),AND(TRUE(),INDEX(REF_Aspects!$D$5:$O$13,8,MOD(CALC_D10_Dashamsha!$H$12-(MOD(MATCH(CALC_PlanetPositions!$B$14,{"Aries","Taurus","Gemini","Cancer","Leo","Virgo","Libra","Scorpio","Sagittarius","Capricorn","Aquarius","Pisces"},0)-MATCH(INPUT_Chart!$C$5,{"Aries","Taurus","Gemini","Cancer","Leo","Virgo","Libra","Scorpio","Sagittarius","Capricorn","Aquarius","Pisces"},0),12)+1),12)+1)="FULL",NOT(CALC_PlanetPositions!$B$14=CALC_D10_Dashamsha!$G$12)),AND(TRUE(),INDEX(REF_Aspects!$D$5:$O$13,9,MOD(CALC_D10_Dashamsha!$H$12-(MOD(MATCH(CALC_PlanetPositions!$B$15,{"Aries","Taurus","Gemini","Cancer","Leo","Virgo","Libra","Scorpio","Sagittarius","Capricorn","Aquarius","Pisces"},0)-MATCH(INPUT_Chart!$C$5,{"Aries","Taurus","Gemini","Cancer","Leo","Virgo","Libra","Scorpio","Sagittarius","Capricorn","Aquarius","Pisces"},0),12)+1),12)+1)="FULL",NOT(CALC_PlanetPositions!$B$15=CALC_D10_Dashamsha!$G$12))),1,0),0))*-0.5,0)</f>
        <v>0</v>
      </c>
      <c r="D21" s="403" t="s">
        <v>4634</v>
      </c>
    </row>
    <row r="22" spans="1:7" ht="27.75" customHeight="1" x14ac:dyDescent="0.2">
      <c r="A22" s="121" t="s">
        <v>4635</v>
      </c>
      <c r="B22" s="357" t="s">
        <v>3042</v>
      </c>
      <c r="C22" s="1117">
        <f>IFERROR((IFERROR(IF(CALC_D10_Dashamsha!$K$12="Yes",1,0),0))*IF(REF_Config!$B$6="KP",-1.75,IF(REF_Config!$B$6="Jaimini",-2,-2)),0)</f>
        <v>0</v>
      </c>
      <c r="D22" s="400" t="s">
        <v>4636</v>
      </c>
    </row>
    <row r="23" spans="1:7" ht="27.75" customHeight="1" x14ac:dyDescent="0.2">
      <c r="A23" s="121" t="s">
        <v>4637</v>
      </c>
      <c r="B23" s="203" t="s">
        <v>3059</v>
      </c>
      <c r="C23" s="1118">
        <f ca="1">IFERROR((IFERROR(IF(OR(AND(CALC_D10_Dashamsha!$G$10=CALC_D10_Dashamsha!$G$12,CALC_D10_Dashamsha!$D$10&lt;&gt;CALC_D10_Dashamsha!$D$12),AND(CALC_D10_Dashamsha!$G$12=CALC_D10_Dashamsha!$G$12,CALC_D10_Dashamsha!$D$12&lt;&gt;CALC_D10_Dashamsha!$D$12),AND(CALC_D10_Dashamsha!$G$16=CALC_D10_Dashamsha!$G$12,CALC_D10_Dashamsha!$D$16&lt;&gt;CALC_D10_Dashamsha!$D$12)),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IFERROR(IF(OR(CALC_D10_Dashamsha!$D$12="Sun",CALC_D10_Dashamsha!$D$12="Rahu",CALC_D10_Dashamsha!$D$12="Ketu"),0,IF(CALC_D10_Dashamsha!$D$12="Moon",IF(CALC_CombustionCheck!$G$4="Cazimi ✓",0.5,IF(CALC_CombustionCheck!$F$4="COMBUST ⚠",-1,0)),IF(CALC_D10_Dashamsha!$D$12="Mars",IF(CALC_CombustionCheck!$G$5="Cazimi ✓",0.5,IF(AND(CALC_CombustionCheck!$F$5="COMBUST ⚠",CALC_RetrogradeFix!$F$6="Rx ✓"),-0.5,IF(CALC_CombustionCheck!$F$5="COMBUST ⚠",-1,0))),IF(CALC_D10_Dashamsha!$D$12="Mercury",IF(CALC_CombustionCheck!$G$6="Cazimi ✓",0.5,IF(AND(CALC_CombustionCheck!$F$6="COMBUST ⚠",CALC_RetrogradeFix!$F$7="Rx ✓"),-0.5,IF(CALC_CombustionCheck!$F$6="COMBUST ⚠",-1,0))),IF(CALC_D10_Dashamsha!$D$12="Jupiter",IF(CALC_CombustionCheck!$G$7="Cazimi ✓",0.5,IF(AND(CALC_CombustionCheck!$F$7="COMBUST ⚠",CALC_RetrogradeFix!$F$8="Rx ✓"),-0.5,IF(CALC_CombustionCheck!$F$7="COMBUST ⚠",-1,0))),IF(CALC_D10_Dashamsha!$D$12="Venus",IF(CALC_CombustionCheck!$G$8="Cazimi ✓",0.5,IF(AND(CALC_CombustionCheck!$F$8="COMBUST ⚠",CALC_RetrogradeFix!$F$9="Rx ✓"),-0.5,IF(CALC_CombustionCheck!$F$8="COMBUST ⚠",-1,0))),IF(CALC_D10_Dashamsha!$D$12="Saturn",IF(CALC_CombustionCheck!$G$9="Cazimi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10_Dashamsha!$D$12="Rahu",CALC_D10_Dashamsha!$D$12="Ketu"),0,IF(ISNUMBER(MATCH(CALC_D10_Dashamsha!$D$12,{"Sun","Moon","Mars","Mercury","Jupiter","Venus","Saturn"},0)),IF(INDEX(CALC_DigBala!$F$4:$F$10,MATCH(CALC_D10_Dashamsha!$D$12,{"Sun","Moon","Mars","Mercury","Jupiter","Venus","Saturn"},0))="Yes",0.5,0),0)),0)</f>
        <v>0</v>
      </c>
      <c r="D28" s="400" t="s">
        <v>4647</v>
      </c>
    </row>
    <row r="29" spans="1:7" ht="27.75" customHeight="1" x14ac:dyDescent="0.2">
      <c r="A29" s="1120" t="s">
        <v>4648</v>
      </c>
      <c r="B29" s="296" t="s">
        <v>3372</v>
      </c>
      <c r="C29" s="1117">
        <f ca="1">IFERROR(IF(COUNTIFS(REF_PushkaraNavamsha!$A$4:$A$27,CALC_D10_Dashamsha!$G$12,REF_PushkaraNavamsha!$B$4:$B$27,INDEX(CALC_PlanetPositions!$G$7:$G$15,MATCH(CALC_D10_Dashamsha!$D$12,CALC_PlanetPositions!$A$7:$A$15,0)))&gt;0,0.5,0),0)</f>
        <v>0</v>
      </c>
      <c r="D29" s="400" t="s">
        <v>4649</v>
      </c>
    </row>
    <row r="30" spans="1:7" ht="25.5" customHeight="1" x14ac:dyDescent="0.2">
      <c r="A30" s="147" t="s">
        <v>4650</v>
      </c>
      <c r="B30" s="1121" t="s">
        <v>4651</v>
      </c>
      <c r="C30" s="1122">
        <f>IFERROR(IF(ISNUMBER(MATCH(CALC_D10_Dashamsha!$D$12,{"Sun","Moon","Mars","Mercury","Jupiter","Venus","Saturn"},0)),INDEX(CALC_RetrogradeFix!$G$4:$G$10,MATCH(CALC_D10_Dashamsha!$D$12,{"Sun","Moon","Mars","Mercury","Jupiter","Venus","Saturn"},0)),0),0)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-2</v>
      </c>
      <c r="D37" s="1129"/>
    </row>
    <row r="38" spans="1:4" ht="21.75" customHeight="1" x14ac:dyDescent="0.2">
      <c r="A38" s="89" t="s">
        <v>4661</v>
      </c>
      <c r="B38" s="1129"/>
      <c r="C38" s="1131">
        <f ca="1">IFERROR(MAX(-10,MIN(10,C37)),0)</f>
        <v>-2</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-2</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4752</v>
      </c>
      <c r="B1" s="1518"/>
      <c r="C1" s="1518"/>
      <c r="D1" s="1518"/>
      <c r="L1" s="544" t="s">
        <v>2214</v>
      </c>
    </row>
    <row r="2" spans="1:12" ht="19.5" customHeight="1" x14ac:dyDescent="0.2">
      <c r="A2" s="1595" t="str">
        <f>IFERROR("D10 Lagna: "&amp;CALC_D10_Dashamsha!$C$5&amp;"  ·  H9 — Fortune","← Enter chart")</f>
        <v>D10 Lagna: Aries  ·  H9 — Fortune</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IFERROR((IFERROR(IF(INDEX(REF_Zodiac!$D$17:$O$17,MATCH(CALC_D10_Dashamsha!$C$13,REF_Zodiac!$D$3:$O$3,0))="Gentle",1,0),0))*0.5,0)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IFERROR(IF(AND(OR(CALC_D10_Dashamsha!$I$13="Yes",CALC_D10_Dashamsha!$J$13="Yes"),NOT(CALC_D10_Dashamsha!$K$13="Yes")),1,0)*IF(REF_Config!$B$6="KP",1.5,IF(REF_Config!$B$6="Jaimini",1.5,2)),0)</f>
        <v>0</v>
      </c>
      <c r="D9" s="403" t="s">
        <v>4612</v>
      </c>
    </row>
    <row r="10" spans="1:12" ht="27.75" customHeight="1" x14ac:dyDescent="0.2">
      <c r="A10" s="121" t="s">
        <v>4613</v>
      </c>
      <c r="B10" s="357" t="s">
        <v>3093</v>
      </c>
      <c r="C10" s="1117">
        <f ca="1">IFERROR((IFERROR(IF(OR(AND(CALC_D10_Dashamsha!$G$13=CALC_D10_Dashamsha!$G$13,CALC_D10_Dashamsha!$D$13&lt;&gt;CALC_D10_Dashamsha!$D$13),AND(CALC_D10_Dashamsha!$G$8=CALC_D10_Dashamsha!$G$13,CALC_D10_Dashamsha!$D$8&lt;&gt;CALC_D10_Dashamsha!$D$13),AND(CALC_D10_Dashamsha!$G$9=CALC_D10_Dashamsha!$G$13,CALC_D10_Dashamsha!$D$9&lt;&gt;CALC_D10_Dashamsha!$D$13),AND(CALC_D10_Dashamsha!$G$11=CALC_D10_Dashamsha!$G$13,CALC_D10_Dashamsha!$D$11&lt;&gt;CALC_D10_Dashamsha!$D$13),AND(CALC_D10_Dashamsha!$G$13=CALC_D10_Dashamsha!$G$13,CALC_D10_Dashamsha!$D$13&lt;&gt;CALC_D10_Dashamsha!$D$13),AND(CALC_D10_Dashamsha!$G$14=CALC_D10_Dashamsha!$G$13,CALC_D10_Dashamsha!$D$14&lt;&gt;CALC_D10_Dashamsha!$D$13)),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$13,CALC_D10_Dashamsha!$D$13&lt;&gt;"Sun"),AND(OR(CALC_PlanetPositions!$M$8="Benefic",CALC_PlanetPositions!$M$8="Yogakaraka"),CALC_PlanetPositions!$B$8=CALC_D10_Dashamsha!$G$13,CALC_D10_Dashamsha!$D$13&lt;&gt;"Moon"),AND(OR(CALC_PlanetPositions!$M$9="Benefic",CALC_PlanetPositions!$M$9="Yogakaraka"),CALC_PlanetPositions!$B$9=CALC_D10_Dashamsha!$G$13,CALC_D10_Dashamsha!$D$13&lt;&gt;"Mars"),AND(OR(CALC_PlanetPositions!$M$10="Benefic",CALC_PlanetPositions!$M$10="Yogakaraka"),CALC_PlanetPositions!$B$10=CALC_D10_Dashamsha!$G$13,CALC_D10_Dashamsha!$D$13&lt;&gt;"Mercury"),AND(OR(CALC_PlanetPositions!$M$11="Benefic",CALC_PlanetPositions!$M$11="Yogakaraka"),CALC_PlanetPositions!$B$11=CALC_D10_Dashamsha!$G$13,CALC_D10_Dashamsha!$D$13&lt;&gt;"Jupiter"),AND(OR(CALC_PlanetPositions!$M$12="Benefic",CALC_PlanetPositions!$M$12="Yogakaraka"),CALC_PlanetPositions!$B$12=CALC_D10_Dashamsha!$G$13,CALC_D10_Dashamsha!$D$13&lt;&gt;"Venus"),AND(OR(CALC_PlanetPositions!$M$13="Benefic",CALC_PlanetPositions!$M$13="Yogakaraka"),CALC_PlanetPositions!$B$13=CALC_D10_Dashamsha!$G$13,CALC_D10_Dashamsha!$D$13&lt;&gt;"Saturn")),1,0),0))*IF(OR(AND(CALC_PlanetPositions!$M$7="Yogakaraka",CALC_PlanetPositions!$B$7=CALC_D10_Dashamsha!$G$13,CALC_D10_Dashamsha!$D$13&lt;&gt;"Sun"),AND(CALC_PlanetPositions!$M$8="Yogakaraka",CALC_PlanetPositions!$B$8=CALC_D10_Dashamsha!$G$13,CALC_D10_Dashamsha!$D$13&lt;&gt;"Moon"),AND(CALC_PlanetPositions!$M$9="Yogakaraka",CALC_PlanetPositions!$B$9=CALC_D10_Dashamsha!$G$13,CALC_D10_Dashamsha!$D$13&lt;&gt;"Mars"),AND(CALC_PlanetPositions!$M$10="Yogakaraka",CALC_PlanetPositions!$B$10=CALC_D10_Dashamsha!$G$13,CALC_D10_Dashamsha!$D$13&lt;&gt;"Mercury"),AND(CALC_PlanetPositions!$M$11="Yogakaraka",CALC_PlanetPositions!$B$11=CALC_D10_Dashamsha!$G$13,CALC_D10_Dashamsha!$D$13&lt;&gt;"Jupiter"),AND(CALC_PlanetPositions!$M$12="Yogakaraka",CALC_PlanetPositions!$B$12=CALC_D10_Dashamsha!$G$13,CALC_D10_Dashamsha!$D$13&lt;&gt;"Venus"),AND(CALC_PlanetPositions!$M$13="Yogakaraka",CALC_PlanetPositions!$B$13=CALC_D10_Dashamsha!$G$13,CALC_D10_Dashamsha!$D$13&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$13-(MOD(MATCH(CALC_PlanetPositions!$B$7,{"Aries","Taurus","Gemini","Cancer","Leo","Virgo","Libra","Scorpio","Sagittarius","Capricorn","Aquarius","Pisces"},0)-MATCH(INPUT_Chart!$C$5,{"Aries","Taurus","Gemini","Cancer","Leo","Virgo","Libra","Scorpio","Sagittarius","Capricorn","Aquarius","Pisces"},0),12)+1),12)+1)="FULL",NOT(CALC_PlanetPositions!$B$7=CALC_D10_Dashamsha!$G$13)),AND(OR(CALC_PlanetPositions!$M$8="Benefic",CALC_PlanetPositions!$M$8="Yogakaraka"),INDEX(REF_Aspects!$D$5:$O$13,2,MOD(CALC_D10_Dashamsha!$H$13-(MOD(MATCH(CALC_PlanetPositions!$B$8,{"Aries","Taurus","Gemini","Cancer","Leo","Virgo","Libra","Scorpio","Sagittarius","Capricorn","Aquarius","Pisces"},0)-MATCH(INPUT_Chart!$C$5,{"Aries","Taurus","Gemini","Cancer","Leo","Virgo","Libra","Scorpio","Sagittarius","Capricorn","Aquarius","Pisces"},0),12)+1),12)+1)="FULL",NOT(CALC_PlanetPositions!$B$8=CALC_D10_Dashamsha!$G$13)),AND(OR(CALC_PlanetPositions!$M$9="Benefic",CALC_PlanetPositions!$M$9="Yogakaraka"),INDEX(REF_Aspects!$D$5:$O$13,3,MOD(CALC_D10_Dashamsha!$H$13-(MOD(MATCH(CALC_PlanetPositions!$B$9,{"Aries","Taurus","Gemini","Cancer","Leo","Virgo","Libra","Scorpio","Sagittarius","Capricorn","Aquarius","Pisces"},0)-MATCH(INPUT_Chart!$C$5,{"Aries","Taurus","Gemini","Cancer","Leo","Virgo","Libra","Scorpio","Sagittarius","Capricorn","Aquarius","Pisces"},0),12)+1),12)+1)="FULL",NOT(CALC_PlanetPositions!$B$9=CALC_D10_Dashamsha!$G$13)),AND(OR(CALC_PlanetPositions!$M$10="Benefic",CALC_PlanetPositions!$M$10="Yogakaraka"),INDEX(REF_Aspects!$D$5:$O$13,4,MOD(CALC_D10_Dashamsha!$H$13-(MOD(MATCH(CALC_PlanetPositions!$B$10,{"Aries","Taurus","Gemini","Cancer","Leo","Virgo","Libra","Scorpio","Sagittarius","Capricorn","Aquarius","Pisces"},0)-MATCH(INPUT_Chart!$C$5,{"Aries","Taurus","Gemini","Cancer","Leo","Virgo","Libra","Scorpio","Sagittarius","Capricorn","Aquarius","Pisces"},0),12)+1),12)+1)="FULL",NOT(CALC_PlanetPositions!$B$10=CALC_D10_Dashamsha!$G$13)),AND(OR(CALC_PlanetPositions!$M$11="Benefic",CALC_PlanetPositions!$M$11="Yogakaraka"),INDEX(REF_Aspects!$D$5:$O$13,5,MOD(CALC_D10_Dashamsha!$H$13-(MOD(MATCH(CALC_PlanetPositions!$B$11,{"Aries","Taurus","Gemini","Cancer","Leo","Virgo","Libra","Scorpio","Sagittarius","Capricorn","Aquarius","Pisces"},0)-MATCH(INPUT_Chart!$C$5,{"Aries","Taurus","Gemini","Cancer","Leo","Virgo","Libra","Scorpio","Sagittarius","Capricorn","Aquarius","Pisces"},0),12)+1),12)+1)="FULL",NOT(CALC_PlanetPositions!$B$11=CALC_D10_Dashamsha!$G$13)),AND(OR(CALC_PlanetPositions!$M$12="Benefic",CALC_PlanetPositions!$M$12="Yogakaraka"),INDEX(REF_Aspects!$D$5:$O$13,6,MOD(CALC_D10_Dashamsha!$H$13-(MOD(MATCH(CALC_PlanetPositions!$B$12,{"Aries","Taurus","Gemini","Cancer","Leo","Virgo","Libra","Scorpio","Sagittarius","Capricorn","Aquarius","Pisces"},0)-MATCH(INPUT_Chart!$C$5,{"Aries","Taurus","Gemini","Cancer","Leo","Virgo","Libra","Scorpio","Sagittarius","Capricorn","Aquarius","Pisces"},0),12)+1),12)+1)="FULL",NOT(CALC_PlanetPositions!$B$12=CALC_D10_Dashamsha!$G$13)),AND(OR(CALC_PlanetPositions!$M$13="Benefic",CALC_PlanetPositions!$M$13="Yogakaraka"),INDEX(REF_Aspects!$D$5:$O$13,7,MOD(CALC_D10_Dashamsha!$H$13-(MOD(MATCH(CALC_PlanetPositions!$B$13,{"Aries","Taurus","Gemini","Cancer","Leo","Virgo","Libra","Scorpio","Sagittarius","Capricorn","Aquarius","Pisces"},0)-MATCH(INPUT_Chart!$C$5,{"Aries","Taurus","Gemini","Cancer","Leo","Virgo","Libra","Scorpio","Sagittarius","Capricorn","Aquarius","Pisces"},0),12)+1),12)+1)="FULL",NOT(CALC_PlanetPositions!$B$13=CALC_D10_Dashamsha!$G$13)),AND(FALSE(),INDEX(REF_Aspects!$D$5:$O$13,8,MOD(CALC_D10_Dashamsha!$H$13-(MOD(MATCH(CALC_PlanetPositions!$B$14,{"Aries","Taurus","Gemini","Cancer","Leo","Virgo","Libra","Scorpio","Sagittarius","Capricorn","Aquarius","Pisces"},0)-MATCH(INPUT_Chart!$C$5,{"Aries","Taurus","Gemini","Cancer","Leo","Virgo","Libra","Scorpio","Sagittarius","Capricorn","Aquarius","Pisces"},0),12)+1),12)+1)="FULL",NOT(CALC_PlanetPositions!$B$14=CALC_D10_Dashamsha!$G$13)),AND(FALSE(),INDEX(REF_Aspects!$D$5:$O$13,9,MOD(CALC_D10_Dashamsha!$H$13-(MOD(MATCH(CALC_PlanetPositions!$B$15,{"Aries","Taurus","Gemini","Cancer","Leo","Virgo","Libra","Scorpio","Sagittarius","Capricorn","Aquarius","Pisces"},0)-MATCH(INPUT_Chart!$C$5,{"Aries","Taurus","Gemini","Cancer","Leo","Virgo","Libra","Scorpio","Sagittarius","Capricorn","Aquarius","Pisces"},0),12)+1),12)+1)="FULL",NOT(CALC_PlanetPositions!$B$15=CALC_D10_Dashamsha!$G$13))),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$13-2,12)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$13-2,12)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$13-2,12)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$13-2,12)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$13-2,12)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$13-2,12)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$13-2,12)+1)),AND(FALSE(),MOD(MATCH(CALC_PlanetPositions!$B$14,{"Aries","Taurus","Gemini","Cancer","Leo","Virgo","Libra","Scorpio","Sagittarius","Capricorn","Aquarius","Pisces"},0)-MATCH(INPUT_Chart!$C$5,{"Aries","Taurus","Gemini","Cancer","Leo","Virgo","Libra","Scorpio","Sagittarius","Capricorn","Aquarius","Pisces"},0),12)+1=(MOD(CALC_D10_Dashamsha!$H$13-2,12)+1)),AND(FALSE(),MOD(MATCH(CALC_PlanetPositions!$B$15,{"Aries","Taurus","Gemini","Cancer","Leo","Virgo","Libra","Scorpio","Sagittarius","Capricorn","Aquarius","Pisces"},0)-MATCH(INPUT_Chart!$C$5,{"Aries","Taurus","Gemini","Cancer","Leo","Virgo","Libra","Scorpio","Sagittarius","Capricorn","Aquarius","Pisces"},0),12)+1=(MOD(CALC_D10_Dashamsha!$H$13-2,12)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$13,12)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$13,12)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$13,12)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$13,12)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$13,12)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$13,12)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$13,12)+1)),AND(FALSE(),MOD(MATCH(CALC_PlanetPositions!$B$14,{"Aries","Taurus","Gemini","Cancer","Leo","Virgo","Libra","Scorpio","Sagittarius","Capricorn","Aquarius","Pisces"},0)-MATCH(INPUT_Chart!$C$5,{"Aries","Taurus","Gemini","Cancer","Leo","Virgo","Libra","Scorpio","Sagittarius","Capricorn","Aquarius","Pisces"},0),12)+1=(MOD(CALC_D10_Dashamsha!$H$13,12)+1)),AND(FALSE(),MOD(MATCH(CALC_PlanetPositions!$B$15,{"Aries","Taurus","Gemini","Cancer","Leo","Virgo","Libra","Scorpio","Sagittarius","Capricorn","Aquarius","Pisces"},0)-MATCH(INPUT_Chart!$C$5,{"Aries","Taurus","Gemini","Cancer","Leo","Virgo","Libra","Scorpio","Sagittarius","Capricorn","Aquarius","Pisces"},0),12)+1=(MOD(CALC_D10_Dashamsha!$H$13,12)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$13-(MOD(MATCH(CALC_PlanetPositions!$B$7,{"Aries","Taurus","Gemini","Cancer","Leo","Virgo","Libra","Scorpio","Sagittarius","Capricorn","Aquarius","Pisces"},0)-MATCH(INPUT_Chart!$C$5,{"Aries","Taurus","Gemini","Cancer","Leo","Virgo","Libra","Scorpio","Sagittarius","Capricorn","Aquarius","Pisces"},0),12)+1),12)+1)="FULL",NOT(CALC_PlanetPositions!$B$7=CALC_D10_Dashamsha!$G$13)),AND(CALC_PlanetPositions!$M$8="Malefic",INDEX(REF_Aspects!$D$5:$O$13,2,MOD(CALC_D10_Dashamsha!$H$13-(MOD(MATCH(CALC_PlanetPositions!$B$8,{"Aries","Taurus","Gemini","Cancer","Leo","Virgo","Libra","Scorpio","Sagittarius","Capricorn","Aquarius","Pisces"},0)-MATCH(INPUT_Chart!$C$5,{"Aries","Taurus","Gemini","Cancer","Leo","Virgo","Libra","Scorpio","Sagittarius","Capricorn","Aquarius","Pisces"},0),12)+1),12)+1)="FULL",NOT(CALC_PlanetPositions!$B$8=CALC_D10_Dashamsha!$G$13)),AND(CALC_PlanetPositions!$M$9="Malefic",INDEX(REF_Aspects!$D$5:$O$13,3,MOD(CALC_D10_Dashamsha!$H$13-(MOD(MATCH(CALC_PlanetPositions!$B$9,{"Aries","Taurus","Gemini","Cancer","Leo","Virgo","Libra","Scorpio","Sagittarius","Capricorn","Aquarius","Pisces"},0)-MATCH(INPUT_Chart!$C$5,{"Aries","Taurus","Gemini","Cancer","Leo","Virgo","Libra","Scorpio","Sagittarius","Capricorn","Aquarius","Pisces"},0),12)+1),12)+1)="FULL",NOT(CALC_PlanetPositions!$B$9=CALC_D10_Dashamsha!$G$13)),AND(CALC_PlanetPositions!$M$10="Malefic",INDEX(REF_Aspects!$D$5:$O$13,4,MOD(CALC_D10_Dashamsha!$H$13-(MOD(MATCH(CALC_PlanetPositions!$B$10,{"Aries","Taurus","Gemini","Cancer","Leo","Virgo","Libra","Scorpio","Sagittarius","Capricorn","Aquarius","Pisces"},0)-MATCH(INPUT_Chart!$C$5,{"Aries","Taurus","Gemini","Cancer","Leo","Virgo","Libra","Scorpio","Sagittarius","Capricorn","Aquarius","Pisces"},0),12)+1),12)+1)="FULL",NOT(CALC_PlanetPositions!$B$10=CALC_D10_Dashamsha!$G$13)),AND(CALC_PlanetPositions!$M$11="Malefic",INDEX(REF_Aspects!$D$5:$O$13,5,MOD(CALC_D10_Dashamsha!$H$13-(MOD(MATCH(CALC_PlanetPositions!$B$11,{"Aries","Taurus","Gemini","Cancer","Leo","Virgo","Libra","Scorpio","Sagittarius","Capricorn","Aquarius","Pisces"},0)-MATCH(INPUT_Chart!$C$5,{"Aries","Taurus","Gemini","Cancer","Leo","Virgo","Libra","Scorpio","Sagittarius","Capricorn","Aquarius","Pisces"},0),12)+1),12)+1)="FULL",NOT(CALC_PlanetPositions!$B$11=CALC_D10_Dashamsha!$G$13)),AND(CALC_PlanetPositions!$M$12="Malefic",INDEX(REF_Aspects!$D$5:$O$13,6,MOD(CALC_D10_Dashamsha!$H$13-(MOD(MATCH(CALC_PlanetPositions!$B$12,{"Aries","Taurus","Gemini","Cancer","Leo","Virgo","Libra","Scorpio","Sagittarius","Capricorn","Aquarius","Pisces"},0)-MATCH(INPUT_Chart!$C$5,{"Aries","Taurus","Gemini","Cancer","Leo","Virgo","Libra","Scorpio","Sagittarius","Capricorn","Aquarius","Pisces"},0),12)+1),12)+1)="FULL",NOT(CALC_PlanetPositions!$B$12=CALC_D10_Dashamsha!$G$13)),AND(CALC_PlanetPositions!$M$13="Malefic",INDEX(REF_Aspects!$D$5:$O$13,7,MOD(CALC_D10_Dashamsha!$H$13-(MOD(MATCH(CALC_PlanetPositions!$B$13,{"Aries","Taurus","Gemini","Cancer","Leo","Virgo","Libra","Scorpio","Sagittarius","Capricorn","Aquarius","Pisces"},0)-MATCH(INPUT_Chart!$C$5,{"Aries","Taurus","Gemini","Cancer","Leo","Virgo","Libra","Scorpio","Sagittarius","Capricorn","Aquarius","Pisces"},0),12)+1),12)+1)="FULL",NOT(CALC_PlanetPositions!$B$13=CALC_D10_Dashamsha!$G$13)),AND(TRUE(),INDEX(REF_Aspects!$D$5:$O$13,8,MOD(CALC_D10_Dashamsha!$H$13-(MOD(MATCH(CALC_PlanetPositions!$B$14,{"Aries","Taurus","Gemini","Cancer","Leo","Virgo","Libra","Scorpio","Sagittarius","Capricorn","Aquarius","Pisces"},0)-MATCH(INPUT_Chart!$C$5,{"Aries","Taurus","Gemini","Cancer","Leo","Virgo","Libra","Scorpio","Sagittarius","Capricorn","Aquarius","Pisces"},0),12)+1),12)+1)="FULL",NOT(CALC_PlanetPositions!$B$14=CALC_D10_Dashamsha!$G$13)),AND(TRUE(),INDEX(REF_Aspects!$D$5:$O$13,9,MOD(CALC_D10_Dashamsha!$H$13-(MOD(MATCH(CALC_PlanetPositions!$B$15,{"Aries","Taurus","Gemini","Cancer","Leo","Virgo","Libra","Scorpio","Sagittarius","Capricorn","Aquarius","Pisces"},0)-MATCH(INPUT_Chart!$C$5,{"Aries","Taurus","Gemini","Cancer","Leo","Virgo","Libra","Scorpio","Sagittarius","Capricorn","Aquarius","Pisces"},0),12)+1),12)+1)="FULL",NOT(CALC_PlanetPositions!$B$15=CALC_D10_Dashamsha!$G$13))),1,0),0))*-0.5,0)</f>
        <v>0</v>
      </c>
      <c r="D21" s="403" t="s">
        <v>4634</v>
      </c>
    </row>
    <row r="22" spans="1:7" ht="27.75" customHeight="1" x14ac:dyDescent="0.2">
      <c r="A22" s="121" t="s">
        <v>4635</v>
      </c>
      <c r="B22" s="357" t="s">
        <v>3042</v>
      </c>
      <c r="C22" s="1117">
        <f>IFERROR((IFERROR(IF(CALC_D10_Dashamsha!$K$13="Yes",1,0),0))*IF(REF_Config!$B$6="KP",-1.75,IF(REF_Config!$B$6="Jaimini",-2,-2)),0)</f>
        <v>0</v>
      </c>
      <c r="D22" s="400" t="s">
        <v>4636</v>
      </c>
    </row>
    <row r="23" spans="1:7" ht="27.75" customHeight="1" x14ac:dyDescent="0.2">
      <c r="A23" s="121" t="s">
        <v>4637</v>
      </c>
      <c r="B23" s="203" t="s">
        <v>3059</v>
      </c>
      <c r="C23" s="1118">
        <f ca="1">IFERROR((IFERROR(IF(OR(AND(CALC_D10_Dashamsha!$G$10=CALC_D10_Dashamsha!$G$13,CALC_D10_Dashamsha!$D$10&lt;&gt;CALC_D10_Dashamsha!$D$13),AND(CALC_D10_Dashamsha!$G$12=CALC_D10_Dashamsha!$G$13,CALC_D10_Dashamsha!$D$12&lt;&gt;CALC_D10_Dashamsha!$D$13),AND(CALC_D10_Dashamsha!$G$16=CALC_D10_Dashamsha!$G$13,CALC_D10_Dashamsha!$D$16&lt;&gt;CALC_D10_Dashamsha!$D$13)),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IFERROR(IF(OR(CALC_D10_Dashamsha!$D$13="Sun",CALC_D10_Dashamsha!$D$13="Rahu",CALC_D10_Dashamsha!$D$13="Ketu"),0,IF(CALC_D10_Dashamsha!$D$13="Moon",IF(CALC_CombustionCheck!$G$4="Cazimi ✓",0.5,IF(CALC_CombustionCheck!$F$4="COMBUST ⚠",-1,0)),IF(CALC_D10_Dashamsha!$D$13="Mars",IF(CALC_CombustionCheck!$G$5="Cazimi ✓",0.5,IF(AND(CALC_CombustionCheck!$F$5="COMBUST ⚠",CALC_RetrogradeFix!$F$6="Rx ✓"),-0.5,IF(CALC_CombustionCheck!$F$5="COMBUST ⚠",-1,0))),IF(CALC_D10_Dashamsha!$D$13="Mercury",IF(CALC_CombustionCheck!$G$6="Cazimi ✓",0.5,IF(AND(CALC_CombustionCheck!$F$6="COMBUST ⚠",CALC_RetrogradeFix!$F$7="Rx ✓"),-0.5,IF(CALC_CombustionCheck!$F$6="COMBUST ⚠",-1,0))),IF(CALC_D10_Dashamsha!$D$13="Jupiter",IF(CALC_CombustionCheck!$G$7="Cazimi ✓",0.5,IF(AND(CALC_CombustionCheck!$F$7="COMBUST ⚠",CALC_RetrogradeFix!$F$8="Rx ✓"),-0.5,IF(CALC_CombustionCheck!$F$7="COMBUST ⚠",-1,0))),IF(CALC_D10_Dashamsha!$D$13="Venus",IF(CALC_CombustionCheck!$G$8="Cazimi ✓",0.5,IF(AND(CALC_CombustionCheck!$F$8="COMBUST ⚠",CALC_RetrogradeFix!$F$9="Rx ✓"),-0.5,IF(CALC_CombustionCheck!$F$8="COMBUST ⚠",-1,0))),IF(CALC_D10_Dashamsha!$D$13="Saturn",IF(CALC_CombustionCheck!$G$9="Cazimi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10_Dashamsha!$D$13="Rahu",CALC_D10_Dashamsha!$D$13="Ketu"),0,IF(ISNUMBER(MATCH(CALC_D10_Dashamsha!$D$13,{"Sun","Moon","Mars","Mercury","Jupiter","Venus","Saturn"},0)),IF(INDEX(CALC_DigBala!$F$4:$F$10,MATCH(CALC_D10_Dashamsha!$D$13,{"Sun","Moon","Mars","Mercury","Jupiter","Venus","Saturn"},0))="Yes",0.5,0),0)),0)</f>
        <v>0</v>
      </c>
      <c r="D28" s="400" t="s">
        <v>4647</v>
      </c>
    </row>
    <row r="29" spans="1:7" ht="27.75" customHeight="1" x14ac:dyDescent="0.2">
      <c r="A29" s="1120" t="s">
        <v>4648</v>
      </c>
      <c r="B29" s="296" t="s">
        <v>3372</v>
      </c>
      <c r="C29" s="1117">
        <f ca="1">IFERROR(IF(COUNTIFS(REF_PushkaraNavamsha!$A$4:$A$27,CALC_D10_Dashamsha!$G$13,REF_PushkaraNavamsha!$B$4:$B$27,INDEX(CALC_PlanetPositions!$G$7:$G$15,MATCH(CALC_D10_Dashamsha!$D$13,CALC_PlanetPositions!$A$7:$A$15,0)))&gt;0,0.5,0),0)</f>
        <v>0</v>
      </c>
      <c r="D29" s="400" t="s">
        <v>4649</v>
      </c>
    </row>
    <row r="30" spans="1:7" ht="25.5" customHeight="1" x14ac:dyDescent="0.2">
      <c r="A30" s="147" t="s">
        <v>4650</v>
      </c>
      <c r="B30" s="1121" t="s">
        <v>4651</v>
      </c>
      <c r="C30" s="1122">
        <f>IFERROR(IF(ISNUMBER(MATCH(CALC_D10_Dashamsha!$D$13,{"Sun","Moon","Mars","Mercury","Jupiter","Venus","Saturn"},0)),INDEX(CALC_RetrogradeFix!$G$4:$G$10,MATCH(CALC_D10_Dashamsha!$D$13,{"Sun","Moon","Mars","Mercury","Jupiter","Venus","Saturn"},0)),0),0)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-1.4</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4677</v>
      </c>
      <c r="B41" s="1129"/>
      <c r="C41" s="470">
        <v>0.1</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4753</v>
      </c>
      <c r="B1" s="1518"/>
      <c r="C1" s="1518"/>
      <c r="D1" s="1518"/>
      <c r="L1" s="544" t="s">
        <v>2214</v>
      </c>
    </row>
    <row r="2" spans="1:12" ht="19.5" customHeight="1" x14ac:dyDescent="0.2">
      <c r="A2" s="1595" t="str">
        <f>IFERROR("D10 Lagna: "&amp;CALC_D10_Dashamsha!$C$5&amp;"  ·  H10 — Career","← Enter chart")</f>
        <v>D10 Lagna: Aries  ·  H10 — Career</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IFERROR((IFERROR(IF(INDEX(REF_Zodiac!$D$17:$O$17,MATCH(CALC_D10_Dashamsha!$C$14,REF_Zodiac!$D$3:$O$3,0))="Gentle",1,0),0))*0.5,0)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IFERROR(IF(AND(OR(CALC_D10_Dashamsha!$I$14="Yes",CALC_D10_Dashamsha!$J$14="Yes"),NOT(CALC_D10_Dashamsha!$K$14="Yes")),1,0)*IF(REF_Config!$B$6="KP",1.5,IF(REF_Config!$B$6="Jaimini",1.5,2)),0)</f>
        <v>0</v>
      </c>
      <c r="D9" s="403" t="s">
        <v>4612</v>
      </c>
    </row>
    <row r="10" spans="1:12" ht="27.75" customHeight="1" x14ac:dyDescent="0.2">
      <c r="A10" s="121" t="s">
        <v>4613</v>
      </c>
      <c r="B10" s="357" t="s">
        <v>3093</v>
      </c>
      <c r="C10" s="1117">
        <f ca="1">IFERROR((IFERROR(IF(OR(AND(CALC_D10_Dashamsha!$G$14=CALC_D10_Dashamsha!$G$14,CALC_D10_Dashamsha!$D$14&lt;&gt;CALC_D10_Dashamsha!$D$14),AND(CALC_D10_Dashamsha!$G$8=CALC_D10_Dashamsha!$G$14,CALC_D10_Dashamsha!$D$8&lt;&gt;CALC_D10_Dashamsha!$D$14),AND(CALC_D10_Dashamsha!$G$9=CALC_D10_Dashamsha!$G$14,CALC_D10_Dashamsha!$D$9&lt;&gt;CALC_D10_Dashamsha!$D$14),AND(CALC_D10_Dashamsha!$G$11=CALC_D10_Dashamsha!$G$14,CALC_D10_Dashamsha!$D$11&lt;&gt;CALC_D10_Dashamsha!$D$14),AND(CALC_D10_Dashamsha!$G$13=CALC_D10_Dashamsha!$G$14,CALC_D10_Dashamsha!$D$13&lt;&gt;CALC_D10_Dashamsha!$D$14),AND(CALC_D10_Dashamsha!$G$14=CALC_D10_Dashamsha!$G$14,CALC_D10_Dashamsha!$D$14&lt;&gt;CALC_D10_Dashamsha!$D$14)),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$14,CALC_D10_Dashamsha!$D$14&lt;&gt;"Sun"),AND(OR(CALC_PlanetPositions!$M$8="Benefic",CALC_PlanetPositions!$M$8="Yogakaraka"),CALC_PlanetPositions!$B$8=CALC_D10_Dashamsha!$G$14,CALC_D10_Dashamsha!$D$14&lt;&gt;"Moon"),AND(OR(CALC_PlanetPositions!$M$9="Benefic",CALC_PlanetPositions!$M$9="Yogakaraka"),CALC_PlanetPositions!$B$9=CALC_D10_Dashamsha!$G$14,CALC_D10_Dashamsha!$D$14&lt;&gt;"Mars"),AND(OR(CALC_PlanetPositions!$M$10="Benefic",CALC_PlanetPositions!$M$10="Yogakaraka"),CALC_PlanetPositions!$B$10=CALC_D10_Dashamsha!$G$14,CALC_D10_Dashamsha!$D$14&lt;&gt;"Mercury"),AND(OR(CALC_PlanetPositions!$M$11="Benefic",CALC_PlanetPositions!$M$11="Yogakaraka"),CALC_PlanetPositions!$B$11=CALC_D10_Dashamsha!$G$14,CALC_D10_Dashamsha!$D$14&lt;&gt;"Jupiter"),AND(OR(CALC_PlanetPositions!$M$12="Benefic",CALC_PlanetPositions!$M$12="Yogakaraka"),CALC_PlanetPositions!$B$12=CALC_D10_Dashamsha!$G$14,CALC_D10_Dashamsha!$D$14&lt;&gt;"Venus"),AND(OR(CALC_PlanetPositions!$M$13="Benefic",CALC_PlanetPositions!$M$13="Yogakaraka"),CALC_PlanetPositions!$B$13=CALC_D10_Dashamsha!$G$14,CALC_D10_Dashamsha!$D$14&lt;&gt;"Saturn")),1,0),0))*IF(OR(AND(CALC_PlanetPositions!$M$7="Yogakaraka",CALC_PlanetPositions!$B$7=CALC_D10_Dashamsha!$G$14,CALC_D10_Dashamsha!$D$14&lt;&gt;"Sun"),AND(CALC_PlanetPositions!$M$8="Yogakaraka",CALC_PlanetPositions!$B$8=CALC_D10_Dashamsha!$G$14,CALC_D10_Dashamsha!$D$14&lt;&gt;"Moon"),AND(CALC_PlanetPositions!$M$9="Yogakaraka",CALC_PlanetPositions!$B$9=CALC_D10_Dashamsha!$G$14,CALC_D10_Dashamsha!$D$14&lt;&gt;"Mars"),AND(CALC_PlanetPositions!$M$10="Yogakaraka",CALC_PlanetPositions!$B$10=CALC_D10_Dashamsha!$G$14,CALC_D10_Dashamsha!$D$14&lt;&gt;"Mercury"),AND(CALC_PlanetPositions!$M$11="Yogakaraka",CALC_PlanetPositions!$B$11=CALC_D10_Dashamsha!$G$14,CALC_D10_Dashamsha!$D$14&lt;&gt;"Jupiter"),AND(CALC_PlanetPositions!$M$12="Yogakaraka",CALC_PlanetPositions!$B$12=CALC_D10_Dashamsha!$G$14,CALC_D10_Dashamsha!$D$14&lt;&gt;"Venus"),AND(CALC_PlanetPositions!$M$13="Yogakaraka",CALC_PlanetPositions!$B$13=CALC_D10_Dashamsha!$G$14,CALC_D10_Dashamsha!$D$14&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$14-(MOD(MATCH(CALC_PlanetPositions!$B$7,{"Aries","Taurus","Gemini","Cancer","Leo","Virgo","Libra","Scorpio","Sagittarius","Capricorn","Aquarius","Pisces"},0)-MATCH(INPUT_Chart!$C$5,{"Aries","Taurus","Gemini","Cancer","Leo","Virgo","Libra","Scorpio","Sagittarius","Capricorn","Aquarius","Pisces"},0),12)+1),12)+1)="FULL",NOT(CALC_PlanetPositions!$B$7=CALC_D10_Dashamsha!$G$14)),AND(OR(CALC_PlanetPositions!$M$8="Benefic",CALC_PlanetPositions!$M$8="Yogakaraka"),INDEX(REF_Aspects!$D$5:$O$13,2,MOD(CALC_D10_Dashamsha!$H$14-(MOD(MATCH(CALC_PlanetPositions!$B$8,{"Aries","Taurus","Gemini","Cancer","Leo","Virgo","Libra","Scorpio","Sagittarius","Capricorn","Aquarius","Pisces"},0)-MATCH(INPUT_Chart!$C$5,{"Aries","Taurus","Gemini","Cancer","Leo","Virgo","Libra","Scorpio","Sagittarius","Capricorn","Aquarius","Pisces"},0),12)+1),12)+1)="FULL",NOT(CALC_PlanetPositions!$B$8=CALC_D10_Dashamsha!$G$14)),AND(OR(CALC_PlanetPositions!$M$9="Benefic",CALC_PlanetPositions!$M$9="Yogakaraka"),INDEX(REF_Aspects!$D$5:$O$13,3,MOD(CALC_D10_Dashamsha!$H$14-(MOD(MATCH(CALC_PlanetPositions!$B$9,{"Aries","Taurus","Gemini","Cancer","Leo","Virgo","Libra","Scorpio","Sagittarius","Capricorn","Aquarius","Pisces"},0)-MATCH(INPUT_Chart!$C$5,{"Aries","Taurus","Gemini","Cancer","Leo","Virgo","Libra","Scorpio","Sagittarius","Capricorn","Aquarius","Pisces"},0),12)+1),12)+1)="FULL",NOT(CALC_PlanetPositions!$B$9=CALC_D10_Dashamsha!$G$14)),AND(OR(CALC_PlanetPositions!$M$10="Benefic",CALC_PlanetPositions!$M$10="Yogakaraka"),INDEX(REF_Aspects!$D$5:$O$13,4,MOD(CALC_D10_Dashamsha!$H$14-(MOD(MATCH(CALC_PlanetPositions!$B$10,{"Aries","Taurus","Gemini","Cancer","Leo","Virgo","Libra","Scorpio","Sagittarius","Capricorn","Aquarius","Pisces"},0)-MATCH(INPUT_Chart!$C$5,{"Aries","Taurus","Gemini","Cancer","Leo","Virgo","Libra","Scorpio","Sagittarius","Capricorn","Aquarius","Pisces"},0),12)+1),12)+1)="FULL",NOT(CALC_PlanetPositions!$B$10=CALC_D10_Dashamsha!$G$14)),AND(OR(CALC_PlanetPositions!$M$11="Benefic",CALC_PlanetPositions!$M$11="Yogakaraka"),INDEX(REF_Aspects!$D$5:$O$13,5,MOD(CALC_D10_Dashamsha!$H$14-(MOD(MATCH(CALC_PlanetPositions!$B$11,{"Aries","Taurus","Gemini","Cancer","Leo","Virgo","Libra","Scorpio","Sagittarius","Capricorn","Aquarius","Pisces"},0)-MATCH(INPUT_Chart!$C$5,{"Aries","Taurus","Gemini","Cancer","Leo","Virgo","Libra","Scorpio","Sagittarius","Capricorn","Aquarius","Pisces"},0),12)+1),12)+1)="FULL",NOT(CALC_PlanetPositions!$B$11=CALC_D10_Dashamsha!$G$14)),AND(OR(CALC_PlanetPositions!$M$12="Benefic",CALC_PlanetPositions!$M$12="Yogakaraka"),INDEX(REF_Aspects!$D$5:$O$13,6,MOD(CALC_D10_Dashamsha!$H$14-(MOD(MATCH(CALC_PlanetPositions!$B$12,{"Aries","Taurus","Gemini","Cancer","Leo","Virgo","Libra","Scorpio","Sagittarius","Capricorn","Aquarius","Pisces"},0)-MATCH(INPUT_Chart!$C$5,{"Aries","Taurus","Gemini","Cancer","Leo","Virgo","Libra","Scorpio","Sagittarius","Capricorn","Aquarius","Pisces"},0),12)+1),12)+1)="FULL",NOT(CALC_PlanetPositions!$B$12=CALC_D10_Dashamsha!$G$14)),AND(OR(CALC_PlanetPositions!$M$13="Benefic",CALC_PlanetPositions!$M$13="Yogakaraka"),INDEX(REF_Aspects!$D$5:$O$13,7,MOD(CALC_D10_Dashamsha!$H$14-(MOD(MATCH(CALC_PlanetPositions!$B$13,{"Aries","Taurus","Gemini","Cancer","Leo","Virgo","Libra","Scorpio","Sagittarius","Capricorn","Aquarius","Pisces"},0)-MATCH(INPUT_Chart!$C$5,{"Aries","Taurus","Gemini","Cancer","Leo","Virgo","Libra","Scorpio","Sagittarius","Capricorn","Aquarius","Pisces"},0),12)+1),12)+1)="FULL",NOT(CALC_PlanetPositions!$B$13=CALC_D10_Dashamsha!$G$14)),AND(FALSE(),INDEX(REF_Aspects!$D$5:$O$13,8,MOD(CALC_D10_Dashamsha!$H$14-(MOD(MATCH(CALC_PlanetPositions!$B$14,{"Aries","Taurus","Gemini","Cancer","Leo","Virgo","Libra","Scorpio","Sagittarius","Capricorn","Aquarius","Pisces"},0)-MATCH(INPUT_Chart!$C$5,{"Aries","Taurus","Gemini","Cancer","Leo","Virgo","Libra","Scorpio","Sagittarius","Capricorn","Aquarius","Pisces"},0),12)+1),12)+1)="FULL",NOT(CALC_PlanetPositions!$B$14=CALC_D10_Dashamsha!$G$14)),AND(FALSE(),INDEX(REF_Aspects!$D$5:$O$13,9,MOD(CALC_D10_Dashamsha!$H$14-(MOD(MATCH(CALC_PlanetPositions!$B$15,{"Aries","Taurus","Gemini","Cancer","Leo","Virgo","Libra","Scorpio","Sagittarius","Capricorn","Aquarius","Pisces"},0)-MATCH(INPUT_Chart!$C$5,{"Aries","Taurus","Gemini","Cancer","Leo","Virgo","Libra","Scorpio","Sagittarius","Capricorn","Aquarius","Pisces"},0),12)+1),12)+1)="FULL",NOT(CALC_PlanetPositions!$B$15=CALC_D10_Dashamsha!$G$14))),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$14-2,12)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$14-2,12)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$14-2,12)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$14-2,12)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$14-2,12)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$14-2,12)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$14-2,12)+1)),AND(FALSE(),MOD(MATCH(CALC_PlanetPositions!$B$14,{"Aries","Taurus","Gemini","Cancer","Leo","Virgo","Libra","Scorpio","Sagittarius","Capricorn","Aquarius","Pisces"},0)-MATCH(INPUT_Chart!$C$5,{"Aries","Taurus","Gemini","Cancer","Leo","Virgo","Libra","Scorpio","Sagittarius","Capricorn","Aquarius","Pisces"},0),12)+1=(MOD(CALC_D10_Dashamsha!$H$14-2,12)+1)),AND(FALSE(),MOD(MATCH(CALC_PlanetPositions!$B$15,{"Aries","Taurus","Gemini","Cancer","Leo","Virgo","Libra","Scorpio","Sagittarius","Capricorn","Aquarius","Pisces"},0)-MATCH(INPUT_Chart!$C$5,{"Aries","Taurus","Gemini","Cancer","Leo","Virgo","Libra","Scorpio","Sagittarius","Capricorn","Aquarius","Pisces"},0),12)+1=(MOD(CALC_D10_Dashamsha!$H$14-2,12)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$14,12)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$14,12)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$14,12)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$14,12)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$14,12)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$14,12)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$14,12)+1)),AND(FALSE(),MOD(MATCH(CALC_PlanetPositions!$B$14,{"Aries","Taurus","Gemini","Cancer","Leo","Virgo","Libra","Scorpio","Sagittarius","Capricorn","Aquarius","Pisces"},0)-MATCH(INPUT_Chart!$C$5,{"Aries","Taurus","Gemini","Cancer","Leo","Virgo","Libra","Scorpio","Sagittarius","Capricorn","Aquarius","Pisces"},0),12)+1=(MOD(CALC_D10_Dashamsha!$H$14,12)+1)),AND(FALSE(),MOD(MATCH(CALC_PlanetPositions!$B$15,{"Aries","Taurus","Gemini","Cancer","Leo","Virgo","Libra","Scorpio","Sagittarius","Capricorn","Aquarius","Pisces"},0)-MATCH(INPUT_Chart!$C$5,{"Aries","Taurus","Gemini","Cancer","Leo","Virgo","Libra","Scorpio","Sagittarius","Capricorn","Aquarius","Pisces"},0),12)+1=(MOD(CALC_D10_Dashamsha!$H$14,12)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$14-(MOD(MATCH(CALC_PlanetPositions!$B$7,{"Aries","Taurus","Gemini","Cancer","Leo","Virgo","Libra","Scorpio","Sagittarius","Capricorn","Aquarius","Pisces"},0)-MATCH(INPUT_Chart!$C$5,{"Aries","Taurus","Gemini","Cancer","Leo","Virgo","Libra","Scorpio","Sagittarius","Capricorn","Aquarius","Pisces"},0),12)+1),12)+1)="FULL",NOT(CALC_PlanetPositions!$B$7=CALC_D10_Dashamsha!$G$14)),AND(CALC_PlanetPositions!$M$8="Malefic",INDEX(REF_Aspects!$D$5:$O$13,2,MOD(CALC_D10_Dashamsha!$H$14-(MOD(MATCH(CALC_PlanetPositions!$B$8,{"Aries","Taurus","Gemini","Cancer","Leo","Virgo","Libra","Scorpio","Sagittarius","Capricorn","Aquarius","Pisces"},0)-MATCH(INPUT_Chart!$C$5,{"Aries","Taurus","Gemini","Cancer","Leo","Virgo","Libra","Scorpio","Sagittarius","Capricorn","Aquarius","Pisces"},0),12)+1),12)+1)="FULL",NOT(CALC_PlanetPositions!$B$8=CALC_D10_Dashamsha!$G$14)),AND(CALC_PlanetPositions!$M$9="Malefic",INDEX(REF_Aspects!$D$5:$O$13,3,MOD(CALC_D10_Dashamsha!$H$14-(MOD(MATCH(CALC_PlanetPositions!$B$9,{"Aries","Taurus","Gemini","Cancer","Leo","Virgo","Libra","Scorpio","Sagittarius","Capricorn","Aquarius","Pisces"},0)-MATCH(INPUT_Chart!$C$5,{"Aries","Taurus","Gemini","Cancer","Leo","Virgo","Libra","Scorpio","Sagittarius","Capricorn","Aquarius","Pisces"},0),12)+1),12)+1)="FULL",NOT(CALC_PlanetPositions!$B$9=CALC_D10_Dashamsha!$G$14)),AND(CALC_PlanetPositions!$M$10="Malefic",INDEX(REF_Aspects!$D$5:$O$13,4,MOD(CALC_D10_Dashamsha!$H$14-(MOD(MATCH(CALC_PlanetPositions!$B$10,{"Aries","Taurus","Gemini","Cancer","Leo","Virgo","Libra","Scorpio","Sagittarius","Capricorn","Aquarius","Pisces"},0)-MATCH(INPUT_Chart!$C$5,{"Aries","Taurus","Gemini","Cancer","Leo","Virgo","Libra","Scorpio","Sagittarius","Capricorn","Aquarius","Pisces"},0),12)+1),12)+1)="FULL",NOT(CALC_PlanetPositions!$B$10=CALC_D10_Dashamsha!$G$14)),AND(CALC_PlanetPositions!$M$11="Malefic",INDEX(REF_Aspects!$D$5:$O$13,5,MOD(CALC_D10_Dashamsha!$H$14-(MOD(MATCH(CALC_PlanetPositions!$B$11,{"Aries","Taurus","Gemini","Cancer","Leo","Virgo","Libra","Scorpio","Sagittarius","Capricorn","Aquarius","Pisces"},0)-MATCH(INPUT_Chart!$C$5,{"Aries","Taurus","Gemini","Cancer","Leo","Virgo","Libra","Scorpio","Sagittarius","Capricorn","Aquarius","Pisces"},0),12)+1),12)+1)="FULL",NOT(CALC_PlanetPositions!$B$11=CALC_D10_Dashamsha!$G$14)),AND(CALC_PlanetPositions!$M$12="Malefic",INDEX(REF_Aspects!$D$5:$O$13,6,MOD(CALC_D10_Dashamsha!$H$14-(MOD(MATCH(CALC_PlanetPositions!$B$12,{"Aries","Taurus","Gemini","Cancer","Leo","Virgo","Libra","Scorpio","Sagittarius","Capricorn","Aquarius","Pisces"},0)-MATCH(INPUT_Chart!$C$5,{"Aries","Taurus","Gemini","Cancer","Leo","Virgo","Libra","Scorpio","Sagittarius","Capricorn","Aquarius","Pisces"},0),12)+1),12)+1)="FULL",NOT(CALC_PlanetPositions!$B$12=CALC_D10_Dashamsha!$G$14)),AND(CALC_PlanetPositions!$M$13="Malefic",INDEX(REF_Aspects!$D$5:$O$13,7,MOD(CALC_D10_Dashamsha!$H$14-(MOD(MATCH(CALC_PlanetPositions!$B$13,{"Aries","Taurus","Gemini","Cancer","Leo","Virgo","Libra","Scorpio","Sagittarius","Capricorn","Aquarius","Pisces"},0)-MATCH(INPUT_Chart!$C$5,{"Aries","Taurus","Gemini","Cancer","Leo","Virgo","Libra","Scorpio","Sagittarius","Capricorn","Aquarius","Pisces"},0),12)+1),12)+1)="FULL",NOT(CALC_PlanetPositions!$B$13=CALC_D10_Dashamsha!$G$14)),AND(TRUE(),INDEX(REF_Aspects!$D$5:$O$13,8,MOD(CALC_D10_Dashamsha!$H$14-(MOD(MATCH(CALC_PlanetPositions!$B$14,{"Aries","Taurus","Gemini","Cancer","Leo","Virgo","Libra","Scorpio","Sagittarius","Capricorn","Aquarius","Pisces"},0)-MATCH(INPUT_Chart!$C$5,{"Aries","Taurus","Gemini","Cancer","Leo","Virgo","Libra","Scorpio","Sagittarius","Capricorn","Aquarius","Pisces"},0),12)+1),12)+1)="FULL",NOT(CALC_PlanetPositions!$B$14=CALC_D10_Dashamsha!$G$14)),AND(TRUE(),INDEX(REF_Aspects!$D$5:$O$13,9,MOD(CALC_D10_Dashamsha!$H$14-(MOD(MATCH(CALC_PlanetPositions!$B$15,{"Aries","Taurus","Gemini","Cancer","Leo","Virgo","Libra","Scorpio","Sagittarius","Capricorn","Aquarius","Pisces"},0)-MATCH(INPUT_Chart!$C$5,{"Aries","Taurus","Gemini","Cancer","Leo","Virgo","Libra","Scorpio","Sagittarius","Capricorn","Aquarius","Pisces"},0),12)+1),12)+1)="FULL",NOT(CALC_PlanetPositions!$B$15=CALC_D10_Dashamsha!$G$14))),1,0),0))*-0.5,0)</f>
        <v>0</v>
      </c>
      <c r="D21" s="403" t="s">
        <v>4634</v>
      </c>
    </row>
    <row r="22" spans="1:7" ht="27.75" customHeight="1" x14ac:dyDescent="0.2">
      <c r="A22" s="121" t="s">
        <v>4635</v>
      </c>
      <c r="B22" s="357" t="s">
        <v>3042</v>
      </c>
      <c r="C22" s="1117">
        <f>IFERROR((IFERROR(IF(CALC_D10_Dashamsha!$K$14="Yes",1,0),0))*IF(REF_Config!$B$6="KP",-1.75,IF(REF_Config!$B$6="Jaimini",-2,-2)),0)</f>
        <v>0</v>
      </c>
      <c r="D22" s="400" t="s">
        <v>4636</v>
      </c>
    </row>
    <row r="23" spans="1:7" ht="27.75" customHeight="1" x14ac:dyDescent="0.2">
      <c r="A23" s="121" t="s">
        <v>4637</v>
      </c>
      <c r="B23" s="203" t="s">
        <v>3059</v>
      </c>
      <c r="C23" s="1118">
        <f ca="1">IFERROR((IFERROR(IF(OR(AND(CALC_D10_Dashamsha!$G$10=CALC_D10_Dashamsha!$G$14,CALC_D10_Dashamsha!$D$10&lt;&gt;CALC_D10_Dashamsha!$D$14),AND(CALC_D10_Dashamsha!$G$12=CALC_D10_Dashamsha!$G$14,CALC_D10_Dashamsha!$D$12&lt;&gt;CALC_D10_Dashamsha!$D$14),AND(CALC_D10_Dashamsha!$G$16=CALC_D10_Dashamsha!$G$14,CALC_D10_Dashamsha!$D$16&lt;&gt;CALC_D10_Dashamsha!$D$14)),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IFERROR(IF(OR(CALC_D10_Dashamsha!$D$14="Sun",CALC_D10_Dashamsha!$D$14="Rahu",CALC_D10_Dashamsha!$D$14="Ketu"),0,IF(CALC_D10_Dashamsha!$D$14="Moon",IF(CALC_CombustionCheck!$G$4="Cazimi ✓",0.5,IF(CALC_CombustionCheck!$F$4="COMBUST ⚠",-1,0)),IF(CALC_D10_Dashamsha!$D$14="Mars",IF(CALC_CombustionCheck!$G$5="Cazimi ✓",0.5,IF(AND(CALC_CombustionCheck!$F$5="COMBUST ⚠",CALC_RetrogradeFix!$F$6="Rx ✓"),-0.5,IF(CALC_CombustionCheck!$F$5="COMBUST ⚠",-1,0))),IF(CALC_D10_Dashamsha!$D$14="Mercury",IF(CALC_CombustionCheck!$G$6="Cazimi ✓",0.5,IF(AND(CALC_CombustionCheck!$F$6="COMBUST ⚠",CALC_RetrogradeFix!$F$7="Rx ✓"),-0.5,IF(CALC_CombustionCheck!$F$6="COMBUST ⚠",-1,0))),IF(CALC_D10_Dashamsha!$D$14="Jupiter",IF(CALC_CombustionCheck!$G$7="Cazimi ✓",0.5,IF(AND(CALC_CombustionCheck!$F$7="COMBUST ⚠",CALC_RetrogradeFix!$F$8="Rx ✓"),-0.5,IF(CALC_CombustionCheck!$F$7="COMBUST ⚠",-1,0))),IF(CALC_D10_Dashamsha!$D$14="Venus",IF(CALC_CombustionCheck!$G$8="Cazimi ✓",0.5,IF(AND(CALC_CombustionCheck!$F$8="COMBUST ⚠",CALC_RetrogradeFix!$F$9="Rx ✓"),-0.5,IF(CALC_CombustionCheck!$F$8="COMBUST ⚠",-1,0))),IF(CALC_D10_Dashamsha!$D$14="Saturn",IF(CALC_CombustionCheck!$G$9="Cazimi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10_Dashamsha!$D$14="Rahu",CALC_D10_Dashamsha!$D$14="Ketu"),0,IF(ISNUMBER(MATCH(CALC_D10_Dashamsha!$D$14,{"Sun","Moon","Mars","Mercury","Jupiter","Venus","Saturn"},0)),IF(INDEX(CALC_DigBala!$F$4:$F$10,MATCH(CALC_D10_Dashamsha!$D$14,{"Sun","Moon","Mars","Mercury","Jupiter","Venus","Saturn"},0))="Yes",0.5,0),0)),0)</f>
        <v>0</v>
      </c>
      <c r="D28" s="400" t="s">
        <v>4647</v>
      </c>
    </row>
    <row r="29" spans="1:7" ht="27.75" customHeight="1" x14ac:dyDescent="0.2">
      <c r="A29" s="1120" t="s">
        <v>4648</v>
      </c>
      <c r="B29" s="296" t="s">
        <v>3372</v>
      </c>
      <c r="C29" s="1117">
        <f ca="1">IFERROR(IF(COUNTIFS(REF_PushkaraNavamsha!$A$4:$A$27,CALC_D10_Dashamsha!$G$14,REF_PushkaraNavamsha!$B$4:$B$27,INDEX(CALC_PlanetPositions!$G$7:$G$15,MATCH(CALC_D10_Dashamsha!$D$14,CALC_PlanetPositions!$A$7:$A$15,0)))&gt;0,0.5,0),0)</f>
        <v>0</v>
      </c>
      <c r="D29" s="400" t="s">
        <v>4649</v>
      </c>
    </row>
    <row r="30" spans="1:7" ht="25.5" customHeight="1" x14ac:dyDescent="0.2">
      <c r="A30" s="147" t="s">
        <v>4650</v>
      </c>
      <c r="B30" s="1121" t="s">
        <v>4651</v>
      </c>
      <c r="C30" s="1122">
        <f>IFERROR(IF(ISNUMBER(MATCH(CALC_D10_Dashamsha!$D$14,{"Sun","Moon","Mars","Mercury","Jupiter","Venus","Saturn"},0)),INDEX(CALC_RetrogradeFix!$G$4:$G$10,MATCH(CALC_D10_Dashamsha!$D$14,{"Sun","Moon","Mars","Mercury","Jupiter","Venus","Saturn"},0)),0),0)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-2</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-3</v>
      </c>
      <c r="D37" s="1129"/>
    </row>
    <row r="38" spans="1:4" ht="21.75" customHeight="1" x14ac:dyDescent="0.2">
      <c r="A38" s="89" t="s">
        <v>4661</v>
      </c>
      <c r="B38" s="1129"/>
      <c r="C38" s="1131">
        <f ca="1">IFERROR(MAX(-10,MIN(10,C37)),0)</f>
        <v>-3</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-2.75</v>
      </c>
      <c r="D40" s="1136" t="str">
        <f ca="1">IFERROR(IF(C40&gt;=7,"Excellent — Self domain very strong",IF(C40&gt;=4,"Good — Self domain strong",IF(C40&gt;=1,"Moderate",IF(C40&gt;=-2,"Mixed — Self has challenges",IF(C40&gt;=-5,"Weak","Very weak — Self heavily afflicted"))))),"—")</f>
        <v>Weak</v>
      </c>
    </row>
    <row r="41" spans="1:4" ht="18" customHeight="1" x14ac:dyDescent="0.2">
      <c r="A41" s="147" t="s">
        <v>4686</v>
      </c>
      <c r="B41" s="1129"/>
      <c r="C41" s="470">
        <v>0.25</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4754</v>
      </c>
      <c r="B1" s="1518"/>
      <c r="C1" s="1518"/>
      <c r="D1" s="1518"/>
      <c r="L1" s="544" t="s">
        <v>2214</v>
      </c>
    </row>
    <row r="2" spans="1:12" ht="19.5" customHeight="1" x14ac:dyDescent="0.2">
      <c r="A2" s="1595" t="str">
        <f>IFERROR("D10 Lagna: "&amp;CALC_D10_Dashamsha!$C$5&amp;"  ·  H11 — Gains","← Enter chart")</f>
        <v>D10 Lagna: Aries  ·  H11 — Gains</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IFERROR((IFERROR(IF(INDEX(REF_Zodiac!$D$17:$O$17,MATCH(CALC_D10_Dashamsha!$C$15,REF_Zodiac!$D$3:$O$3,0))="Gentle",1,0),0))*0.5,0)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IFERROR(IF(AND(OR(CALC_D10_Dashamsha!$I$15="Yes",CALC_D10_Dashamsha!$J$15="Yes"),NOT(CALC_D10_Dashamsha!$K$15="Yes")),1,0)*IF(REF_Config!$B$6="KP",1.5,IF(REF_Config!$B$6="Jaimini",1.5,2)),0)</f>
        <v>0</v>
      </c>
      <c r="D9" s="403" t="s">
        <v>4612</v>
      </c>
    </row>
    <row r="10" spans="1:12" ht="27.75" customHeight="1" x14ac:dyDescent="0.2">
      <c r="A10" s="121" t="s">
        <v>4613</v>
      </c>
      <c r="B10" s="357" t="s">
        <v>3093</v>
      </c>
      <c r="C10" s="1117">
        <f ca="1">IFERROR((IFERROR(IF(OR(AND(CALC_D10_Dashamsha!$G$15=CALC_D10_Dashamsha!$G$15,CALC_D10_Dashamsha!$D$15&lt;&gt;CALC_D10_Dashamsha!$D$15),AND(CALC_D10_Dashamsha!$G$8=CALC_D10_Dashamsha!$G$15,CALC_D10_Dashamsha!$D$8&lt;&gt;CALC_D10_Dashamsha!$D$15),AND(CALC_D10_Dashamsha!$G$9=CALC_D10_Dashamsha!$G$15,CALC_D10_Dashamsha!$D$9&lt;&gt;CALC_D10_Dashamsha!$D$15),AND(CALC_D10_Dashamsha!$G$11=CALC_D10_Dashamsha!$G$15,CALC_D10_Dashamsha!$D$11&lt;&gt;CALC_D10_Dashamsha!$D$15),AND(CALC_D10_Dashamsha!$G$13=CALC_D10_Dashamsha!$G$15,CALC_D10_Dashamsha!$D$13&lt;&gt;CALC_D10_Dashamsha!$D$15),AND(CALC_D10_Dashamsha!$G$14=CALC_D10_Dashamsha!$G$15,CALC_D10_Dashamsha!$D$14&lt;&gt;CALC_D10_Dashamsha!$D$15)),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$15,CALC_D10_Dashamsha!$D$15&lt;&gt;"Sun"),AND(OR(CALC_PlanetPositions!$M$8="Benefic",CALC_PlanetPositions!$M$8="Yogakaraka"),CALC_PlanetPositions!$B$8=CALC_D10_Dashamsha!$G$15,CALC_D10_Dashamsha!$D$15&lt;&gt;"Moon"),AND(OR(CALC_PlanetPositions!$M$9="Benefic",CALC_PlanetPositions!$M$9="Yogakaraka"),CALC_PlanetPositions!$B$9=CALC_D10_Dashamsha!$G$15,CALC_D10_Dashamsha!$D$15&lt;&gt;"Mars"),AND(OR(CALC_PlanetPositions!$M$10="Benefic",CALC_PlanetPositions!$M$10="Yogakaraka"),CALC_PlanetPositions!$B$10=CALC_D10_Dashamsha!$G$15,CALC_D10_Dashamsha!$D$15&lt;&gt;"Mercury"),AND(OR(CALC_PlanetPositions!$M$11="Benefic",CALC_PlanetPositions!$M$11="Yogakaraka"),CALC_PlanetPositions!$B$11=CALC_D10_Dashamsha!$G$15,CALC_D10_Dashamsha!$D$15&lt;&gt;"Jupiter"),AND(OR(CALC_PlanetPositions!$M$12="Benefic",CALC_PlanetPositions!$M$12="Yogakaraka"),CALC_PlanetPositions!$B$12=CALC_D10_Dashamsha!$G$15,CALC_D10_Dashamsha!$D$15&lt;&gt;"Venus"),AND(OR(CALC_PlanetPositions!$M$13="Benefic",CALC_PlanetPositions!$M$13="Yogakaraka"),CALC_PlanetPositions!$B$13=CALC_D10_Dashamsha!$G$15,CALC_D10_Dashamsha!$D$15&lt;&gt;"Saturn")),1,0),0))*IF(OR(AND(CALC_PlanetPositions!$M$7="Yogakaraka",CALC_PlanetPositions!$B$7=CALC_D10_Dashamsha!$G$15,CALC_D10_Dashamsha!$D$15&lt;&gt;"Sun"),AND(CALC_PlanetPositions!$M$8="Yogakaraka",CALC_PlanetPositions!$B$8=CALC_D10_Dashamsha!$G$15,CALC_D10_Dashamsha!$D$15&lt;&gt;"Moon"),AND(CALC_PlanetPositions!$M$9="Yogakaraka",CALC_PlanetPositions!$B$9=CALC_D10_Dashamsha!$G$15,CALC_D10_Dashamsha!$D$15&lt;&gt;"Mars"),AND(CALC_PlanetPositions!$M$10="Yogakaraka",CALC_PlanetPositions!$B$10=CALC_D10_Dashamsha!$G$15,CALC_D10_Dashamsha!$D$15&lt;&gt;"Mercury"),AND(CALC_PlanetPositions!$M$11="Yogakaraka",CALC_PlanetPositions!$B$11=CALC_D10_Dashamsha!$G$15,CALC_D10_Dashamsha!$D$15&lt;&gt;"Jupiter"),AND(CALC_PlanetPositions!$M$12="Yogakaraka",CALC_PlanetPositions!$B$12=CALC_D10_Dashamsha!$G$15,CALC_D10_Dashamsha!$D$15&lt;&gt;"Venus"),AND(CALC_PlanetPositions!$M$13="Yogakaraka",CALC_PlanetPositions!$B$13=CALC_D10_Dashamsha!$G$15,CALC_D10_Dashamsha!$D$15&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$15-(MOD(MATCH(CALC_PlanetPositions!$B$7,{"Aries","Taurus","Gemini","Cancer","Leo","Virgo","Libra","Scorpio","Sagittarius","Capricorn","Aquarius","Pisces"},0)-MATCH(INPUT_Chart!$C$5,{"Aries","Taurus","Gemini","Cancer","Leo","Virgo","Libra","Scorpio","Sagittarius","Capricorn","Aquarius","Pisces"},0),12)+1),12)+1)="FULL",NOT(CALC_PlanetPositions!$B$7=CALC_D10_Dashamsha!$G$15)),AND(OR(CALC_PlanetPositions!$M$8="Benefic",CALC_PlanetPositions!$M$8="Yogakaraka"),INDEX(REF_Aspects!$D$5:$O$13,2,MOD(CALC_D10_Dashamsha!$H$15-(MOD(MATCH(CALC_PlanetPositions!$B$8,{"Aries","Taurus","Gemini","Cancer","Leo","Virgo","Libra","Scorpio","Sagittarius","Capricorn","Aquarius","Pisces"},0)-MATCH(INPUT_Chart!$C$5,{"Aries","Taurus","Gemini","Cancer","Leo","Virgo","Libra","Scorpio","Sagittarius","Capricorn","Aquarius","Pisces"},0),12)+1),12)+1)="FULL",NOT(CALC_PlanetPositions!$B$8=CALC_D10_Dashamsha!$G$15)),AND(OR(CALC_PlanetPositions!$M$9="Benefic",CALC_PlanetPositions!$M$9="Yogakaraka"),INDEX(REF_Aspects!$D$5:$O$13,3,MOD(CALC_D10_Dashamsha!$H$15-(MOD(MATCH(CALC_PlanetPositions!$B$9,{"Aries","Taurus","Gemini","Cancer","Leo","Virgo","Libra","Scorpio","Sagittarius","Capricorn","Aquarius","Pisces"},0)-MATCH(INPUT_Chart!$C$5,{"Aries","Taurus","Gemini","Cancer","Leo","Virgo","Libra","Scorpio","Sagittarius","Capricorn","Aquarius","Pisces"},0),12)+1),12)+1)="FULL",NOT(CALC_PlanetPositions!$B$9=CALC_D10_Dashamsha!$G$15)),AND(OR(CALC_PlanetPositions!$M$10="Benefic",CALC_PlanetPositions!$M$10="Yogakaraka"),INDEX(REF_Aspects!$D$5:$O$13,4,MOD(CALC_D10_Dashamsha!$H$15-(MOD(MATCH(CALC_PlanetPositions!$B$10,{"Aries","Taurus","Gemini","Cancer","Leo","Virgo","Libra","Scorpio","Sagittarius","Capricorn","Aquarius","Pisces"},0)-MATCH(INPUT_Chart!$C$5,{"Aries","Taurus","Gemini","Cancer","Leo","Virgo","Libra","Scorpio","Sagittarius","Capricorn","Aquarius","Pisces"},0),12)+1),12)+1)="FULL",NOT(CALC_PlanetPositions!$B$10=CALC_D10_Dashamsha!$G$15)),AND(OR(CALC_PlanetPositions!$M$11="Benefic",CALC_PlanetPositions!$M$11="Yogakaraka"),INDEX(REF_Aspects!$D$5:$O$13,5,MOD(CALC_D10_Dashamsha!$H$15-(MOD(MATCH(CALC_PlanetPositions!$B$11,{"Aries","Taurus","Gemini","Cancer","Leo","Virgo","Libra","Scorpio","Sagittarius","Capricorn","Aquarius","Pisces"},0)-MATCH(INPUT_Chart!$C$5,{"Aries","Taurus","Gemini","Cancer","Leo","Virgo","Libra","Scorpio","Sagittarius","Capricorn","Aquarius","Pisces"},0),12)+1),12)+1)="FULL",NOT(CALC_PlanetPositions!$B$11=CALC_D10_Dashamsha!$G$15)),AND(OR(CALC_PlanetPositions!$M$12="Benefic",CALC_PlanetPositions!$M$12="Yogakaraka"),INDEX(REF_Aspects!$D$5:$O$13,6,MOD(CALC_D10_Dashamsha!$H$15-(MOD(MATCH(CALC_PlanetPositions!$B$12,{"Aries","Taurus","Gemini","Cancer","Leo","Virgo","Libra","Scorpio","Sagittarius","Capricorn","Aquarius","Pisces"},0)-MATCH(INPUT_Chart!$C$5,{"Aries","Taurus","Gemini","Cancer","Leo","Virgo","Libra","Scorpio","Sagittarius","Capricorn","Aquarius","Pisces"},0),12)+1),12)+1)="FULL",NOT(CALC_PlanetPositions!$B$12=CALC_D10_Dashamsha!$G$15)),AND(OR(CALC_PlanetPositions!$M$13="Benefic",CALC_PlanetPositions!$M$13="Yogakaraka"),INDEX(REF_Aspects!$D$5:$O$13,7,MOD(CALC_D10_Dashamsha!$H$15-(MOD(MATCH(CALC_PlanetPositions!$B$13,{"Aries","Taurus","Gemini","Cancer","Leo","Virgo","Libra","Scorpio","Sagittarius","Capricorn","Aquarius","Pisces"},0)-MATCH(INPUT_Chart!$C$5,{"Aries","Taurus","Gemini","Cancer","Leo","Virgo","Libra","Scorpio","Sagittarius","Capricorn","Aquarius","Pisces"},0),12)+1),12)+1)="FULL",NOT(CALC_PlanetPositions!$B$13=CALC_D10_Dashamsha!$G$15)),AND(FALSE(),INDEX(REF_Aspects!$D$5:$O$13,8,MOD(CALC_D10_Dashamsha!$H$15-(MOD(MATCH(CALC_PlanetPositions!$B$14,{"Aries","Taurus","Gemini","Cancer","Leo","Virgo","Libra","Scorpio","Sagittarius","Capricorn","Aquarius","Pisces"},0)-MATCH(INPUT_Chart!$C$5,{"Aries","Taurus","Gemini","Cancer","Leo","Virgo","Libra","Scorpio","Sagittarius","Capricorn","Aquarius","Pisces"},0),12)+1),12)+1)="FULL",NOT(CALC_PlanetPositions!$B$14=CALC_D10_Dashamsha!$G$15)),AND(FALSE(),INDEX(REF_Aspects!$D$5:$O$13,9,MOD(CALC_D10_Dashamsha!$H$15-(MOD(MATCH(CALC_PlanetPositions!$B$15,{"Aries","Taurus","Gemini","Cancer","Leo","Virgo","Libra","Scorpio","Sagittarius","Capricorn","Aquarius","Pisces"},0)-MATCH(INPUT_Chart!$C$5,{"Aries","Taurus","Gemini","Cancer","Leo","Virgo","Libra","Scorpio","Sagittarius","Capricorn","Aquarius","Pisces"},0),12)+1),12)+1)="FULL",NOT(CALC_PlanetPositions!$B$15=CALC_D10_Dashamsha!$G$15))),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$15-2,12)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$15-2,12)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$15-2,12)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$15-2,12)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$15-2,12)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$15-2,12)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$15-2,12)+1)),AND(FALSE(),MOD(MATCH(CALC_PlanetPositions!$B$14,{"Aries","Taurus","Gemini","Cancer","Leo","Virgo","Libra","Scorpio","Sagittarius","Capricorn","Aquarius","Pisces"},0)-MATCH(INPUT_Chart!$C$5,{"Aries","Taurus","Gemini","Cancer","Leo","Virgo","Libra","Scorpio","Sagittarius","Capricorn","Aquarius","Pisces"},0),12)+1=(MOD(CALC_D10_Dashamsha!$H$15-2,12)+1)),AND(FALSE(),MOD(MATCH(CALC_PlanetPositions!$B$15,{"Aries","Taurus","Gemini","Cancer","Leo","Virgo","Libra","Scorpio","Sagittarius","Capricorn","Aquarius","Pisces"},0)-MATCH(INPUT_Chart!$C$5,{"Aries","Taurus","Gemini","Cancer","Leo","Virgo","Libra","Scorpio","Sagittarius","Capricorn","Aquarius","Pisces"},0),12)+1=(MOD(CALC_D10_Dashamsha!$H$15-2,12)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$15,12)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$15,12)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$15,12)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$15,12)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$15,12)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$15,12)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$15,12)+1)),AND(FALSE(),MOD(MATCH(CALC_PlanetPositions!$B$14,{"Aries","Taurus","Gemini","Cancer","Leo","Virgo","Libra","Scorpio","Sagittarius","Capricorn","Aquarius","Pisces"},0)-MATCH(INPUT_Chart!$C$5,{"Aries","Taurus","Gemini","Cancer","Leo","Virgo","Libra","Scorpio","Sagittarius","Capricorn","Aquarius","Pisces"},0),12)+1=(MOD(CALC_D10_Dashamsha!$H$15,12)+1)),AND(FALSE(),MOD(MATCH(CALC_PlanetPositions!$B$15,{"Aries","Taurus","Gemini","Cancer","Leo","Virgo","Libra","Scorpio","Sagittarius","Capricorn","Aquarius","Pisces"},0)-MATCH(INPUT_Chart!$C$5,{"Aries","Taurus","Gemini","Cancer","Leo","Virgo","Libra","Scorpio","Sagittarius","Capricorn","Aquarius","Pisces"},0),12)+1=(MOD(CALC_D10_Dashamsha!$H$15,12)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$15-(MOD(MATCH(CALC_PlanetPositions!$B$7,{"Aries","Taurus","Gemini","Cancer","Leo","Virgo","Libra","Scorpio","Sagittarius","Capricorn","Aquarius","Pisces"},0)-MATCH(INPUT_Chart!$C$5,{"Aries","Taurus","Gemini","Cancer","Leo","Virgo","Libra","Scorpio","Sagittarius","Capricorn","Aquarius","Pisces"},0),12)+1),12)+1)="FULL",NOT(CALC_PlanetPositions!$B$7=CALC_D10_Dashamsha!$G$15)),AND(CALC_PlanetPositions!$M$8="Malefic",INDEX(REF_Aspects!$D$5:$O$13,2,MOD(CALC_D10_Dashamsha!$H$15-(MOD(MATCH(CALC_PlanetPositions!$B$8,{"Aries","Taurus","Gemini","Cancer","Leo","Virgo","Libra","Scorpio","Sagittarius","Capricorn","Aquarius","Pisces"},0)-MATCH(INPUT_Chart!$C$5,{"Aries","Taurus","Gemini","Cancer","Leo","Virgo","Libra","Scorpio","Sagittarius","Capricorn","Aquarius","Pisces"},0),12)+1),12)+1)="FULL",NOT(CALC_PlanetPositions!$B$8=CALC_D10_Dashamsha!$G$15)),AND(CALC_PlanetPositions!$M$9="Malefic",INDEX(REF_Aspects!$D$5:$O$13,3,MOD(CALC_D10_Dashamsha!$H$15-(MOD(MATCH(CALC_PlanetPositions!$B$9,{"Aries","Taurus","Gemini","Cancer","Leo","Virgo","Libra","Scorpio","Sagittarius","Capricorn","Aquarius","Pisces"},0)-MATCH(INPUT_Chart!$C$5,{"Aries","Taurus","Gemini","Cancer","Leo","Virgo","Libra","Scorpio","Sagittarius","Capricorn","Aquarius","Pisces"},0),12)+1),12)+1)="FULL",NOT(CALC_PlanetPositions!$B$9=CALC_D10_Dashamsha!$G$15)),AND(CALC_PlanetPositions!$M$10="Malefic",INDEX(REF_Aspects!$D$5:$O$13,4,MOD(CALC_D10_Dashamsha!$H$15-(MOD(MATCH(CALC_PlanetPositions!$B$10,{"Aries","Taurus","Gemini","Cancer","Leo","Virgo","Libra","Scorpio","Sagittarius","Capricorn","Aquarius","Pisces"},0)-MATCH(INPUT_Chart!$C$5,{"Aries","Taurus","Gemini","Cancer","Leo","Virgo","Libra","Scorpio","Sagittarius","Capricorn","Aquarius","Pisces"},0),12)+1),12)+1)="FULL",NOT(CALC_PlanetPositions!$B$10=CALC_D10_Dashamsha!$G$15)),AND(CALC_PlanetPositions!$M$11="Malefic",INDEX(REF_Aspects!$D$5:$O$13,5,MOD(CALC_D10_Dashamsha!$H$15-(MOD(MATCH(CALC_PlanetPositions!$B$11,{"Aries","Taurus","Gemini","Cancer","Leo","Virgo","Libra","Scorpio","Sagittarius","Capricorn","Aquarius","Pisces"},0)-MATCH(INPUT_Chart!$C$5,{"Aries","Taurus","Gemini","Cancer","Leo","Virgo","Libra","Scorpio","Sagittarius","Capricorn","Aquarius","Pisces"},0),12)+1),12)+1)="FULL",NOT(CALC_PlanetPositions!$B$11=CALC_D10_Dashamsha!$G$15)),AND(CALC_PlanetPositions!$M$12="Malefic",INDEX(REF_Aspects!$D$5:$O$13,6,MOD(CALC_D10_Dashamsha!$H$15-(MOD(MATCH(CALC_PlanetPositions!$B$12,{"Aries","Taurus","Gemini","Cancer","Leo","Virgo","Libra","Scorpio","Sagittarius","Capricorn","Aquarius","Pisces"},0)-MATCH(INPUT_Chart!$C$5,{"Aries","Taurus","Gemini","Cancer","Leo","Virgo","Libra","Scorpio","Sagittarius","Capricorn","Aquarius","Pisces"},0),12)+1),12)+1)="FULL",NOT(CALC_PlanetPositions!$B$12=CALC_D10_Dashamsha!$G$15)),AND(CALC_PlanetPositions!$M$13="Malefic",INDEX(REF_Aspects!$D$5:$O$13,7,MOD(CALC_D10_Dashamsha!$H$15-(MOD(MATCH(CALC_PlanetPositions!$B$13,{"Aries","Taurus","Gemini","Cancer","Leo","Virgo","Libra","Scorpio","Sagittarius","Capricorn","Aquarius","Pisces"},0)-MATCH(INPUT_Chart!$C$5,{"Aries","Taurus","Gemini","Cancer","Leo","Virgo","Libra","Scorpio","Sagittarius","Capricorn","Aquarius","Pisces"},0),12)+1),12)+1)="FULL",NOT(CALC_PlanetPositions!$B$13=CALC_D10_Dashamsha!$G$15)),AND(TRUE(),INDEX(REF_Aspects!$D$5:$O$13,8,MOD(CALC_D10_Dashamsha!$H$15-(MOD(MATCH(CALC_PlanetPositions!$B$14,{"Aries","Taurus","Gemini","Cancer","Leo","Virgo","Libra","Scorpio","Sagittarius","Capricorn","Aquarius","Pisces"},0)-MATCH(INPUT_Chart!$C$5,{"Aries","Taurus","Gemini","Cancer","Leo","Virgo","Libra","Scorpio","Sagittarius","Capricorn","Aquarius","Pisces"},0),12)+1),12)+1)="FULL",NOT(CALC_PlanetPositions!$B$14=CALC_D10_Dashamsha!$G$15)),AND(TRUE(),INDEX(REF_Aspects!$D$5:$O$13,9,MOD(CALC_D10_Dashamsha!$H$15-(MOD(MATCH(CALC_PlanetPositions!$B$15,{"Aries","Taurus","Gemini","Cancer","Leo","Virgo","Libra","Scorpio","Sagittarius","Capricorn","Aquarius","Pisces"},0)-MATCH(INPUT_Chart!$C$5,{"Aries","Taurus","Gemini","Cancer","Leo","Virgo","Libra","Scorpio","Sagittarius","Capricorn","Aquarius","Pisces"},0),12)+1),12)+1)="FULL",NOT(CALC_PlanetPositions!$B$15=CALC_D10_Dashamsha!$G$15))),1,0),0))*-0.5,0)</f>
        <v>0</v>
      </c>
      <c r="D21" s="403" t="s">
        <v>4634</v>
      </c>
    </row>
    <row r="22" spans="1:7" ht="27.75" customHeight="1" x14ac:dyDescent="0.2">
      <c r="A22" s="121" t="s">
        <v>4635</v>
      </c>
      <c r="B22" s="357" t="s">
        <v>3042</v>
      </c>
      <c r="C22" s="1117">
        <f>IFERROR((IFERROR(IF(CALC_D10_Dashamsha!$K$15="Yes",1,0),0))*IF(REF_Config!$B$6="KP",-1.75,IF(REF_Config!$B$6="Jaimini",-2,-2)),0)</f>
        <v>0</v>
      </c>
      <c r="D22" s="400" t="s">
        <v>4636</v>
      </c>
    </row>
    <row r="23" spans="1:7" ht="27.75" customHeight="1" x14ac:dyDescent="0.2">
      <c r="A23" s="121" t="s">
        <v>4637</v>
      </c>
      <c r="B23" s="203" t="s">
        <v>3059</v>
      </c>
      <c r="C23" s="1118">
        <f ca="1">IFERROR((IFERROR(IF(OR(AND(CALC_D10_Dashamsha!$G$10=CALC_D10_Dashamsha!$G$15,CALC_D10_Dashamsha!$D$10&lt;&gt;CALC_D10_Dashamsha!$D$15),AND(CALC_D10_Dashamsha!$G$12=CALC_D10_Dashamsha!$G$15,CALC_D10_Dashamsha!$D$12&lt;&gt;CALC_D10_Dashamsha!$D$15),AND(CALC_D10_Dashamsha!$G$16=CALC_D10_Dashamsha!$G$15,CALC_D10_Dashamsha!$D$16&lt;&gt;CALC_D10_Dashamsha!$D$15)),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IFERROR(IF(OR(CALC_D10_Dashamsha!$D$15="Sun",CALC_D10_Dashamsha!$D$15="Rahu",CALC_D10_Dashamsha!$D$15="Ketu"),0,IF(CALC_D10_Dashamsha!$D$15="Moon",IF(CALC_CombustionCheck!$G$4="Cazimi ✓",0.5,IF(CALC_CombustionCheck!$F$4="COMBUST ⚠",-1,0)),IF(CALC_D10_Dashamsha!$D$15="Mars",IF(CALC_CombustionCheck!$G$5="Cazimi ✓",0.5,IF(AND(CALC_CombustionCheck!$F$5="COMBUST ⚠",CALC_RetrogradeFix!$F$6="Rx ✓"),-0.5,IF(CALC_CombustionCheck!$F$5="COMBUST ⚠",-1,0))),IF(CALC_D10_Dashamsha!$D$15="Mercury",IF(CALC_CombustionCheck!$G$6="Cazimi ✓",0.5,IF(AND(CALC_CombustionCheck!$F$6="COMBUST ⚠",CALC_RetrogradeFix!$F$7="Rx ✓"),-0.5,IF(CALC_CombustionCheck!$F$6="COMBUST ⚠",-1,0))),IF(CALC_D10_Dashamsha!$D$15="Jupiter",IF(CALC_CombustionCheck!$G$7="Cazimi ✓",0.5,IF(AND(CALC_CombustionCheck!$F$7="COMBUST ⚠",CALC_RetrogradeFix!$F$8="Rx ✓"),-0.5,IF(CALC_CombustionCheck!$F$7="COMBUST ⚠",-1,0))),IF(CALC_D10_Dashamsha!$D$15="Venus",IF(CALC_CombustionCheck!$G$8="Cazimi ✓",0.5,IF(AND(CALC_CombustionCheck!$F$8="COMBUST ⚠",CALC_RetrogradeFix!$F$9="Rx ✓"),-0.5,IF(CALC_CombustionCheck!$F$8="COMBUST ⚠",-1,0))),IF(CALC_D10_Dashamsha!$D$15="Saturn",IF(CALC_CombustionCheck!$G$9="Cazimi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10_Dashamsha!$D$15="Rahu",CALC_D10_Dashamsha!$D$15="Ketu"),0,IF(ISNUMBER(MATCH(CALC_D10_Dashamsha!$D$15,{"Sun","Moon","Mars","Mercury","Jupiter","Venus","Saturn"},0)),IF(INDEX(CALC_DigBala!$F$4:$F$10,MATCH(CALC_D10_Dashamsha!$D$15,{"Sun","Moon","Mars","Mercury","Jupiter","Venus","Saturn"},0))="Yes",0.5,0),0)),0)</f>
        <v>0</v>
      </c>
      <c r="D28" s="400" t="s">
        <v>4647</v>
      </c>
    </row>
    <row r="29" spans="1:7" ht="27.75" customHeight="1" x14ac:dyDescent="0.2">
      <c r="A29" s="1120" t="s">
        <v>4648</v>
      </c>
      <c r="B29" s="296" t="s">
        <v>3372</v>
      </c>
      <c r="C29" s="1117">
        <f ca="1">IFERROR(IF(COUNTIFS(REF_PushkaraNavamsha!$A$4:$A$27,CALC_D10_Dashamsha!$G$15,REF_PushkaraNavamsha!$B$4:$B$27,INDEX(CALC_PlanetPositions!$G$7:$G$15,MATCH(CALC_D10_Dashamsha!$D$15,CALC_PlanetPositions!$A$7:$A$15,0)))&gt;0,0.5,0),0)</f>
        <v>0</v>
      </c>
      <c r="D29" s="400" t="s">
        <v>4649</v>
      </c>
    </row>
    <row r="30" spans="1:7" ht="25.5" customHeight="1" x14ac:dyDescent="0.2">
      <c r="A30" s="147" t="s">
        <v>4650</v>
      </c>
      <c r="B30" s="1121" t="s">
        <v>4651</v>
      </c>
      <c r="C30" s="1122">
        <f>IFERROR(IF(ISNUMBER(MATCH(CALC_D10_Dashamsha!$D$15,{"Sun","Moon","Mars","Mercury","Jupiter","Venus","Saturn"},0)),INDEX(CALC_RetrogradeFix!$G$4:$G$10,MATCH(CALC_D10_Dashamsha!$D$15,{"Sun","Moon","Mars","Mercury","Jupiter","Venus","Saturn"},0)),0),0)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-2</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-3</v>
      </c>
      <c r="D37" s="1129"/>
    </row>
    <row r="38" spans="1:4" ht="21.75" customHeight="1" x14ac:dyDescent="0.2">
      <c r="A38" s="89" t="s">
        <v>4661</v>
      </c>
      <c r="B38" s="1129"/>
      <c r="C38" s="1131">
        <f ca="1">IFERROR(MAX(-10,MIN(10,C37)),0)</f>
        <v>-3</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-3</v>
      </c>
      <c r="D40" s="1136" t="str">
        <f ca="1">IFERROR(IF(C40&gt;=7,"Excellent — Self domain very strong",IF(C40&gt;=4,"Good — Self domain strong",IF(C40&gt;=1,"Moderate",IF(C40&gt;=-2,"Mixed — Self has challenges",IF(C40&gt;=-5,"Weak","Very weak — Self heavily afflicted"))))),"—")</f>
        <v>Weak</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4755</v>
      </c>
      <c r="B1" s="1518"/>
      <c r="C1" s="1518"/>
      <c r="D1" s="1518"/>
      <c r="L1" s="544" t="s">
        <v>2214</v>
      </c>
    </row>
    <row r="2" spans="1:12" ht="19.5" customHeight="1" x14ac:dyDescent="0.2">
      <c r="A2" s="1595" t="str">
        <f>IFERROR("D10 Lagna: "&amp;CALC_D10_Dashamsha!$C$5&amp;"  ·  H12 — Liberation","← Enter chart")</f>
        <v>D10 Lagna: Aries  ·  H12 — Liberation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IFERROR((IFERROR(IF(INDEX(REF_Zodiac!$D$17:$O$17,MATCH(CALC_D10_Dashamsha!$C$16,REF_Zodiac!$D$3:$O$3,0))="Gentle",1,0),0))*0.5,0)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INPUT_Chart!$C$5,{"Aries","Taurus","Gemini","Cancer","Leo","Virgo","Libra","Scorpio","Sagittarius","Capricorn","Aquarius","Pisces"},0),12)+1)=1),AND(OR(CALC_PlanetPositions!$M$8="Benefic",CALC_PlanetPositions!$M$8="Yogakaraka"),(MOD(MATCH(CALC_PlanetPositions!$B$8,{"Aries","Taurus","Gemini","Cancer","Leo","Virgo","Libra","Scorpio","Sagittarius","Capricorn","Aquarius","Pisces"},0)-MATCH(INPUT_Chart!$C$5,{"Aries","Taurus","Gemini","Cancer","Leo","Virgo","Libra","Scorpio","Sagittarius","Capricorn","Aquarius","Pisces"},0),12)+1)=1),AND(OR(CALC_PlanetPositions!$M$9="Benefic",CALC_PlanetPositions!$M$9="Yogakaraka"),(MOD(MATCH(CALC_PlanetPositions!$B$9,{"Aries","Taurus","Gemini","Cancer","Leo","Virgo","Libra","Scorpio","Sagittarius","Capricorn","Aquarius","Pisces"},0)-MATCH(INPUT_Chart!$C$5,{"Aries","Taurus","Gemini","Cancer","Leo","Virgo","Libra","Scorpio","Sagittarius","Capricorn","Aquarius","Pisces"},0),12)+1)=1),AND(OR(CALC_PlanetPositions!$M$10="Benefic",CALC_PlanetPositions!$M$10="Yogakaraka"),(MOD(MATCH(CALC_PlanetPositions!$B$10,{"Aries","Taurus","Gemini","Cancer","Leo","Virgo","Libra","Scorpio","Sagittarius","Capricorn","Aquarius","Pisces"},0)-MATCH(INPUT_Chart!$C$5,{"Aries","Taurus","Gemini","Cancer","Leo","Virgo","Libra","Scorpio","Sagittarius","Capricorn","Aquarius","Pisces"},0),12)+1)=1),AND(OR(CALC_PlanetPositions!$M$11="Benefic",CALC_PlanetPositions!$M$11="Yogakaraka"),(MOD(MATCH(CALC_PlanetPositions!$B$11,{"Aries","Taurus","Gemini","Cancer","Leo","Virgo","Libra","Scorpio","Sagittarius","Capricorn","Aquarius","Pisces"},0)-MATCH(INPUT_Chart!$C$5,{"Aries","Taurus","Gemini","Cancer","Leo","Virgo","Libra","Scorpio","Sagittarius","Capricorn","Aquarius","Pisces"},0),12)+1)=1),AND(OR(CALC_PlanetPositions!$M$12="Benefic",CALC_PlanetPositions!$M$12="Yogakaraka"),(MOD(MATCH(CALC_PlanetPositions!$B$12,{"Aries","Taurus","Gemini","Cancer","Leo","Virgo","Libra","Scorpio","Sagittarius","Capricorn","Aquarius","Pisces"},0)-MATCH(INPUT_Chart!$C$5,{"Aries","Taurus","Gemini","Cancer","Leo","Virgo","Libra","Scorpio","Sagittarius","Capricorn","Aquarius","Pisces"},0),12)+1)=1),AND(OR(CALC_PlanetPositions!$M$13="Benefic",CALC_PlanetPositions!$M$13="Yogakaraka"),(MOD(MATCH(CALC_PlanetPositions!$B$13,{"Aries","Taurus","Gemini","Cancer","Leo","Virgo","Libra","Scorpio","Sagittarius","Capricorn","Aquarius","Pisces"},0)-MATCH(INPUT_Chart!$C$5,{"Aries","Taurus","Gemini","Cancer","Leo","Virgo","Libra","Scorpio","Sagittarius","Capricorn","Aquarius","Pisces"},0),12)+1)=1)),1,0),0))*IF(OR(AND(CALC_PlanetPositions!$M$7="Yogakaraka",(MOD(MATCH(CALC_PlanetPositions!$B$7,{"Aries","Taurus","Gemini","Cancer","Leo","Virgo","Libra","Scorpio","Sagittarius","Capricorn","Aquarius","Pisces"},0)-MATCH(INPUT_Chart!$C$5,{"Aries","Taurus","Gemini","Cancer","Leo","Virgo","Libra","Scorpio","Sagittarius","Capricorn","Aquarius","Pisces"},0),12)+1)=1),AND(CALC_PlanetPositions!$M$8="Yogakaraka",(MOD(MATCH(CALC_PlanetPositions!$B$8,{"Aries","Taurus","Gemini","Cancer","Leo","Virgo","Libra","Scorpio","Sagittarius","Capricorn","Aquarius","Pisces"},0)-MATCH(INPUT_Chart!$C$5,{"Aries","Taurus","Gemini","Cancer","Leo","Virgo","Libra","Scorpio","Sagittarius","Capricorn","Aquarius","Pisces"},0),12)+1)=1),AND(CALC_PlanetPositions!$M$9="Yogakaraka",(MOD(MATCH(CALC_PlanetPositions!$B$9,{"Aries","Taurus","Gemini","Cancer","Leo","Virgo","Libra","Scorpio","Sagittarius","Capricorn","Aquarius","Pisces"},0)-MATCH(INPUT_Chart!$C$5,{"Aries","Taurus","Gemini","Cancer","Leo","Virgo","Libra","Scorpio","Sagittarius","Capricorn","Aquarius","Pisces"},0),12)+1)=1),AND(CALC_PlanetPositions!$M$10="Yogakaraka",(MOD(MATCH(CALC_PlanetPositions!$B$10,{"Aries","Taurus","Gemini","Cancer","Leo","Virgo","Libra","Scorpio","Sagittarius","Capricorn","Aquarius","Pisces"},0)-MATCH(INPUT_Chart!$C$5,{"Aries","Taurus","Gemini","Cancer","Leo","Virgo","Libra","Scorpio","Sagittarius","Capricorn","Aquarius","Pisces"},0),12)+1)=1),AND(CALC_PlanetPositions!$M$11="Yogakaraka",(MOD(MATCH(CALC_PlanetPositions!$B$11,{"Aries","Taurus","Gemini","Cancer","Leo","Virgo","Libra","Scorpio","Sagittarius","Capricorn","Aquarius","Pisces"},0)-MATCH(INPUT_Chart!$C$5,{"Aries","Taurus","Gemini","Cancer","Leo","Virgo","Libra","Scorpio","Sagittarius","Capricorn","Aquarius","Pisces"},0),12)+1)=1),AND(CALC_PlanetPositions!$M$12="Yogakaraka",(MOD(MATCH(CALC_PlanetPositions!$B$12,{"Aries","Taurus","Gemini","Cancer","Leo","Virgo","Libra","Scorpio","Sagittarius","Capricorn","Aquarius","Pisces"},0)-MATCH(INPUT_Chart!$C$5,{"Aries","Taurus","Gemini","Cancer","Leo","Virgo","Libra","Scorpio","Sagittarius","Capricorn","Aquarius","Pisces"},0),12)+1)=1),AND(CALC_PlanetPositions!$M$13="Yogakaraka",(MOD(MATCH(CALC_PlanetPositions!$B$13,{"Aries","Taurus","Gemini","Cancer","Leo","Virgo","Libra","Scorpio","Sagittarius","Capricorn","Aquarius","Pisces"},0)-MATCH(INPUT_Chart!$C$5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FALS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FALS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IFERROR(IF(AND(OR(CALC_D10_Dashamsha!$I$16="Yes",CALC_D10_Dashamsha!$J$16="Yes"),NOT(CALC_D10_Dashamsha!$K$16="Yes")),1,0)*IF(REF_Config!$B$6="KP",1.5,IF(REF_Config!$B$6="Jaimini",1.5,2)),0)</f>
        <v>0</v>
      </c>
      <c r="D9" s="403" t="s">
        <v>4612</v>
      </c>
    </row>
    <row r="10" spans="1:12" ht="27.75" customHeight="1" x14ac:dyDescent="0.2">
      <c r="A10" s="121" t="s">
        <v>4613</v>
      </c>
      <c r="B10" s="357" t="s">
        <v>3093</v>
      </c>
      <c r="C10" s="1117">
        <f ca="1">IFERROR((IFERROR(IF(OR(AND(CALC_D10_Dashamsha!$G$16=CALC_D10_Dashamsha!$G$16,CALC_D10_Dashamsha!$D$16&lt;&gt;CALC_D10_Dashamsha!$D$16),AND(CALC_D10_Dashamsha!$G$8=CALC_D10_Dashamsha!$G$16,CALC_D10_Dashamsha!$D$8&lt;&gt;CALC_D10_Dashamsha!$D$16),AND(CALC_D10_Dashamsha!$G$9=CALC_D10_Dashamsha!$G$16,CALC_D10_Dashamsha!$D$9&lt;&gt;CALC_D10_Dashamsha!$D$16),AND(CALC_D10_Dashamsha!$G$11=CALC_D10_Dashamsha!$G$16,CALC_D10_Dashamsha!$D$11&lt;&gt;CALC_D10_Dashamsha!$D$16),AND(CALC_D10_Dashamsha!$G$13=CALC_D10_Dashamsha!$G$16,CALC_D10_Dashamsha!$D$13&lt;&gt;CALC_D10_Dashamsha!$D$16),AND(CALC_D10_Dashamsha!$G$14=CALC_D10_Dashamsha!$G$16,CALC_D10_Dashamsha!$D$14&lt;&gt;CALC_D10_Dashamsha!$D$16)),1,0),0))*0.5,0)</f>
        <v>0.5</v>
      </c>
      <c r="D10" s="400" t="s">
        <v>4614</v>
      </c>
    </row>
    <row r="11" spans="1:12" ht="27.75" customHeight="1" x14ac:dyDescent="0.2">
      <c r="A11" s="121" t="s">
        <v>4615</v>
      </c>
      <c r="B11" s="203" t="s">
        <v>4540</v>
      </c>
      <c r="C11" s="1118">
        <f ca="1">IFERROR((IFERROR(IF(OR(AND(OR(CALC_PlanetPositions!$M$7="Benefic",CALC_PlanetPositions!$M$7="Yogakaraka"),CALC_PlanetPositions!$B$7=CALC_D10_Dashamsha!$G$16,CALC_D10_Dashamsha!$D$16&lt;&gt;"Sun"),AND(OR(CALC_PlanetPositions!$M$8="Benefic",CALC_PlanetPositions!$M$8="Yogakaraka"),CALC_PlanetPositions!$B$8=CALC_D10_Dashamsha!$G$16,CALC_D10_Dashamsha!$D$16&lt;&gt;"Moon"),AND(OR(CALC_PlanetPositions!$M$9="Benefic",CALC_PlanetPositions!$M$9="Yogakaraka"),CALC_PlanetPositions!$B$9=CALC_D10_Dashamsha!$G$16,CALC_D10_Dashamsha!$D$16&lt;&gt;"Mars"),AND(OR(CALC_PlanetPositions!$M$10="Benefic",CALC_PlanetPositions!$M$10="Yogakaraka"),CALC_PlanetPositions!$B$10=CALC_D10_Dashamsha!$G$16,CALC_D10_Dashamsha!$D$16&lt;&gt;"Mercury"),AND(OR(CALC_PlanetPositions!$M$11="Benefic",CALC_PlanetPositions!$M$11="Yogakaraka"),CALC_PlanetPositions!$B$11=CALC_D10_Dashamsha!$G$16,CALC_D10_Dashamsha!$D$16&lt;&gt;"Jupiter"),AND(OR(CALC_PlanetPositions!$M$12="Benefic",CALC_PlanetPositions!$M$12="Yogakaraka"),CALC_PlanetPositions!$B$12=CALC_D10_Dashamsha!$G$16,CALC_D10_Dashamsha!$D$16&lt;&gt;"Venus"),AND(OR(CALC_PlanetPositions!$M$13="Benefic",CALC_PlanetPositions!$M$13="Yogakaraka"),CALC_PlanetPositions!$B$13=CALC_D10_Dashamsha!$G$16,CALC_D10_Dashamsha!$D$16&lt;&gt;"Saturn")),1,0),0))*IF(OR(AND(CALC_PlanetPositions!$M$7="Yogakaraka",CALC_PlanetPositions!$B$7=CALC_D10_Dashamsha!$G$16,CALC_D10_Dashamsha!$D$16&lt;&gt;"Sun"),AND(CALC_PlanetPositions!$M$8="Yogakaraka",CALC_PlanetPositions!$B$8=CALC_D10_Dashamsha!$G$16,CALC_D10_Dashamsha!$D$16&lt;&gt;"Moon"),AND(CALC_PlanetPositions!$M$9="Yogakaraka",CALC_PlanetPositions!$B$9=CALC_D10_Dashamsha!$G$16,CALC_D10_Dashamsha!$D$16&lt;&gt;"Mars"),AND(CALC_PlanetPositions!$M$10="Yogakaraka",CALC_PlanetPositions!$B$10=CALC_D10_Dashamsha!$G$16,CALC_D10_Dashamsha!$D$16&lt;&gt;"Mercury"),AND(CALC_PlanetPositions!$M$11="Yogakaraka",CALC_PlanetPositions!$B$11=CALC_D10_Dashamsha!$G$16,CALC_D10_Dashamsha!$D$16&lt;&gt;"Jupiter"),AND(CALC_PlanetPositions!$M$12="Yogakaraka",CALC_PlanetPositions!$B$12=CALC_D10_Dashamsha!$G$16,CALC_D10_Dashamsha!$D$16&lt;&gt;"Venus"),AND(CALC_PlanetPositions!$M$13="Yogakaraka",CALC_PlanetPositions!$B$13=CALC_D10_Dashamsha!$G$16,CALC_D10_Dashamsha!$D$16&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10_Dashamsha!$H$16-(MOD(MATCH(CALC_PlanetPositions!$B$7,{"Aries","Taurus","Gemini","Cancer","Leo","Virgo","Libra","Scorpio","Sagittarius","Capricorn","Aquarius","Pisces"},0)-MATCH(INPUT_Chart!$C$5,{"Aries","Taurus","Gemini","Cancer","Leo","Virgo","Libra","Scorpio","Sagittarius","Capricorn","Aquarius","Pisces"},0),12)+1),12)+1)="FULL",NOT(CALC_PlanetPositions!$B$7=CALC_D10_Dashamsha!$G$16)),AND(OR(CALC_PlanetPositions!$M$8="Benefic",CALC_PlanetPositions!$M$8="Yogakaraka"),INDEX(REF_Aspects!$D$5:$O$13,2,MOD(CALC_D10_Dashamsha!$H$16-(MOD(MATCH(CALC_PlanetPositions!$B$8,{"Aries","Taurus","Gemini","Cancer","Leo","Virgo","Libra","Scorpio","Sagittarius","Capricorn","Aquarius","Pisces"},0)-MATCH(INPUT_Chart!$C$5,{"Aries","Taurus","Gemini","Cancer","Leo","Virgo","Libra","Scorpio","Sagittarius","Capricorn","Aquarius","Pisces"},0),12)+1),12)+1)="FULL",NOT(CALC_PlanetPositions!$B$8=CALC_D10_Dashamsha!$G$16)),AND(OR(CALC_PlanetPositions!$M$9="Benefic",CALC_PlanetPositions!$M$9="Yogakaraka"),INDEX(REF_Aspects!$D$5:$O$13,3,MOD(CALC_D10_Dashamsha!$H$16-(MOD(MATCH(CALC_PlanetPositions!$B$9,{"Aries","Taurus","Gemini","Cancer","Leo","Virgo","Libra","Scorpio","Sagittarius","Capricorn","Aquarius","Pisces"},0)-MATCH(INPUT_Chart!$C$5,{"Aries","Taurus","Gemini","Cancer","Leo","Virgo","Libra","Scorpio","Sagittarius","Capricorn","Aquarius","Pisces"},0),12)+1),12)+1)="FULL",NOT(CALC_PlanetPositions!$B$9=CALC_D10_Dashamsha!$G$16)),AND(OR(CALC_PlanetPositions!$M$10="Benefic",CALC_PlanetPositions!$M$10="Yogakaraka"),INDEX(REF_Aspects!$D$5:$O$13,4,MOD(CALC_D10_Dashamsha!$H$16-(MOD(MATCH(CALC_PlanetPositions!$B$10,{"Aries","Taurus","Gemini","Cancer","Leo","Virgo","Libra","Scorpio","Sagittarius","Capricorn","Aquarius","Pisces"},0)-MATCH(INPUT_Chart!$C$5,{"Aries","Taurus","Gemini","Cancer","Leo","Virgo","Libra","Scorpio","Sagittarius","Capricorn","Aquarius","Pisces"},0),12)+1),12)+1)="FULL",NOT(CALC_PlanetPositions!$B$10=CALC_D10_Dashamsha!$G$16)),AND(OR(CALC_PlanetPositions!$M$11="Benefic",CALC_PlanetPositions!$M$11="Yogakaraka"),INDEX(REF_Aspects!$D$5:$O$13,5,MOD(CALC_D10_Dashamsha!$H$16-(MOD(MATCH(CALC_PlanetPositions!$B$11,{"Aries","Taurus","Gemini","Cancer","Leo","Virgo","Libra","Scorpio","Sagittarius","Capricorn","Aquarius","Pisces"},0)-MATCH(INPUT_Chart!$C$5,{"Aries","Taurus","Gemini","Cancer","Leo","Virgo","Libra","Scorpio","Sagittarius","Capricorn","Aquarius","Pisces"},0),12)+1),12)+1)="FULL",NOT(CALC_PlanetPositions!$B$11=CALC_D10_Dashamsha!$G$16)),AND(OR(CALC_PlanetPositions!$M$12="Benefic",CALC_PlanetPositions!$M$12="Yogakaraka"),INDEX(REF_Aspects!$D$5:$O$13,6,MOD(CALC_D10_Dashamsha!$H$16-(MOD(MATCH(CALC_PlanetPositions!$B$12,{"Aries","Taurus","Gemini","Cancer","Leo","Virgo","Libra","Scorpio","Sagittarius","Capricorn","Aquarius","Pisces"},0)-MATCH(INPUT_Chart!$C$5,{"Aries","Taurus","Gemini","Cancer","Leo","Virgo","Libra","Scorpio","Sagittarius","Capricorn","Aquarius","Pisces"},0),12)+1),12)+1)="FULL",NOT(CALC_PlanetPositions!$B$12=CALC_D10_Dashamsha!$G$16)),AND(OR(CALC_PlanetPositions!$M$13="Benefic",CALC_PlanetPositions!$M$13="Yogakaraka"),INDEX(REF_Aspects!$D$5:$O$13,7,MOD(CALC_D10_Dashamsha!$H$16-(MOD(MATCH(CALC_PlanetPositions!$B$13,{"Aries","Taurus","Gemini","Cancer","Leo","Virgo","Libra","Scorpio","Sagittarius","Capricorn","Aquarius","Pisces"},0)-MATCH(INPUT_Chart!$C$5,{"Aries","Taurus","Gemini","Cancer","Leo","Virgo","Libra","Scorpio","Sagittarius","Capricorn","Aquarius","Pisces"},0),12)+1),12)+1)="FULL",NOT(CALC_PlanetPositions!$B$13=CALC_D10_Dashamsha!$G$16)),AND(FALSE(),INDEX(REF_Aspects!$D$5:$O$13,8,MOD(CALC_D10_Dashamsha!$H$16-(MOD(MATCH(CALC_PlanetPositions!$B$14,{"Aries","Taurus","Gemini","Cancer","Leo","Virgo","Libra","Scorpio","Sagittarius","Capricorn","Aquarius","Pisces"},0)-MATCH(INPUT_Chart!$C$5,{"Aries","Taurus","Gemini","Cancer","Leo","Virgo","Libra","Scorpio","Sagittarius","Capricorn","Aquarius","Pisces"},0),12)+1),12)+1)="FULL",NOT(CALC_PlanetPositions!$B$14=CALC_D10_Dashamsha!$G$16)),AND(FALSE(),INDEX(REF_Aspects!$D$5:$O$13,9,MOD(CALC_D10_Dashamsha!$H$16-(MOD(MATCH(CALC_PlanetPositions!$B$15,{"Aries","Taurus","Gemini","Cancer","Leo","Virgo","Libra","Scorpio","Sagittarius","Capricorn","Aquarius","Pisces"},0)-MATCH(INPUT_Chart!$C$5,{"Aries","Taurus","Gemini","Cancer","Leo","Virgo","Libra","Scorpio","Sagittarius","Capricorn","Aquarius","Pisces"},0),12)+1),12)+1)="FULL",NOT(CALC_PlanetPositions!$B$15=CALC_D10_Dashamsha!$G$16))),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$16-2,12)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$16-2,12)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$16-2,12)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$16-2,12)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$16-2,12)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$16-2,12)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$16-2,12)+1)),AND(FALSE(),MOD(MATCH(CALC_PlanetPositions!$B$14,{"Aries","Taurus","Gemini","Cancer","Leo","Virgo","Libra","Scorpio","Sagittarius","Capricorn","Aquarius","Pisces"},0)-MATCH(INPUT_Chart!$C$5,{"Aries","Taurus","Gemini","Cancer","Leo","Virgo","Libra","Scorpio","Sagittarius","Capricorn","Aquarius","Pisces"},0),12)+1=(MOD(CALC_D10_Dashamsha!$H$16-2,12)+1)),AND(FALSE(),MOD(MATCH(CALC_PlanetPositions!$B$15,{"Aries","Taurus","Gemini","Cancer","Leo","Virgo","Libra","Scorpio","Sagittarius","Capricorn","Aquarius","Pisces"},0)-MATCH(INPUT_Chart!$C$5,{"Aries","Taurus","Gemini","Cancer","Leo","Virgo","Libra","Scorpio","Sagittarius","Capricorn","Aquarius","Pisces"},0),12)+1=(MOD(CALC_D10_Dashamsha!$H$16-2,12)+1))),OR(AND(OR(CALC_PlanetPositions!$M$7="Benefic",CALC_PlanetPositions!$M$7="Yogakaraka"),MOD(MATCH(CALC_PlanetPositions!$B$7,{"Aries","Taurus","Gemini","Cancer","Leo","Virgo","Libra","Scorpio","Sagittarius","Capricorn","Aquarius","Pisces"},0)-MATCH(INPUT_Chart!$C$5,{"Aries","Taurus","Gemini","Cancer","Leo","Virgo","Libra","Scorpio","Sagittarius","Capricorn","Aquarius","Pisces"},0),12)+1=(MOD(CALC_D10_Dashamsha!$H$16,12)+1)),AND(OR(CALC_PlanetPositions!$M$8="Benefic",CALC_PlanetPositions!$M$8="Yogakaraka"),MOD(MATCH(CALC_PlanetPositions!$B$8,{"Aries","Taurus","Gemini","Cancer","Leo","Virgo","Libra","Scorpio","Sagittarius","Capricorn","Aquarius","Pisces"},0)-MATCH(INPUT_Chart!$C$5,{"Aries","Taurus","Gemini","Cancer","Leo","Virgo","Libra","Scorpio","Sagittarius","Capricorn","Aquarius","Pisces"},0),12)+1=(MOD(CALC_D10_Dashamsha!$H$16,12)+1)),AND(OR(CALC_PlanetPositions!$M$9="Benefic",CALC_PlanetPositions!$M$9="Yogakaraka"),MOD(MATCH(CALC_PlanetPositions!$B$9,{"Aries","Taurus","Gemini","Cancer","Leo","Virgo","Libra","Scorpio","Sagittarius","Capricorn","Aquarius","Pisces"},0)-MATCH(INPUT_Chart!$C$5,{"Aries","Taurus","Gemini","Cancer","Leo","Virgo","Libra","Scorpio","Sagittarius","Capricorn","Aquarius","Pisces"},0),12)+1=(MOD(CALC_D10_Dashamsha!$H$16,12)+1)),AND(OR(CALC_PlanetPositions!$M$10="Benefic",CALC_PlanetPositions!$M$10="Yogakaraka"),MOD(MATCH(CALC_PlanetPositions!$B$10,{"Aries","Taurus","Gemini","Cancer","Leo","Virgo","Libra","Scorpio","Sagittarius","Capricorn","Aquarius","Pisces"},0)-MATCH(INPUT_Chart!$C$5,{"Aries","Taurus","Gemini","Cancer","Leo","Virgo","Libra","Scorpio","Sagittarius","Capricorn","Aquarius","Pisces"},0),12)+1=(MOD(CALC_D10_Dashamsha!$H$16,12)+1)),AND(OR(CALC_PlanetPositions!$M$11="Benefic",CALC_PlanetPositions!$M$11="Yogakaraka"),MOD(MATCH(CALC_PlanetPositions!$B$11,{"Aries","Taurus","Gemini","Cancer","Leo","Virgo","Libra","Scorpio","Sagittarius","Capricorn","Aquarius","Pisces"},0)-MATCH(INPUT_Chart!$C$5,{"Aries","Taurus","Gemini","Cancer","Leo","Virgo","Libra","Scorpio","Sagittarius","Capricorn","Aquarius","Pisces"},0),12)+1=(MOD(CALC_D10_Dashamsha!$H$16,12)+1)),AND(OR(CALC_PlanetPositions!$M$12="Benefic",CALC_PlanetPositions!$M$12="Yogakaraka"),MOD(MATCH(CALC_PlanetPositions!$B$12,{"Aries","Taurus","Gemini","Cancer","Leo","Virgo","Libra","Scorpio","Sagittarius","Capricorn","Aquarius","Pisces"},0)-MATCH(INPUT_Chart!$C$5,{"Aries","Taurus","Gemini","Cancer","Leo","Virgo","Libra","Scorpio","Sagittarius","Capricorn","Aquarius","Pisces"},0),12)+1=(MOD(CALC_D10_Dashamsha!$H$16,12)+1)),AND(OR(CALC_PlanetPositions!$M$13="Benefic",CALC_PlanetPositions!$M$13="Yogakaraka"),MOD(MATCH(CALC_PlanetPositions!$B$13,{"Aries","Taurus","Gemini","Cancer","Leo","Virgo","Libra","Scorpio","Sagittarius","Capricorn","Aquarius","Pisces"},0)-MATCH(INPUT_Chart!$C$5,{"Aries","Taurus","Gemini","Cancer","Leo","Virgo","Libra","Scorpio","Sagittarius","Capricorn","Aquarius","Pisces"},0),12)+1=(MOD(CALC_D10_Dashamsha!$H$16,12)+1)),AND(FALSE(),MOD(MATCH(CALC_PlanetPositions!$B$14,{"Aries","Taurus","Gemini","Cancer","Leo","Virgo","Libra","Scorpio","Sagittarius","Capricorn","Aquarius","Pisces"},0)-MATCH(INPUT_Chart!$C$5,{"Aries","Taurus","Gemini","Cancer","Leo","Virgo","Libra","Scorpio","Sagittarius","Capricorn","Aquarius","Pisces"},0),12)+1=(MOD(CALC_D10_Dashamsha!$H$16,12)+1)),AND(FALSE(),MOD(MATCH(CALC_PlanetPositions!$B$15,{"Aries","Taurus","Gemini","Cancer","Leo","Virgo","Libra","Scorpio","Sagittarius","Capricorn","Aquarius","Pisces"},0)-MATCH(INPUT_Chart!$C$5,{"Aries","Taurus","Gemini","Cancer","Leo","Virgo","Libra","Scorpio","Sagittarius","Capricorn","Aquarius","Pisces"},0),12)+1=(MOD(CALC_D10_Dashamsha!$H$16,12)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INPUT_Chart!$C$5,{"Aries","Taurus","Gemini","Cancer","Leo","Virgo","Libra","Scorpio","Sagittarius","Capricorn","Aquarius","Pisces"},0),12)+1)=1),AND(CALC_PlanetPositions!$M$8="Malefic",(MOD(MATCH(CALC_PlanetPositions!$B$8,{"Aries","Taurus","Gemini","Cancer","Leo","Virgo","Libra","Scorpio","Sagittarius","Capricorn","Aquarius","Pisces"},0)-MATCH(INPUT_Chart!$C$5,{"Aries","Taurus","Gemini","Cancer","Leo","Virgo","Libra","Scorpio","Sagittarius","Capricorn","Aquarius","Pisces"},0),12)+1)=1),AND(CALC_PlanetPositions!$M$9="Malefic",(MOD(MATCH(CALC_PlanetPositions!$B$9,{"Aries","Taurus","Gemini","Cancer","Leo","Virgo","Libra","Scorpio","Sagittarius","Capricorn","Aquarius","Pisces"},0)-MATCH(INPUT_Chart!$C$5,{"Aries","Taurus","Gemini","Cancer","Leo","Virgo","Libra","Scorpio","Sagittarius","Capricorn","Aquarius","Pisces"},0),12)+1)=1),AND(CALC_PlanetPositions!$M$10="Malefic",(MOD(MATCH(CALC_PlanetPositions!$B$10,{"Aries","Taurus","Gemini","Cancer","Leo","Virgo","Libra","Scorpio","Sagittarius","Capricorn","Aquarius","Pisces"},0)-MATCH(INPUT_Chart!$C$5,{"Aries","Taurus","Gemini","Cancer","Leo","Virgo","Libra","Scorpio","Sagittarius","Capricorn","Aquarius","Pisces"},0),12)+1)=1),AND(CALC_PlanetPositions!$M$11="Malefic",(MOD(MATCH(CALC_PlanetPositions!$B$11,{"Aries","Taurus","Gemini","Cancer","Leo","Virgo","Libra","Scorpio","Sagittarius","Capricorn","Aquarius","Pisces"},0)-MATCH(INPUT_Chart!$C$5,{"Aries","Taurus","Gemini","Cancer","Leo","Virgo","Libra","Scorpio","Sagittarius","Capricorn","Aquarius","Pisces"},0),12)+1)=1),AND(CALC_PlanetPositions!$M$12="Malefic",(MOD(MATCH(CALC_PlanetPositions!$B$12,{"Aries","Taurus","Gemini","Cancer","Leo","Virgo","Libra","Scorpio","Sagittarius","Capricorn","Aquarius","Pisces"},0)-MATCH(INPUT_Chart!$C$5,{"Aries","Taurus","Gemini","Cancer","Leo","Virgo","Libra","Scorpio","Sagittarius","Capricorn","Aquarius","Pisces"},0),12)+1)=1),AND(CALC_PlanetPositions!$M$13="Malefic",(MOD(MATCH(CALC_PlanetPositions!$B$13,{"Aries","Taurus","Gemini","Cancer","Leo","Virgo","Libra","Scorpio","Sagittarius","Capricorn","Aquarius","Pisces"},0)-MATCH(INPUT_Chart!$C$5,{"Aries","Taurus","Gemini","Cancer","Leo","Virgo","Libra","Scorpio","Sagittarius","Capricorn","Aquarius","Pisces"},0),12)+1)=1),AND(TRUE(),(MOD(MATCH(CALC_PlanetPositions!$B$14,{"Aries","Taurus","Gemini","Cancer","Leo","Virgo","Libra","Scorpio","Sagittarius","Capricorn","Aquarius","Pisces"},0)-MATCH(INPUT_Chart!$C$5,{"Aries","Taurus","Gemini","Cancer","Leo","Virgo","Libra","Scorpio","Sagittarius","Capricorn","Aquarius","Pisces"},0),12)+1)=1),AND(TRUE(),(MOD(MATCH(CALC_PlanetPositions!$B$15,{"Aries","Taurus","Gemini","Cancer","Leo","Virgo","Libra","Scorpio","Sagittarius","Capricorn","Aquarius","Pisces"},0)-MATCH(INPUT_Chart!$C$5,{"Aries","Taurus","Gemini","Cancer","Leo","Virgo","Libra","Scorpio","Sagittarius","Capricorn","Aquarius","Pisces"},0),12)+1)=1)),1,0),0))*-1,0)</f>
        <v>-1</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INPUT_Chart!$C$5,{"Aries","Taurus","Gemini","Cancer","Leo","Virgo","Libra","Scorpio","Sagittarius","Capricorn","Aquarius","Pisces"},0),12)+1),12)+1)="FULL",NOT((MOD(MATCH(CALC_PlanetPositions!$B$7,{"Aries","Taurus","Gemini","Cancer","Leo","Virgo","Libra","Scorpio","Sagittarius","Capricorn","Aquarius","Pisces"},0)-MATCH(INPUT_Chart!$C$5,{"Aries","Taurus","Gemini","Cancer","Leo","Virgo","Libra","Scorpio","Sagittarius","Capricorn","Aquarius","Pisces"},0),12)+1)=1)),AND(CALC_PlanetPositions!$M$8="Malefic",INDEX(REF_Aspects!$D$5:$O$13,2,MOD(1-(MOD(MATCH(CALC_PlanetPositions!$B$8,{"Aries","Taurus","Gemini","Cancer","Leo","Virgo","Libra","Scorpio","Sagittarius","Capricorn","Aquarius","Pisces"},0)-MATCH(INPUT_Chart!$C$5,{"Aries","Taurus","Gemini","Cancer","Leo","Virgo","Libra","Scorpio","Sagittarius","Capricorn","Aquarius","Pisces"},0),12)+1),12)+1)="FULL",NOT((MOD(MATCH(CALC_PlanetPositions!$B$8,{"Aries","Taurus","Gemini","Cancer","Leo","Virgo","Libra","Scorpio","Sagittarius","Capricorn","Aquarius","Pisces"},0)-MATCH(INPUT_Chart!$C$5,{"Aries","Taurus","Gemini","Cancer","Leo","Virgo","Libra","Scorpio","Sagittarius","Capricorn","Aquarius","Pisces"},0),12)+1)=1)),AND(CALC_PlanetPositions!$M$9="Malefic",INDEX(REF_Aspects!$D$5:$O$13,3,MOD(1-(MOD(MATCH(CALC_PlanetPositions!$B$9,{"Aries","Taurus","Gemini","Cancer","Leo","Virgo","Libra","Scorpio","Sagittarius","Capricorn","Aquarius","Pisces"},0)-MATCH(INPUT_Chart!$C$5,{"Aries","Taurus","Gemini","Cancer","Leo","Virgo","Libra","Scorpio","Sagittarius","Capricorn","Aquarius","Pisces"},0),12)+1),12)+1)="FULL",NOT((MOD(MATCH(CALC_PlanetPositions!$B$9,{"Aries","Taurus","Gemini","Cancer","Leo","Virgo","Libra","Scorpio","Sagittarius","Capricorn","Aquarius","Pisces"},0)-MATCH(INPUT_Chart!$C$5,{"Aries","Taurus","Gemini","Cancer","Leo","Virgo","Libra","Scorpio","Sagittarius","Capricorn","Aquarius","Pisces"},0),12)+1)=1)),AND(CALC_PlanetPositions!$M$10="Malefic",INDEX(REF_Aspects!$D$5:$O$13,4,MOD(1-(MOD(MATCH(CALC_PlanetPositions!$B$10,{"Aries","Taurus","Gemini","Cancer","Leo","Virgo","Libra","Scorpio","Sagittarius","Capricorn","Aquarius","Pisces"},0)-MATCH(INPUT_Chart!$C$5,{"Aries","Taurus","Gemini","Cancer","Leo","Virgo","Libra","Scorpio","Sagittarius","Capricorn","Aquarius","Pisces"},0),12)+1),12)+1)="FULL",NOT((MOD(MATCH(CALC_PlanetPositions!$B$10,{"Aries","Taurus","Gemini","Cancer","Leo","Virgo","Libra","Scorpio","Sagittarius","Capricorn","Aquarius","Pisces"},0)-MATCH(INPUT_Chart!$C$5,{"Aries","Taurus","Gemini","Cancer","Leo","Virgo","Libra","Scorpio","Sagittarius","Capricorn","Aquarius","Pisces"},0),12)+1)=1)),AND(CALC_PlanetPositions!$M$11="Malefic",INDEX(REF_Aspects!$D$5:$O$13,5,MOD(1-(MOD(MATCH(CALC_PlanetPositions!$B$11,{"Aries","Taurus","Gemini","Cancer","Leo","Virgo","Libra","Scorpio","Sagittarius","Capricorn","Aquarius","Pisces"},0)-MATCH(INPUT_Chart!$C$5,{"Aries","Taurus","Gemini","Cancer","Leo","Virgo","Libra","Scorpio","Sagittarius","Capricorn","Aquarius","Pisces"},0),12)+1),12)+1)="FULL",NOT((MOD(MATCH(CALC_PlanetPositions!$B$11,{"Aries","Taurus","Gemini","Cancer","Leo","Virgo","Libra","Scorpio","Sagittarius","Capricorn","Aquarius","Pisces"},0)-MATCH(INPUT_Chart!$C$5,{"Aries","Taurus","Gemini","Cancer","Leo","Virgo","Libra","Scorpio","Sagittarius","Capricorn","Aquarius","Pisces"},0),12)+1)=1)),AND(CALC_PlanetPositions!$M$12="Malefic",INDEX(REF_Aspects!$D$5:$O$13,6,MOD(1-(MOD(MATCH(CALC_PlanetPositions!$B$12,{"Aries","Taurus","Gemini","Cancer","Leo","Virgo","Libra","Scorpio","Sagittarius","Capricorn","Aquarius","Pisces"},0)-MATCH(INPUT_Chart!$C$5,{"Aries","Taurus","Gemini","Cancer","Leo","Virgo","Libra","Scorpio","Sagittarius","Capricorn","Aquarius","Pisces"},0),12)+1),12)+1)="FULL",NOT((MOD(MATCH(CALC_PlanetPositions!$B$12,{"Aries","Taurus","Gemini","Cancer","Leo","Virgo","Libra","Scorpio","Sagittarius","Capricorn","Aquarius","Pisces"},0)-MATCH(INPUT_Chart!$C$5,{"Aries","Taurus","Gemini","Cancer","Leo","Virgo","Libra","Scorpio","Sagittarius","Capricorn","Aquarius","Pisces"},0),12)+1)=1)),AND(CALC_PlanetPositions!$M$13="Malefic",INDEX(REF_Aspects!$D$5:$O$13,7,MOD(1-(MOD(MATCH(CALC_PlanetPositions!$B$13,{"Aries","Taurus","Gemini","Cancer","Leo","Virgo","Libra","Scorpio","Sagittarius","Capricorn","Aquarius","Pisces"},0)-MATCH(INPUT_Chart!$C$5,{"Aries","Taurus","Gemini","Cancer","Leo","Virgo","Libra","Scorpio","Sagittarius","Capricorn","Aquarius","Pisces"},0),12)+1),12)+1)="FULL",NOT((MOD(MATCH(CALC_PlanetPositions!$B$13,{"Aries","Taurus","Gemini","Cancer","Leo","Virgo","Libra","Scorpio","Sagittarius","Capricorn","Aquarius","Pisces"},0)-MATCH(INPUT_Chart!$C$5,{"Aries","Taurus","Gemini","Cancer","Leo","Virgo","Libra","Scorpio","Sagittarius","Capricorn","Aquarius","Pisces"},0),12)+1)=1)),AND(TRUE(),INDEX(REF_Aspects!$D$5:$O$13,8,MOD(1-(MOD(MATCH(CALC_PlanetPositions!$B$14,{"Aries","Taurus","Gemini","Cancer","Leo","Virgo","Libra","Scorpio","Sagittarius","Capricorn","Aquarius","Pisces"},0)-MATCH(INPUT_Chart!$C$5,{"Aries","Taurus","Gemini","Cancer","Leo","Virgo","Libra","Scorpio","Sagittarius","Capricorn","Aquarius","Pisces"},0),12)+1),12)+1)="FULL",NOT((MOD(MATCH(CALC_PlanetPositions!$B$14,{"Aries","Taurus","Gemini","Cancer","Leo","Virgo","Libra","Scorpio","Sagittarius","Capricorn","Aquarius","Pisces"},0)-MATCH(INPUT_Chart!$C$5,{"Aries","Taurus","Gemini","Cancer","Leo","Virgo","Libra","Scorpio","Sagittarius","Capricorn","Aquarius","Pisces"},0),12)+1)=1)),AND(TRUE(),INDEX(REF_Aspects!$D$5:$O$13,9,MOD(1-(MOD(MATCH(CALC_PlanetPositions!$B$15,{"Aries","Taurus","Gemini","Cancer","Leo","Virgo","Libra","Scorpio","Sagittarius","Capricorn","Aquarius","Pisces"},0)-MATCH(INPUT_Chart!$C$5,{"Aries","Taurus","Gemini","Cancer","Leo","Virgo","Libra","Scorpio","Sagittarius","Capricorn","Aquarius","Pisces"},0),12)+1),12)+1)="FULL",NOT((MOD(MATCH(CALC_PlanetPositions!$B$15,{"Aries","Taurus","Gemini","Cancer","Leo","Virgo","Libra","Scorpio","Sagittarius","Capricorn","Aquarius","Pisces"},0)-MATCH(INPUT_Chart!$C$5,{"Aries","Taurus","Gemini","Cancer","Leo","Virgo","Libra","Scorpio","Sagittarius","Capricorn","Aquarius","Pisces"},0),12)+1)=1))),1,0),0))*-1,0)</f>
        <v>-1</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INPUT_Chart!$C$5,{"Aries","Taurus","Gemini","Cancer","Leo","Virgo","Libra","Scorpio","Sagittarius","Capricorn","Aquarius","Pisces"},0),12)+1=(12)),AND(CALC_PlanetPositions!$M$8="Malefic",MOD(MATCH(CALC_PlanetPositions!$B$8,{"Aries","Taurus","Gemini","Cancer","Leo","Virgo","Libra","Scorpio","Sagittarius","Capricorn","Aquarius","Pisces"},0)-MATCH(INPUT_Chart!$C$5,{"Aries","Taurus","Gemini","Cancer","Leo","Virgo","Libra","Scorpio","Sagittarius","Capricorn","Aquarius","Pisces"},0),12)+1=(12)),AND(CALC_PlanetPositions!$M$9="Malefic",MOD(MATCH(CALC_PlanetPositions!$B$9,{"Aries","Taurus","Gemini","Cancer","Leo","Virgo","Libra","Scorpio","Sagittarius","Capricorn","Aquarius","Pisces"},0)-MATCH(INPUT_Chart!$C$5,{"Aries","Taurus","Gemini","Cancer","Leo","Virgo","Libra","Scorpio","Sagittarius","Capricorn","Aquarius","Pisces"},0),12)+1=(12)),AND(CALC_PlanetPositions!$M$10="Malefic",MOD(MATCH(CALC_PlanetPositions!$B$10,{"Aries","Taurus","Gemini","Cancer","Leo","Virgo","Libra","Scorpio","Sagittarius","Capricorn","Aquarius","Pisces"},0)-MATCH(INPUT_Chart!$C$5,{"Aries","Taurus","Gemini","Cancer","Leo","Virgo","Libra","Scorpio","Sagittarius","Capricorn","Aquarius","Pisces"},0),12)+1=(12)),AND(CALC_PlanetPositions!$M$11="Malefic",MOD(MATCH(CALC_PlanetPositions!$B$11,{"Aries","Taurus","Gemini","Cancer","Leo","Virgo","Libra","Scorpio","Sagittarius","Capricorn","Aquarius","Pisces"},0)-MATCH(INPUT_Chart!$C$5,{"Aries","Taurus","Gemini","Cancer","Leo","Virgo","Libra","Scorpio","Sagittarius","Capricorn","Aquarius","Pisces"},0),12)+1=(12)),AND(CALC_PlanetPositions!$M$12="Malefic",MOD(MATCH(CALC_PlanetPositions!$B$12,{"Aries","Taurus","Gemini","Cancer","Leo","Virgo","Libra","Scorpio","Sagittarius","Capricorn","Aquarius","Pisces"},0)-MATCH(INPUT_Chart!$C$5,{"Aries","Taurus","Gemini","Cancer","Leo","Virgo","Libra","Scorpio","Sagittarius","Capricorn","Aquarius","Pisces"},0),12)+1=(12)),AND(CALC_PlanetPositions!$M$13="Malefic",MOD(MATCH(CALC_PlanetPositions!$B$13,{"Aries","Taurus","Gemini","Cancer","Leo","Virgo","Libra","Scorpio","Sagittarius","Capricorn","Aquarius","Pisces"},0)-MATCH(INPUT_Chart!$C$5,{"Aries","Taurus","Gemini","Cancer","Leo","Virgo","Libra","Scorpio","Sagittarius","Capricorn","Aquarius","Pisces"},0),12)+1=(12)),AND(TRUE(),MOD(MATCH(CALC_PlanetPositions!$B$14,{"Aries","Taurus","Gemini","Cancer","Leo","Virgo","Libra","Scorpio","Sagittarius","Capricorn","Aquarius","Pisces"},0)-MATCH(INPUT_Chart!$C$5,{"Aries","Taurus","Gemini","Cancer","Leo","Virgo","Libra","Scorpio","Sagittarius","Capricorn","Aquarius","Pisces"},0),12)+1=(12)),AND(TRUE(),MOD(MATCH(CALC_PlanetPositions!$B$15,{"Aries","Taurus","Gemini","Cancer","Leo","Virgo","Libra","Scorpio","Sagittarius","Capricorn","Aquarius","Pisces"},0)-MATCH(INPUT_Chart!$C$5,{"Aries","Taurus","Gemini","Cancer","Leo","Virgo","Libra","Scorpio","Sagittarius","Capricorn","Aquarius","Pisces"},0),12)+1=(12))),OR(AND(CALC_PlanetPositions!$M$7="Malefic",MOD(MATCH(CALC_PlanetPositions!$B$7,{"Aries","Taurus","Gemini","Cancer","Leo","Virgo","Libra","Scorpio","Sagittarius","Capricorn","Aquarius","Pisces"},0)-MATCH(INPUT_Chart!$C$5,{"Aries","Taurus","Gemini","Cancer","Leo","Virgo","Libra","Scorpio","Sagittarius","Capricorn","Aquarius","Pisces"},0),12)+1=(MOD(1,12)+1)),AND(CALC_PlanetPositions!$M$8="Malefic",MOD(MATCH(CALC_PlanetPositions!$B$8,{"Aries","Taurus","Gemini","Cancer","Leo","Virgo","Libra","Scorpio","Sagittarius","Capricorn","Aquarius","Pisces"},0)-MATCH(INPUT_Chart!$C$5,{"Aries","Taurus","Gemini","Cancer","Leo","Virgo","Libra","Scorpio","Sagittarius","Capricorn","Aquarius","Pisces"},0),12)+1=(MOD(1,12)+1)),AND(CALC_PlanetPositions!$M$9="Malefic",MOD(MATCH(CALC_PlanetPositions!$B$9,{"Aries","Taurus","Gemini","Cancer","Leo","Virgo","Libra","Scorpio","Sagittarius","Capricorn","Aquarius","Pisces"},0)-MATCH(INPUT_Chart!$C$5,{"Aries","Taurus","Gemini","Cancer","Leo","Virgo","Libra","Scorpio","Sagittarius","Capricorn","Aquarius","Pisces"},0),12)+1=(MOD(1,12)+1)),AND(CALC_PlanetPositions!$M$10="Malefic",MOD(MATCH(CALC_PlanetPositions!$B$10,{"Aries","Taurus","Gemini","Cancer","Leo","Virgo","Libra","Scorpio","Sagittarius","Capricorn","Aquarius","Pisces"},0)-MATCH(INPUT_Chart!$C$5,{"Aries","Taurus","Gemini","Cancer","Leo","Virgo","Libra","Scorpio","Sagittarius","Capricorn","Aquarius","Pisces"},0),12)+1=(MOD(1,12)+1)),AND(CALC_PlanetPositions!$M$11="Malefic",MOD(MATCH(CALC_PlanetPositions!$B$11,{"Aries","Taurus","Gemini","Cancer","Leo","Virgo","Libra","Scorpio","Sagittarius","Capricorn","Aquarius","Pisces"},0)-MATCH(INPUT_Chart!$C$5,{"Aries","Taurus","Gemini","Cancer","Leo","Virgo","Libra","Scorpio","Sagittarius","Capricorn","Aquarius","Pisces"},0),12)+1=(MOD(1,12)+1)),AND(CALC_PlanetPositions!$M$12="Malefic",MOD(MATCH(CALC_PlanetPositions!$B$12,{"Aries","Taurus","Gemini","Cancer","Leo","Virgo","Libra","Scorpio","Sagittarius","Capricorn","Aquarius","Pisces"},0)-MATCH(INPUT_Chart!$C$5,{"Aries","Taurus","Gemini","Cancer","Leo","Virgo","Libra","Scorpio","Sagittarius","Capricorn","Aquarius","Pisces"},0),12)+1=(MOD(1,12)+1)),AND(CALC_PlanetPositions!$M$13="Malefic",MOD(MATCH(CALC_PlanetPositions!$B$13,{"Aries","Taurus","Gemini","Cancer","Leo","Virgo","Libra","Scorpio","Sagittarius","Capricorn","Aquarius","Pisces"},0)-MATCH(INPUT_Chart!$C$5,{"Aries","Taurus","Gemini","Cancer","Leo","Virgo","Libra","Scorpio","Sagittarius","Capricorn","Aquarius","Pisces"},0),12)+1=(MOD(1,12)+1)),AND(TRUE(),MOD(MATCH(CALC_PlanetPositions!$B$14,{"Aries","Taurus","Gemini","Cancer","Leo","Virgo","Libra","Scorpio","Sagittarius","Capricorn","Aquarius","Pisces"},0)-MATCH(INPUT_Chart!$C$5,{"Aries","Taurus","Gemini","Cancer","Leo","Virgo","Libra","Scorpio","Sagittarius","Capricorn","Aquarius","Pisces"},0),12)+1=(MOD(1,12)+1)),AND(TRUE(),MOD(MATCH(CALC_PlanetPositions!$B$15,{"Aries","Taurus","Gemini","Cancer","Leo","Virgo","Libra","Scorpio","Sagittarius","Capricorn","Aquarius","Pisces"},0)-MATCH(INPUT_Chart!$C$5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10_Dashamsha!$H$16-(MOD(MATCH(CALC_PlanetPositions!$B$7,{"Aries","Taurus","Gemini","Cancer","Leo","Virgo","Libra","Scorpio","Sagittarius","Capricorn","Aquarius","Pisces"},0)-MATCH(INPUT_Chart!$C$5,{"Aries","Taurus","Gemini","Cancer","Leo","Virgo","Libra","Scorpio","Sagittarius","Capricorn","Aquarius","Pisces"},0),12)+1),12)+1)="FULL",NOT(CALC_PlanetPositions!$B$7=CALC_D10_Dashamsha!$G$16)),AND(CALC_PlanetPositions!$M$8="Malefic",INDEX(REF_Aspects!$D$5:$O$13,2,MOD(CALC_D10_Dashamsha!$H$16-(MOD(MATCH(CALC_PlanetPositions!$B$8,{"Aries","Taurus","Gemini","Cancer","Leo","Virgo","Libra","Scorpio","Sagittarius","Capricorn","Aquarius","Pisces"},0)-MATCH(INPUT_Chart!$C$5,{"Aries","Taurus","Gemini","Cancer","Leo","Virgo","Libra","Scorpio","Sagittarius","Capricorn","Aquarius","Pisces"},0),12)+1),12)+1)="FULL",NOT(CALC_PlanetPositions!$B$8=CALC_D10_Dashamsha!$G$16)),AND(CALC_PlanetPositions!$M$9="Malefic",INDEX(REF_Aspects!$D$5:$O$13,3,MOD(CALC_D10_Dashamsha!$H$16-(MOD(MATCH(CALC_PlanetPositions!$B$9,{"Aries","Taurus","Gemini","Cancer","Leo","Virgo","Libra","Scorpio","Sagittarius","Capricorn","Aquarius","Pisces"},0)-MATCH(INPUT_Chart!$C$5,{"Aries","Taurus","Gemini","Cancer","Leo","Virgo","Libra","Scorpio","Sagittarius","Capricorn","Aquarius","Pisces"},0),12)+1),12)+1)="FULL",NOT(CALC_PlanetPositions!$B$9=CALC_D10_Dashamsha!$G$16)),AND(CALC_PlanetPositions!$M$10="Malefic",INDEX(REF_Aspects!$D$5:$O$13,4,MOD(CALC_D10_Dashamsha!$H$16-(MOD(MATCH(CALC_PlanetPositions!$B$10,{"Aries","Taurus","Gemini","Cancer","Leo","Virgo","Libra","Scorpio","Sagittarius","Capricorn","Aquarius","Pisces"},0)-MATCH(INPUT_Chart!$C$5,{"Aries","Taurus","Gemini","Cancer","Leo","Virgo","Libra","Scorpio","Sagittarius","Capricorn","Aquarius","Pisces"},0),12)+1),12)+1)="FULL",NOT(CALC_PlanetPositions!$B$10=CALC_D10_Dashamsha!$G$16)),AND(CALC_PlanetPositions!$M$11="Malefic",INDEX(REF_Aspects!$D$5:$O$13,5,MOD(CALC_D10_Dashamsha!$H$16-(MOD(MATCH(CALC_PlanetPositions!$B$11,{"Aries","Taurus","Gemini","Cancer","Leo","Virgo","Libra","Scorpio","Sagittarius","Capricorn","Aquarius","Pisces"},0)-MATCH(INPUT_Chart!$C$5,{"Aries","Taurus","Gemini","Cancer","Leo","Virgo","Libra","Scorpio","Sagittarius","Capricorn","Aquarius","Pisces"},0),12)+1),12)+1)="FULL",NOT(CALC_PlanetPositions!$B$11=CALC_D10_Dashamsha!$G$16)),AND(CALC_PlanetPositions!$M$12="Malefic",INDEX(REF_Aspects!$D$5:$O$13,6,MOD(CALC_D10_Dashamsha!$H$16-(MOD(MATCH(CALC_PlanetPositions!$B$12,{"Aries","Taurus","Gemini","Cancer","Leo","Virgo","Libra","Scorpio","Sagittarius","Capricorn","Aquarius","Pisces"},0)-MATCH(INPUT_Chart!$C$5,{"Aries","Taurus","Gemini","Cancer","Leo","Virgo","Libra","Scorpio","Sagittarius","Capricorn","Aquarius","Pisces"},0),12)+1),12)+1)="FULL",NOT(CALC_PlanetPositions!$B$12=CALC_D10_Dashamsha!$G$16)),AND(CALC_PlanetPositions!$M$13="Malefic",INDEX(REF_Aspects!$D$5:$O$13,7,MOD(CALC_D10_Dashamsha!$H$16-(MOD(MATCH(CALC_PlanetPositions!$B$13,{"Aries","Taurus","Gemini","Cancer","Leo","Virgo","Libra","Scorpio","Sagittarius","Capricorn","Aquarius","Pisces"},0)-MATCH(INPUT_Chart!$C$5,{"Aries","Taurus","Gemini","Cancer","Leo","Virgo","Libra","Scorpio","Sagittarius","Capricorn","Aquarius","Pisces"},0),12)+1),12)+1)="FULL",NOT(CALC_PlanetPositions!$B$13=CALC_D10_Dashamsha!$G$16)),AND(TRUE(),INDEX(REF_Aspects!$D$5:$O$13,8,MOD(CALC_D10_Dashamsha!$H$16-(MOD(MATCH(CALC_PlanetPositions!$B$14,{"Aries","Taurus","Gemini","Cancer","Leo","Virgo","Libra","Scorpio","Sagittarius","Capricorn","Aquarius","Pisces"},0)-MATCH(INPUT_Chart!$C$5,{"Aries","Taurus","Gemini","Cancer","Leo","Virgo","Libra","Scorpio","Sagittarius","Capricorn","Aquarius","Pisces"},0),12)+1),12)+1)="FULL",NOT(CALC_PlanetPositions!$B$14=CALC_D10_Dashamsha!$G$16)),AND(TRUE(),INDEX(REF_Aspects!$D$5:$O$13,9,MOD(CALC_D10_Dashamsha!$H$16-(MOD(MATCH(CALC_PlanetPositions!$B$15,{"Aries","Taurus","Gemini","Cancer","Leo","Virgo","Libra","Scorpio","Sagittarius","Capricorn","Aquarius","Pisces"},0)-MATCH(INPUT_Chart!$C$5,{"Aries","Taurus","Gemini","Cancer","Leo","Virgo","Libra","Scorpio","Sagittarius","Capricorn","Aquarius","Pisces"},0),12)+1),12)+1)="FULL",NOT(CALC_PlanetPositions!$B$15=CALC_D10_Dashamsha!$G$16))),1,0),0))*-0.5,0)</f>
        <v>0</v>
      </c>
      <c r="D21" s="403" t="s">
        <v>4634</v>
      </c>
    </row>
    <row r="22" spans="1:7" ht="27.75" customHeight="1" x14ac:dyDescent="0.2">
      <c r="A22" s="121" t="s">
        <v>4635</v>
      </c>
      <c r="B22" s="357" t="s">
        <v>3042</v>
      </c>
      <c r="C22" s="1117">
        <f>IFERROR((IFERROR(IF(CALC_D10_Dashamsha!$K$16="Yes",1,0),0))*IF(REF_Config!$B$6="KP",-1.75,IF(REF_Config!$B$6="Jaimini",-2,-2)),0)</f>
        <v>0</v>
      </c>
      <c r="D22" s="400" t="s">
        <v>4636</v>
      </c>
    </row>
    <row r="23" spans="1:7" ht="27.75" customHeight="1" x14ac:dyDescent="0.2">
      <c r="A23" s="121" t="s">
        <v>4637</v>
      </c>
      <c r="B23" s="203" t="s">
        <v>3059</v>
      </c>
      <c r="C23" s="1118">
        <f ca="1">IFERROR((IFERROR(IF(OR(AND(CALC_D10_Dashamsha!$G$10=CALC_D10_Dashamsha!$G$16,CALC_D10_Dashamsha!$D$10&lt;&gt;CALC_D10_Dashamsha!$D$16),AND(CALC_D10_Dashamsha!$G$12=CALC_D10_Dashamsha!$G$16,CALC_D10_Dashamsha!$D$12&lt;&gt;CALC_D10_Dashamsha!$D$16),AND(CALC_D10_Dashamsha!$G$16=CALC_D10_Dashamsha!$G$16,CALC_D10_Dashamsha!$D$16&lt;&gt;CALC_D10_Dashamsha!$D$16)),1,0),0))*-1,0)</f>
        <v>-1</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IFERROR(IF(OR(CALC_D10_Dashamsha!$D$16="Sun",CALC_D10_Dashamsha!$D$16="Rahu",CALC_D10_Dashamsha!$D$16="Ketu"),0,IF(CALC_D10_Dashamsha!$D$16="Moon",IF(CALC_CombustionCheck!$G$4="Cazimi ✓",0.5,IF(CALC_CombustionCheck!$F$4="COMBUST ⚠",-1,0)),IF(CALC_D10_Dashamsha!$D$16="Mars",IF(CALC_CombustionCheck!$G$5="Cazimi ✓",0.5,IF(AND(CALC_CombustionCheck!$F$5="COMBUST ⚠",CALC_RetrogradeFix!$F$6="Rx ✓"),-0.5,IF(CALC_CombustionCheck!$F$5="COMBUST ⚠",-1,0))),IF(CALC_D10_Dashamsha!$D$16="Mercury",IF(CALC_CombustionCheck!$G$6="Cazimi ✓",0.5,IF(AND(CALC_CombustionCheck!$F$6="COMBUST ⚠",CALC_RetrogradeFix!$F$7="Rx ✓"),-0.5,IF(CALC_CombustionCheck!$F$6="COMBUST ⚠",-1,0))),IF(CALC_D10_Dashamsha!$D$16="Jupiter",IF(CALC_CombustionCheck!$G$7="Cazimi ✓",0.5,IF(AND(CALC_CombustionCheck!$F$7="COMBUST ⚠",CALC_RetrogradeFix!$F$8="Rx ✓"),-0.5,IF(CALC_CombustionCheck!$F$7="COMBUST ⚠",-1,0))),IF(CALC_D10_Dashamsha!$D$16="Venus",IF(CALC_CombustionCheck!$G$8="Cazimi ✓",0.5,IF(AND(CALC_CombustionCheck!$F$8="COMBUST ⚠",CALC_RetrogradeFix!$F$9="Rx ✓"),-0.5,IF(CALC_CombustionCheck!$F$8="COMBUST ⚠",-1,0))),IF(CALC_D10_Dashamsha!$D$16="Saturn",IF(CALC_CombustionCheck!$G$9="Cazimi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10_Dashamsha!$D$16="Rahu",CALC_D10_Dashamsha!$D$16="Ketu"),0,IF(ISNUMBER(MATCH(CALC_D10_Dashamsha!$D$16,{"Sun","Moon","Mars","Mercury","Jupiter","Venus","Saturn"},0)),IF(INDEX(CALC_DigBala!$F$4:$F$10,MATCH(CALC_D10_Dashamsha!$D$16,{"Sun","Moon","Mars","Mercury","Jupiter","Venus","Saturn"},0))="Yes",0.5,0),0)),0)</f>
        <v>0</v>
      </c>
      <c r="D28" s="400" t="s">
        <v>4647</v>
      </c>
    </row>
    <row r="29" spans="1:7" ht="27.75" customHeight="1" x14ac:dyDescent="0.2">
      <c r="A29" s="1120" t="s">
        <v>4648</v>
      </c>
      <c r="B29" s="296" t="s">
        <v>3372</v>
      </c>
      <c r="C29" s="1117">
        <f ca="1">IFERROR(IF(COUNTIFS(REF_PushkaraNavamsha!$A$4:$A$27,CALC_D10_Dashamsha!$G$16,REF_PushkaraNavamsha!$B$4:$B$27,INDEX(CALC_PlanetPositions!$G$7:$G$15,MATCH(CALC_D10_Dashamsha!$D$16,CALC_PlanetPositions!$A$7:$A$15,0)))&gt;0,0.5,0),0)</f>
        <v>0</v>
      </c>
      <c r="D29" s="400" t="s">
        <v>4649</v>
      </c>
    </row>
    <row r="30" spans="1:7" ht="25.5" customHeight="1" x14ac:dyDescent="0.2">
      <c r="A30" s="147" t="s">
        <v>4650</v>
      </c>
      <c r="B30" s="1121" t="s">
        <v>4651</v>
      </c>
      <c r="C30" s="1122">
        <f>IFERROR(IF(ISNUMBER(MATCH(CALC_D10_Dashamsha!$D$16,{"Sun","Moon","Mars","Mercury","Jupiter","Venus","Saturn"},0)),INDEX(CALC_RetrogradeFix!$G$4:$G$10,MATCH(CALC_D10_Dashamsha!$D$16,{"Sun","Moon","Mars","Mercury","Jupiter","Venus","Saturn"},0)),0),0)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1</v>
      </c>
      <c r="D33" s="1129"/>
    </row>
    <row r="34" spans="1:4" ht="18" customHeight="1" x14ac:dyDescent="0.2">
      <c r="A34" s="189" t="s">
        <v>4621</v>
      </c>
      <c r="B34" s="1127" t="s">
        <v>4658</v>
      </c>
      <c r="C34" s="1128">
        <f>IFERROR(SUM(C15:C18),0)</f>
        <v>-2</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-1.5</v>
      </c>
      <c r="D37" s="1129"/>
    </row>
    <row r="38" spans="1:4" ht="21.75" customHeight="1" x14ac:dyDescent="0.2">
      <c r="A38" s="89" t="s">
        <v>4661</v>
      </c>
      <c r="B38" s="1129"/>
      <c r="C38" s="1131">
        <f ca="1">IFERROR(MAX(-10,MIN(10,C37)),0)</f>
        <v>-1.5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IFERROR(MAX(-10,MIN(10,C38+C39+C41)),0)</f>
        <v>-1.5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147" t="s">
        <v>4732</v>
      </c>
      <c r="B41" s="1129"/>
      <c r="C41" s="470">
        <v>0</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4756</v>
      </c>
      <c r="B1" s="1518"/>
      <c r="C1" s="1518"/>
      <c r="D1" s="1518"/>
      <c r="L1" s="544" t="s">
        <v>2214</v>
      </c>
    </row>
    <row r="2" spans="1:12" ht="19.5" customHeight="1" x14ac:dyDescent="0.2">
      <c r="A2" s="1595" t="str">
        <f>IFERROR("Karakamsha Lagna: "&amp;CALC_Karakamsha!$B$5&amp;"  ·  Atmakaraka: "&amp;CALC_CharaKarak!$B$4,"—")</f>
        <v>Karakamsha Lagna: Sun  ·  Atmakaraka: Sun</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IFERROR((IFERROR(IF(INDEX(REF_Zodiac!$D$17:$O$17,MATCH(CALC_D9_BhaveshMap!$C$5,REF_Zodiac!$D$3:$O$3,0))="Gentle",1,0),0))*0.5,0)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IFERROR(IF(AND(OR(CALC_D9_BhaveshMap!$I$5="Yes",CALC_D9_BhaveshMap!$J$5="Yes"),NOT(CALC_D9_BhaveshMap!$K$5="Yes")),1,0)*2,0)</f>
        <v>0</v>
      </c>
      <c r="D9" s="403" t="s">
        <v>4612</v>
      </c>
    </row>
    <row r="10" spans="1:12" ht="27.75" customHeight="1" x14ac:dyDescent="0.2">
      <c r="A10" s="121" t="s">
        <v>4613</v>
      </c>
      <c r="B10" s="357" t="s">
        <v>3093</v>
      </c>
      <c r="C10" s="1117">
        <f ca="1">IFERROR((IFERROR(IF(OR(AND(CALC_D9_BhaveshMap!$G$5=CALC_D9_BhaveshMap!$G$5,CALC_D9_BhaveshMap!$D$5&lt;&gt;CALC_D9_BhaveshMap!$D$5),AND(CALC_BhaveshMap!$G$8=CALC_D9_BhaveshMap!$G$5,CALC_BhaveshMap!$D$8&lt;&gt;CALC_D9_BhaveshMap!$D$5),AND(CALC_BhaveshMap!$G$9=CALC_D9_BhaveshMap!$G$5,CALC_BhaveshMap!$D$9&lt;&gt;CALC_D9_BhaveshMap!$D$5),AND(CALC_BhaveshMap!$G$11=CALC_D9_BhaveshMap!$G$5,CALC_BhaveshMap!$D$11&lt;&gt;CALC_D9_BhaveshMap!$D$5),AND(CALC_BhaveshMap!$G$13=CALC_D9_BhaveshMap!$G$5,CALC_BhaveshMap!$D$13&lt;&gt;CALC_D9_BhaveshMap!$D$5),AND(CALC_BhaveshMap!$G$14=CALC_D9_BhaveshMap!$G$5,CALC_BhaveshMap!$D$14&lt;&gt;CALC_D9_BhaveshMap!$D$5)),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$5,CALC_D9_BhaveshMap!$D$5&lt;&gt;"Sun"),AND(OR(CALC_PlanetPositions!$M$8="Benefic",CALC_PlanetPositions!$M$8="Yogakaraka"),CALC_PlanetPositions!$B$8=CALC_D9_BhaveshMap!$G$5,CALC_D9_BhaveshMap!$D$5&lt;&gt;"Moon"),AND(OR(CALC_PlanetPositions!$M$9="Benefic",CALC_PlanetPositions!$M$9="Yogakaraka"),CALC_PlanetPositions!$B$9=CALC_D9_BhaveshMap!$G$5,CALC_D9_BhaveshMap!$D$5&lt;&gt;"Mars"),AND(OR(CALC_PlanetPositions!$M$10="Benefic",CALC_PlanetPositions!$M$10="Yogakaraka"),CALC_PlanetPositions!$B$10=CALC_D9_BhaveshMap!$G$5,CALC_D9_BhaveshMap!$D$5&lt;&gt;"Mercury"),AND(OR(CALC_PlanetPositions!$M$11="Benefic",CALC_PlanetPositions!$M$11="Yogakaraka"),CALC_PlanetPositions!$B$11=CALC_D9_BhaveshMap!$G$5,CALC_D9_BhaveshMap!$D$5&lt;&gt;"Jupiter"),AND(OR(CALC_PlanetPositions!$M$12="Benefic",CALC_PlanetPositions!$M$12="Yogakaraka"),CALC_PlanetPositions!$B$12=CALC_D9_BhaveshMap!$G$5,CALC_D9_BhaveshMap!$D$5&lt;&gt;"Venus"),AND(OR(CALC_PlanetPositions!$M$13="Benefic",CALC_PlanetPositions!$M$13="Yogakaraka"),CALC_PlanetPositions!$B$13=CALC_D9_BhaveshMap!$G$5,CALC_D9_BhaveshMap!$D$5&lt;&gt;"Saturn")),1,0),0))*IF(OR(AND(CALC_PlanetPositions!$M$7="Yogakaraka",CALC_PlanetPositions!$B$7=CALC_D9_BhaveshMap!$G$5,CALC_D9_BhaveshMap!$D$5&lt;&gt;"Sun"),AND(CALC_PlanetPositions!$M$8="Yogakaraka",CALC_PlanetPositions!$B$8=CALC_D9_BhaveshMap!$G$5,CALC_D9_BhaveshMap!$D$5&lt;&gt;"Moon"),AND(CALC_PlanetPositions!$M$9="Yogakaraka",CALC_PlanetPositions!$B$9=CALC_D9_BhaveshMap!$G$5,CALC_D9_BhaveshMap!$D$5&lt;&gt;"Mars"),AND(CALC_PlanetPositions!$M$10="Yogakaraka",CALC_PlanetPositions!$B$10=CALC_D9_BhaveshMap!$G$5,CALC_D9_BhaveshMap!$D$5&lt;&gt;"Mercury"),AND(CALC_PlanetPositions!$M$11="Yogakaraka",CALC_PlanetPositions!$B$11=CALC_D9_BhaveshMap!$G$5,CALC_D9_BhaveshMap!$D$5&lt;&gt;"Jupiter"),AND(CALC_PlanetPositions!$M$12="Yogakaraka",CALC_PlanetPositions!$B$12=CALC_D9_BhaveshMap!$G$5,CALC_D9_BhaveshMap!$D$5&lt;&gt;"Venus"),AND(CALC_PlanetPositions!$M$13="Yogakaraka",CALC_PlanetPositions!$B$13=CALC_D9_BhaveshMap!$G$5,CALC_D9_BhaveshMap!$D$5&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$5-(MOD(MATCH(CALC_PlanetPositions!$B$7,{"Aries","Taurus","Gemini","Cancer","Leo","Virgo","Libra","Scorpio","Sagittarius","Capricorn","Aquarius","Pisces"},0)-MATCH(CALC_Karakamsha!$B$5,{"Aries","Taurus","Gemini","Cancer","Leo","Virgo","Libra","Scorpio","Sagittarius","Capricorn","Aquarius","Pisces"},0),12)+1),12)+1)="FULL",NOT(CALC_PlanetPositions!$B$7=CALC_D9_BhaveshMap!$G$5)),AND(OR(CALC_PlanetPositions!$M$8="Benefic",CALC_PlanetPositions!$M$8="Yogakaraka"),INDEX(REF_Aspects!$D$5:$O$13,2,MOD(CALC_D9_BhaveshMap!$H$5-(MOD(MATCH(CALC_PlanetPositions!$B$8,{"Aries","Taurus","Gemini","Cancer","Leo","Virgo","Libra","Scorpio","Sagittarius","Capricorn","Aquarius","Pisces"},0)-MATCH(CALC_Karakamsha!$B$5,{"Aries","Taurus","Gemini","Cancer","Leo","Virgo","Libra","Scorpio","Sagittarius","Capricorn","Aquarius","Pisces"},0),12)+1),12)+1)="FULL",NOT(CALC_PlanetPositions!$B$8=CALC_D9_BhaveshMap!$G$5)),AND(OR(CALC_PlanetPositions!$M$9="Benefic",CALC_PlanetPositions!$M$9="Yogakaraka"),INDEX(REF_Aspects!$D$5:$O$13,3,MOD(CALC_D9_BhaveshMap!$H$5-(MOD(MATCH(CALC_PlanetPositions!$B$9,{"Aries","Taurus","Gemini","Cancer","Leo","Virgo","Libra","Scorpio","Sagittarius","Capricorn","Aquarius","Pisces"},0)-MATCH(CALC_Karakamsha!$B$5,{"Aries","Taurus","Gemini","Cancer","Leo","Virgo","Libra","Scorpio","Sagittarius","Capricorn","Aquarius","Pisces"},0),12)+1),12)+1)="FULL",NOT(CALC_PlanetPositions!$B$9=CALC_D9_BhaveshMap!$G$5)),AND(OR(CALC_PlanetPositions!$M$10="Benefic",CALC_PlanetPositions!$M$10="Yogakaraka"),INDEX(REF_Aspects!$D$5:$O$13,4,MOD(CALC_D9_BhaveshMap!$H$5-(MOD(MATCH(CALC_PlanetPositions!$B$10,{"Aries","Taurus","Gemini","Cancer","Leo","Virgo","Libra","Scorpio","Sagittarius","Capricorn","Aquarius","Pisces"},0)-MATCH(CALC_Karakamsha!$B$5,{"Aries","Taurus","Gemini","Cancer","Leo","Virgo","Libra","Scorpio","Sagittarius","Capricorn","Aquarius","Pisces"},0),12)+1),12)+1)="FULL",NOT(CALC_PlanetPositions!$B$10=CALC_D9_BhaveshMap!$G$5)),AND(OR(CALC_PlanetPositions!$M$11="Benefic",CALC_PlanetPositions!$M$11="Yogakaraka"),INDEX(REF_Aspects!$D$5:$O$13,5,MOD(CALC_D9_BhaveshMap!$H$5-(MOD(MATCH(CALC_PlanetPositions!$B$11,{"Aries","Taurus","Gemini","Cancer","Leo","Virgo","Libra","Scorpio","Sagittarius","Capricorn","Aquarius","Pisces"},0)-MATCH(CALC_Karakamsha!$B$5,{"Aries","Taurus","Gemini","Cancer","Leo","Virgo","Libra","Scorpio","Sagittarius","Capricorn","Aquarius","Pisces"},0),12)+1),12)+1)="FULL",NOT(CALC_PlanetPositions!$B$11=CALC_D9_BhaveshMap!$G$5)),AND(OR(CALC_PlanetPositions!$M$12="Benefic",CALC_PlanetPositions!$M$12="Yogakaraka"),INDEX(REF_Aspects!$D$5:$O$13,6,MOD(CALC_D9_BhaveshMap!$H$5-(MOD(MATCH(CALC_PlanetPositions!$B$12,{"Aries","Taurus","Gemini","Cancer","Leo","Virgo","Libra","Scorpio","Sagittarius","Capricorn","Aquarius","Pisces"},0)-MATCH(CALC_Karakamsha!$B$5,{"Aries","Taurus","Gemini","Cancer","Leo","Virgo","Libra","Scorpio","Sagittarius","Capricorn","Aquarius","Pisces"},0),12)+1),12)+1)="FULL",NOT(CALC_PlanetPositions!$B$12=CALC_D9_BhaveshMap!$G$5)),AND(OR(CALC_PlanetPositions!$M$13="Benefic",CALC_PlanetPositions!$M$13="Yogakaraka"),INDEX(REF_Aspects!$D$5:$O$13,7,MOD(CALC_D9_BhaveshMap!$H$5-(MOD(MATCH(CALC_PlanetPositions!$B$13,{"Aries","Taurus","Gemini","Cancer","Leo","Virgo","Libra","Scorpio","Sagittarius","Capricorn","Aquarius","Pisces"},0)-MATCH(CALC_Karakamsha!$B$5,{"Aries","Taurus","Gemini","Cancer","Leo","Virgo","Libra","Scorpio","Sagittarius","Capricorn","Aquarius","Pisces"},0),12)+1),12)+1)="FULL",NOT(CALC_PlanetPositions!$B$13=CALC_D9_BhaveshMap!$G$5)),AND(FALSE(),INDEX(REF_Aspects!$D$5:$O$13,8,MOD(CALC_D9_BhaveshMap!$H$5-(MOD(MATCH(CALC_PlanetPositions!$B$14,{"Aries","Taurus","Gemini","Cancer","Leo","Virgo","Libra","Scorpio","Sagittarius","Capricorn","Aquarius","Pisces"},0)-MATCH(CALC_Karakamsha!$B$5,{"Aries","Taurus","Gemini","Cancer","Leo","Virgo","Libra","Scorpio","Sagittarius","Capricorn","Aquarius","Pisces"},0),12)+1),12)+1)="FULL",NOT(CALC_PlanetPositions!$B$14=CALC_D9_BhaveshMap!$G$5)),AND(FALSE(),INDEX(REF_Aspects!$D$5:$O$13,9,MOD(CALC_D9_BhaveshMap!$H$5-(MOD(MATCH(CALC_PlanetPositions!$B$15,{"Aries","Taurus","Gemini","Cancer","Leo","Virgo","Libra","Scorpio","Sagittarius","Capricorn","Aquarius","Pisces"},0)-MATCH(CALC_Karakamsha!$B$5,{"Aries","Taurus","Gemini","Cancer","Leo","Virgo","Libra","Scorpio","Sagittarius","Capricorn","Aquarius","Pisces"},0),12)+1),12)+1)="FULL",NOT(CALC_PlanetPositions!$B$15=CALC_D9_BhaveshMap!$G$5))),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$5-2,12)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$5-2,12)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$5-2,12)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$5-2,12)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$5-2,12)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$5-2,12)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$5-2,12)+1)),AND(FALSE(),MOD(MATCH(CALC_PlanetPositions!$B$14,{"Aries","Taurus","Gemini","Cancer","Leo","Virgo","Libra","Scorpio","Sagittarius","Capricorn","Aquarius","Pisces"},0)-MATCH(CALC_Karakamsha!$B$5,{"Aries","Taurus","Gemini","Cancer","Leo","Virgo","Libra","Scorpio","Sagittarius","Capricorn","Aquarius","Pisces"},0),12)+1=(MOD(CALC_D9_BhaveshMap!$H$5-2,12)+1)),AND(FALSE(),MOD(MATCH(CALC_PlanetPositions!$B$15,{"Aries","Taurus","Gemini","Cancer","Leo","Virgo","Libra","Scorpio","Sagittarius","Capricorn","Aquarius","Pisces"},0)-MATCH(CALC_Karakamsha!$B$5,{"Aries","Taurus","Gemini","Cancer","Leo","Virgo","Libra","Scorpio","Sagittarius","Capricorn","Aquarius","Pisces"},0),12)+1=(MOD(CALC_D9_BhaveshMap!$H$5-2,12)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$5,12)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$5,12)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$5,12)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$5,12)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$5,12)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$5,12)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$5,12)+1)),AND(FALSE(),MOD(MATCH(CALC_PlanetPositions!$B$14,{"Aries","Taurus","Gemini","Cancer","Leo","Virgo","Libra","Scorpio","Sagittarius","Capricorn","Aquarius","Pisces"},0)-MATCH(CALC_Karakamsha!$B$5,{"Aries","Taurus","Gemini","Cancer","Leo","Virgo","Libra","Scorpio","Sagittarius","Capricorn","Aquarius","Pisces"},0),12)+1=(MOD(CALC_D9_BhaveshMap!$H$5,12)+1)),AND(FALSE(),MOD(MATCH(CALC_PlanetPositions!$B$15,{"Aries","Taurus","Gemini","Cancer","Leo","Virgo","Libra","Scorpio","Sagittarius","Capricorn","Aquarius","Pisces"},0)-MATCH(CALC_Karakamsha!$B$5,{"Aries","Taurus","Gemini","Cancer","Leo","Virgo","Libra","Scorpio","Sagittarius","Capricorn","Aquarius","Pisces"},0),12)+1=(MOD(CALC_D9_BhaveshMap!$H$5,12)+1)))),1,0),0))*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$5-(MOD(MATCH(CALC_PlanetPositions!$B$7,{"Aries","Taurus","Gemini","Cancer","Leo","Virgo","Libra","Scorpio","Sagittarius","Capricorn","Aquarius","Pisces"},0)-MATCH(CALC_Karakamsha!$B$5,{"Aries","Taurus","Gemini","Cancer","Leo","Virgo","Libra","Scorpio","Sagittarius","Capricorn","Aquarius","Pisces"},0),12)+1),12)+1)="FULL",NOT(CALC_PlanetPositions!$B$7=CALC_D9_BhaveshMap!$G$5)),AND(CALC_PlanetPositions!$M$8="Malefic",INDEX(REF_Aspects!$D$5:$O$13,2,MOD(CALC_D9_BhaveshMap!$H$5-(MOD(MATCH(CALC_PlanetPositions!$B$8,{"Aries","Taurus","Gemini","Cancer","Leo","Virgo","Libra","Scorpio","Sagittarius","Capricorn","Aquarius","Pisces"},0)-MATCH(CALC_Karakamsha!$B$5,{"Aries","Taurus","Gemini","Cancer","Leo","Virgo","Libra","Scorpio","Sagittarius","Capricorn","Aquarius","Pisces"},0),12)+1),12)+1)="FULL",NOT(CALC_PlanetPositions!$B$8=CALC_D9_BhaveshMap!$G$5)),AND(CALC_PlanetPositions!$M$9="Malefic",INDEX(REF_Aspects!$D$5:$O$13,3,MOD(CALC_D9_BhaveshMap!$H$5-(MOD(MATCH(CALC_PlanetPositions!$B$9,{"Aries","Taurus","Gemini","Cancer","Leo","Virgo","Libra","Scorpio","Sagittarius","Capricorn","Aquarius","Pisces"},0)-MATCH(CALC_Karakamsha!$B$5,{"Aries","Taurus","Gemini","Cancer","Leo","Virgo","Libra","Scorpio","Sagittarius","Capricorn","Aquarius","Pisces"},0),12)+1),12)+1)="FULL",NOT(CALC_PlanetPositions!$B$9=CALC_D9_BhaveshMap!$G$5)),AND(CALC_PlanetPositions!$M$10="Malefic",INDEX(REF_Aspects!$D$5:$O$13,4,MOD(CALC_D9_BhaveshMap!$H$5-(MOD(MATCH(CALC_PlanetPositions!$B$10,{"Aries","Taurus","Gemini","Cancer","Leo","Virgo","Libra","Scorpio","Sagittarius","Capricorn","Aquarius","Pisces"},0)-MATCH(CALC_Karakamsha!$B$5,{"Aries","Taurus","Gemini","Cancer","Leo","Virgo","Libra","Scorpio","Sagittarius","Capricorn","Aquarius","Pisces"},0),12)+1),12)+1)="FULL",NOT(CALC_PlanetPositions!$B$10=CALC_D9_BhaveshMap!$G$5)),AND(CALC_PlanetPositions!$M$11="Malefic",INDEX(REF_Aspects!$D$5:$O$13,5,MOD(CALC_D9_BhaveshMap!$H$5-(MOD(MATCH(CALC_PlanetPositions!$B$11,{"Aries","Taurus","Gemini","Cancer","Leo","Virgo","Libra","Scorpio","Sagittarius","Capricorn","Aquarius","Pisces"},0)-MATCH(CALC_Karakamsha!$B$5,{"Aries","Taurus","Gemini","Cancer","Leo","Virgo","Libra","Scorpio","Sagittarius","Capricorn","Aquarius","Pisces"},0),12)+1),12)+1)="FULL",NOT(CALC_PlanetPositions!$B$11=CALC_D9_BhaveshMap!$G$5)),AND(CALC_PlanetPositions!$M$12="Malefic",INDEX(REF_Aspects!$D$5:$O$13,6,MOD(CALC_D9_BhaveshMap!$H$5-(MOD(MATCH(CALC_PlanetPositions!$B$12,{"Aries","Taurus","Gemini","Cancer","Leo","Virgo","Libra","Scorpio","Sagittarius","Capricorn","Aquarius","Pisces"},0)-MATCH(CALC_Karakamsha!$B$5,{"Aries","Taurus","Gemini","Cancer","Leo","Virgo","Libra","Scorpio","Sagittarius","Capricorn","Aquarius","Pisces"},0),12)+1),12)+1)="FULL",NOT(CALC_PlanetPositions!$B$12=CALC_D9_BhaveshMap!$G$5)),AND(CALC_PlanetPositions!$M$13="Malefic",INDEX(REF_Aspects!$D$5:$O$13,7,MOD(CALC_D9_BhaveshMap!$H$5-(MOD(MATCH(CALC_PlanetPositions!$B$13,{"Aries","Taurus","Gemini","Cancer","Leo","Virgo","Libra","Scorpio","Sagittarius","Capricorn","Aquarius","Pisces"},0)-MATCH(CALC_Karakamsha!$B$5,{"Aries","Taurus","Gemini","Cancer","Leo","Virgo","Libra","Scorpio","Sagittarius","Capricorn","Aquarius","Pisces"},0),12)+1),12)+1)="FULL",NOT(CALC_PlanetPositions!$B$13=CALC_D9_BhaveshMap!$G$5)),AND(TRUE(),INDEX(REF_Aspects!$D$5:$O$13,8,MOD(CALC_D9_BhaveshMap!$H$5-(MOD(MATCH(CALC_PlanetPositions!$B$14,{"Aries","Taurus","Gemini","Cancer","Leo","Virgo","Libra","Scorpio","Sagittarius","Capricorn","Aquarius","Pisces"},0)-MATCH(CALC_Karakamsha!$B$5,{"Aries","Taurus","Gemini","Cancer","Leo","Virgo","Libra","Scorpio","Sagittarius","Capricorn","Aquarius","Pisces"},0),12)+1),12)+1)="FULL",NOT(CALC_PlanetPositions!$B$14=CALC_D9_BhaveshMap!$G$5)),AND(TRUE(),INDEX(REF_Aspects!$D$5:$O$13,9,MOD(CALC_D9_BhaveshMap!$H$5-(MOD(MATCH(CALC_PlanetPositions!$B$15,{"Aries","Taurus","Gemini","Cancer","Leo","Virgo","Libra","Scorpio","Sagittarius","Capricorn","Aquarius","Pisces"},0)-MATCH(CALC_Karakamsha!$B$5,{"Aries","Taurus","Gemini","Cancer","Leo","Virgo","Libra","Scorpio","Sagittarius","Capricorn","Aquarius","Pisces"},0),12)+1),12)+1)="FULL",NOT(CALC_PlanetPositions!$B$15=CALC_D9_BhaveshMap!$G$5))),1,0),0))*-0.5,0)</f>
        <v>0</v>
      </c>
      <c r="D21" s="403" t="s">
        <v>4634</v>
      </c>
    </row>
    <row r="22" spans="1:7" ht="27.75" customHeight="1" x14ac:dyDescent="0.2">
      <c r="A22" s="121" t="s">
        <v>4635</v>
      </c>
      <c r="B22" s="357" t="s">
        <v>3042</v>
      </c>
      <c r="C22" s="1117">
        <f>IFERROR((IFERROR(IF(CALC_D9_BhaveshMap!$K$5="Yes",1,0),0))*-2,0)</f>
        <v>0</v>
      </c>
      <c r="D22" s="400" t="s">
        <v>4636</v>
      </c>
    </row>
    <row r="23" spans="1:7" ht="27.75" customHeight="1" x14ac:dyDescent="0.2">
      <c r="A23" s="121" t="s">
        <v>4637</v>
      </c>
      <c r="B23" s="203" t="s">
        <v>3059</v>
      </c>
      <c r="C23" s="1118">
        <f ca="1">IFERROR((IFERROR(IF(OR(AND(CALC_BhaveshMap!$G$10=CALC_D9_BhaveshMap!$G$5,CALC_BhaveshMap!$D$10&lt;&gt;CALC_D9_BhaveshMap!$D$5),AND(CALC_BhaveshMap!$G$12=CALC_D9_BhaveshMap!$G$5,CALC_BhaveshMap!$D$12&lt;&gt;CALC_D9_BhaveshMap!$D$5),AND(CALC_BhaveshMap!$G$16=CALC_D9_BhaveshMap!$G$5,CALC_BhaveshMap!$D$16&lt;&gt;CALC_D9_BhaveshMap!$D$5)),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IFERROR(IF(OR(CALC_D9_BhaveshMap!$D$5="Sun",CALC_D9_BhaveshMap!$D$5="Rahu",CALC_D9_BhaveshMap!$D$5="Ketu"),0,IF(CALC_D9_BhaveshMap!$D$5="Moon",IF(CALC_CombustionCheck!$G$4="Cazimi ✓",0.5,IF(CALC_CombustionCheck!$F$4="COMBUST ⚠",-1,0)),IF(CALC_D9_BhaveshMap!$D$5="Mars",IF(CALC_CombustionCheck!$G$5="Cazimi ✓",0.5,IF(AND(CALC_CombustionCheck!$F$5="COMBUST ⚠",CALC_RetrogradeFix!$F$6="Rx ✓"),-0.5,IF(CALC_CombustionCheck!$F$5="COMBUST ⚠",-1,0))),IF(CALC_D9_BhaveshMap!$D$5="Mercury",IF(CALC_CombustionCheck!$G$6="Cazimi ✓",0.5,IF(AND(CALC_CombustionCheck!$F$6="COMBUST ⚠",CALC_RetrogradeFix!$F$7="Rx ✓"),-0.5,IF(CALC_CombustionCheck!$F$6="COMBUST ⚠",-1,0))),IF(CALC_D9_BhaveshMap!$D$5="Jupiter",IF(CALC_CombustionCheck!$G$7="Cazimi ✓",0.5,IF(AND(CALC_CombustionCheck!$F$7="COMBUST ⚠",CALC_RetrogradeFix!$F$8="Rx ✓"),-0.5,IF(CALC_CombustionCheck!$F$7="COMBUST ⚠",-1,0))),IF(CALC_D9_BhaveshMap!$D$5="Venus",IF(CALC_CombustionCheck!$G$8="Cazimi ✓",0.5,IF(AND(CALC_CombustionCheck!$F$8="COMBUST ⚠",CALC_RetrogradeFix!$F$9="Rx ✓"),-0.5,IF(CALC_CombustionCheck!$F$8="COMBUST ⚠",-1,0))),IF(CALC_D9_BhaveshMap!$D$5="Saturn",IF(CALC_CombustionCheck!$G$9="Cazimi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$5="Rahu",CALC_D9_BhaveshMap!$D$5="Ketu"),0,IF(ISNUMBER(MATCH(CALC_D9_BhaveshMap!$D$5,{"Sun","Moon","Mars","Mercury","Jupiter","Venus","Saturn"},0)),IF(INDEX(CALC_DigBala!$F$4:$F$10,MATCH(CALC_D9_BhaveshMap!$D$5,{"Sun","Moon","Mars","Mercury","Jupiter","Venus","Saturn"},0))="Yes",0.5,0),0)),0)</f>
        <v>0</v>
      </c>
      <c r="D28" s="400" t="s">
        <v>4647</v>
      </c>
    </row>
    <row r="29" spans="1:7" ht="27.75" customHeight="1" x14ac:dyDescent="0.2">
      <c r="A29" s="1120" t="s">
        <v>4648</v>
      </c>
      <c r="B29" s="296" t="s">
        <v>3372</v>
      </c>
      <c r="C29" s="1117">
        <f ca="1">IFERROR(IF(COUNTIFS(REF_PushkaraNavamsha!$A$4:$A$27,CALC_D9_BhaveshMap!$G$5,REF_PushkaraNavamsha!$B$4:$B$27,INDEX(CALC_PlanetPositions!$G$7:$G$15,MATCH(CALC_D9_BhaveshMap!$D$5,CALC_PlanetPositions!$A$7:$A$15,0)))&gt;0,0.5,0),0)</f>
        <v>0</v>
      </c>
      <c r="D29" s="400" t="s">
        <v>4649</v>
      </c>
    </row>
    <row r="30" spans="1:7" ht="25.5" customHeight="1" x14ac:dyDescent="0.2">
      <c r="A30" s="147" t="s">
        <v>4650</v>
      </c>
      <c r="B30" s="1121" t="s">
        <v>4651</v>
      </c>
      <c r="C30" s="1122">
        <f>IFERROR(IF(ISNUMBER(MATCH(CALC_D9_BhaveshMap!$D$5,{"Sun","Moon","Mars","Mercury","Jupiter","Venus","Saturn"},0)),INDEX(CALC_RetrogradeFix!$G$4:$G$10,MATCH(CALC_D9_BhaveshMap!$D$5,{"Sun","Moon","Mars","Mercury","Jupiter","Venus","Saturn"},0)),0),0)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v>
      </c>
      <c r="D37" s="1129"/>
    </row>
    <row r="38" spans="1:4" ht="21.75" customHeight="1" x14ac:dyDescent="0.2">
      <c r="A38" s="89" t="s">
        <v>4661</v>
      </c>
      <c r="B38" s="1129"/>
      <c r="C38" s="1131">
        <f ca="1">IFERROR(MAX(-10,MIN(10,C37)),0)</f>
        <v>1</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1</v>
      </c>
      <c r="D40" s="1136" t="str">
        <f ca="1">IFERROR(IF(C40&gt;=7,"Excellent — Self domain very strong",IF(C40&gt;=4,"Good — Self domain strong",IF(C40&gt;=1,"Moderate",IF(C40&gt;=-2,"Mixed — Self has challenges",IF(C40&gt;=-5,"Weak","Very weak — Self heavily afflicted"))))),"—")</f>
        <v>Moderate</v>
      </c>
    </row>
    <row r="41" spans="1:4" ht="18" customHeight="1" x14ac:dyDescent="0.2">
      <c r="A41" s="338" t="s">
        <v>4664</v>
      </c>
      <c r="B41" s="1129"/>
      <c r="C41" s="470" t="str">
        <f ca="1">IFERROR(IF(AND(C32&gt;0,C33&gt;0,C34=0,C35=0),"Nirvivad ✓","Vivadit"),"—")</f>
        <v>Nirvivad ✓</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4757</v>
      </c>
      <c r="B1" s="1518"/>
      <c r="C1" s="1518"/>
      <c r="D1" s="1518"/>
      <c r="L1" s="544" t="s">
        <v>2214</v>
      </c>
    </row>
    <row r="2" spans="1:12" ht="19.5" customHeight="1" x14ac:dyDescent="0.2">
      <c r="A2" s="1595" t="str">
        <f>IFERROR("Karakamsha Lagna: "&amp;CALC_Karakamsha!$B$5&amp;"  ·  H2 — Wealth from soul's seat","← Enter chart")</f>
        <v>Karakamsha Lagna: Sun  ·  H2 — Wealth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IFERROR((IFERROR(IF(INDEX(REF_Zodiac!$D$17:$O$17,MATCH(CALC_D9_BhaveshMap!$C$6,REF_Zodiac!$D$3:$O$3,0))="Gentle",1,0),0))*0.5,0)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IFERROR(IF(AND(OR(CALC_D9_BhaveshMap!$I$6="Yes",CALC_D9_BhaveshMap!$J$6="Yes"),NOT(CALC_D9_BhaveshMap!$K$6="Yes")),1,0)*IF(REF_Config!$B$6="KP",1.5,IF(REF_Config!$B$6="Jaimini",1.5,2)),0)</f>
        <v>0</v>
      </c>
      <c r="D9" s="403" t="s">
        <v>4612</v>
      </c>
    </row>
    <row r="10" spans="1:12" ht="27.75" customHeight="1" x14ac:dyDescent="0.2">
      <c r="A10" s="121" t="s">
        <v>4613</v>
      </c>
      <c r="B10" s="357" t="s">
        <v>3093</v>
      </c>
      <c r="C10" s="1117">
        <f ca="1">IFERROR((IFERROR(IF(OR(AND(CALC_D9_BhaveshMap!$G$6=CALC_D9_BhaveshMap!$G$6,CALC_D9_BhaveshMap!$D$6&lt;&gt;CALC_D9_BhaveshMap!$D$6),AND(CALC_BhaveshMap!$G$8=CALC_D9_BhaveshMap!$G$6,CALC_BhaveshMap!$D$8&lt;&gt;CALC_D9_BhaveshMap!$D$6),AND(CALC_BhaveshMap!$G$9=CALC_D9_BhaveshMap!$G$6,CALC_BhaveshMap!$D$9&lt;&gt;CALC_D9_BhaveshMap!$D$6),AND(CALC_BhaveshMap!$G$11=CALC_D9_BhaveshMap!$G$6,CALC_BhaveshMap!$D$11&lt;&gt;CALC_D9_BhaveshMap!$D$6),AND(CALC_BhaveshMap!$G$13=CALC_D9_BhaveshMap!$G$6,CALC_BhaveshMap!$D$13&lt;&gt;CALC_D9_BhaveshMap!$D$6),AND(CALC_BhaveshMap!$G$14=CALC_D9_BhaveshMap!$G$6,CALC_BhaveshMap!$D$14&lt;&gt;CALC_D9_BhaveshMap!$D$6)),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$6,CALC_D9_BhaveshMap!$D$6&lt;&gt;"Sun"),AND(OR(CALC_PlanetPositions!$M$8="Benefic",CALC_PlanetPositions!$M$8="Yogakaraka"),CALC_PlanetPositions!$B$8=CALC_D9_BhaveshMap!$G$6,CALC_D9_BhaveshMap!$D$6&lt;&gt;"Moon"),AND(OR(CALC_PlanetPositions!$M$9="Benefic",CALC_PlanetPositions!$M$9="Yogakaraka"),CALC_PlanetPositions!$B$9=CALC_D9_BhaveshMap!$G$6,CALC_D9_BhaveshMap!$D$6&lt;&gt;"Mars"),AND(OR(CALC_PlanetPositions!$M$10="Benefic",CALC_PlanetPositions!$M$10="Yogakaraka"),CALC_PlanetPositions!$B$10=CALC_D9_BhaveshMap!$G$6,CALC_D9_BhaveshMap!$D$6&lt;&gt;"Mercury"),AND(OR(CALC_PlanetPositions!$M$11="Benefic",CALC_PlanetPositions!$M$11="Yogakaraka"),CALC_PlanetPositions!$B$11=CALC_D9_BhaveshMap!$G$6,CALC_D9_BhaveshMap!$D$6&lt;&gt;"Jupiter"),AND(OR(CALC_PlanetPositions!$M$12="Benefic",CALC_PlanetPositions!$M$12="Yogakaraka"),CALC_PlanetPositions!$B$12=CALC_D9_BhaveshMap!$G$6,CALC_D9_BhaveshMap!$D$6&lt;&gt;"Venus"),AND(OR(CALC_PlanetPositions!$M$13="Benefic",CALC_PlanetPositions!$M$13="Yogakaraka"),CALC_PlanetPositions!$B$13=CALC_D9_BhaveshMap!$G$6,CALC_D9_BhaveshMap!$D$6&lt;&gt;"Saturn")),1,0),0))*IF(OR(AND(CALC_PlanetPositions!$M$7="Yogakaraka",CALC_PlanetPositions!$B$7=CALC_D9_BhaveshMap!$G$6,CALC_D9_BhaveshMap!$D$6&lt;&gt;"Sun"),AND(CALC_PlanetPositions!$M$8="Yogakaraka",CALC_PlanetPositions!$B$8=CALC_D9_BhaveshMap!$G$6,CALC_D9_BhaveshMap!$D$6&lt;&gt;"Moon"),AND(CALC_PlanetPositions!$M$9="Yogakaraka",CALC_PlanetPositions!$B$9=CALC_D9_BhaveshMap!$G$6,CALC_D9_BhaveshMap!$D$6&lt;&gt;"Mars"),AND(CALC_PlanetPositions!$M$10="Yogakaraka",CALC_PlanetPositions!$B$10=CALC_D9_BhaveshMap!$G$6,CALC_D9_BhaveshMap!$D$6&lt;&gt;"Mercury"),AND(CALC_PlanetPositions!$M$11="Yogakaraka",CALC_PlanetPositions!$B$11=CALC_D9_BhaveshMap!$G$6,CALC_D9_BhaveshMap!$D$6&lt;&gt;"Jupiter"),AND(CALC_PlanetPositions!$M$12="Yogakaraka",CALC_PlanetPositions!$B$12=CALC_D9_BhaveshMap!$G$6,CALC_D9_BhaveshMap!$D$6&lt;&gt;"Venus"),AND(CALC_PlanetPositions!$M$13="Yogakaraka",CALC_PlanetPositions!$B$13=CALC_D9_BhaveshMap!$G$6,CALC_D9_BhaveshMap!$D$6&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$6-(MOD(MATCH(CALC_PlanetPositions!$B$7,{"Aries","Taurus","Gemini","Cancer","Leo","Virgo","Libra","Scorpio","Sagittarius","Capricorn","Aquarius","Pisces"},0)-MATCH(CALC_Karakamsha!$B$5,{"Aries","Taurus","Gemini","Cancer","Leo","Virgo","Libra","Scorpio","Sagittarius","Capricorn","Aquarius","Pisces"},0),12)+1),12)+1)="FULL",NOT(CALC_PlanetPositions!$B$7=CALC_D9_BhaveshMap!$G$6)),AND(OR(CALC_PlanetPositions!$M$8="Benefic",CALC_PlanetPositions!$M$8="Yogakaraka"),INDEX(REF_Aspects!$D$5:$O$13,2,MOD(CALC_D9_BhaveshMap!$H$6-(MOD(MATCH(CALC_PlanetPositions!$B$8,{"Aries","Taurus","Gemini","Cancer","Leo","Virgo","Libra","Scorpio","Sagittarius","Capricorn","Aquarius","Pisces"},0)-MATCH(CALC_Karakamsha!$B$5,{"Aries","Taurus","Gemini","Cancer","Leo","Virgo","Libra","Scorpio","Sagittarius","Capricorn","Aquarius","Pisces"},0),12)+1),12)+1)="FULL",NOT(CALC_PlanetPositions!$B$8=CALC_D9_BhaveshMap!$G$6)),AND(OR(CALC_PlanetPositions!$M$9="Benefic",CALC_PlanetPositions!$M$9="Yogakaraka"),INDEX(REF_Aspects!$D$5:$O$13,3,MOD(CALC_D9_BhaveshMap!$H$6-(MOD(MATCH(CALC_PlanetPositions!$B$9,{"Aries","Taurus","Gemini","Cancer","Leo","Virgo","Libra","Scorpio","Sagittarius","Capricorn","Aquarius","Pisces"},0)-MATCH(CALC_Karakamsha!$B$5,{"Aries","Taurus","Gemini","Cancer","Leo","Virgo","Libra","Scorpio","Sagittarius","Capricorn","Aquarius","Pisces"},0),12)+1),12)+1)="FULL",NOT(CALC_PlanetPositions!$B$9=CALC_D9_BhaveshMap!$G$6)),AND(OR(CALC_PlanetPositions!$M$10="Benefic",CALC_PlanetPositions!$M$10="Yogakaraka"),INDEX(REF_Aspects!$D$5:$O$13,4,MOD(CALC_D9_BhaveshMap!$H$6-(MOD(MATCH(CALC_PlanetPositions!$B$10,{"Aries","Taurus","Gemini","Cancer","Leo","Virgo","Libra","Scorpio","Sagittarius","Capricorn","Aquarius","Pisces"},0)-MATCH(CALC_Karakamsha!$B$5,{"Aries","Taurus","Gemini","Cancer","Leo","Virgo","Libra","Scorpio","Sagittarius","Capricorn","Aquarius","Pisces"},0),12)+1),12)+1)="FULL",NOT(CALC_PlanetPositions!$B$10=CALC_D9_BhaveshMap!$G$6)),AND(OR(CALC_PlanetPositions!$M$11="Benefic",CALC_PlanetPositions!$M$11="Yogakaraka"),INDEX(REF_Aspects!$D$5:$O$13,5,MOD(CALC_D9_BhaveshMap!$H$6-(MOD(MATCH(CALC_PlanetPositions!$B$11,{"Aries","Taurus","Gemini","Cancer","Leo","Virgo","Libra","Scorpio","Sagittarius","Capricorn","Aquarius","Pisces"},0)-MATCH(CALC_Karakamsha!$B$5,{"Aries","Taurus","Gemini","Cancer","Leo","Virgo","Libra","Scorpio","Sagittarius","Capricorn","Aquarius","Pisces"},0),12)+1),12)+1)="FULL",NOT(CALC_PlanetPositions!$B$11=CALC_D9_BhaveshMap!$G$6)),AND(OR(CALC_PlanetPositions!$M$12="Benefic",CALC_PlanetPositions!$M$12="Yogakaraka"),INDEX(REF_Aspects!$D$5:$O$13,6,MOD(CALC_D9_BhaveshMap!$H$6-(MOD(MATCH(CALC_PlanetPositions!$B$12,{"Aries","Taurus","Gemini","Cancer","Leo","Virgo","Libra","Scorpio","Sagittarius","Capricorn","Aquarius","Pisces"},0)-MATCH(CALC_Karakamsha!$B$5,{"Aries","Taurus","Gemini","Cancer","Leo","Virgo","Libra","Scorpio","Sagittarius","Capricorn","Aquarius","Pisces"},0),12)+1),12)+1)="FULL",NOT(CALC_PlanetPositions!$B$12=CALC_D9_BhaveshMap!$G$6)),AND(OR(CALC_PlanetPositions!$M$13="Benefic",CALC_PlanetPositions!$M$13="Yogakaraka"),INDEX(REF_Aspects!$D$5:$O$13,7,MOD(CALC_D9_BhaveshMap!$H$6-(MOD(MATCH(CALC_PlanetPositions!$B$13,{"Aries","Taurus","Gemini","Cancer","Leo","Virgo","Libra","Scorpio","Sagittarius","Capricorn","Aquarius","Pisces"},0)-MATCH(CALC_Karakamsha!$B$5,{"Aries","Taurus","Gemini","Cancer","Leo","Virgo","Libra","Scorpio","Sagittarius","Capricorn","Aquarius","Pisces"},0),12)+1),12)+1)="FULL",NOT(CALC_PlanetPositions!$B$13=CALC_D9_BhaveshMap!$G$6)),AND(FALSE(),INDEX(REF_Aspects!$D$5:$O$13,8,MOD(CALC_D9_BhaveshMap!$H$6-(MOD(MATCH(CALC_PlanetPositions!$B$14,{"Aries","Taurus","Gemini","Cancer","Leo","Virgo","Libra","Scorpio","Sagittarius","Capricorn","Aquarius","Pisces"},0)-MATCH(CALC_Karakamsha!$B$5,{"Aries","Taurus","Gemini","Cancer","Leo","Virgo","Libra","Scorpio","Sagittarius","Capricorn","Aquarius","Pisces"},0),12)+1),12)+1)="FULL",NOT(CALC_PlanetPositions!$B$14=CALC_D9_BhaveshMap!$G$6)),AND(FALSE(),INDEX(REF_Aspects!$D$5:$O$13,9,MOD(CALC_D9_BhaveshMap!$H$6-(MOD(MATCH(CALC_PlanetPositions!$B$15,{"Aries","Taurus","Gemini","Cancer","Leo","Virgo","Libra","Scorpio","Sagittarius","Capricorn","Aquarius","Pisces"},0)-MATCH(CALC_Karakamsha!$B$5,{"Aries","Taurus","Gemini","Cancer","Leo","Virgo","Libra","Scorpio","Sagittarius","Capricorn","Aquarius","Pisces"},0),12)+1),12)+1)="FULL",NOT(CALC_PlanetPositions!$B$15=CALC_D9_BhaveshMap!$G$6))),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$6-2,12)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$6-2,12)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$6-2,12)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$6-2,12)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$6-2,12)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$6-2,12)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$6-2,12)+1)),AND(FALSE(),MOD(MATCH(CALC_PlanetPositions!$B$14,{"Aries","Taurus","Gemini","Cancer","Leo","Virgo","Libra","Scorpio","Sagittarius","Capricorn","Aquarius","Pisces"},0)-MATCH(CALC_Karakamsha!$B$5,{"Aries","Taurus","Gemini","Cancer","Leo","Virgo","Libra","Scorpio","Sagittarius","Capricorn","Aquarius","Pisces"},0),12)+1=(MOD(CALC_D9_BhaveshMap!$H$6-2,12)+1)),AND(FALSE(),MOD(MATCH(CALC_PlanetPositions!$B$15,{"Aries","Taurus","Gemini","Cancer","Leo","Virgo","Libra","Scorpio","Sagittarius","Capricorn","Aquarius","Pisces"},0)-MATCH(CALC_Karakamsha!$B$5,{"Aries","Taurus","Gemini","Cancer","Leo","Virgo","Libra","Scorpio","Sagittarius","Capricorn","Aquarius","Pisces"},0),12)+1=(MOD(CALC_D9_BhaveshMap!$H$6-2,12)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$6,12)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$6,12)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$6,12)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$6,12)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$6,12)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$6,12)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$6,12)+1)),AND(FALSE(),MOD(MATCH(CALC_PlanetPositions!$B$14,{"Aries","Taurus","Gemini","Cancer","Leo","Virgo","Libra","Scorpio","Sagittarius","Capricorn","Aquarius","Pisces"},0)-MATCH(CALC_Karakamsha!$B$5,{"Aries","Taurus","Gemini","Cancer","Leo","Virgo","Libra","Scorpio","Sagittarius","Capricorn","Aquarius","Pisces"},0),12)+1=(MOD(CALC_D9_BhaveshMap!$H$6,12)+1)),AND(FALSE(),MOD(MATCH(CALC_PlanetPositions!$B$15,{"Aries","Taurus","Gemini","Cancer","Leo","Virgo","Libra","Scorpio","Sagittarius","Capricorn","Aquarius","Pisces"},0)-MATCH(CALC_Karakamsha!$B$5,{"Aries","Taurus","Gemini","Cancer","Leo","Virgo","Libra","Scorpio","Sagittarius","Capricorn","Aquarius","Pisces"},0),12)+1=(MOD(CALC_D9_BhaveshMap!$H$6,12)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$6-(MOD(MATCH(CALC_PlanetPositions!$B$7,{"Aries","Taurus","Gemini","Cancer","Leo","Virgo","Libra","Scorpio","Sagittarius","Capricorn","Aquarius","Pisces"},0)-MATCH(CALC_Karakamsha!$B$5,{"Aries","Taurus","Gemini","Cancer","Leo","Virgo","Libra","Scorpio","Sagittarius","Capricorn","Aquarius","Pisces"},0),12)+1),12)+1)="FULL",NOT(CALC_PlanetPositions!$B$7=CALC_D9_BhaveshMap!$G$6)),AND(CALC_PlanetPositions!$M$8="Malefic",INDEX(REF_Aspects!$D$5:$O$13,2,MOD(CALC_D9_BhaveshMap!$H$6-(MOD(MATCH(CALC_PlanetPositions!$B$8,{"Aries","Taurus","Gemini","Cancer","Leo","Virgo","Libra","Scorpio","Sagittarius","Capricorn","Aquarius","Pisces"},0)-MATCH(CALC_Karakamsha!$B$5,{"Aries","Taurus","Gemini","Cancer","Leo","Virgo","Libra","Scorpio","Sagittarius","Capricorn","Aquarius","Pisces"},0),12)+1),12)+1)="FULL",NOT(CALC_PlanetPositions!$B$8=CALC_D9_BhaveshMap!$G$6)),AND(CALC_PlanetPositions!$M$9="Malefic",INDEX(REF_Aspects!$D$5:$O$13,3,MOD(CALC_D9_BhaveshMap!$H$6-(MOD(MATCH(CALC_PlanetPositions!$B$9,{"Aries","Taurus","Gemini","Cancer","Leo","Virgo","Libra","Scorpio","Sagittarius","Capricorn","Aquarius","Pisces"},0)-MATCH(CALC_Karakamsha!$B$5,{"Aries","Taurus","Gemini","Cancer","Leo","Virgo","Libra","Scorpio","Sagittarius","Capricorn","Aquarius","Pisces"},0),12)+1),12)+1)="FULL",NOT(CALC_PlanetPositions!$B$9=CALC_D9_BhaveshMap!$G$6)),AND(CALC_PlanetPositions!$M$10="Malefic",INDEX(REF_Aspects!$D$5:$O$13,4,MOD(CALC_D9_BhaveshMap!$H$6-(MOD(MATCH(CALC_PlanetPositions!$B$10,{"Aries","Taurus","Gemini","Cancer","Leo","Virgo","Libra","Scorpio","Sagittarius","Capricorn","Aquarius","Pisces"},0)-MATCH(CALC_Karakamsha!$B$5,{"Aries","Taurus","Gemini","Cancer","Leo","Virgo","Libra","Scorpio","Sagittarius","Capricorn","Aquarius","Pisces"},0),12)+1),12)+1)="FULL",NOT(CALC_PlanetPositions!$B$10=CALC_D9_BhaveshMap!$G$6)),AND(CALC_PlanetPositions!$M$11="Malefic",INDEX(REF_Aspects!$D$5:$O$13,5,MOD(CALC_D9_BhaveshMap!$H$6-(MOD(MATCH(CALC_PlanetPositions!$B$11,{"Aries","Taurus","Gemini","Cancer","Leo","Virgo","Libra","Scorpio","Sagittarius","Capricorn","Aquarius","Pisces"},0)-MATCH(CALC_Karakamsha!$B$5,{"Aries","Taurus","Gemini","Cancer","Leo","Virgo","Libra","Scorpio","Sagittarius","Capricorn","Aquarius","Pisces"},0),12)+1),12)+1)="FULL",NOT(CALC_PlanetPositions!$B$11=CALC_D9_BhaveshMap!$G$6)),AND(CALC_PlanetPositions!$M$12="Malefic",INDEX(REF_Aspects!$D$5:$O$13,6,MOD(CALC_D9_BhaveshMap!$H$6-(MOD(MATCH(CALC_PlanetPositions!$B$12,{"Aries","Taurus","Gemini","Cancer","Leo","Virgo","Libra","Scorpio","Sagittarius","Capricorn","Aquarius","Pisces"},0)-MATCH(CALC_Karakamsha!$B$5,{"Aries","Taurus","Gemini","Cancer","Leo","Virgo","Libra","Scorpio","Sagittarius","Capricorn","Aquarius","Pisces"},0),12)+1),12)+1)="FULL",NOT(CALC_PlanetPositions!$B$12=CALC_D9_BhaveshMap!$G$6)),AND(CALC_PlanetPositions!$M$13="Malefic",INDEX(REF_Aspects!$D$5:$O$13,7,MOD(CALC_D9_BhaveshMap!$H$6-(MOD(MATCH(CALC_PlanetPositions!$B$13,{"Aries","Taurus","Gemini","Cancer","Leo","Virgo","Libra","Scorpio","Sagittarius","Capricorn","Aquarius","Pisces"},0)-MATCH(CALC_Karakamsha!$B$5,{"Aries","Taurus","Gemini","Cancer","Leo","Virgo","Libra","Scorpio","Sagittarius","Capricorn","Aquarius","Pisces"},0),12)+1),12)+1)="FULL",NOT(CALC_PlanetPositions!$B$13=CALC_D9_BhaveshMap!$G$6)),AND(TRUE(),INDEX(REF_Aspects!$D$5:$O$13,8,MOD(CALC_D9_BhaveshMap!$H$6-(MOD(MATCH(CALC_PlanetPositions!$B$14,{"Aries","Taurus","Gemini","Cancer","Leo","Virgo","Libra","Scorpio","Sagittarius","Capricorn","Aquarius","Pisces"},0)-MATCH(CALC_Karakamsha!$B$5,{"Aries","Taurus","Gemini","Cancer","Leo","Virgo","Libra","Scorpio","Sagittarius","Capricorn","Aquarius","Pisces"},0),12)+1),12)+1)="FULL",NOT(CALC_PlanetPositions!$B$14=CALC_D9_BhaveshMap!$G$6)),AND(TRUE(),INDEX(REF_Aspects!$D$5:$O$13,9,MOD(CALC_D9_BhaveshMap!$H$6-(MOD(MATCH(CALC_PlanetPositions!$B$15,{"Aries","Taurus","Gemini","Cancer","Leo","Virgo","Libra","Scorpio","Sagittarius","Capricorn","Aquarius","Pisces"},0)-MATCH(CALC_Karakamsha!$B$5,{"Aries","Taurus","Gemini","Cancer","Leo","Virgo","Libra","Scorpio","Sagittarius","Capricorn","Aquarius","Pisces"},0),12)+1),12)+1)="FULL",NOT(CALC_PlanetPositions!$B$15=CALC_D9_BhaveshMap!$G$6))),1,0),0))*-0.5,0)</f>
        <v>0</v>
      </c>
      <c r="D21" s="403" t="s">
        <v>4634</v>
      </c>
    </row>
    <row r="22" spans="1:7" ht="27.75" customHeight="1" x14ac:dyDescent="0.2">
      <c r="A22" s="121" t="s">
        <v>4635</v>
      </c>
      <c r="B22" s="357" t="s">
        <v>3042</v>
      </c>
      <c r="C22" s="1117">
        <f>IFERROR((IFERROR(IF(CALC_D9_BhaveshMap!$K$6="Yes",1,0),0))*IF(REF_Config!$B$6="KP",-1.75,IF(REF_Config!$B$6="Jaimini",-2,-2)),0)</f>
        <v>0</v>
      </c>
      <c r="D22" s="400" t="s">
        <v>4636</v>
      </c>
    </row>
    <row r="23" spans="1:7" ht="27.75" customHeight="1" x14ac:dyDescent="0.2">
      <c r="A23" s="121" t="s">
        <v>4637</v>
      </c>
      <c r="B23" s="203" t="s">
        <v>3059</v>
      </c>
      <c r="C23" s="1118">
        <f ca="1">IFERROR((IFERROR(IF(OR(AND(CALC_BhaveshMap!$G$10=CALC_D9_BhaveshMap!$G$6,CALC_BhaveshMap!$D$10&lt;&gt;CALC_D9_BhaveshMap!$D$6),AND(CALC_BhaveshMap!$G$12=CALC_D9_BhaveshMap!$G$6,CALC_BhaveshMap!$D$12&lt;&gt;CALC_D9_BhaveshMap!$D$6),AND(CALC_BhaveshMap!$G$16=CALC_D9_BhaveshMap!$G$6,CALC_BhaveshMap!$D$16&lt;&gt;CALC_D9_BhaveshMap!$D$6)),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IFERROR(IF(OR(CALC_D9_BhaveshMap!$D$6="Sun",CALC_D9_BhaveshMap!$D$6="Rahu",CALC_D9_BhaveshMap!$D$6="Ketu"),0,IF(CALC_D9_BhaveshMap!$D$6="Moon",IF(CALC_CombustionCheck!$G$4="Cazimi ✓",0.5,IF(CALC_CombustionCheck!$F$4="COMBUST ⚠",-1,0)),IF(CALC_D9_BhaveshMap!$D$6="Mars",IF(CALC_CombustionCheck!$G$5="Cazimi ✓",0.5,IF(AND(CALC_CombustionCheck!$F$5="COMBUST ⚠",CALC_RetrogradeFix!$F$6="Rx ✓"),-0.5,IF(CALC_CombustionCheck!$F$5="COMBUST ⚠",-1,0))),IF(CALC_D9_BhaveshMap!$D$6="Mercury",IF(CALC_CombustionCheck!$G$6="Cazimi ✓",0.5,IF(AND(CALC_CombustionCheck!$F$6="COMBUST ⚠",CALC_RetrogradeFix!$F$7="Rx ✓"),-0.5,IF(CALC_CombustionCheck!$F$6="COMBUST ⚠",-1,0))),IF(CALC_D9_BhaveshMap!$D$6="Jupiter",IF(CALC_CombustionCheck!$G$7="Cazimi ✓",0.5,IF(AND(CALC_CombustionCheck!$F$7="COMBUST ⚠",CALC_RetrogradeFix!$F$8="Rx ✓"),-0.5,IF(CALC_CombustionCheck!$F$7="COMBUST ⚠",-1,0))),IF(CALC_D9_BhaveshMap!$D$6="Venus",IF(CALC_CombustionCheck!$G$8="Cazimi ✓",0.5,IF(AND(CALC_CombustionCheck!$F$8="COMBUST ⚠",CALC_RetrogradeFix!$F$9="Rx ✓"),-0.5,IF(CALC_CombustionCheck!$F$8="COMBUST ⚠",-1,0))),IF(CALC_D9_BhaveshMap!$D$6="Saturn",IF(CALC_CombustionCheck!$G$9="Cazimi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$6="Rahu",CALC_D9_BhaveshMap!$D$6="Ketu"),0,IF(ISNUMBER(MATCH(CALC_D9_BhaveshMap!$D$6,{"Sun","Moon","Mars","Mercury","Jupiter","Venus","Saturn"},0)),IF(INDEX(CALC_DigBala!$F$4:$F$10,MATCH(CALC_D9_BhaveshMap!$D$6,{"Sun","Moon","Mars","Mercury","Jupiter","Venus","Saturn"},0))="Yes",0.5,0),0)),0)</f>
        <v>0</v>
      </c>
      <c r="D28" s="400" t="s">
        <v>4647</v>
      </c>
    </row>
    <row r="29" spans="1:7" ht="27.75" customHeight="1" x14ac:dyDescent="0.2">
      <c r="A29" s="1120" t="s">
        <v>4648</v>
      </c>
      <c r="B29" s="296" t="s">
        <v>3372</v>
      </c>
      <c r="C29" s="1117">
        <f ca="1">IFERROR(IF(COUNTIFS(REF_PushkaraNavamsha!$A$4:$A$27,CALC_D9_BhaveshMap!$G$6,REF_PushkaraNavamsha!$B$4:$B$27,INDEX(CALC_PlanetPositions!$G$7:$G$15,MATCH(CALC_D9_BhaveshMap!$D$6,CALC_PlanetPositions!$A$7:$A$15,0)))&gt;0,0.5,0),0)</f>
        <v>0</v>
      </c>
      <c r="D29" s="400" t="s">
        <v>4649</v>
      </c>
    </row>
    <row r="30" spans="1:7" ht="25.5" customHeight="1" x14ac:dyDescent="0.2">
      <c r="A30" s="147" t="s">
        <v>4650</v>
      </c>
      <c r="B30" s="1121" t="s">
        <v>4651</v>
      </c>
      <c r="C30" s="1122">
        <f>IFERROR(IF(ISNUMBER(MATCH(CALC_D9_BhaveshMap!$D$6,{"Sun","Moon","Mars","Mercury","Jupiter","Venus","Saturn"},0)),INDEX(CALC_RetrogradeFix!$G$4:$G$10,MATCH(CALC_D9_BhaveshMap!$D$6,{"Sun","Moon","Mars","Mercury","Jupiter","Venus","Saturn"},0)),0),0)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0.5</v>
      </c>
      <c r="D37" s="1129"/>
    </row>
    <row r="38" spans="1:4" ht="21.75" customHeight="1" x14ac:dyDescent="0.2">
      <c r="A38" s="89" t="s">
        <v>4661</v>
      </c>
      <c r="B38" s="1129"/>
      <c r="C38" s="1131">
        <f ca="1">IFERROR(MAX(-10,MIN(10,C37)),0)</f>
        <v>0.5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0.5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338" t="s">
        <v>4664</v>
      </c>
      <c r="B41" s="1129"/>
      <c r="C41" s="470" t="str">
        <f ca="1">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4758</v>
      </c>
      <c r="B1" s="1518"/>
      <c r="C1" s="1518"/>
      <c r="D1" s="1518"/>
      <c r="L1" s="544" t="s">
        <v>2214</v>
      </c>
    </row>
    <row r="2" spans="1:12" ht="19.5" customHeight="1" x14ac:dyDescent="0.2">
      <c r="A2" s="1595" t="str">
        <f>IFERROR("Karakamsha Lagna: "&amp;CALC_Karakamsha!$B$5&amp;"  ·  H3 — Courage from soul's seat","← Enter chart")</f>
        <v>Karakamsha Lagna: Sun  ·  H3 — Courage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IFERROR((IFERROR(IF(INDEX(REF_Zodiac!$D$17:$O$17,MATCH(CALC_D9_BhaveshMap!$C$7,REF_Zodiac!$D$3:$O$3,0))="Gentle",1,0),0))*0.5,0)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IFERROR(IF(AND(OR(CALC_D9_BhaveshMap!$I$7="Yes",CALC_D9_BhaveshMap!$J$7="Yes"),NOT(CALC_D9_BhaveshMap!$K$7="Yes")),1,0)*IF(REF_Config!$B$6="KP",1.5,IF(REF_Config!$B$6="Jaimini",1.5,2)),0)</f>
        <v>0</v>
      </c>
      <c r="D9" s="403" t="s">
        <v>4612</v>
      </c>
    </row>
    <row r="10" spans="1:12" ht="27.75" customHeight="1" x14ac:dyDescent="0.2">
      <c r="A10" s="121" t="s">
        <v>4613</v>
      </c>
      <c r="B10" s="357" t="s">
        <v>3093</v>
      </c>
      <c r="C10" s="1117">
        <f ca="1">IFERROR((IFERROR(IF(OR(AND(CALC_D9_BhaveshMap!$G$7=CALC_D9_BhaveshMap!$G$7,CALC_D9_BhaveshMap!$D$7&lt;&gt;CALC_D9_BhaveshMap!$D$7),AND(CALC_BhaveshMap!$G$8=CALC_D9_BhaveshMap!$G$7,CALC_BhaveshMap!$D$8&lt;&gt;CALC_D9_BhaveshMap!$D$7),AND(CALC_BhaveshMap!$G$9=CALC_D9_BhaveshMap!$G$7,CALC_BhaveshMap!$D$9&lt;&gt;CALC_D9_BhaveshMap!$D$7),AND(CALC_BhaveshMap!$G$11=CALC_D9_BhaveshMap!$G$7,CALC_BhaveshMap!$D$11&lt;&gt;CALC_D9_BhaveshMap!$D$7),AND(CALC_BhaveshMap!$G$13=CALC_D9_BhaveshMap!$G$7,CALC_BhaveshMap!$D$13&lt;&gt;CALC_D9_BhaveshMap!$D$7),AND(CALC_BhaveshMap!$G$14=CALC_D9_BhaveshMap!$G$7,CALC_BhaveshMap!$D$14&lt;&gt;CALC_D9_BhaveshMap!$D$7)),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$7,CALC_D9_BhaveshMap!$D$7&lt;&gt;"Sun"),AND(OR(CALC_PlanetPositions!$M$8="Benefic",CALC_PlanetPositions!$M$8="Yogakaraka"),CALC_PlanetPositions!$B$8=CALC_D9_BhaveshMap!$G$7,CALC_D9_BhaveshMap!$D$7&lt;&gt;"Moon"),AND(OR(CALC_PlanetPositions!$M$9="Benefic",CALC_PlanetPositions!$M$9="Yogakaraka"),CALC_PlanetPositions!$B$9=CALC_D9_BhaveshMap!$G$7,CALC_D9_BhaveshMap!$D$7&lt;&gt;"Mars"),AND(OR(CALC_PlanetPositions!$M$10="Benefic",CALC_PlanetPositions!$M$10="Yogakaraka"),CALC_PlanetPositions!$B$10=CALC_D9_BhaveshMap!$G$7,CALC_D9_BhaveshMap!$D$7&lt;&gt;"Mercury"),AND(OR(CALC_PlanetPositions!$M$11="Benefic",CALC_PlanetPositions!$M$11="Yogakaraka"),CALC_PlanetPositions!$B$11=CALC_D9_BhaveshMap!$G$7,CALC_D9_BhaveshMap!$D$7&lt;&gt;"Jupiter"),AND(OR(CALC_PlanetPositions!$M$12="Benefic",CALC_PlanetPositions!$M$12="Yogakaraka"),CALC_PlanetPositions!$B$12=CALC_D9_BhaveshMap!$G$7,CALC_D9_BhaveshMap!$D$7&lt;&gt;"Venus"),AND(OR(CALC_PlanetPositions!$M$13="Benefic",CALC_PlanetPositions!$M$13="Yogakaraka"),CALC_PlanetPositions!$B$13=CALC_D9_BhaveshMap!$G$7,CALC_D9_BhaveshMap!$D$7&lt;&gt;"Saturn")),1,0),0))*IF(OR(AND(CALC_PlanetPositions!$M$7="Yogakaraka",CALC_PlanetPositions!$B$7=CALC_D9_BhaveshMap!$G$7,CALC_D9_BhaveshMap!$D$7&lt;&gt;"Sun"),AND(CALC_PlanetPositions!$M$8="Yogakaraka",CALC_PlanetPositions!$B$8=CALC_D9_BhaveshMap!$G$7,CALC_D9_BhaveshMap!$D$7&lt;&gt;"Moon"),AND(CALC_PlanetPositions!$M$9="Yogakaraka",CALC_PlanetPositions!$B$9=CALC_D9_BhaveshMap!$G$7,CALC_D9_BhaveshMap!$D$7&lt;&gt;"Mars"),AND(CALC_PlanetPositions!$M$10="Yogakaraka",CALC_PlanetPositions!$B$10=CALC_D9_BhaveshMap!$G$7,CALC_D9_BhaveshMap!$D$7&lt;&gt;"Mercury"),AND(CALC_PlanetPositions!$M$11="Yogakaraka",CALC_PlanetPositions!$B$11=CALC_D9_BhaveshMap!$G$7,CALC_D9_BhaveshMap!$D$7&lt;&gt;"Jupiter"),AND(CALC_PlanetPositions!$M$12="Yogakaraka",CALC_PlanetPositions!$B$12=CALC_D9_BhaveshMap!$G$7,CALC_D9_BhaveshMap!$D$7&lt;&gt;"Venus"),AND(CALC_PlanetPositions!$M$13="Yogakaraka",CALC_PlanetPositions!$B$13=CALC_D9_BhaveshMap!$G$7,CALC_D9_BhaveshMap!$D$7&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$7-(MOD(MATCH(CALC_PlanetPositions!$B$7,{"Aries","Taurus","Gemini","Cancer","Leo","Virgo","Libra","Scorpio","Sagittarius","Capricorn","Aquarius","Pisces"},0)-MATCH(CALC_Karakamsha!$B$5,{"Aries","Taurus","Gemini","Cancer","Leo","Virgo","Libra","Scorpio","Sagittarius","Capricorn","Aquarius","Pisces"},0),12)+1),12)+1)="FULL",NOT(CALC_PlanetPositions!$B$7=CALC_D9_BhaveshMap!$G$7)),AND(OR(CALC_PlanetPositions!$M$8="Benefic",CALC_PlanetPositions!$M$8="Yogakaraka"),INDEX(REF_Aspects!$D$5:$O$13,2,MOD(CALC_D9_BhaveshMap!$H$7-(MOD(MATCH(CALC_PlanetPositions!$B$8,{"Aries","Taurus","Gemini","Cancer","Leo","Virgo","Libra","Scorpio","Sagittarius","Capricorn","Aquarius","Pisces"},0)-MATCH(CALC_Karakamsha!$B$5,{"Aries","Taurus","Gemini","Cancer","Leo","Virgo","Libra","Scorpio","Sagittarius","Capricorn","Aquarius","Pisces"},0),12)+1),12)+1)="FULL",NOT(CALC_PlanetPositions!$B$8=CALC_D9_BhaveshMap!$G$7)),AND(OR(CALC_PlanetPositions!$M$9="Benefic",CALC_PlanetPositions!$M$9="Yogakaraka"),INDEX(REF_Aspects!$D$5:$O$13,3,MOD(CALC_D9_BhaveshMap!$H$7-(MOD(MATCH(CALC_PlanetPositions!$B$9,{"Aries","Taurus","Gemini","Cancer","Leo","Virgo","Libra","Scorpio","Sagittarius","Capricorn","Aquarius","Pisces"},0)-MATCH(CALC_Karakamsha!$B$5,{"Aries","Taurus","Gemini","Cancer","Leo","Virgo","Libra","Scorpio","Sagittarius","Capricorn","Aquarius","Pisces"},0),12)+1),12)+1)="FULL",NOT(CALC_PlanetPositions!$B$9=CALC_D9_BhaveshMap!$G$7)),AND(OR(CALC_PlanetPositions!$M$10="Benefic",CALC_PlanetPositions!$M$10="Yogakaraka"),INDEX(REF_Aspects!$D$5:$O$13,4,MOD(CALC_D9_BhaveshMap!$H$7-(MOD(MATCH(CALC_PlanetPositions!$B$10,{"Aries","Taurus","Gemini","Cancer","Leo","Virgo","Libra","Scorpio","Sagittarius","Capricorn","Aquarius","Pisces"},0)-MATCH(CALC_Karakamsha!$B$5,{"Aries","Taurus","Gemini","Cancer","Leo","Virgo","Libra","Scorpio","Sagittarius","Capricorn","Aquarius","Pisces"},0),12)+1),12)+1)="FULL",NOT(CALC_PlanetPositions!$B$10=CALC_D9_BhaveshMap!$G$7)),AND(OR(CALC_PlanetPositions!$M$11="Benefic",CALC_PlanetPositions!$M$11="Yogakaraka"),INDEX(REF_Aspects!$D$5:$O$13,5,MOD(CALC_D9_BhaveshMap!$H$7-(MOD(MATCH(CALC_PlanetPositions!$B$11,{"Aries","Taurus","Gemini","Cancer","Leo","Virgo","Libra","Scorpio","Sagittarius","Capricorn","Aquarius","Pisces"},0)-MATCH(CALC_Karakamsha!$B$5,{"Aries","Taurus","Gemini","Cancer","Leo","Virgo","Libra","Scorpio","Sagittarius","Capricorn","Aquarius","Pisces"},0),12)+1),12)+1)="FULL",NOT(CALC_PlanetPositions!$B$11=CALC_D9_BhaveshMap!$G$7)),AND(OR(CALC_PlanetPositions!$M$12="Benefic",CALC_PlanetPositions!$M$12="Yogakaraka"),INDEX(REF_Aspects!$D$5:$O$13,6,MOD(CALC_D9_BhaveshMap!$H$7-(MOD(MATCH(CALC_PlanetPositions!$B$12,{"Aries","Taurus","Gemini","Cancer","Leo","Virgo","Libra","Scorpio","Sagittarius","Capricorn","Aquarius","Pisces"},0)-MATCH(CALC_Karakamsha!$B$5,{"Aries","Taurus","Gemini","Cancer","Leo","Virgo","Libra","Scorpio","Sagittarius","Capricorn","Aquarius","Pisces"},0),12)+1),12)+1)="FULL",NOT(CALC_PlanetPositions!$B$12=CALC_D9_BhaveshMap!$G$7)),AND(OR(CALC_PlanetPositions!$M$13="Benefic",CALC_PlanetPositions!$M$13="Yogakaraka"),INDEX(REF_Aspects!$D$5:$O$13,7,MOD(CALC_D9_BhaveshMap!$H$7-(MOD(MATCH(CALC_PlanetPositions!$B$13,{"Aries","Taurus","Gemini","Cancer","Leo","Virgo","Libra","Scorpio","Sagittarius","Capricorn","Aquarius","Pisces"},0)-MATCH(CALC_Karakamsha!$B$5,{"Aries","Taurus","Gemini","Cancer","Leo","Virgo","Libra","Scorpio","Sagittarius","Capricorn","Aquarius","Pisces"},0),12)+1),12)+1)="FULL",NOT(CALC_PlanetPositions!$B$13=CALC_D9_BhaveshMap!$G$7)),AND(FALSE(),INDEX(REF_Aspects!$D$5:$O$13,8,MOD(CALC_D9_BhaveshMap!$H$7-(MOD(MATCH(CALC_PlanetPositions!$B$14,{"Aries","Taurus","Gemini","Cancer","Leo","Virgo","Libra","Scorpio","Sagittarius","Capricorn","Aquarius","Pisces"},0)-MATCH(CALC_Karakamsha!$B$5,{"Aries","Taurus","Gemini","Cancer","Leo","Virgo","Libra","Scorpio","Sagittarius","Capricorn","Aquarius","Pisces"},0),12)+1),12)+1)="FULL",NOT(CALC_PlanetPositions!$B$14=CALC_D9_BhaveshMap!$G$7)),AND(FALSE(),INDEX(REF_Aspects!$D$5:$O$13,9,MOD(CALC_D9_BhaveshMap!$H$7-(MOD(MATCH(CALC_PlanetPositions!$B$15,{"Aries","Taurus","Gemini","Cancer","Leo","Virgo","Libra","Scorpio","Sagittarius","Capricorn","Aquarius","Pisces"},0)-MATCH(CALC_Karakamsha!$B$5,{"Aries","Taurus","Gemini","Cancer","Leo","Virgo","Libra","Scorpio","Sagittarius","Capricorn","Aquarius","Pisces"},0),12)+1),12)+1)="FULL",NOT(CALC_PlanetPositions!$B$15=CALC_D9_BhaveshMap!$G$7))),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$7-2,12)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$7-2,12)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$7-2,12)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$7-2,12)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$7-2,12)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$7-2,12)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$7-2,12)+1)),AND(FALSE(),MOD(MATCH(CALC_PlanetPositions!$B$14,{"Aries","Taurus","Gemini","Cancer","Leo","Virgo","Libra","Scorpio","Sagittarius","Capricorn","Aquarius","Pisces"},0)-MATCH(CALC_Karakamsha!$B$5,{"Aries","Taurus","Gemini","Cancer","Leo","Virgo","Libra","Scorpio","Sagittarius","Capricorn","Aquarius","Pisces"},0),12)+1=(MOD(CALC_D9_BhaveshMap!$H$7-2,12)+1)),AND(FALSE(),MOD(MATCH(CALC_PlanetPositions!$B$15,{"Aries","Taurus","Gemini","Cancer","Leo","Virgo","Libra","Scorpio","Sagittarius","Capricorn","Aquarius","Pisces"},0)-MATCH(CALC_Karakamsha!$B$5,{"Aries","Taurus","Gemini","Cancer","Leo","Virgo","Libra","Scorpio","Sagittarius","Capricorn","Aquarius","Pisces"},0),12)+1=(MOD(CALC_D9_BhaveshMap!$H$7-2,12)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$7,12)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$7,12)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$7,12)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$7,12)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$7,12)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$7,12)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$7,12)+1)),AND(FALSE(),MOD(MATCH(CALC_PlanetPositions!$B$14,{"Aries","Taurus","Gemini","Cancer","Leo","Virgo","Libra","Scorpio","Sagittarius","Capricorn","Aquarius","Pisces"},0)-MATCH(CALC_Karakamsha!$B$5,{"Aries","Taurus","Gemini","Cancer","Leo","Virgo","Libra","Scorpio","Sagittarius","Capricorn","Aquarius","Pisces"},0),12)+1=(MOD(CALC_D9_BhaveshMap!$H$7,12)+1)),AND(FALSE(),MOD(MATCH(CALC_PlanetPositions!$B$15,{"Aries","Taurus","Gemini","Cancer","Leo","Virgo","Libra","Scorpio","Sagittarius","Capricorn","Aquarius","Pisces"},0)-MATCH(CALC_Karakamsha!$B$5,{"Aries","Taurus","Gemini","Cancer","Leo","Virgo","Libra","Scorpio","Sagittarius","Capricorn","Aquarius","Pisces"},0),12)+1=(MOD(CALC_D9_BhaveshMap!$H$7,12)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$7-(MOD(MATCH(CALC_PlanetPositions!$B$7,{"Aries","Taurus","Gemini","Cancer","Leo","Virgo","Libra","Scorpio","Sagittarius","Capricorn","Aquarius","Pisces"},0)-MATCH(CALC_Karakamsha!$B$5,{"Aries","Taurus","Gemini","Cancer","Leo","Virgo","Libra","Scorpio","Sagittarius","Capricorn","Aquarius","Pisces"},0),12)+1),12)+1)="FULL",NOT(CALC_PlanetPositions!$B$7=CALC_D9_BhaveshMap!$G$7)),AND(CALC_PlanetPositions!$M$8="Malefic",INDEX(REF_Aspects!$D$5:$O$13,2,MOD(CALC_D9_BhaveshMap!$H$7-(MOD(MATCH(CALC_PlanetPositions!$B$8,{"Aries","Taurus","Gemini","Cancer","Leo","Virgo","Libra","Scorpio","Sagittarius","Capricorn","Aquarius","Pisces"},0)-MATCH(CALC_Karakamsha!$B$5,{"Aries","Taurus","Gemini","Cancer","Leo","Virgo","Libra","Scorpio","Sagittarius","Capricorn","Aquarius","Pisces"},0),12)+1),12)+1)="FULL",NOT(CALC_PlanetPositions!$B$8=CALC_D9_BhaveshMap!$G$7)),AND(CALC_PlanetPositions!$M$9="Malefic",INDEX(REF_Aspects!$D$5:$O$13,3,MOD(CALC_D9_BhaveshMap!$H$7-(MOD(MATCH(CALC_PlanetPositions!$B$9,{"Aries","Taurus","Gemini","Cancer","Leo","Virgo","Libra","Scorpio","Sagittarius","Capricorn","Aquarius","Pisces"},0)-MATCH(CALC_Karakamsha!$B$5,{"Aries","Taurus","Gemini","Cancer","Leo","Virgo","Libra","Scorpio","Sagittarius","Capricorn","Aquarius","Pisces"},0),12)+1),12)+1)="FULL",NOT(CALC_PlanetPositions!$B$9=CALC_D9_BhaveshMap!$G$7)),AND(CALC_PlanetPositions!$M$10="Malefic",INDEX(REF_Aspects!$D$5:$O$13,4,MOD(CALC_D9_BhaveshMap!$H$7-(MOD(MATCH(CALC_PlanetPositions!$B$10,{"Aries","Taurus","Gemini","Cancer","Leo","Virgo","Libra","Scorpio","Sagittarius","Capricorn","Aquarius","Pisces"},0)-MATCH(CALC_Karakamsha!$B$5,{"Aries","Taurus","Gemini","Cancer","Leo","Virgo","Libra","Scorpio","Sagittarius","Capricorn","Aquarius","Pisces"},0),12)+1),12)+1)="FULL",NOT(CALC_PlanetPositions!$B$10=CALC_D9_BhaveshMap!$G$7)),AND(CALC_PlanetPositions!$M$11="Malefic",INDEX(REF_Aspects!$D$5:$O$13,5,MOD(CALC_D9_BhaveshMap!$H$7-(MOD(MATCH(CALC_PlanetPositions!$B$11,{"Aries","Taurus","Gemini","Cancer","Leo","Virgo","Libra","Scorpio","Sagittarius","Capricorn","Aquarius","Pisces"},0)-MATCH(CALC_Karakamsha!$B$5,{"Aries","Taurus","Gemini","Cancer","Leo","Virgo","Libra","Scorpio","Sagittarius","Capricorn","Aquarius","Pisces"},0),12)+1),12)+1)="FULL",NOT(CALC_PlanetPositions!$B$11=CALC_D9_BhaveshMap!$G$7)),AND(CALC_PlanetPositions!$M$12="Malefic",INDEX(REF_Aspects!$D$5:$O$13,6,MOD(CALC_D9_BhaveshMap!$H$7-(MOD(MATCH(CALC_PlanetPositions!$B$12,{"Aries","Taurus","Gemini","Cancer","Leo","Virgo","Libra","Scorpio","Sagittarius","Capricorn","Aquarius","Pisces"},0)-MATCH(CALC_Karakamsha!$B$5,{"Aries","Taurus","Gemini","Cancer","Leo","Virgo","Libra","Scorpio","Sagittarius","Capricorn","Aquarius","Pisces"},0),12)+1),12)+1)="FULL",NOT(CALC_PlanetPositions!$B$12=CALC_D9_BhaveshMap!$G$7)),AND(CALC_PlanetPositions!$M$13="Malefic",INDEX(REF_Aspects!$D$5:$O$13,7,MOD(CALC_D9_BhaveshMap!$H$7-(MOD(MATCH(CALC_PlanetPositions!$B$13,{"Aries","Taurus","Gemini","Cancer","Leo","Virgo","Libra","Scorpio","Sagittarius","Capricorn","Aquarius","Pisces"},0)-MATCH(CALC_Karakamsha!$B$5,{"Aries","Taurus","Gemini","Cancer","Leo","Virgo","Libra","Scorpio","Sagittarius","Capricorn","Aquarius","Pisces"},0),12)+1),12)+1)="FULL",NOT(CALC_PlanetPositions!$B$13=CALC_D9_BhaveshMap!$G$7)),AND(TRUE(),INDEX(REF_Aspects!$D$5:$O$13,8,MOD(CALC_D9_BhaveshMap!$H$7-(MOD(MATCH(CALC_PlanetPositions!$B$14,{"Aries","Taurus","Gemini","Cancer","Leo","Virgo","Libra","Scorpio","Sagittarius","Capricorn","Aquarius","Pisces"},0)-MATCH(CALC_Karakamsha!$B$5,{"Aries","Taurus","Gemini","Cancer","Leo","Virgo","Libra","Scorpio","Sagittarius","Capricorn","Aquarius","Pisces"},0),12)+1),12)+1)="FULL",NOT(CALC_PlanetPositions!$B$14=CALC_D9_BhaveshMap!$G$7)),AND(TRUE(),INDEX(REF_Aspects!$D$5:$O$13,9,MOD(CALC_D9_BhaveshMap!$H$7-(MOD(MATCH(CALC_PlanetPositions!$B$15,{"Aries","Taurus","Gemini","Cancer","Leo","Virgo","Libra","Scorpio","Sagittarius","Capricorn","Aquarius","Pisces"},0)-MATCH(CALC_Karakamsha!$B$5,{"Aries","Taurus","Gemini","Cancer","Leo","Virgo","Libra","Scorpio","Sagittarius","Capricorn","Aquarius","Pisces"},0),12)+1),12)+1)="FULL",NOT(CALC_PlanetPositions!$B$15=CALC_D9_BhaveshMap!$G$7))),1,0),0))*-0.5,0)</f>
        <v>0</v>
      </c>
      <c r="D21" s="403" t="s">
        <v>4634</v>
      </c>
    </row>
    <row r="22" spans="1:7" ht="27.75" customHeight="1" x14ac:dyDescent="0.2">
      <c r="A22" s="121" t="s">
        <v>4635</v>
      </c>
      <c r="B22" s="357" t="s">
        <v>3042</v>
      </c>
      <c r="C22" s="1117">
        <f>IFERROR((IFERROR(IF(CALC_D9_BhaveshMap!$K$7="Yes",1,0),0))*IF(REF_Config!$B$6="KP",-1.75,IF(REF_Config!$B$6="Jaimini",-2,-2)),0)</f>
        <v>0</v>
      </c>
      <c r="D22" s="400" t="s">
        <v>4636</v>
      </c>
    </row>
    <row r="23" spans="1:7" ht="27.75" customHeight="1" x14ac:dyDescent="0.2">
      <c r="A23" s="121" t="s">
        <v>4637</v>
      </c>
      <c r="B23" s="203" t="s">
        <v>3059</v>
      </c>
      <c r="C23" s="1118">
        <f ca="1">IFERROR((IFERROR(IF(OR(AND(CALC_BhaveshMap!$G$10=CALC_D9_BhaveshMap!$G$7,CALC_BhaveshMap!$D$10&lt;&gt;CALC_D9_BhaveshMap!$D$7),AND(CALC_BhaveshMap!$G$12=CALC_D9_BhaveshMap!$G$7,CALC_BhaveshMap!$D$12&lt;&gt;CALC_D9_BhaveshMap!$D$7),AND(CALC_BhaveshMap!$G$16=CALC_D9_BhaveshMap!$G$7,CALC_BhaveshMap!$D$16&lt;&gt;CALC_D9_BhaveshMap!$D$7)),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IFERROR(IF(OR(CALC_D9_BhaveshMap!$D$7="Sun",CALC_D9_BhaveshMap!$D$7="Rahu",CALC_D9_BhaveshMap!$D$7="Ketu"),0,IF(CALC_D9_BhaveshMap!$D$7="Moon",IF(CALC_CombustionCheck!$G$4="Cazimi ✓",0.5,IF(CALC_CombustionCheck!$F$4="COMBUST ⚠",-1,0)),IF(CALC_D9_BhaveshMap!$D$7="Mars",IF(CALC_CombustionCheck!$G$5="Cazimi ✓",0.5,IF(AND(CALC_CombustionCheck!$F$5="COMBUST ⚠",CALC_RetrogradeFix!$F$6="Rx ✓"),-0.5,IF(CALC_CombustionCheck!$F$5="COMBUST ⚠",-1,0))),IF(CALC_D9_BhaveshMap!$D$7="Mercury",IF(CALC_CombustionCheck!$G$6="Cazimi ✓",0.5,IF(AND(CALC_CombustionCheck!$F$6="COMBUST ⚠",CALC_RetrogradeFix!$F$7="Rx ✓"),-0.5,IF(CALC_CombustionCheck!$F$6="COMBUST ⚠",-1,0))),IF(CALC_D9_BhaveshMap!$D$7="Jupiter",IF(CALC_CombustionCheck!$G$7="Cazimi ✓",0.5,IF(AND(CALC_CombustionCheck!$F$7="COMBUST ⚠",CALC_RetrogradeFix!$F$8="Rx ✓"),-0.5,IF(CALC_CombustionCheck!$F$7="COMBUST ⚠",-1,0))),IF(CALC_D9_BhaveshMap!$D$7="Venus",IF(CALC_CombustionCheck!$G$8="Cazimi ✓",0.5,IF(AND(CALC_CombustionCheck!$F$8="COMBUST ⚠",CALC_RetrogradeFix!$F$9="Rx ✓"),-0.5,IF(CALC_CombustionCheck!$F$8="COMBUST ⚠",-1,0))),IF(CALC_D9_BhaveshMap!$D$7="Saturn",IF(CALC_CombustionCheck!$G$9="Cazimi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9_BhaveshMap!$D$7="Rahu",CALC_D9_BhaveshMap!$D$7="Ketu"),0,IF(ISNUMBER(MATCH(CALC_D9_BhaveshMap!$D$7,{"Sun","Moon","Mars","Mercury","Jupiter","Venus","Saturn"},0)),IF(INDEX(CALC_DigBala!$F$4:$F$10,MATCH(CALC_D9_BhaveshMap!$D$7,{"Sun","Moon","Mars","Mercury","Jupiter","Venus","Saturn"},0))="Yes",0.5,0),0)),0)</f>
        <v>0</v>
      </c>
      <c r="D28" s="400" t="s">
        <v>4647</v>
      </c>
    </row>
    <row r="29" spans="1:7" ht="27.75" customHeight="1" x14ac:dyDescent="0.2">
      <c r="A29" s="1120" t="s">
        <v>4648</v>
      </c>
      <c r="B29" s="296" t="s">
        <v>3372</v>
      </c>
      <c r="C29" s="1117">
        <f ca="1">IFERROR(IF(COUNTIFS(REF_PushkaraNavamsha!$A$4:$A$27,CALC_D9_BhaveshMap!$G$7,REF_PushkaraNavamsha!$B$4:$B$27,INDEX(CALC_PlanetPositions!$G$7:$G$15,MATCH(CALC_D9_BhaveshMap!$D$7,CALC_PlanetPositions!$A$7:$A$15,0)))&gt;0,0.5,0),0)</f>
        <v>0</v>
      </c>
      <c r="D29" s="400" t="s">
        <v>4649</v>
      </c>
    </row>
    <row r="30" spans="1:7" ht="25.5" customHeight="1" x14ac:dyDescent="0.2">
      <c r="A30" s="147" t="s">
        <v>4650</v>
      </c>
      <c r="B30" s="1121" t="s">
        <v>4651</v>
      </c>
      <c r="C30" s="1122">
        <f>IFERROR(IF(ISNUMBER(MATCH(CALC_D9_BhaveshMap!$D$7,{"Sun","Moon","Mars","Mercury","Jupiter","Venus","Saturn"},0)),INDEX(CALC_RetrogradeFix!$G$4:$G$10,MATCH(CALC_D9_BhaveshMap!$D$7,{"Sun","Moon","Mars","Mercury","Jupiter","Venus","Saturn"},0)),0),0)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0</v>
      </c>
      <c r="D37" s="1129"/>
    </row>
    <row r="38" spans="1:4" ht="21.75" customHeight="1" x14ac:dyDescent="0.2">
      <c r="A38" s="89" t="s">
        <v>4661</v>
      </c>
      <c r="B38" s="1129"/>
      <c r="C38" s="1131">
        <f ca="1">IFERROR(MAX(-10,MIN(10,C37)),0)</f>
        <v>0</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0</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338" t="s">
        <v>4664</v>
      </c>
      <c r="B41" s="1129"/>
      <c r="C41" s="470" t="str">
        <f ca="1">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4759</v>
      </c>
      <c r="B1" s="1518"/>
      <c r="C1" s="1518"/>
      <c r="D1" s="1518"/>
      <c r="L1" s="544" t="s">
        <v>2214</v>
      </c>
    </row>
    <row r="2" spans="1:12" ht="19.5" customHeight="1" x14ac:dyDescent="0.2">
      <c r="A2" s="1595" t="str">
        <f>IFERROR("Karakamsha Lagna: "&amp;CALC_Karakamsha!$B$5&amp;"  ·  H4 — Home from soul's seat","← Enter chart")</f>
        <v>Karakamsha Lagna: Sun  ·  H4 — Home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IFERROR((IFERROR(IF(INDEX(REF_Zodiac!$D$17:$O$17,MATCH(CALC_D9_BhaveshMap!$C$8,REF_Zodiac!$D$3:$O$3,0))="Gentle",1,0),0))*0.5,0)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IFERROR(IF(AND(OR(CALC_D9_BhaveshMap!$I$8="Yes",CALC_D9_BhaveshMap!$J$8="Yes"),NOT(CALC_D9_BhaveshMap!$K$8="Yes")),1,0)*IF(REF_Config!$B$6="KP",1.5,IF(REF_Config!$B$6="Jaimini",1.5,2)),0)</f>
        <v>0</v>
      </c>
      <c r="D9" s="403" t="s">
        <v>4612</v>
      </c>
    </row>
    <row r="10" spans="1:12" ht="27.75" customHeight="1" x14ac:dyDescent="0.2">
      <c r="A10" s="121" t="s">
        <v>4613</v>
      </c>
      <c r="B10" s="357" t="s">
        <v>3093</v>
      </c>
      <c r="C10" s="1117">
        <f ca="1">IFERROR((IFERROR(IF(OR(AND(CALC_D9_BhaveshMap!$G$8=CALC_D9_BhaveshMap!$G$8,CALC_D9_BhaveshMap!$D$8&lt;&gt;CALC_D9_BhaveshMap!$D$8),AND(CALC_BhaveshMap!$G$8=CALC_D9_BhaveshMap!$G$8,CALC_BhaveshMap!$D$8&lt;&gt;CALC_D9_BhaveshMap!$D$8),AND(CALC_BhaveshMap!$G$9=CALC_D9_BhaveshMap!$G$8,CALC_BhaveshMap!$D$9&lt;&gt;CALC_D9_BhaveshMap!$D$8),AND(CALC_BhaveshMap!$G$11=CALC_D9_BhaveshMap!$G$8,CALC_BhaveshMap!$D$11&lt;&gt;CALC_D9_BhaveshMap!$D$8),AND(CALC_BhaveshMap!$G$13=CALC_D9_BhaveshMap!$G$8,CALC_BhaveshMap!$D$13&lt;&gt;CALC_D9_BhaveshMap!$D$8),AND(CALC_BhaveshMap!$G$14=CALC_D9_BhaveshMap!$G$8,CALC_BhaveshMap!$D$14&lt;&gt;CALC_D9_BhaveshMap!$D$8)),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$8,CALC_D9_BhaveshMap!$D$8&lt;&gt;"Sun"),AND(OR(CALC_PlanetPositions!$M$8="Benefic",CALC_PlanetPositions!$M$8="Yogakaraka"),CALC_PlanetPositions!$B$8=CALC_D9_BhaveshMap!$G$8,CALC_D9_BhaveshMap!$D$8&lt;&gt;"Moon"),AND(OR(CALC_PlanetPositions!$M$9="Benefic",CALC_PlanetPositions!$M$9="Yogakaraka"),CALC_PlanetPositions!$B$9=CALC_D9_BhaveshMap!$G$8,CALC_D9_BhaveshMap!$D$8&lt;&gt;"Mars"),AND(OR(CALC_PlanetPositions!$M$10="Benefic",CALC_PlanetPositions!$M$10="Yogakaraka"),CALC_PlanetPositions!$B$10=CALC_D9_BhaveshMap!$G$8,CALC_D9_BhaveshMap!$D$8&lt;&gt;"Mercury"),AND(OR(CALC_PlanetPositions!$M$11="Benefic",CALC_PlanetPositions!$M$11="Yogakaraka"),CALC_PlanetPositions!$B$11=CALC_D9_BhaveshMap!$G$8,CALC_D9_BhaveshMap!$D$8&lt;&gt;"Jupiter"),AND(OR(CALC_PlanetPositions!$M$12="Benefic",CALC_PlanetPositions!$M$12="Yogakaraka"),CALC_PlanetPositions!$B$12=CALC_D9_BhaveshMap!$G$8,CALC_D9_BhaveshMap!$D$8&lt;&gt;"Venus"),AND(OR(CALC_PlanetPositions!$M$13="Benefic",CALC_PlanetPositions!$M$13="Yogakaraka"),CALC_PlanetPositions!$B$13=CALC_D9_BhaveshMap!$G$8,CALC_D9_BhaveshMap!$D$8&lt;&gt;"Saturn")),1,0),0))*IF(OR(AND(CALC_PlanetPositions!$M$7="Yogakaraka",CALC_PlanetPositions!$B$7=CALC_D9_BhaveshMap!$G$8,CALC_D9_BhaveshMap!$D$8&lt;&gt;"Sun"),AND(CALC_PlanetPositions!$M$8="Yogakaraka",CALC_PlanetPositions!$B$8=CALC_D9_BhaveshMap!$G$8,CALC_D9_BhaveshMap!$D$8&lt;&gt;"Moon"),AND(CALC_PlanetPositions!$M$9="Yogakaraka",CALC_PlanetPositions!$B$9=CALC_D9_BhaveshMap!$G$8,CALC_D9_BhaveshMap!$D$8&lt;&gt;"Mars"),AND(CALC_PlanetPositions!$M$10="Yogakaraka",CALC_PlanetPositions!$B$10=CALC_D9_BhaveshMap!$G$8,CALC_D9_BhaveshMap!$D$8&lt;&gt;"Mercury"),AND(CALC_PlanetPositions!$M$11="Yogakaraka",CALC_PlanetPositions!$B$11=CALC_D9_BhaveshMap!$G$8,CALC_D9_BhaveshMap!$D$8&lt;&gt;"Jupiter"),AND(CALC_PlanetPositions!$M$12="Yogakaraka",CALC_PlanetPositions!$B$12=CALC_D9_BhaveshMap!$G$8,CALC_D9_BhaveshMap!$D$8&lt;&gt;"Venus"),AND(CALC_PlanetPositions!$M$13="Yogakaraka",CALC_PlanetPositions!$B$13=CALC_D9_BhaveshMap!$G$8,CALC_D9_BhaveshMap!$D$8&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$8-(MOD(MATCH(CALC_PlanetPositions!$B$7,{"Aries","Taurus","Gemini","Cancer","Leo","Virgo","Libra","Scorpio","Sagittarius","Capricorn","Aquarius","Pisces"},0)-MATCH(CALC_Karakamsha!$B$5,{"Aries","Taurus","Gemini","Cancer","Leo","Virgo","Libra","Scorpio","Sagittarius","Capricorn","Aquarius","Pisces"},0),12)+1),12)+1)="FULL",NOT(CALC_PlanetPositions!$B$7=CALC_D9_BhaveshMap!$G$8)),AND(OR(CALC_PlanetPositions!$M$8="Benefic",CALC_PlanetPositions!$M$8="Yogakaraka"),INDEX(REF_Aspects!$D$5:$O$13,2,MOD(CALC_D9_BhaveshMap!$H$8-(MOD(MATCH(CALC_PlanetPositions!$B$8,{"Aries","Taurus","Gemini","Cancer","Leo","Virgo","Libra","Scorpio","Sagittarius","Capricorn","Aquarius","Pisces"},0)-MATCH(CALC_Karakamsha!$B$5,{"Aries","Taurus","Gemini","Cancer","Leo","Virgo","Libra","Scorpio","Sagittarius","Capricorn","Aquarius","Pisces"},0),12)+1),12)+1)="FULL",NOT(CALC_PlanetPositions!$B$8=CALC_D9_BhaveshMap!$G$8)),AND(OR(CALC_PlanetPositions!$M$9="Benefic",CALC_PlanetPositions!$M$9="Yogakaraka"),INDEX(REF_Aspects!$D$5:$O$13,3,MOD(CALC_D9_BhaveshMap!$H$8-(MOD(MATCH(CALC_PlanetPositions!$B$9,{"Aries","Taurus","Gemini","Cancer","Leo","Virgo","Libra","Scorpio","Sagittarius","Capricorn","Aquarius","Pisces"},0)-MATCH(CALC_Karakamsha!$B$5,{"Aries","Taurus","Gemini","Cancer","Leo","Virgo","Libra","Scorpio","Sagittarius","Capricorn","Aquarius","Pisces"},0),12)+1),12)+1)="FULL",NOT(CALC_PlanetPositions!$B$9=CALC_D9_BhaveshMap!$G$8)),AND(OR(CALC_PlanetPositions!$M$10="Benefic",CALC_PlanetPositions!$M$10="Yogakaraka"),INDEX(REF_Aspects!$D$5:$O$13,4,MOD(CALC_D9_BhaveshMap!$H$8-(MOD(MATCH(CALC_PlanetPositions!$B$10,{"Aries","Taurus","Gemini","Cancer","Leo","Virgo","Libra","Scorpio","Sagittarius","Capricorn","Aquarius","Pisces"},0)-MATCH(CALC_Karakamsha!$B$5,{"Aries","Taurus","Gemini","Cancer","Leo","Virgo","Libra","Scorpio","Sagittarius","Capricorn","Aquarius","Pisces"},0),12)+1),12)+1)="FULL",NOT(CALC_PlanetPositions!$B$10=CALC_D9_BhaveshMap!$G$8)),AND(OR(CALC_PlanetPositions!$M$11="Benefic",CALC_PlanetPositions!$M$11="Yogakaraka"),INDEX(REF_Aspects!$D$5:$O$13,5,MOD(CALC_D9_BhaveshMap!$H$8-(MOD(MATCH(CALC_PlanetPositions!$B$11,{"Aries","Taurus","Gemini","Cancer","Leo","Virgo","Libra","Scorpio","Sagittarius","Capricorn","Aquarius","Pisces"},0)-MATCH(CALC_Karakamsha!$B$5,{"Aries","Taurus","Gemini","Cancer","Leo","Virgo","Libra","Scorpio","Sagittarius","Capricorn","Aquarius","Pisces"},0),12)+1),12)+1)="FULL",NOT(CALC_PlanetPositions!$B$11=CALC_D9_BhaveshMap!$G$8)),AND(OR(CALC_PlanetPositions!$M$12="Benefic",CALC_PlanetPositions!$M$12="Yogakaraka"),INDEX(REF_Aspects!$D$5:$O$13,6,MOD(CALC_D9_BhaveshMap!$H$8-(MOD(MATCH(CALC_PlanetPositions!$B$12,{"Aries","Taurus","Gemini","Cancer","Leo","Virgo","Libra","Scorpio","Sagittarius","Capricorn","Aquarius","Pisces"},0)-MATCH(CALC_Karakamsha!$B$5,{"Aries","Taurus","Gemini","Cancer","Leo","Virgo","Libra","Scorpio","Sagittarius","Capricorn","Aquarius","Pisces"},0),12)+1),12)+1)="FULL",NOT(CALC_PlanetPositions!$B$12=CALC_D9_BhaveshMap!$G$8)),AND(OR(CALC_PlanetPositions!$M$13="Benefic",CALC_PlanetPositions!$M$13="Yogakaraka"),INDEX(REF_Aspects!$D$5:$O$13,7,MOD(CALC_D9_BhaveshMap!$H$8-(MOD(MATCH(CALC_PlanetPositions!$B$13,{"Aries","Taurus","Gemini","Cancer","Leo","Virgo","Libra","Scorpio","Sagittarius","Capricorn","Aquarius","Pisces"},0)-MATCH(CALC_Karakamsha!$B$5,{"Aries","Taurus","Gemini","Cancer","Leo","Virgo","Libra","Scorpio","Sagittarius","Capricorn","Aquarius","Pisces"},0),12)+1),12)+1)="FULL",NOT(CALC_PlanetPositions!$B$13=CALC_D9_BhaveshMap!$G$8)),AND(FALSE(),INDEX(REF_Aspects!$D$5:$O$13,8,MOD(CALC_D9_BhaveshMap!$H$8-(MOD(MATCH(CALC_PlanetPositions!$B$14,{"Aries","Taurus","Gemini","Cancer","Leo","Virgo","Libra","Scorpio","Sagittarius","Capricorn","Aquarius","Pisces"},0)-MATCH(CALC_Karakamsha!$B$5,{"Aries","Taurus","Gemini","Cancer","Leo","Virgo","Libra","Scorpio","Sagittarius","Capricorn","Aquarius","Pisces"},0),12)+1),12)+1)="FULL",NOT(CALC_PlanetPositions!$B$14=CALC_D9_BhaveshMap!$G$8)),AND(FALSE(),INDEX(REF_Aspects!$D$5:$O$13,9,MOD(CALC_D9_BhaveshMap!$H$8-(MOD(MATCH(CALC_PlanetPositions!$B$15,{"Aries","Taurus","Gemini","Cancer","Leo","Virgo","Libra","Scorpio","Sagittarius","Capricorn","Aquarius","Pisces"},0)-MATCH(CALC_Karakamsha!$B$5,{"Aries","Taurus","Gemini","Cancer","Leo","Virgo","Libra","Scorpio","Sagittarius","Capricorn","Aquarius","Pisces"},0),12)+1),12)+1)="FULL",NOT(CALC_PlanetPositions!$B$15=CALC_D9_BhaveshMap!$G$8))),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$8-2,12)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$8-2,12)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$8-2,12)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$8-2,12)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$8-2,12)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$8-2,12)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$8-2,12)+1)),AND(FALSE(),MOD(MATCH(CALC_PlanetPositions!$B$14,{"Aries","Taurus","Gemini","Cancer","Leo","Virgo","Libra","Scorpio","Sagittarius","Capricorn","Aquarius","Pisces"},0)-MATCH(CALC_Karakamsha!$B$5,{"Aries","Taurus","Gemini","Cancer","Leo","Virgo","Libra","Scorpio","Sagittarius","Capricorn","Aquarius","Pisces"},0),12)+1=(MOD(CALC_D9_BhaveshMap!$H$8-2,12)+1)),AND(FALSE(),MOD(MATCH(CALC_PlanetPositions!$B$15,{"Aries","Taurus","Gemini","Cancer","Leo","Virgo","Libra","Scorpio","Sagittarius","Capricorn","Aquarius","Pisces"},0)-MATCH(CALC_Karakamsha!$B$5,{"Aries","Taurus","Gemini","Cancer","Leo","Virgo","Libra","Scorpio","Sagittarius","Capricorn","Aquarius","Pisces"},0),12)+1=(MOD(CALC_D9_BhaveshMap!$H$8-2,12)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$8,12)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$8,12)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$8,12)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$8,12)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$8,12)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$8,12)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$8,12)+1)),AND(FALSE(),MOD(MATCH(CALC_PlanetPositions!$B$14,{"Aries","Taurus","Gemini","Cancer","Leo","Virgo","Libra","Scorpio","Sagittarius","Capricorn","Aquarius","Pisces"},0)-MATCH(CALC_Karakamsha!$B$5,{"Aries","Taurus","Gemini","Cancer","Leo","Virgo","Libra","Scorpio","Sagittarius","Capricorn","Aquarius","Pisces"},0),12)+1=(MOD(CALC_D9_BhaveshMap!$H$8,12)+1)),AND(FALSE(),MOD(MATCH(CALC_PlanetPositions!$B$15,{"Aries","Taurus","Gemini","Cancer","Leo","Virgo","Libra","Scorpio","Sagittarius","Capricorn","Aquarius","Pisces"},0)-MATCH(CALC_Karakamsha!$B$5,{"Aries","Taurus","Gemini","Cancer","Leo","Virgo","Libra","Scorpio","Sagittarius","Capricorn","Aquarius","Pisces"},0),12)+1=(MOD(CALC_D9_BhaveshMap!$H$8,12)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$8-(MOD(MATCH(CALC_PlanetPositions!$B$7,{"Aries","Taurus","Gemini","Cancer","Leo","Virgo","Libra","Scorpio","Sagittarius","Capricorn","Aquarius","Pisces"},0)-MATCH(CALC_Karakamsha!$B$5,{"Aries","Taurus","Gemini","Cancer","Leo","Virgo","Libra","Scorpio","Sagittarius","Capricorn","Aquarius","Pisces"},0),12)+1),12)+1)="FULL",NOT(CALC_PlanetPositions!$B$7=CALC_D9_BhaveshMap!$G$8)),AND(CALC_PlanetPositions!$M$8="Malefic",INDEX(REF_Aspects!$D$5:$O$13,2,MOD(CALC_D9_BhaveshMap!$H$8-(MOD(MATCH(CALC_PlanetPositions!$B$8,{"Aries","Taurus","Gemini","Cancer","Leo","Virgo","Libra","Scorpio","Sagittarius","Capricorn","Aquarius","Pisces"},0)-MATCH(CALC_Karakamsha!$B$5,{"Aries","Taurus","Gemini","Cancer","Leo","Virgo","Libra","Scorpio","Sagittarius","Capricorn","Aquarius","Pisces"},0),12)+1),12)+1)="FULL",NOT(CALC_PlanetPositions!$B$8=CALC_D9_BhaveshMap!$G$8)),AND(CALC_PlanetPositions!$M$9="Malefic",INDEX(REF_Aspects!$D$5:$O$13,3,MOD(CALC_D9_BhaveshMap!$H$8-(MOD(MATCH(CALC_PlanetPositions!$B$9,{"Aries","Taurus","Gemini","Cancer","Leo","Virgo","Libra","Scorpio","Sagittarius","Capricorn","Aquarius","Pisces"},0)-MATCH(CALC_Karakamsha!$B$5,{"Aries","Taurus","Gemini","Cancer","Leo","Virgo","Libra","Scorpio","Sagittarius","Capricorn","Aquarius","Pisces"},0),12)+1),12)+1)="FULL",NOT(CALC_PlanetPositions!$B$9=CALC_D9_BhaveshMap!$G$8)),AND(CALC_PlanetPositions!$M$10="Malefic",INDEX(REF_Aspects!$D$5:$O$13,4,MOD(CALC_D9_BhaveshMap!$H$8-(MOD(MATCH(CALC_PlanetPositions!$B$10,{"Aries","Taurus","Gemini","Cancer","Leo","Virgo","Libra","Scorpio","Sagittarius","Capricorn","Aquarius","Pisces"},0)-MATCH(CALC_Karakamsha!$B$5,{"Aries","Taurus","Gemini","Cancer","Leo","Virgo","Libra","Scorpio","Sagittarius","Capricorn","Aquarius","Pisces"},0),12)+1),12)+1)="FULL",NOT(CALC_PlanetPositions!$B$10=CALC_D9_BhaveshMap!$G$8)),AND(CALC_PlanetPositions!$M$11="Malefic",INDEX(REF_Aspects!$D$5:$O$13,5,MOD(CALC_D9_BhaveshMap!$H$8-(MOD(MATCH(CALC_PlanetPositions!$B$11,{"Aries","Taurus","Gemini","Cancer","Leo","Virgo","Libra","Scorpio","Sagittarius","Capricorn","Aquarius","Pisces"},0)-MATCH(CALC_Karakamsha!$B$5,{"Aries","Taurus","Gemini","Cancer","Leo","Virgo","Libra","Scorpio","Sagittarius","Capricorn","Aquarius","Pisces"},0),12)+1),12)+1)="FULL",NOT(CALC_PlanetPositions!$B$11=CALC_D9_BhaveshMap!$G$8)),AND(CALC_PlanetPositions!$M$12="Malefic",INDEX(REF_Aspects!$D$5:$O$13,6,MOD(CALC_D9_BhaveshMap!$H$8-(MOD(MATCH(CALC_PlanetPositions!$B$12,{"Aries","Taurus","Gemini","Cancer","Leo","Virgo","Libra","Scorpio","Sagittarius","Capricorn","Aquarius","Pisces"},0)-MATCH(CALC_Karakamsha!$B$5,{"Aries","Taurus","Gemini","Cancer","Leo","Virgo","Libra","Scorpio","Sagittarius","Capricorn","Aquarius","Pisces"},0),12)+1),12)+1)="FULL",NOT(CALC_PlanetPositions!$B$12=CALC_D9_BhaveshMap!$G$8)),AND(CALC_PlanetPositions!$M$13="Malefic",INDEX(REF_Aspects!$D$5:$O$13,7,MOD(CALC_D9_BhaveshMap!$H$8-(MOD(MATCH(CALC_PlanetPositions!$B$13,{"Aries","Taurus","Gemini","Cancer","Leo","Virgo","Libra","Scorpio","Sagittarius","Capricorn","Aquarius","Pisces"},0)-MATCH(CALC_Karakamsha!$B$5,{"Aries","Taurus","Gemini","Cancer","Leo","Virgo","Libra","Scorpio","Sagittarius","Capricorn","Aquarius","Pisces"},0),12)+1),12)+1)="FULL",NOT(CALC_PlanetPositions!$B$13=CALC_D9_BhaveshMap!$G$8)),AND(TRUE(),INDEX(REF_Aspects!$D$5:$O$13,8,MOD(CALC_D9_BhaveshMap!$H$8-(MOD(MATCH(CALC_PlanetPositions!$B$14,{"Aries","Taurus","Gemini","Cancer","Leo","Virgo","Libra","Scorpio","Sagittarius","Capricorn","Aquarius","Pisces"},0)-MATCH(CALC_Karakamsha!$B$5,{"Aries","Taurus","Gemini","Cancer","Leo","Virgo","Libra","Scorpio","Sagittarius","Capricorn","Aquarius","Pisces"},0),12)+1),12)+1)="FULL",NOT(CALC_PlanetPositions!$B$14=CALC_D9_BhaveshMap!$G$8)),AND(TRUE(),INDEX(REF_Aspects!$D$5:$O$13,9,MOD(CALC_D9_BhaveshMap!$H$8-(MOD(MATCH(CALC_PlanetPositions!$B$15,{"Aries","Taurus","Gemini","Cancer","Leo","Virgo","Libra","Scorpio","Sagittarius","Capricorn","Aquarius","Pisces"},0)-MATCH(CALC_Karakamsha!$B$5,{"Aries","Taurus","Gemini","Cancer","Leo","Virgo","Libra","Scorpio","Sagittarius","Capricorn","Aquarius","Pisces"},0),12)+1),12)+1)="FULL",NOT(CALC_PlanetPositions!$B$15=CALC_D9_BhaveshMap!$G$8))),1,0),0))*-0.5,0)</f>
        <v>0</v>
      </c>
      <c r="D21" s="403" t="s">
        <v>4634</v>
      </c>
    </row>
    <row r="22" spans="1:7" ht="27.75" customHeight="1" x14ac:dyDescent="0.2">
      <c r="A22" s="121" t="s">
        <v>4635</v>
      </c>
      <c r="B22" s="357" t="s">
        <v>3042</v>
      </c>
      <c r="C22" s="1117">
        <f>IFERROR((IFERROR(IF(CALC_D9_BhaveshMap!$K$8="Yes",1,0),0))*IF(REF_Config!$B$6="KP",-1.75,IF(REF_Config!$B$6="Jaimini",-2,-2)),0)</f>
        <v>0</v>
      </c>
      <c r="D22" s="400" t="s">
        <v>4636</v>
      </c>
    </row>
    <row r="23" spans="1:7" ht="27.75" customHeight="1" x14ac:dyDescent="0.2">
      <c r="A23" s="121" t="s">
        <v>4637</v>
      </c>
      <c r="B23" s="203" t="s">
        <v>3059</v>
      </c>
      <c r="C23" s="1118">
        <f ca="1">IFERROR((IFERROR(IF(OR(AND(CALC_BhaveshMap!$G$10=CALC_D9_BhaveshMap!$G$8,CALC_BhaveshMap!$D$10&lt;&gt;CALC_D9_BhaveshMap!$D$8),AND(CALC_BhaveshMap!$G$12=CALC_D9_BhaveshMap!$G$8,CALC_BhaveshMap!$D$12&lt;&gt;CALC_D9_BhaveshMap!$D$8),AND(CALC_BhaveshMap!$G$16=CALC_D9_BhaveshMap!$G$8,CALC_BhaveshMap!$D$16&lt;&gt;CALC_D9_BhaveshMap!$D$8)),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IFERROR(IF(OR(CALC_D9_BhaveshMap!$D$8="Sun",CALC_D9_BhaveshMap!$D$8="Rahu",CALC_D9_BhaveshMap!$D$8="Ketu"),0,IF(CALC_D9_BhaveshMap!$D$8="Moon",IF(CALC_CombustionCheck!$G$4="Cazimi ✓",0.5,IF(CALC_CombustionCheck!$F$4="COMBUST ⚠",-1,0)),IF(CALC_D9_BhaveshMap!$D$8="Mars",IF(CALC_CombustionCheck!$G$5="Cazimi ✓",0.5,IF(AND(CALC_CombustionCheck!$F$5="COMBUST ⚠",CALC_RetrogradeFix!$F$6="Rx ✓"),-0.5,IF(CALC_CombustionCheck!$F$5="COMBUST ⚠",-1,0))),IF(CALC_D9_BhaveshMap!$D$8="Mercury",IF(CALC_CombustionCheck!$G$6="Cazimi ✓",0.5,IF(AND(CALC_CombustionCheck!$F$6="COMBUST ⚠",CALC_RetrogradeFix!$F$7="Rx ✓"),-0.5,IF(CALC_CombustionCheck!$F$6="COMBUST ⚠",-1,0))),IF(CALC_D9_BhaveshMap!$D$8="Jupiter",IF(CALC_CombustionCheck!$G$7="Cazimi ✓",0.5,IF(AND(CALC_CombustionCheck!$F$7="COMBUST ⚠",CALC_RetrogradeFix!$F$8="Rx ✓"),-0.5,IF(CALC_CombustionCheck!$F$7="COMBUST ⚠",-1,0))),IF(CALC_D9_BhaveshMap!$D$8="Venus",IF(CALC_CombustionCheck!$G$8="Cazimi ✓",0.5,IF(AND(CALC_CombustionCheck!$F$8="COMBUST ⚠",CALC_RetrogradeFix!$F$9="Rx ✓"),-0.5,IF(CALC_CombustionCheck!$F$8="COMBUST ⚠",-1,0))),IF(CALC_D9_BhaveshMap!$D$8="Saturn",IF(CALC_CombustionCheck!$G$9="Cazimi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$8="Rahu",CALC_D9_BhaveshMap!$D$8="Ketu"),0,IF(ISNUMBER(MATCH(CALC_D9_BhaveshMap!$D$8,{"Sun","Moon","Mars","Mercury","Jupiter","Venus","Saturn"},0)),IF(INDEX(CALC_DigBala!$F$4:$F$10,MATCH(CALC_D9_BhaveshMap!$D$8,{"Sun","Moon","Mars","Mercury","Jupiter","Venus","Saturn"},0))="Yes",0.5,0),0)),0)</f>
        <v>0</v>
      </c>
      <c r="D28" s="400" t="s">
        <v>4647</v>
      </c>
    </row>
    <row r="29" spans="1:7" ht="27.75" customHeight="1" x14ac:dyDescent="0.2">
      <c r="A29" s="1120" t="s">
        <v>4648</v>
      </c>
      <c r="B29" s="296" t="s">
        <v>3372</v>
      </c>
      <c r="C29" s="1117">
        <f ca="1">IFERROR(IF(COUNTIFS(REF_PushkaraNavamsha!$A$4:$A$27,CALC_D9_BhaveshMap!$G$8,REF_PushkaraNavamsha!$B$4:$B$27,INDEX(CALC_PlanetPositions!$G$7:$G$15,MATCH(CALC_D9_BhaveshMap!$D$8,CALC_PlanetPositions!$A$7:$A$15,0)))&gt;0,0.5,0),0)</f>
        <v>0</v>
      </c>
      <c r="D29" s="400" t="s">
        <v>4649</v>
      </c>
    </row>
    <row r="30" spans="1:7" ht="25.5" customHeight="1" x14ac:dyDescent="0.2">
      <c r="A30" s="147" t="s">
        <v>4650</v>
      </c>
      <c r="B30" s="1121" t="s">
        <v>4651</v>
      </c>
      <c r="C30" s="1122">
        <f>IFERROR(IF(ISNUMBER(MATCH(CALC_D9_BhaveshMap!$D$8,{"Sun","Moon","Mars","Mercury","Jupiter","Venus","Saturn"},0)),INDEX(CALC_RetrogradeFix!$G$4:$G$10,MATCH(CALC_D9_BhaveshMap!$D$8,{"Sun","Moon","Mars","Mercury","Jupiter","Venus","Saturn"},0)),0),0)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v>
      </c>
      <c r="D37" s="1129"/>
    </row>
    <row r="38" spans="1:4" ht="21.75" customHeight="1" x14ac:dyDescent="0.2">
      <c r="A38" s="89" t="s">
        <v>4661</v>
      </c>
      <c r="B38" s="1129"/>
      <c r="C38" s="1131">
        <f ca="1">IFERROR(MAX(-10,MIN(10,C37)),0)</f>
        <v>1</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1</v>
      </c>
      <c r="D40" s="1136" t="str">
        <f ca="1">IFERROR(IF(C40&gt;=7,"Excellent — Self domain very strong",IF(C40&gt;=4,"Good — Self domain strong",IF(C40&gt;=1,"Moderate",IF(C40&gt;=-2,"Mixed — Self has challenges",IF(C40&gt;=-5,"Weak","Very weak — Self heavily afflicted"))))),"—")</f>
        <v>Moderate</v>
      </c>
    </row>
    <row r="41" spans="1:4" ht="18" customHeight="1" x14ac:dyDescent="0.2">
      <c r="A41" s="338" t="s">
        <v>4664</v>
      </c>
      <c r="B41" s="1129"/>
      <c r="C41" s="470" t="str">
        <f ca="1">IFERROR(IF(AND(C32&gt;0,C33&gt;0,C34=0,C35=0),"Nirvivad ✓","Vivadit"),"—")</f>
        <v>Nirvivad ✓</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4760</v>
      </c>
      <c r="B1" s="1518"/>
      <c r="C1" s="1518"/>
      <c r="D1" s="1518"/>
      <c r="L1" s="544" t="s">
        <v>2214</v>
      </c>
    </row>
    <row r="2" spans="1:12" ht="19.5" customHeight="1" x14ac:dyDescent="0.2">
      <c r="A2" s="1595" t="str">
        <f>IFERROR("Karakamsha Lagna: "&amp;CALC_Karakamsha!$B$5&amp;"  ·  H5 — Intellect from soul's seat","← Enter chart")</f>
        <v>Karakamsha Lagna: Sun  ·  H5 — Intellect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IFERROR((IFERROR(IF(INDEX(REF_Zodiac!$D$17:$O$17,MATCH(CALC_D9_BhaveshMap!$C$9,REF_Zodiac!$D$3:$O$3,0))="Gentle",1,0),0))*0.5,0)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IFERROR(IF(AND(OR(CALC_D9_BhaveshMap!$I$9="Yes",CALC_D9_BhaveshMap!$J$9="Yes"),NOT(CALC_D9_BhaveshMap!$K$9="Yes")),1,0)*IF(REF_Config!$B$6="KP",1.5,IF(REF_Config!$B$6="Jaimini",1.5,2)),0)</f>
        <v>0</v>
      </c>
      <c r="D9" s="403" t="s">
        <v>4612</v>
      </c>
    </row>
    <row r="10" spans="1:12" ht="27.75" customHeight="1" x14ac:dyDescent="0.2">
      <c r="A10" s="121" t="s">
        <v>4613</v>
      </c>
      <c r="B10" s="357" t="s">
        <v>3093</v>
      </c>
      <c r="C10" s="1117">
        <f ca="1">IFERROR((IFERROR(IF(OR(AND(CALC_D9_BhaveshMap!$G$9=CALC_D9_BhaveshMap!$G$9,CALC_D9_BhaveshMap!$D$9&lt;&gt;CALC_D9_BhaveshMap!$D$9),AND(CALC_BhaveshMap!$G$8=CALC_D9_BhaveshMap!$G$9,CALC_BhaveshMap!$D$8&lt;&gt;CALC_D9_BhaveshMap!$D$9),AND(CALC_BhaveshMap!$G$9=CALC_D9_BhaveshMap!$G$9,CALC_BhaveshMap!$D$9&lt;&gt;CALC_D9_BhaveshMap!$D$9),AND(CALC_BhaveshMap!$G$11=CALC_D9_BhaveshMap!$G$9,CALC_BhaveshMap!$D$11&lt;&gt;CALC_D9_BhaveshMap!$D$9),AND(CALC_BhaveshMap!$G$13=CALC_D9_BhaveshMap!$G$9,CALC_BhaveshMap!$D$13&lt;&gt;CALC_D9_BhaveshMap!$D$9),AND(CALC_BhaveshMap!$G$14=CALC_D9_BhaveshMap!$G$9,CALC_BhaveshMap!$D$14&lt;&gt;CALC_D9_BhaveshMap!$D$9)),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$9,CALC_D9_BhaveshMap!$D$9&lt;&gt;"Sun"),AND(OR(CALC_PlanetPositions!$M$8="Benefic",CALC_PlanetPositions!$M$8="Yogakaraka"),CALC_PlanetPositions!$B$8=CALC_D9_BhaveshMap!$G$9,CALC_D9_BhaveshMap!$D$9&lt;&gt;"Moon"),AND(OR(CALC_PlanetPositions!$M$9="Benefic",CALC_PlanetPositions!$M$9="Yogakaraka"),CALC_PlanetPositions!$B$9=CALC_D9_BhaveshMap!$G$9,CALC_D9_BhaveshMap!$D$9&lt;&gt;"Mars"),AND(OR(CALC_PlanetPositions!$M$10="Benefic",CALC_PlanetPositions!$M$10="Yogakaraka"),CALC_PlanetPositions!$B$10=CALC_D9_BhaveshMap!$G$9,CALC_D9_BhaveshMap!$D$9&lt;&gt;"Mercury"),AND(OR(CALC_PlanetPositions!$M$11="Benefic",CALC_PlanetPositions!$M$11="Yogakaraka"),CALC_PlanetPositions!$B$11=CALC_D9_BhaveshMap!$G$9,CALC_D9_BhaveshMap!$D$9&lt;&gt;"Jupiter"),AND(OR(CALC_PlanetPositions!$M$12="Benefic",CALC_PlanetPositions!$M$12="Yogakaraka"),CALC_PlanetPositions!$B$12=CALC_D9_BhaveshMap!$G$9,CALC_D9_BhaveshMap!$D$9&lt;&gt;"Venus"),AND(OR(CALC_PlanetPositions!$M$13="Benefic",CALC_PlanetPositions!$M$13="Yogakaraka"),CALC_PlanetPositions!$B$13=CALC_D9_BhaveshMap!$G$9,CALC_D9_BhaveshMap!$D$9&lt;&gt;"Saturn")),1,0),0))*IF(OR(AND(CALC_PlanetPositions!$M$7="Yogakaraka",CALC_PlanetPositions!$B$7=CALC_D9_BhaveshMap!$G$9,CALC_D9_BhaveshMap!$D$9&lt;&gt;"Sun"),AND(CALC_PlanetPositions!$M$8="Yogakaraka",CALC_PlanetPositions!$B$8=CALC_D9_BhaveshMap!$G$9,CALC_D9_BhaveshMap!$D$9&lt;&gt;"Moon"),AND(CALC_PlanetPositions!$M$9="Yogakaraka",CALC_PlanetPositions!$B$9=CALC_D9_BhaveshMap!$G$9,CALC_D9_BhaveshMap!$D$9&lt;&gt;"Mars"),AND(CALC_PlanetPositions!$M$10="Yogakaraka",CALC_PlanetPositions!$B$10=CALC_D9_BhaveshMap!$G$9,CALC_D9_BhaveshMap!$D$9&lt;&gt;"Mercury"),AND(CALC_PlanetPositions!$M$11="Yogakaraka",CALC_PlanetPositions!$B$11=CALC_D9_BhaveshMap!$G$9,CALC_D9_BhaveshMap!$D$9&lt;&gt;"Jupiter"),AND(CALC_PlanetPositions!$M$12="Yogakaraka",CALC_PlanetPositions!$B$12=CALC_D9_BhaveshMap!$G$9,CALC_D9_BhaveshMap!$D$9&lt;&gt;"Venus"),AND(CALC_PlanetPositions!$M$13="Yogakaraka",CALC_PlanetPositions!$B$13=CALC_D9_BhaveshMap!$G$9,CALC_D9_BhaveshMap!$D$9&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$9-(MOD(MATCH(CALC_PlanetPositions!$B$7,{"Aries","Taurus","Gemini","Cancer","Leo","Virgo","Libra","Scorpio","Sagittarius","Capricorn","Aquarius","Pisces"},0)-MATCH(CALC_Karakamsha!$B$5,{"Aries","Taurus","Gemini","Cancer","Leo","Virgo","Libra","Scorpio","Sagittarius","Capricorn","Aquarius","Pisces"},0),12)+1),12)+1)="FULL",NOT(CALC_PlanetPositions!$B$7=CALC_D9_BhaveshMap!$G$9)),AND(OR(CALC_PlanetPositions!$M$8="Benefic",CALC_PlanetPositions!$M$8="Yogakaraka"),INDEX(REF_Aspects!$D$5:$O$13,2,MOD(CALC_D9_BhaveshMap!$H$9-(MOD(MATCH(CALC_PlanetPositions!$B$8,{"Aries","Taurus","Gemini","Cancer","Leo","Virgo","Libra","Scorpio","Sagittarius","Capricorn","Aquarius","Pisces"},0)-MATCH(CALC_Karakamsha!$B$5,{"Aries","Taurus","Gemini","Cancer","Leo","Virgo","Libra","Scorpio","Sagittarius","Capricorn","Aquarius","Pisces"},0),12)+1),12)+1)="FULL",NOT(CALC_PlanetPositions!$B$8=CALC_D9_BhaveshMap!$G$9)),AND(OR(CALC_PlanetPositions!$M$9="Benefic",CALC_PlanetPositions!$M$9="Yogakaraka"),INDEX(REF_Aspects!$D$5:$O$13,3,MOD(CALC_D9_BhaveshMap!$H$9-(MOD(MATCH(CALC_PlanetPositions!$B$9,{"Aries","Taurus","Gemini","Cancer","Leo","Virgo","Libra","Scorpio","Sagittarius","Capricorn","Aquarius","Pisces"},0)-MATCH(CALC_Karakamsha!$B$5,{"Aries","Taurus","Gemini","Cancer","Leo","Virgo","Libra","Scorpio","Sagittarius","Capricorn","Aquarius","Pisces"},0),12)+1),12)+1)="FULL",NOT(CALC_PlanetPositions!$B$9=CALC_D9_BhaveshMap!$G$9)),AND(OR(CALC_PlanetPositions!$M$10="Benefic",CALC_PlanetPositions!$M$10="Yogakaraka"),INDEX(REF_Aspects!$D$5:$O$13,4,MOD(CALC_D9_BhaveshMap!$H$9-(MOD(MATCH(CALC_PlanetPositions!$B$10,{"Aries","Taurus","Gemini","Cancer","Leo","Virgo","Libra","Scorpio","Sagittarius","Capricorn","Aquarius","Pisces"},0)-MATCH(CALC_Karakamsha!$B$5,{"Aries","Taurus","Gemini","Cancer","Leo","Virgo","Libra","Scorpio","Sagittarius","Capricorn","Aquarius","Pisces"},0),12)+1),12)+1)="FULL",NOT(CALC_PlanetPositions!$B$10=CALC_D9_BhaveshMap!$G$9)),AND(OR(CALC_PlanetPositions!$M$11="Benefic",CALC_PlanetPositions!$M$11="Yogakaraka"),INDEX(REF_Aspects!$D$5:$O$13,5,MOD(CALC_D9_BhaveshMap!$H$9-(MOD(MATCH(CALC_PlanetPositions!$B$11,{"Aries","Taurus","Gemini","Cancer","Leo","Virgo","Libra","Scorpio","Sagittarius","Capricorn","Aquarius","Pisces"},0)-MATCH(CALC_Karakamsha!$B$5,{"Aries","Taurus","Gemini","Cancer","Leo","Virgo","Libra","Scorpio","Sagittarius","Capricorn","Aquarius","Pisces"},0),12)+1),12)+1)="FULL",NOT(CALC_PlanetPositions!$B$11=CALC_D9_BhaveshMap!$G$9)),AND(OR(CALC_PlanetPositions!$M$12="Benefic",CALC_PlanetPositions!$M$12="Yogakaraka"),INDEX(REF_Aspects!$D$5:$O$13,6,MOD(CALC_D9_BhaveshMap!$H$9-(MOD(MATCH(CALC_PlanetPositions!$B$12,{"Aries","Taurus","Gemini","Cancer","Leo","Virgo","Libra","Scorpio","Sagittarius","Capricorn","Aquarius","Pisces"},0)-MATCH(CALC_Karakamsha!$B$5,{"Aries","Taurus","Gemini","Cancer","Leo","Virgo","Libra","Scorpio","Sagittarius","Capricorn","Aquarius","Pisces"},0),12)+1),12)+1)="FULL",NOT(CALC_PlanetPositions!$B$12=CALC_D9_BhaveshMap!$G$9)),AND(OR(CALC_PlanetPositions!$M$13="Benefic",CALC_PlanetPositions!$M$13="Yogakaraka"),INDEX(REF_Aspects!$D$5:$O$13,7,MOD(CALC_D9_BhaveshMap!$H$9-(MOD(MATCH(CALC_PlanetPositions!$B$13,{"Aries","Taurus","Gemini","Cancer","Leo","Virgo","Libra","Scorpio","Sagittarius","Capricorn","Aquarius","Pisces"},0)-MATCH(CALC_Karakamsha!$B$5,{"Aries","Taurus","Gemini","Cancer","Leo","Virgo","Libra","Scorpio","Sagittarius","Capricorn","Aquarius","Pisces"},0),12)+1),12)+1)="FULL",NOT(CALC_PlanetPositions!$B$13=CALC_D9_BhaveshMap!$G$9)),AND(FALSE(),INDEX(REF_Aspects!$D$5:$O$13,8,MOD(CALC_D9_BhaveshMap!$H$9-(MOD(MATCH(CALC_PlanetPositions!$B$14,{"Aries","Taurus","Gemini","Cancer","Leo","Virgo","Libra","Scorpio","Sagittarius","Capricorn","Aquarius","Pisces"},0)-MATCH(CALC_Karakamsha!$B$5,{"Aries","Taurus","Gemini","Cancer","Leo","Virgo","Libra","Scorpio","Sagittarius","Capricorn","Aquarius","Pisces"},0),12)+1),12)+1)="FULL",NOT(CALC_PlanetPositions!$B$14=CALC_D9_BhaveshMap!$G$9)),AND(FALSE(),INDEX(REF_Aspects!$D$5:$O$13,9,MOD(CALC_D9_BhaveshMap!$H$9-(MOD(MATCH(CALC_PlanetPositions!$B$15,{"Aries","Taurus","Gemini","Cancer","Leo","Virgo","Libra","Scorpio","Sagittarius","Capricorn","Aquarius","Pisces"},0)-MATCH(CALC_Karakamsha!$B$5,{"Aries","Taurus","Gemini","Cancer","Leo","Virgo","Libra","Scorpio","Sagittarius","Capricorn","Aquarius","Pisces"},0),12)+1),12)+1)="FULL",NOT(CALC_PlanetPositions!$B$15=CALC_D9_BhaveshMap!$G$9))),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$9-2,12)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$9-2,12)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$9-2,12)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$9-2,12)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$9-2,12)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$9-2,12)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$9-2,12)+1)),AND(FALSE(),MOD(MATCH(CALC_PlanetPositions!$B$14,{"Aries","Taurus","Gemini","Cancer","Leo","Virgo","Libra","Scorpio","Sagittarius","Capricorn","Aquarius","Pisces"},0)-MATCH(CALC_Karakamsha!$B$5,{"Aries","Taurus","Gemini","Cancer","Leo","Virgo","Libra","Scorpio","Sagittarius","Capricorn","Aquarius","Pisces"},0),12)+1=(MOD(CALC_D9_BhaveshMap!$H$9-2,12)+1)),AND(FALSE(),MOD(MATCH(CALC_PlanetPositions!$B$15,{"Aries","Taurus","Gemini","Cancer","Leo","Virgo","Libra","Scorpio","Sagittarius","Capricorn","Aquarius","Pisces"},0)-MATCH(CALC_Karakamsha!$B$5,{"Aries","Taurus","Gemini","Cancer","Leo","Virgo","Libra","Scorpio","Sagittarius","Capricorn","Aquarius","Pisces"},0),12)+1=(MOD(CALC_D9_BhaveshMap!$H$9-2,12)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$9,12)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$9,12)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$9,12)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$9,12)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$9,12)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$9,12)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$9,12)+1)),AND(FALSE(),MOD(MATCH(CALC_PlanetPositions!$B$14,{"Aries","Taurus","Gemini","Cancer","Leo","Virgo","Libra","Scorpio","Sagittarius","Capricorn","Aquarius","Pisces"},0)-MATCH(CALC_Karakamsha!$B$5,{"Aries","Taurus","Gemini","Cancer","Leo","Virgo","Libra","Scorpio","Sagittarius","Capricorn","Aquarius","Pisces"},0),12)+1=(MOD(CALC_D9_BhaveshMap!$H$9,12)+1)),AND(FALSE(),MOD(MATCH(CALC_PlanetPositions!$B$15,{"Aries","Taurus","Gemini","Cancer","Leo","Virgo","Libra","Scorpio","Sagittarius","Capricorn","Aquarius","Pisces"},0)-MATCH(CALC_Karakamsha!$B$5,{"Aries","Taurus","Gemini","Cancer","Leo","Virgo","Libra","Scorpio","Sagittarius","Capricorn","Aquarius","Pisces"},0),12)+1=(MOD(CALC_D9_BhaveshMap!$H$9,12)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$9-(MOD(MATCH(CALC_PlanetPositions!$B$7,{"Aries","Taurus","Gemini","Cancer","Leo","Virgo","Libra","Scorpio","Sagittarius","Capricorn","Aquarius","Pisces"},0)-MATCH(CALC_Karakamsha!$B$5,{"Aries","Taurus","Gemini","Cancer","Leo","Virgo","Libra","Scorpio","Sagittarius","Capricorn","Aquarius","Pisces"},0),12)+1),12)+1)="FULL",NOT(CALC_PlanetPositions!$B$7=CALC_D9_BhaveshMap!$G$9)),AND(CALC_PlanetPositions!$M$8="Malefic",INDEX(REF_Aspects!$D$5:$O$13,2,MOD(CALC_D9_BhaveshMap!$H$9-(MOD(MATCH(CALC_PlanetPositions!$B$8,{"Aries","Taurus","Gemini","Cancer","Leo","Virgo","Libra","Scorpio","Sagittarius","Capricorn","Aquarius","Pisces"},0)-MATCH(CALC_Karakamsha!$B$5,{"Aries","Taurus","Gemini","Cancer","Leo","Virgo","Libra","Scorpio","Sagittarius","Capricorn","Aquarius","Pisces"},0),12)+1),12)+1)="FULL",NOT(CALC_PlanetPositions!$B$8=CALC_D9_BhaveshMap!$G$9)),AND(CALC_PlanetPositions!$M$9="Malefic",INDEX(REF_Aspects!$D$5:$O$13,3,MOD(CALC_D9_BhaveshMap!$H$9-(MOD(MATCH(CALC_PlanetPositions!$B$9,{"Aries","Taurus","Gemini","Cancer","Leo","Virgo","Libra","Scorpio","Sagittarius","Capricorn","Aquarius","Pisces"},0)-MATCH(CALC_Karakamsha!$B$5,{"Aries","Taurus","Gemini","Cancer","Leo","Virgo","Libra","Scorpio","Sagittarius","Capricorn","Aquarius","Pisces"},0),12)+1),12)+1)="FULL",NOT(CALC_PlanetPositions!$B$9=CALC_D9_BhaveshMap!$G$9)),AND(CALC_PlanetPositions!$M$10="Malefic",INDEX(REF_Aspects!$D$5:$O$13,4,MOD(CALC_D9_BhaveshMap!$H$9-(MOD(MATCH(CALC_PlanetPositions!$B$10,{"Aries","Taurus","Gemini","Cancer","Leo","Virgo","Libra","Scorpio","Sagittarius","Capricorn","Aquarius","Pisces"},0)-MATCH(CALC_Karakamsha!$B$5,{"Aries","Taurus","Gemini","Cancer","Leo","Virgo","Libra","Scorpio","Sagittarius","Capricorn","Aquarius","Pisces"},0),12)+1),12)+1)="FULL",NOT(CALC_PlanetPositions!$B$10=CALC_D9_BhaveshMap!$G$9)),AND(CALC_PlanetPositions!$M$11="Malefic",INDEX(REF_Aspects!$D$5:$O$13,5,MOD(CALC_D9_BhaveshMap!$H$9-(MOD(MATCH(CALC_PlanetPositions!$B$11,{"Aries","Taurus","Gemini","Cancer","Leo","Virgo","Libra","Scorpio","Sagittarius","Capricorn","Aquarius","Pisces"},0)-MATCH(CALC_Karakamsha!$B$5,{"Aries","Taurus","Gemini","Cancer","Leo","Virgo","Libra","Scorpio","Sagittarius","Capricorn","Aquarius","Pisces"},0),12)+1),12)+1)="FULL",NOT(CALC_PlanetPositions!$B$11=CALC_D9_BhaveshMap!$G$9)),AND(CALC_PlanetPositions!$M$12="Malefic",INDEX(REF_Aspects!$D$5:$O$13,6,MOD(CALC_D9_BhaveshMap!$H$9-(MOD(MATCH(CALC_PlanetPositions!$B$12,{"Aries","Taurus","Gemini","Cancer","Leo","Virgo","Libra","Scorpio","Sagittarius","Capricorn","Aquarius","Pisces"},0)-MATCH(CALC_Karakamsha!$B$5,{"Aries","Taurus","Gemini","Cancer","Leo","Virgo","Libra","Scorpio","Sagittarius","Capricorn","Aquarius","Pisces"},0),12)+1),12)+1)="FULL",NOT(CALC_PlanetPositions!$B$12=CALC_D9_BhaveshMap!$G$9)),AND(CALC_PlanetPositions!$M$13="Malefic",INDEX(REF_Aspects!$D$5:$O$13,7,MOD(CALC_D9_BhaveshMap!$H$9-(MOD(MATCH(CALC_PlanetPositions!$B$13,{"Aries","Taurus","Gemini","Cancer","Leo","Virgo","Libra","Scorpio","Sagittarius","Capricorn","Aquarius","Pisces"},0)-MATCH(CALC_Karakamsha!$B$5,{"Aries","Taurus","Gemini","Cancer","Leo","Virgo","Libra","Scorpio","Sagittarius","Capricorn","Aquarius","Pisces"},0),12)+1),12)+1)="FULL",NOT(CALC_PlanetPositions!$B$13=CALC_D9_BhaveshMap!$G$9)),AND(TRUE(),INDEX(REF_Aspects!$D$5:$O$13,8,MOD(CALC_D9_BhaveshMap!$H$9-(MOD(MATCH(CALC_PlanetPositions!$B$14,{"Aries","Taurus","Gemini","Cancer","Leo","Virgo","Libra","Scorpio","Sagittarius","Capricorn","Aquarius","Pisces"},0)-MATCH(CALC_Karakamsha!$B$5,{"Aries","Taurus","Gemini","Cancer","Leo","Virgo","Libra","Scorpio","Sagittarius","Capricorn","Aquarius","Pisces"},0),12)+1),12)+1)="FULL",NOT(CALC_PlanetPositions!$B$14=CALC_D9_BhaveshMap!$G$9)),AND(TRUE(),INDEX(REF_Aspects!$D$5:$O$13,9,MOD(CALC_D9_BhaveshMap!$H$9-(MOD(MATCH(CALC_PlanetPositions!$B$15,{"Aries","Taurus","Gemini","Cancer","Leo","Virgo","Libra","Scorpio","Sagittarius","Capricorn","Aquarius","Pisces"},0)-MATCH(CALC_Karakamsha!$B$5,{"Aries","Taurus","Gemini","Cancer","Leo","Virgo","Libra","Scorpio","Sagittarius","Capricorn","Aquarius","Pisces"},0),12)+1),12)+1)="FULL",NOT(CALC_PlanetPositions!$B$15=CALC_D9_BhaveshMap!$G$9))),1,0),0))*-0.5,0)</f>
        <v>0</v>
      </c>
      <c r="D21" s="403" t="s">
        <v>4634</v>
      </c>
    </row>
    <row r="22" spans="1:7" ht="27.75" customHeight="1" x14ac:dyDescent="0.2">
      <c r="A22" s="121" t="s">
        <v>4635</v>
      </c>
      <c r="B22" s="357" t="s">
        <v>3042</v>
      </c>
      <c r="C22" s="1117">
        <f>IFERROR((IFERROR(IF(CALC_D9_BhaveshMap!$K$9="Yes",1,0),0))*IF(REF_Config!$B$6="KP",-1.75,IF(REF_Config!$B$6="Jaimini",-2,-2)),0)</f>
        <v>0</v>
      </c>
      <c r="D22" s="400" t="s">
        <v>4636</v>
      </c>
    </row>
    <row r="23" spans="1:7" ht="27.75" customHeight="1" x14ac:dyDescent="0.2">
      <c r="A23" s="121" t="s">
        <v>4637</v>
      </c>
      <c r="B23" s="203" t="s">
        <v>3059</v>
      </c>
      <c r="C23" s="1118">
        <f ca="1">IFERROR((IFERROR(IF(OR(AND(CALC_BhaveshMap!$G$10=CALC_D9_BhaveshMap!$G$9,CALC_BhaveshMap!$D$10&lt;&gt;CALC_D9_BhaveshMap!$D$9),AND(CALC_BhaveshMap!$G$12=CALC_D9_BhaveshMap!$G$9,CALC_BhaveshMap!$D$12&lt;&gt;CALC_D9_BhaveshMap!$D$9),AND(CALC_BhaveshMap!$G$16=CALC_D9_BhaveshMap!$G$9,CALC_BhaveshMap!$D$16&lt;&gt;CALC_D9_BhaveshMap!$D$9)),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IFERROR(IF(OR(CALC_D9_BhaveshMap!$D$9="Sun",CALC_D9_BhaveshMap!$D$9="Rahu",CALC_D9_BhaveshMap!$D$9="Ketu"),0,IF(CALC_D9_BhaveshMap!$D$9="Moon",IF(CALC_CombustionCheck!$G$4="Cazimi ✓",0.5,IF(CALC_CombustionCheck!$F$4="COMBUST ⚠",-1,0)),IF(CALC_D9_BhaveshMap!$D$9="Mars",IF(CALC_CombustionCheck!$G$5="Cazimi ✓",0.5,IF(AND(CALC_CombustionCheck!$F$5="COMBUST ⚠",CALC_RetrogradeFix!$F$6="Rx ✓"),-0.5,IF(CALC_CombustionCheck!$F$5="COMBUST ⚠",-1,0))),IF(CALC_D9_BhaveshMap!$D$9="Mercury",IF(CALC_CombustionCheck!$G$6="Cazimi ✓",0.5,IF(AND(CALC_CombustionCheck!$F$6="COMBUST ⚠",CALC_RetrogradeFix!$F$7="Rx ✓"),-0.5,IF(CALC_CombustionCheck!$F$6="COMBUST ⚠",-1,0))),IF(CALC_D9_BhaveshMap!$D$9="Jupiter",IF(CALC_CombustionCheck!$G$7="Cazimi ✓",0.5,IF(AND(CALC_CombustionCheck!$F$7="COMBUST ⚠",CALC_RetrogradeFix!$F$8="Rx ✓"),-0.5,IF(CALC_CombustionCheck!$F$7="COMBUST ⚠",-1,0))),IF(CALC_D9_BhaveshMap!$D$9="Venus",IF(CALC_CombustionCheck!$G$8="Cazimi ✓",0.5,IF(AND(CALC_CombustionCheck!$F$8="COMBUST ⚠",CALC_RetrogradeFix!$F$9="Rx ✓"),-0.5,IF(CALC_CombustionCheck!$F$8="COMBUST ⚠",-1,0))),IF(CALC_D9_BhaveshMap!$D$9="Saturn",IF(CALC_CombustionCheck!$G$9="Cazimi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$9="Rahu",CALC_D9_BhaveshMap!$D$9="Ketu"),0,IF(ISNUMBER(MATCH(CALC_D9_BhaveshMap!$D$9,{"Sun","Moon","Mars","Mercury","Jupiter","Venus","Saturn"},0)),IF(INDEX(CALC_DigBala!$F$4:$F$10,MATCH(CALC_D9_BhaveshMap!$D$9,{"Sun","Moon","Mars","Mercury","Jupiter","Venus","Saturn"},0))="Yes",0.5,0),0)),0)</f>
        <v>0</v>
      </c>
      <c r="D28" s="400" t="s">
        <v>4647</v>
      </c>
    </row>
    <row r="29" spans="1:7" ht="27.75" customHeight="1" x14ac:dyDescent="0.2">
      <c r="A29" s="1120" t="s">
        <v>4648</v>
      </c>
      <c r="B29" s="296" t="s">
        <v>3372</v>
      </c>
      <c r="C29" s="1117">
        <f ca="1">IFERROR(IF(COUNTIFS(REF_PushkaraNavamsha!$A$4:$A$27,CALC_D9_BhaveshMap!$G$9,REF_PushkaraNavamsha!$B$4:$B$27,INDEX(CALC_PlanetPositions!$G$7:$G$15,MATCH(CALC_D9_BhaveshMap!$D$9,CALC_PlanetPositions!$A$7:$A$15,0)))&gt;0,0.5,0),0)</f>
        <v>0</v>
      </c>
      <c r="D29" s="400" t="s">
        <v>4649</v>
      </c>
    </row>
    <row r="30" spans="1:7" ht="25.5" customHeight="1" x14ac:dyDescent="0.2">
      <c r="A30" s="147" t="s">
        <v>4650</v>
      </c>
      <c r="B30" s="1121" t="s">
        <v>4651</v>
      </c>
      <c r="C30" s="1122">
        <f>IFERROR(IF(ISNUMBER(MATCH(CALC_D9_BhaveshMap!$D$9,{"Sun","Moon","Mars","Mercury","Jupiter","Venus","Saturn"},0)),INDEX(CALC_RetrogradeFix!$G$4:$G$10,MATCH(CALC_D9_BhaveshMap!$D$9,{"Sun","Moon","Mars","Mercury","Jupiter","Venus","Saturn"},0)),0),0)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v>
      </c>
      <c r="D37" s="1129"/>
    </row>
    <row r="38" spans="1:4" ht="21.75" customHeight="1" x14ac:dyDescent="0.2">
      <c r="A38" s="89" t="s">
        <v>4661</v>
      </c>
      <c r="B38" s="1129"/>
      <c r="C38" s="1131">
        <f ca="1">IFERROR(MAX(-10,MIN(10,C37)),0)</f>
        <v>1</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1</v>
      </c>
      <c r="D40" s="1136" t="str">
        <f ca="1">IFERROR(IF(C40&gt;=7,"Excellent — Self domain very strong",IF(C40&gt;=4,"Good — Self domain strong",IF(C40&gt;=1,"Moderate",IF(C40&gt;=-2,"Mixed — Self has challenges",IF(C40&gt;=-5,"Weak","Very weak — Self heavily afflicted"))))),"—")</f>
        <v>Moderate</v>
      </c>
    </row>
    <row r="41" spans="1:4" ht="18" customHeight="1" x14ac:dyDescent="0.2">
      <c r="A41" s="338" t="s">
        <v>4664</v>
      </c>
      <c r="B41" s="1129"/>
      <c r="C41" s="470" t="str">
        <f ca="1">IFERROR(IF(AND(C32&gt;0,C33&gt;0,C34=0,C35=0),"Nirvivad ✓","Vivadit"),"—")</f>
        <v>Nirvivad ✓</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4761</v>
      </c>
      <c r="B1" s="1518"/>
      <c r="C1" s="1518"/>
      <c r="D1" s="1518"/>
      <c r="L1" s="544" t="s">
        <v>2214</v>
      </c>
    </row>
    <row r="2" spans="1:12" ht="19.5" customHeight="1" x14ac:dyDescent="0.2">
      <c r="A2" s="1595" t="str">
        <f>IFERROR("Karakamsha Lagna: "&amp;CALC_Karakamsha!$B$5&amp;"  ·  H6 — Conflicts from soul's seat","← Enter chart")</f>
        <v>Karakamsha Lagna: Sun  ·  H6 — Conflicts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IFERROR((IFERROR(IF(INDEX(REF_Zodiac!$D$17:$O$17,MATCH(CALC_D9_BhaveshMap!$C$10,REF_Zodiac!$D$3:$O$3,0))="Gentle",1,0),0))*0.5,0)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IFERROR(IF(AND(OR(CALC_D9_BhaveshMap!$I$10="Yes",CALC_D9_BhaveshMap!$J$10="Yes"),NOT(CALC_D9_BhaveshMap!$K$10="Yes")),1,0)*IF(REF_Config!$B$6="KP",1.5,IF(REF_Config!$B$6="Jaimini",1.5,2)),0)</f>
        <v>0</v>
      </c>
      <c r="D9" s="403" t="s">
        <v>4612</v>
      </c>
    </row>
    <row r="10" spans="1:12" ht="27.75" customHeight="1" x14ac:dyDescent="0.2">
      <c r="A10" s="121" t="s">
        <v>4613</v>
      </c>
      <c r="B10" s="357" t="s">
        <v>3093</v>
      </c>
      <c r="C10" s="1117">
        <f ca="1">IFERROR((IFERROR(IF(OR(AND(CALC_D9_BhaveshMap!$G$10=CALC_D9_BhaveshMap!$G$10,CALC_D9_BhaveshMap!$D$10&lt;&gt;CALC_D9_BhaveshMap!$D$10),AND(CALC_BhaveshMap!$G$8=CALC_D9_BhaveshMap!$G$10,CALC_BhaveshMap!$D$8&lt;&gt;CALC_D9_BhaveshMap!$D$10),AND(CALC_BhaveshMap!$G$9=CALC_D9_BhaveshMap!$G$10,CALC_BhaveshMap!$D$9&lt;&gt;CALC_D9_BhaveshMap!$D$10),AND(CALC_BhaveshMap!$G$11=CALC_D9_BhaveshMap!$G$10,CALC_BhaveshMap!$D$11&lt;&gt;CALC_D9_BhaveshMap!$D$10),AND(CALC_BhaveshMap!$G$13=CALC_D9_BhaveshMap!$G$10,CALC_BhaveshMap!$D$13&lt;&gt;CALC_D9_BhaveshMap!$D$10),AND(CALC_BhaveshMap!$G$14=CALC_D9_BhaveshMap!$G$10,CALC_BhaveshMap!$D$14&lt;&gt;CALC_D9_BhaveshMap!$D$10)),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$10,CALC_D9_BhaveshMap!$D$10&lt;&gt;"Sun"),AND(OR(CALC_PlanetPositions!$M$8="Benefic",CALC_PlanetPositions!$M$8="Yogakaraka"),CALC_PlanetPositions!$B$8=CALC_D9_BhaveshMap!$G$10,CALC_D9_BhaveshMap!$D$10&lt;&gt;"Moon"),AND(OR(CALC_PlanetPositions!$M$9="Benefic",CALC_PlanetPositions!$M$9="Yogakaraka"),CALC_PlanetPositions!$B$9=CALC_D9_BhaveshMap!$G$10,CALC_D9_BhaveshMap!$D$10&lt;&gt;"Mars"),AND(OR(CALC_PlanetPositions!$M$10="Benefic",CALC_PlanetPositions!$M$10="Yogakaraka"),CALC_PlanetPositions!$B$10=CALC_D9_BhaveshMap!$G$10,CALC_D9_BhaveshMap!$D$10&lt;&gt;"Mercury"),AND(OR(CALC_PlanetPositions!$M$11="Benefic",CALC_PlanetPositions!$M$11="Yogakaraka"),CALC_PlanetPositions!$B$11=CALC_D9_BhaveshMap!$G$10,CALC_D9_BhaveshMap!$D$10&lt;&gt;"Jupiter"),AND(OR(CALC_PlanetPositions!$M$12="Benefic",CALC_PlanetPositions!$M$12="Yogakaraka"),CALC_PlanetPositions!$B$12=CALC_D9_BhaveshMap!$G$10,CALC_D9_BhaveshMap!$D$10&lt;&gt;"Venus"),AND(OR(CALC_PlanetPositions!$M$13="Benefic",CALC_PlanetPositions!$M$13="Yogakaraka"),CALC_PlanetPositions!$B$13=CALC_D9_BhaveshMap!$G$10,CALC_D9_BhaveshMap!$D$10&lt;&gt;"Saturn")),1,0),0))*IF(OR(AND(CALC_PlanetPositions!$M$7="Yogakaraka",CALC_PlanetPositions!$B$7=CALC_D9_BhaveshMap!$G$10,CALC_D9_BhaveshMap!$D$10&lt;&gt;"Sun"),AND(CALC_PlanetPositions!$M$8="Yogakaraka",CALC_PlanetPositions!$B$8=CALC_D9_BhaveshMap!$G$10,CALC_D9_BhaveshMap!$D$10&lt;&gt;"Moon"),AND(CALC_PlanetPositions!$M$9="Yogakaraka",CALC_PlanetPositions!$B$9=CALC_D9_BhaveshMap!$G$10,CALC_D9_BhaveshMap!$D$10&lt;&gt;"Mars"),AND(CALC_PlanetPositions!$M$10="Yogakaraka",CALC_PlanetPositions!$B$10=CALC_D9_BhaveshMap!$G$10,CALC_D9_BhaveshMap!$D$10&lt;&gt;"Mercury"),AND(CALC_PlanetPositions!$M$11="Yogakaraka",CALC_PlanetPositions!$B$11=CALC_D9_BhaveshMap!$G$10,CALC_D9_BhaveshMap!$D$10&lt;&gt;"Jupiter"),AND(CALC_PlanetPositions!$M$12="Yogakaraka",CALC_PlanetPositions!$B$12=CALC_D9_BhaveshMap!$G$10,CALC_D9_BhaveshMap!$D$10&lt;&gt;"Venus"),AND(CALC_PlanetPositions!$M$13="Yogakaraka",CALC_PlanetPositions!$B$13=CALC_D9_BhaveshMap!$G$10,CALC_D9_BhaveshMap!$D$10&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$10-(MOD(MATCH(CALC_PlanetPositions!$B$7,{"Aries","Taurus","Gemini","Cancer","Leo","Virgo","Libra","Scorpio","Sagittarius","Capricorn","Aquarius","Pisces"},0)-MATCH(CALC_Karakamsha!$B$5,{"Aries","Taurus","Gemini","Cancer","Leo","Virgo","Libra","Scorpio","Sagittarius","Capricorn","Aquarius","Pisces"},0),12)+1),12)+1)="FULL",NOT(CALC_PlanetPositions!$B$7=CALC_D9_BhaveshMap!$G$10)),AND(OR(CALC_PlanetPositions!$M$8="Benefic",CALC_PlanetPositions!$M$8="Yogakaraka"),INDEX(REF_Aspects!$D$5:$O$13,2,MOD(CALC_D9_BhaveshMap!$H$10-(MOD(MATCH(CALC_PlanetPositions!$B$8,{"Aries","Taurus","Gemini","Cancer","Leo","Virgo","Libra","Scorpio","Sagittarius","Capricorn","Aquarius","Pisces"},0)-MATCH(CALC_Karakamsha!$B$5,{"Aries","Taurus","Gemini","Cancer","Leo","Virgo","Libra","Scorpio","Sagittarius","Capricorn","Aquarius","Pisces"},0),12)+1),12)+1)="FULL",NOT(CALC_PlanetPositions!$B$8=CALC_D9_BhaveshMap!$G$10)),AND(OR(CALC_PlanetPositions!$M$9="Benefic",CALC_PlanetPositions!$M$9="Yogakaraka"),INDEX(REF_Aspects!$D$5:$O$13,3,MOD(CALC_D9_BhaveshMap!$H$10-(MOD(MATCH(CALC_PlanetPositions!$B$9,{"Aries","Taurus","Gemini","Cancer","Leo","Virgo","Libra","Scorpio","Sagittarius","Capricorn","Aquarius","Pisces"},0)-MATCH(CALC_Karakamsha!$B$5,{"Aries","Taurus","Gemini","Cancer","Leo","Virgo","Libra","Scorpio","Sagittarius","Capricorn","Aquarius","Pisces"},0),12)+1),12)+1)="FULL",NOT(CALC_PlanetPositions!$B$9=CALC_D9_BhaveshMap!$G$10)),AND(OR(CALC_PlanetPositions!$M$10="Benefic",CALC_PlanetPositions!$M$10="Yogakaraka"),INDEX(REF_Aspects!$D$5:$O$13,4,MOD(CALC_D9_BhaveshMap!$H$10-(MOD(MATCH(CALC_PlanetPositions!$B$10,{"Aries","Taurus","Gemini","Cancer","Leo","Virgo","Libra","Scorpio","Sagittarius","Capricorn","Aquarius","Pisces"},0)-MATCH(CALC_Karakamsha!$B$5,{"Aries","Taurus","Gemini","Cancer","Leo","Virgo","Libra","Scorpio","Sagittarius","Capricorn","Aquarius","Pisces"},0),12)+1),12)+1)="FULL",NOT(CALC_PlanetPositions!$B$10=CALC_D9_BhaveshMap!$G$10)),AND(OR(CALC_PlanetPositions!$M$11="Benefic",CALC_PlanetPositions!$M$11="Yogakaraka"),INDEX(REF_Aspects!$D$5:$O$13,5,MOD(CALC_D9_BhaveshMap!$H$10-(MOD(MATCH(CALC_PlanetPositions!$B$11,{"Aries","Taurus","Gemini","Cancer","Leo","Virgo","Libra","Scorpio","Sagittarius","Capricorn","Aquarius","Pisces"},0)-MATCH(CALC_Karakamsha!$B$5,{"Aries","Taurus","Gemini","Cancer","Leo","Virgo","Libra","Scorpio","Sagittarius","Capricorn","Aquarius","Pisces"},0),12)+1),12)+1)="FULL",NOT(CALC_PlanetPositions!$B$11=CALC_D9_BhaveshMap!$G$10)),AND(OR(CALC_PlanetPositions!$M$12="Benefic",CALC_PlanetPositions!$M$12="Yogakaraka"),INDEX(REF_Aspects!$D$5:$O$13,6,MOD(CALC_D9_BhaveshMap!$H$10-(MOD(MATCH(CALC_PlanetPositions!$B$12,{"Aries","Taurus","Gemini","Cancer","Leo","Virgo","Libra","Scorpio","Sagittarius","Capricorn","Aquarius","Pisces"},0)-MATCH(CALC_Karakamsha!$B$5,{"Aries","Taurus","Gemini","Cancer","Leo","Virgo","Libra","Scorpio","Sagittarius","Capricorn","Aquarius","Pisces"},0),12)+1),12)+1)="FULL",NOT(CALC_PlanetPositions!$B$12=CALC_D9_BhaveshMap!$G$10)),AND(OR(CALC_PlanetPositions!$M$13="Benefic",CALC_PlanetPositions!$M$13="Yogakaraka"),INDEX(REF_Aspects!$D$5:$O$13,7,MOD(CALC_D9_BhaveshMap!$H$10-(MOD(MATCH(CALC_PlanetPositions!$B$13,{"Aries","Taurus","Gemini","Cancer","Leo","Virgo","Libra","Scorpio","Sagittarius","Capricorn","Aquarius","Pisces"},0)-MATCH(CALC_Karakamsha!$B$5,{"Aries","Taurus","Gemini","Cancer","Leo","Virgo","Libra","Scorpio","Sagittarius","Capricorn","Aquarius","Pisces"},0),12)+1),12)+1)="FULL",NOT(CALC_PlanetPositions!$B$13=CALC_D9_BhaveshMap!$G$10)),AND(FALSE(),INDEX(REF_Aspects!$D$5:$O$13,8,MOD(CALC_D9_BhaveshMap!$H$10-(MOD(MATCH(CALC_PlanetPositions!$B$14,{"Aries","Taurus","Gemini","Cancer","Leo","Virgo","Libra","Scorpio","Sagittarius","Capricorn","Aquarius","Pisces"},0)-MATCH(CALC_Karakamsha!$B$5,{"Aries","Taurus","Gemini","Cancer","Leo","Virgo","Libra","Scorpio","Sagittarius","Capricorn","Aquarius","Pisces"},0),12)+1),12)+1)="FULL",NOT(CALC_PlanetPositions!$B$14=CALC_D9_BhaveshMap!$G$10)),AND(FALSE(),INDEX(REF_Aspects!$D$5:$O$13,9,MOD(CALC_D9_BhaveshMap!$H$10-(MOD(MATCH(CALC_PlanetPositions!$B$15,{"Aries","Taurus","Gemini","Cancer","Leo","Virgo","Libra","Scorpio","Sagittarius","Capricorn","Aquarius","Pisces"},0)-MATCH(CALC_Karakamsha!$B$5,{"Aries","Taurus","Gemini","Cancer","Leo","Virgo","Libra","Scorpio","Sagittarius","Capricorn","Aquarius","Pisces"},0),12)+1),12)+1)="FULL",NOT(CALC_PlanetPositions!$B$15=CALC_D9_BhaveshMap!$G$10))),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$10-2,12)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$10-2,12)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$10-2,12)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$10-2,12)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$10-2,12)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$10-2,12)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$10-2,12)+1)),AND(FALSE(),MOD(MATCH(CALC_PlanetPositions!$B$14,{"Aries","Taurus","Gemini","Cancer","Leo","Virgo","Libra","Scorpio","Sagittarius","Capricorn","Aquarius","Pisces"},0)-MATCH(CALC_Karakamsha!$B$5,{"Aries","Taurus","Gemini","Cancer","Leo","Virgo","Libra","Scorpio","Sagittarius","Capricorn","Aquarius","Pisces"},0),12)+1=(MOD(CALC_D9_BhaveshMap!$H$10-2,12)+1)),AND(FALSE(),MOD(MATCH(CALC_PlanetPositions!$B$15,{"Aries","Taurus","Gemini","Cancer","Leo","Virgo","Libra","Scorpio","Sagittarius","Capricorn","Aquarius","Pisces"},0)-MATCH(CALC_Karakamsha!$B$5,{"Aries","Taurus","Gemini","Cancer","Leo","Virgo","Libra","Scorpio","Sagittarius","Capricorn","Aquarius","Pisces"},0),12)+1=(MOD(CALC_D9_BhaveshMap!$H$10-2,12)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$10,12)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$10,12)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$10,12)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$10,12)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$10,12)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$10,12)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$10,12)+1)),AND(FALSE(),MOD(MATCH(CALC_PlanetPositions!$B$14,{"Aries","Taurus","Gemini","Cancer","Leo","Virgo","Libra","Scorpio","Sagittarius","Capricorn","Aquarius","Pisces"},0)-MATCH(CALC_Karakamsha!$B$5,{"Aries","Taurus","Gemini","Cancer","Leo","Virgo","Libra","Scorpio","Sagittarius","Capricorn","Aquarius","Pisces"},0),12)+1=(MOD(CALC_D9_BhaveshMap!$H$10,12)+1)),AND(FALSE(),MOD(MATCH(CALC_PlanetPositions!$B$15,{"Aries","Taurus","Gemini","Cancer","Leo","Virgo","Libra","Scorpio","Sagittarius","Capricorn","Aquarius","Pisces"},0)-MATCH(CALC_Karakamsha!$B$5,{"Aries","Taurus","Gemini","Cancer","Leo","Virgo","Libra","Scorpio","Sagittarius","Capricorn","Aquarius","Pisces"},0),12)+1=(MOD(CALC_D9_BhaveshMap!$H$10,12)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$10-(MOD(MATCH(CALC_PlanetPositions!$B$7,{"Aries","Taurus","Gemini","Cancer","Leo","Virgo","Libra","Scorpio","Sagittarius","Capricorn","Aquarius","Pisces"},0)-MATCH(CALC_Karakamsha!$B$5,{"Aries","Taurus","Gemini","Cancer","Leo","Virgo","Libra","Scorpio","Sagittarius","Capricorn","Aquarius","Pisces"},0),12)+1),12)+1)="FULL",NOT(CALC_PlanetPositions!$B$7=CALC_D9_BhaveshMap!$G$10)),AND(CALC_PlanetPositions!$M$8="Malefic",INDEX(REF_Aspects!$D$5:$O$13,2,MOD(CALC_D9_BhaveshMap!$H$10-(MOD(MATCH(CALC_PlanetPositions!$B$8,{"Aries","Taurus","Gemini","Cancer","Leo","Virgo","Libra","Scorpio","Sagittarius","Capricorn","Aquarius","Pisces"},0)-MATCH(CALC_Karakamsha!$B$5,{"Aries","Taurus","Gemini","Cancer","Leo","Virgo","Libra","Scorpio","Sagittarius","Capricorn","Aquarius","Pisces"},0),12)+1),12)+1)="FULL",NOT(CALC_PlanetPositions!$B$8=CALC_D9_BhaveshMap!$G$10)),AND(CALC_PlanetPositions!$M$9="Malefic",INDEX(REF_Aspects!$D$5:$O$13,3,MOD(CALC_D9_BhaveshMap!$H$10-(MOD(MATCH(CALC_PlanetPositions!$B$9,{"Aries","Taurus","Gemini","Cancer","Leo","Virgo","Libra","Scorpio","Sagittarius","Capricorn","Aquarius","Pisces"},0)-MATCH(CALC_Karakamsha!$B$5,{"Aries","Taurus","Gemini","Cancer","Leo","Virgo","Libra","Scorpio","Sagittarius","Capricorn","Aquarius","Pisces"},0),12)+1),12)+1)="FULL",NOT(CALC_PlanetPositions!$B$9=CALC_D9_BhaveshMap!$G$10)),AND(CALC_PlanetPositions!$M$10="Malefic",INDEX(REF_Aspects!$D$5:$O$13,4,MOD(CALC_D9_BhaveshMap!$H$10-(MOD(MATCH(CALC_PlanetPositions!$B$10,{"Aries","Taurus","Gemini","Cancer","Leo","Virgo","Libra","Scorpio","Sagittarius","Capricorn","Aquarius","Pisces"},0)-MATCH(CALC_Karakamsha!$B$5,{"Aries","Taurus","Gemini","Cancer","Leo","Virgo","Libra","Scorpio","Sagittarius","Capricorn","Aquarius","Pisces"},0),12)+1),12)+1)="FULL",NOT(CALC_PlanetPositions!$B$10=CALC_D9_BhaveshMap!$G$10)),AND(CALC_PlanetPositions!$M$11="Malefic",INDEX(REF_Aspects!$D$5:$O$13,5,MOD(CALC_D9_BhaveshMap!$H$10-(MOD(MATCH(CALC_PlanetPositions!$B$11,{"Aries","Taurus","Gemini","Cancer","Leo","Virgo","Libra","Scorpio","Sagittarius","Capricorn","Aquarius","Pisces"},0)-MATCH(CALC_Karakamsha!$B$5,{"Aries","Taurus","Gemini","Cancer","Leo","Virgo","Libra","Scorpio","Sagittarius","Capricorn","Aquarius","Pisces"},0),12)+1),12)+1)="FULL",NOT(CALC_PlanetPositions!$B$11=CALC_D9_BhaveshMap!$G$10)),AND(CALC_PlanetPositions!$M$12="Malefic",INDEX(REF_Aspects!$D$5:$O$13,6,MOD(CALC_D9_BhaveshMap!$H$10-(MOD(MATCH(CALC_PlanetPositions!$B$12,{"Aries","Taurus","Gemini","Cancer","Leo","Virgo","Libra","Scorpio","Sagittarius","Capricorn","Aquarius","Pisces"},0)-MATCH(CALC_Karakamsha!$B$5,{"Aries","Taurus","Gemini","Cancer","Leo","Virgo","Libra","Scorpio","Sagittarius","Capricorn","Aquarius","Pisces"},0),12)+1),12)+1)="FULL",NOT(CALC_PlanetPositions!$B$12=CALC_D9_BhaveshMap!$G$10)),AND(CALC_PlanetPositions!$M$13="Malefic",INDEX(REF_Aspects!$D$5:$O$13,7,MOD(CALC_D9_BhaveshMap!$H$10-(MOD(MATCH(CALC_PlanetPositions!$B$13,{"Aries","Taurus","Gemini","Cancer","Leo","Virgo","Libra","Scorpio","Sagittarius","Capricorn","Aquarius","Pisces"},0)-MATCH(CALC_Karakamsha!$B$5,{"Aries","Taurus","Gemini","Cancer","Leo","Virgo","Libra","Scorpio","Sagittarius","Capricorn","Aquarius","Pisces"},0),12)+1),12)+1)="FULL",NOT(CALC_PlanetPositions!$B$13=CALC_D9_BhaveshMap!$G$10)),AND(TRUE(),INDEX(REF_Aspects!$D$5:$O$13,8,MOD(CALC_D9_BhaveshMap!$H$10-(MOD(MATCH(CALC_PlanetPositions!$B$14,{"Aries","Taurus","Gemini","Cancer","Leo","Virgo","Libra","Scorpio","Sagittarius","Capricorn","Aquarius","Pisces"},0)-MATCH(CALC_Karakamsha!$B$5,{"Aries","Taurus","Gemini","Cancer","Leo","Virgo","Libra","Scorpio","Sagittarius","Capricorn","Aquarius","Pisces"},0),12)+1),12)+1)="FULL",NOT(CALC_PlanetPositions!$B$14=CALC_D9_BhaveshMap!$G$10)),AND(TRUE(),INDEX(REF_Aspects!$D$5:$O$13,9,MOD(CALC_D9_BhaveshMap!$H$10-(MOD(MATCH(CALC_PlanetPositions!$B$15,{"Aries","Taurus","Gemini","Cancer","Leo","Virgo","Libra","Scorpio","Sagittarius","Capricorn","Aquarius","Pisces"},0)-MATCH(CALC_Karakamsha!$B$5,{"Aries","Taurus","Gemini","Cancer","Leo","Virgo","Libra","Scorpio","Sagittarius","Capricorn","Aquarius","Pisces"},0),12)+1),12)+1)="FULL",NOT(CALC_PlanetPositions!$B$15=CALC_D9_BhaveshMap!$G$10))),1,0),0))*-0.5,0)</f>
        <v>0</v>
      </c>
      <c r="D21" s="403" t="s">
        <v>4634</v>
      </c>
    </row>
    <row r="22" spans="1:7" ht="27.75" customHeight="1" x14ac:dyDescent="0.2">
      <c r="A22" s="121" t="s">
        <v>4635</v>
      </c>
      <c r="B22" s="357" t="s">
        <v>3042</v>
      </c>
      <c r="C22" s="1117">
        <f>IFERROR((IFERROR(IF(CALC_D9_BhaveshMap!$K$10="Yes",1,0),0))*IF(REF_Config!$B$6="KP",-1.75,IF(REF_Config!$B$6="Jaimini",-2,-2)),0)</f>
        <v>0</v>
      </c>
      <c r="D22" s="400" t="s">
        <v>4636</v>
      </c>
    </row>
    <row r="23" spans="1:7" ht="27.75" customHeight="1" x14ac:dyDescent="0.2">
      <c r="A23" s="121" t="s">
        <v>4637</v>
      </c>
      <c r="B23" s="203" t="s">
        <v>3059</v>
      </c>
      <c r="C23" s="1118">
        <f ca="1">IFERROR((IFERROR(IF(OR(AND(CALC_BhaveshMap!$G$10=CALC_D9_BhaveshMap!$G$10,CALC_BhaveshMap!$D$10&lt;&gt;CALC_D9_BhaveshMap!$D$10),AND(CALC_BhaveshMap!$G$12=CALC_D9_BhaveshMap!$G$10,CALC_BhaveshMap!$D$12&lt;&gt;CALC_D9_BhaveshMap!$D$10),AND(CALC_BhaveshMap!$G$16=CALC_D9_BhaveshMap!$G$10,CALC_BhaveshMap!$D$16&lt;&gt;CALC_D9_BhaveshMap!$D$10)),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IFERROR(IF(OR(CALC_D9_BhaveshMap!$D$10="Sun",CALC_D9_BhaveshMap!$D$10="Rahu",CALC_D9_BhaveshMap!$D$10="Ketu"),0,IF(CALC_D9_BhaveshMap!$D$10="Moon",IF(CALC_CombustionCheck!$G$4="Cazimi ✓",0.5,IF(CALC_CombustionCheck!$F$4="COMBUST ⚠",-1,0)),IF(CALC_D9_BhaveshMap!$D$10="Mars",IF(CALC_CombustionCheck!$G$5="Cazimi ✓",0.5,IF(AND(CALC_CombustionCheck!$F$5="COMBUST ⚠",CALC_RetrogradeFix!$F$6="Rx ✓"),-0.5,IF(CALC_CombustionCheck!$F$5="COMBUST ⚠",-1,0))),IF(CALC_D9_BhaveshMap!$D$10="Mercury",IF(CALC_CombustionCheck!$G$6="Cazimi ✓",0.5,IF(AND(CALC_CombustionCheck!$F$6="COMBUST ⚠",CALC_RetrogradeFix!$F$7="Rx ✓"),-0.5,IF(CALC_CombustionCheck!$F$6="COMBUST ⚠",-1,0))),IF(CALC_D9_BhaveshMap!$D$10="Jupiter",IF(CALC_CombustionCheck!$G$7="Cazimi ✓",0.5,IF(AND(CALC_CombustionCheck!$F$7="COMBUST ⚠",CALC_RetrogradeFix!$F$8="Rx ✓"),-0.5,IF(CALC_CombustionCheck!$F$7="COMBUST ⚠",-1,0))),IF(CALC_D9_BhaveshMap!$D$10="Venus",IF(CALC_CombustionCheck!$G$8="Cazimi ✓",0.5,IF(AND(CALC_CombustionCheck!$F$8="COMBUST ⚠",CALC_RetrogradeFix!$F$9="Rx ✓"),-0.5,IF(CALC_CombustionCheck!$F$8="COMBUST ⚠",-1,0))),IF(CALC_D9_BhaveshMap!$D$10="Saturn",IF(CALC_CombustionCheck!$G$9="Cazimi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$10="Rahu",CALC_D9_BhaveshMap!$D$10="Ketu"),0,IF(ISNUMBER(MATCH(CALC_D9_BhaveshMap!$D$10,{"Sun","Moon","Mars","Mercury","Jupiter","Venus","Saturn"},0)),IF(INDEX(CALC_DigBala!$F$4:$F$10,MATCH(CALC_D9_BhaveshMap!$D$10,{"Sun","Moon","Mars","Mercury","Jupiter","Venus","Saturn"},0))="Yes",0.5,0),0)),0)</f>
        <v>0</v>
      </c>
      <c r="D28" s="400" t="s">
        <v>4647</v>
      </c>
    </row>
    <row r="29" spans="1:7" ht="27.75" customHeight="1" x14ac:dyDescent="0.2">
      <c r="A29" s="1120" t="s">
        <v>4648</v>
      </c>
      <c r="B29" s="296" t="s">
        <v>3372</v>
      </c>
      <c r="C29" s="1117">
        <f ca="1">IFERROR(IF(COUNTIFS(REF_PushkaraNavamsha!$A$4:$A$27,CALC_D9_BhaveshMap!$G$10,REF_PushkaraNavamsha!$B$4:$B$27,INDEX(CALC_PlanetPositions!$G$7:$G$15,MATCH(CALC_D9_BhaveshMap!$D$10,CALC_PlanetPositions!$A$7:$A$15,0)))&gt;0,0.5,0),0)</f>
        <v>0</v>
      </c>
      <c r="D29" s="400" t="s">
        <v>4649</v>
      </c>
    </row>
    <row r="30" spans="1:7" ht="25.5" customHeight="1" x14ac:dyDescent="0.2">
      <c r="A30" s="147" t="s">
        <v>4650</v>
      </c>
      <c r="B30" s="1121" t="s">
        <v>4651</v>
      </c>
      <c r="C30" s="1122">
        <f>IFERROR(IF(ISNUMBER(MATCH(CALC_D9_BhaveshMap!$D$10,{"Sun","Moon","Mars","Mercury","Jupiter","Venus","Saturn"},0)),INDEX(CALC_RetrogradeFix!$G$4:$G$10,MATCH(CALC_D9_BhaveshMap!$D$10,{"Sun","Moon","Mars","Mercury","Jupiter","Venus","Saturn"},0)),0),0)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0.5</v>
      </c>
      <c r="D37" s="1129"/>
    </row>
    <row r="38" spans="1:4" ht="21.75" customHeight="1" x14ac:dyDescent="0.2">
      <c r="A38" s="89" t="s">
        <v>4661</v>
      </c>
      <c r="B38" s="1129"/>
      <c r="C38" s="1131">
        <f ca="1">IFERROR(MAX(-10,MIN(10,C37)),0)</f>
        <v>0.5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0.5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338" t="s">
        <v>4664</v>
      </c>
      <c r="B41" s="1129"/>
      <c r="C41" s="470" t="str">
        <f ca="1">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4762</v>
      </c>
      <c r="B1" s="1518"/>
      <c r="C1" s="1518"/>
      <c r="D1" s="1518"/>
      <c r="L1" s="544" t="s">
        <v>2214</v>
      </c>
    </row>
    <row r="2" spans="1:12" ht="19.5" customHeight="1" x14ac:dyDescent="0.2">
      <c r="A2" s="1595" t="str">
        <f>IFERROR("Karakamsha Lagna: "&amp;CALC_Karakamsha!$B$5&amp;"  ·  H7 — Partnerships from soul's seat","← Enter chart")</f>
        <v>Karakamsha Lagna: Sun  ·  H7 — Partnerships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IFERROR((IFERROR(IF(INDEX(REF_Zodiac!$D$17:$O$17,MATCH(CALC_D9_BhaveshMap!$C$11,REF_Zodiac!$D$3:$O$3,0))="Gentle",1,0),0))*0.5,0)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IFERROR(IF(AND(OR(CALC_D9_BhaveshMap!$I$11="Yes",CALC_D9_BhaveshMap!$J$11="Yes"),NOT(CALC_D9_BhaveshMap!$K$11="Yes")),1,0)*IF(REF_Config!$B$6="KP",1.5,IF(REF_Config!$B$6="Jaimini",1.5,2)),0)</f>
        <v>0</v>
      </c>
      <c r="D9" s="403" t="s">
        <v>4612</v>
      </c>
    </row>
    <row r="10" spans="1:12" ht="27.75" customHeight="1" x14ac:dyDescent="0.2">
      <c r="A10" s="121" t="s">
        <v>4613</v>
      </c>
      <c r="B10" s="357" t="s">
        <v>3093</v>
      </c>
      <c r="C10" s="1117">
        <f ca="1">IFERROR((IFERROR(IF(OR(AND(CALC_D9_BhaveshMap!$G$11=CALC_D9_BhaveshMap!$G$11,CALC_D9_BhaveshMap!$D$11&lt;&gt;CALC_D9_BhaveshMap!$D$11),AND(CALC_BhaveshMap!$G$8=CALC_D9_BhaveshMap!$G$11,CALC_BhaveshMap!$D$8&lt;&gt;CALC_D9_BhaveshMap!$D$11),AND(CALC_BhaveshMap!$G$9=CALC_D9_BhaveshMap!$G$11,CALC_BhaveshMap!$D$9&lt;&gt;CALC_D9_BhaveshMap!$D$11),AND(CALC_BhaveshMap!$G$11=CALC_D9_BhaveshMap!$G$11,CALC_BhaveshMap!$D$11&lt;&gt;CALC_D9_BhaveshMap!$D$11),AND(CALC_BhaveshMap!$G$13=CALC_D9_BhaveshMap!$G$11,CALC_BhaveshMap!$D$13&lt;&gt;CALC_D9_BhaveshMap!$D$11),AND(CALC_BhaveshMap!$G$14=CALC_D9_BhaveshMap!$G$11,CALC_BhaveshMap!$D$14&lt;&gt;CALC_D9_BhaveshMap!$D$11)),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$11,CALC_D9_BhaveshMap!$D$11&lt;&gt;"Sun"),AND(OR(CALC_PlanetPositions!$M$8="Benefic",CALC_PlanetPositions!$M$8="Yogakaraka"),CALC_PlanetPositions!$B$8=CALC_D9_BhaveshMap!$G$11,CALC_D9_BhaveshMap!$D$11&lt;&gt;"Moon"),AND(OR(CALC_PlanetPositions!$M$9="Benefic",CALC_PlanetPositions!$M$9="Yogakaraka"),CALC_PlanetPositions!$B$9=CALC_D9_BhaveshMap!$G$11,CALC_D9_BhaveshMap!$D$11&lt;&gt;"Mars"),AND(OR(CALC_PlanetPositions!$M$10="Benefic",CALC_PlanetPositions!$M$10="Yogakaraka"),CALC_PlanetPositions!$B$10=CALC_D9_BhaveshMap!$G$11,CALC_D9_BhaveshMap!$D$11&lt;&gt;"Mercury"),AND(OR(CALC_PlanetPositions!$M$11="Benefic",CALC_PlanetPositions!$M$11="Yogakaraka"),CALC_PlanetPositions!$B$11=CALC_D9_BhaveshMap!$G$11,CALC_D9_BhaveshMap!$D$11&lt;&gt;"Jupiter"),AND(OR(CALC_PlanetPositions!$M$12="Benefic",CALC_PlanetPositions!$M$12="Yogakaraka"),CALC_PlanetPositions!$B$12=CALC_D9_BhaveshMap!$G$11,CALC_D9_BhaveshMap!$D$11&lt;&gt;"Venus"),AND(OR(CALC_PlanetPositions!$M$13="Benefic",CALC_PlanetPositions!$M$13="Yogakaraka"),CALC_PlanetPositions!$B$13=CALC_D9_BhaveshMap!$G$11,CALC_D9_BhaveshMap!$D$11&lt;&gt;"Saturn")),1,0),0))*IF(OR(AND(CALC_PlanetPositions!$M$7="Yogakaraka",CALC_PlanetPositions!$B$7=CALC_D9_BhaveshMap!$G$11,CALC_D9_BhaveshMap!$D$11&lt;&gt;"Sun"),AND(CALC_PlanetPositions!$M$8="Yogakaraka",CALC_PlanetPositions!$B$8=CALC_D9_BhaveshMap!$G$11,CALC_D9_BhaveshMap!$D$11&lt;&gt;"Moon"),AND(CALC_PlanetPositions!$M$9="Yogakaraka",CALC_PlanetPositions!$B$9=CALC_D9_BhaveshMap!$G$11,CALC_D9_BhaveshMap!$D$11&lt;&gt;"Mars"),AND(CALC_PlanetPositions!$M$10="Yogakaraka",CALC_PlanetPositions!$B$10=CALC_D9_BhaveshMap!$G$11,CALC_D9_BhaveshMap!$D$11&lt;&gt;"Mercury"),AND(CALC_PlanetPositions!$M$11="Yogakaraka",CALC_PlanetPositions!$B$11=CALC_D9_BhaveshMap!$G$11,CALC_D9_BhaveshMap!$D$11&lt;&gt;"Jupiter"),AND(CALC_PlanetPositions!$M$12="Yogakaraka",CALC_PlanetPositions!$B$12=CALC_D9_BhaveshMap!$G$11,CALC_D9_BhaveshMap!$D$11&lt;&gt;"Venus"),AND(CALC_PlanetPositions!$M$13="Yogakaraka",CALC_PlanetPositions!$B$13=CALC_D9_BhaveshMap!$G$11,CALC_D9_BhaveshMap!$D$11&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$11-(MOD(MATCH(CALC_PlanetPositions!$B$7,{"Aries","Taurus","Gemini","Cancer","Leo","Virgo","Libra","Scorpio","Sagittarius","Capricorn","Aquarius","Pisces"},0)-MATCH(CALC_Karakamsha!$B$5,{"Aries","Taurus","Gemini","Cancer","Leo","Virgo","Libra","Scorpio","Sagittarius","Capricorn","Aquarius","Pisces"},0),12)+1),12)+1)="FULL",NOT(CALC_PlanetPositions!$B$7=CALC_D9_BhaveshMap!$G$11)),AND(OR(CALC_PlanetPositions!$M$8="Benefic",CALC_PlanetPositions!$M$8="Yogakaraka"),INDEX(REF_Aspects!$D$5:$O$13,2,MOD(CALC_D9_BhaveshMap!$H$11-(MOD(MATCH(CALC_PlanetPositions!$B$8,{"Aries","Taurus","Gemini","Cancer","Leo","Virgo","Libra","Scorpio","Sagittarius","Capricorn","Aquarius","Pisces"},0)-MATCH(CALC_Karakamsha!$B$5,{"Aries","Taurus","Gemini","Cancer","Leo","Virgo","Libra","Scorpio","Sagittarius","Capricorn","Aquarius","Pisces"},0),12)+1),12)+1)="FULL",NOT(CALC_PlanetPositions!$B$8=CALC_D9_BhaveshMap!$G$11)),AND(OR(CALC_PlanetPositions!$M$9="Benefic",CALC_PlanetPositions!$M$9="Yogakaraka"),INDEX(REF_Aspects!$D$5:$O$13,3,MOD(CALC_D9_BhaveshMap!$H$11-(MOD(MATCH(CALC_PlanetPositions!$B$9,{"Aries","Taurus","Gemini","Cancer","Leo","Virgo","Libra","Scorpio","Sagittarius","Capricorn","Aquarius","Pisces"},0)-MATCH(CALC_Karakamsha!$B$5,{"Aries","Taurus","Gemini","Cancer","Leo","Virgo","Libra","Scorpio","Sagittarius","Capricorn","Aquarius","Pisces"},0),12)+1),12)+1)="FULL",NOT(CALC_PlanetPositions!$B$9=CALC_D9_BhaveshMap!$G$11)),AND(OR(CALC_PlanetPositions!$M$10="Benefic",CALC_PlanetPositions!$M$10="Yogakaraka"),INDEX(REF_Aspects!$D$5:$O$13,4,MOD(CALC_D9_BhaveshMap!$H$11-(MOD(MATCH(CALC_PlanetPositions!$B$10,{"Aries","Taurus","Gemini","Cancer","Leo","Virgo","Libra","Scorpio","Sagittarius","Capricorn","Aquarius","Pisces"},0)-MATCH(CALC_Karakamsha!$B$5,{"Aries","Taurus","Gemini","Cancer","Leo","Virgo","Libra","Scorpio","Sagittarius","Capricorn","Aquarius","Pisces"},0),12)+1),12)+1)="FULL",NOT(CALC_PlanetPositions!$B$10=CALC_D9_BhaveshMap!$G$11)),AND(OR(CALC_PlanetPositions!$M$11="Benefic",CALC_PlanetPositions!$M$11="Yogakaraka"),INDEX(REF_Aspects!$D$5:$O$13,5,MOD(CALC_D9_BhaveshMap!$H$11-(MOD(MATCH(CALC_PlanetPositions!$B$11,{"Aries","Taurus","Gemini","Cancer","Leo","Virgo","Libra","Scorpio","Sagittarius","Capricorn","Aquarius","Pisces"},0)-MATCH(CALC_Karakamsha!$B$5,{"Aries","Taurus","Gemini","Cancer","Leo","Virgo","Libra","Scorpio","Sagittarius","Capricorn","Aquarius","Pisces"},0),12)+1),12)+1)="FULL",NOT(CALC_PlanetPositions!$B$11=CALC_D9_BhaveshMap!$G$11)),AND(OR(CALC_PlanetPositions!$M$12="Benefic",CALC_PlanetPositions!$M$12="Yogakaraka"),INDEX(REF_Aspects!$D$5:$O$13,6,MOD(CALC_D9_BhaveshMap!$H$11-(MOD(MATCH(CALC_PlanetPositions!$B$12,{"Aries","Taurus","Gemini","Cancer","Leo","Virgo","Libra","Scorpio","Sagittarius","Capricorn","Aquarius","Pisces"},0)-MATCH(CALC_Karakamsha!$B$5,{"Aries","Taurus","Gemini","Cancer","Leo","Virgo","Libra","Scorpio","Sagittarius","Capricorn","Aquarius","Pisces"},0),12)+1),12)+1)="FULL",NOT(CALC_PlanetPositions!$B$12=CALC_D9_BhaveshMap!$G$11)),AND(OR(CALC_PlanetPositions!$M$13="Benefic",CALC_PlanetPositions!$M$13="Yogakaraka"),INDEX(REF_Aspects!$D$5:$O$13,7,MOD(CALC_D9_BhaveshMap!$H$11-(MOD(MATCH(CALC_PlanetPositions!$B$13,{"Aries","Taurus","Gemini","Cancer","Leo","Virgo","Libra","Scorpio","Sagittarius","Capricorn","Aquarius","Pisces"},0)-MATCH(CALC_Karakamsha!$B$5,{"Aries","Taurus","Gemini","Cancer","Leo","Virgo","Libra","Scorpio","Sagittarius","Capricorn","Aquarius","Pisces"},0),12)+1),12)+1)="FULL",NOT(CALC_PlanetPositions!$B$13=CALC_D9_BhaveshMap!$G$11)),AND(FALSE(),INDEX(REF_Aspects!$D$5:$O$13,8,MOD(CALC_D9_BhaveshMap!$H$11-(MOD(MATCH(CALC_PlanetPositions!$B$14,{"Aries","Taurus","Gemini","Cancer","Leo","Virgo","Libra","Scorpio","Sagittarius","Capricorn","Aquarius","Pisces"},0)-MATCH(CALC_Karakamsha!$B$5,{"Aries","Taurus","Gemini","Cancer","Leo","Virgo","Libra","Scorpio","Sagittarius","Capricorn","Aquarius","Pisces"},0),12)+1),12)+1)="FULL",NOT(CALC_PlanetPositions!$B$14=CALC_D9_BhaveshMap!$G$11)),AND(FALSE(),INDEX(REF_Aspects!$D$5:$O$13,9,MOD(CALC_D9_BhaveshMap!$H$11-(MOD(MATCH(CALC_PlanetPositions!$B$15,{"Aries","Taurus","Gemini","Cancer","Leo","Virgo","Libra","Scorpio","Sagittarius","Capricorn","Aquarius","Pisces"},0)-MATCH(CALC_Karakamsha!$B$5,{"Aries","Taurus","Gemini","Cancer","Leo","Virgo","Libra","Scorpio","Sagittarius","Capricorn","Aquarius","Pisces"},0),12)+1),12)+1)="FULL",NOT(CALC_PlanetPositions!$B$15=CALC_D9_BhaveshMap!$G$11))),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$11-2,12)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$11-2,12)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$11-2,12)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$11-2,12)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$11-2,12)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$11-2,12)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$11-2,12)+1)),AND(FALSE(),MOD(MATCH(CALC_PlanetPositions!$B$14,{"Aries","Taurus","Gemini","Cancer","Leo","Virgo","Libra","Scorpio","Sagittarius","Capricorn","Aquarius","Pisces"},0)-MATCH(CALC_Karakamsha!$B$5,{"Aries","Taurus","Gemini","Cancer","Leo","Virgo","Libra","Scorpio","Sagittarius","Capricorn","Aquarius","Pisces"},0),12)+1=(MOD(CALC_D9_BhaveshMap!$H$11-2,12)+1)),AND(FALSE(),MOD(MATCH(CALC_PlanetPositions!$B$15,{"Aries","Taurus","Gemini","Cancer","Leo","Virgo","Libra","Scorpio","Sagittarius","Capricorn","Aquarius","Pisces"},0)-MATCH(CALC_Karakamsha!$B$5,{"Aries","Taurus","Gemini","Cancer","Leo","Virgo","Libra","Scorpio","Sagittarius","Capricorn","Aquarius","Pisces"},0),12)+1=(MOD(CALC_D9_BhaveshMap!$H$11-2,12)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$11,12)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$11,12)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$11,12)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$11,12)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$11,12)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$11,12)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$11,12)+1)),AND(FALSE(),MOD(MATCH(CALC_PlanetPositions!$B$14,{"Aries","Taurus","Gemini","Cancer","Leo","Virgo","Libra","Scorpio","Sagittarius","Capricorn","Aquarius","Pisces"},0)-MATCH(CALC_Karakamsha!$B$5,{"Aries","Taurus","Gemini","Cancer","Leo","Virgo","Libra","Scorpio","Sagittarius","Capricorn","Aquarius","Pisces"},0),12)+1=(MOD(CALC_D9_BhaveshMap!$H$11,12)+1)),AND(FALSE(),MOD(MATCH(CALC_PlanetPositions!$B$15,{"Aries","Taurus","Gemini","Cancer","Leo","Virgo","Libra","Scorpio","Sagittarius","Capricorn","Aquarius","Pisces"},0)-MATCH(CALC_Karakamsha!$B$5,{"Aries","Taurus","Gemini","Cancer","Leo","Virgo","Libra","Scorpio","Sagittarius","Capricorn","Aquarius","Pisces"},0),12)+1=(MOD(CALC_D9_BhaveshMap!$H$11,12)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$11-(MOD(MATCH(CALC_PlanetPositions!$B$7,{"Aries","Taurus","Gemini","Cancer","Leo","Virgo","Libra","Scorpio","Sagittarius","Capricorn","Aquarius","Pisces"},0)-MATCH(CALC_Karakamsha!$B$5,{"Aries","Taurus","Gemini","Cancer","Leo","Virgo","Libra","Scorpio","Sagittarius","Capricorn","Aquarius","Pisces"},0),12)+1),12)+1)="FULL",NOT(CALC_PlanetPositions!$B$7=CALC_D9_BhaveshMap!$G$11)),AND(CALC_PlanetPositions!$M$8="Malefic",INDEX(REF_Aspects!$D$5:$O$13,2,MOD(CALC_D9_BhaveshMap!$H$11-(MOD(MATCH(CALC_PlanetPositions!$B$8,{"Aries","Taurus","Gemini","Cancer","Leo","Virgo","Libra","Scorpio","Sagittarius","Capricorn","Aquarius","Pisces"},0)-MATCH(CALC_Karakamsha!$B$5,{"Aries","Taurus","Gemini","Cancer","Leo","Virgo","Libra","Scorpio","Sagittarius","Capricorn","Aquarius","Pisces"},0),12)+1),12)+1)="FULL",NOT(CALC_PlanetPositions!$B$8=CALC_D9_BhaveshMap!$G$11)),AND(CALC_PlanetPositions!$M$9="Malefic",INDEX(REF_Aspects!$D$5:$O$13,3,MOD(CALC_D9_BhaveshMap!$H$11-(MOD(MATCH(CALC_PlanetPositions!$B$9,{"Aries","Taurus","Gemini","Cancer","Leo","Virgo","Libra","Scorpio","Sagittarius","Capricorn","Aquarius","Pisces"},0)-MATCH(CALC_Karakamsha!$B$5,{"Aries","Taurus","Gemini","Cancer","Leo","Virgo","Libra","Scorpio","Sagittarius","Capricorn","Aquarius","Pisces"},0),12)+1),12)+1)="FULL",NOT(CALC_PlanetPositions!$B$9=CALC_D9_BhaveshMap!$G$11)),AND(CALC_PlanetPositions!$M$10="Malefic",INDEX(REF_Aspects!$D$5:$O$13,4,MOD(CALC_D9_BhaveshMap!$H$11-(MOD(MATCH(CALC_PlanetPositions!$B$10,{"Aries","Taurus","Gemini","Cancer","Leo","Virgo","Libra","Scorpio","Sagittarius","Capricorn","Aquarius","Pisces"},0)-MATCH(CALC_Karakamsha!$B$5,{"Aries","Taurus","Gemini","Cancer","Leo","Virgo","Libra","Scorpio","Sagittarius","Capricorn","Aquarius","Pisces"},0),12)+1),12)+1)="FULL",NOT(CALC_PlanetPositions!$B$10=CALC_D9_BhaveshMap!$G$11)),AND(CALC_PlanetPositions!$M$11="Malefic",INDEX(REF_Aspects!$D$5:$O$13,5,MOD(CALC_D9_BhaveshMap!$H$11-(MOD(MATCH(CALC_PlanetPositions!$B$11,{"Aries","Taurus","Gemini","Cancer","Leo","Virgo","Libra","Scorpio","Sagittarius","Capricorn","Aquarius","Pisces"},0)-MATCH(CALC_Karakamsha!$B$5,{"Aries","Taurus","Gemini","Cancer","Leo","Virgo","Libra","Scorpio","Sagittarius","Capricorn","Aquarius","Pisces"},0),12)+1),12)+1)="FULL",NOT(CALC_PlanetPositions!$B$11=CALC_D9_BhaveshMap!$G$11)),AND(CALC_PlanetPositions!$M$12="Malefic",INDEX(REF_Aspects!$D$5:$O$13,6,MOD(CALC_D9_BhaveshMap!$H$11-(MOD(MATCH(CALC_PlanetPositions!$B$12,{"Aries","Taurus","Gemini","Cancer","Leo","Virgo","Libra","Scorpio","Sagittarius","Capricorn","Aquarius","Pisces"},0)-MATCH(CALC_Karakamsha!$B$5,{"Aries","Taurus","Gemini","Cancer","Leo","Virgo","Libra","Scorpio","Sagittarius","Capricorn","Aquarius","Pisces"},0),12)+1),12)+1)="FULL",NOT(CALC_PlanetPositions!$B$12=CALC_D9_BhaveshMap!$G$11)),AND(CALC_PlanetPositions!$M$13="Malefic",INDEX(REF_Aspects!$D$5:$O$13,7,MOD(CALC_D9_BhaveshMap!$H$11-(MOD(MATCH(CALC_PlanetPositions!$B$13,{"Aries","Taurus","Gemini","Cancer","Leo","Virgo","Libra","Scorpio","Sagittarius","Capricorn","Aquarius","Pisces"},0)-MATCH(CALC_Karakamsha!$B$5,{"Aries","Taurus","Gemini","Cancer","Leo","Virgo","Libra","Scorpio","Sagittarius","Capricorn","Aquarius","Pisces"},0),12)+1),12)+1)="FULL",NOT(CALC_PlanetPositions!$B$13=CALC_D9_BhaveshMap!$G$11)),AND(TRUE(),INDEX(REF_Aspects!$D$5:$O$13,8,MOD(CALC_D9_BhaveshMap!$H$11-(MOD(MATCH(CALC_PlanetPositions!$B$14,{"Aries","Taurus","Gemini","Cancer","Leo","Virgo","Libra","Scorpio","Sagittarius","Capricorn","Aquarius","Pisces"},0)-MATCH(CALC_Karakamsha!$B$5,{"Aries","Taurus","Gemini","Cancer","Leo","Virgo","Libra","Scorpio","Sagittarius","Capricorn","Aquarius","Pisces"},0),12)+1),12)+1)="FULL",NOT(CALC_PlanetPositions!$B$14=CALC_D9_BhaveshMap!$G$11)),AND(TRUE(),INDEX(REF_Aspects!$D$5:$O$13,9,MOD(CALC_D9_BhaveshMap!$H$11-(MOD(MATCH(CALC_PlanetPositions!$B$15,{"Aries","Taurus","Gemini","Cancer","Leo","Virgo","Libra","Scorpio","Sagittarius","Capricorn","Aquarius","Pisces"},0)-MATCH(CALC_Karakamsha!$B$5,{"Aries","Taurus","Gemini","Cancer","Leo","Virgo","Libra","Scorpio","Sagittarius","Capricorn","Aquarius","Pisces"},0),12)+1),12)+1)="FULL",NOT(CALC_PlanetPositions!$B$15=CALC_D9_BhaveshMap!$G$11))),1,0),0))*-0.5,0)</f>
        <v>0</v>
      </c>
      <c r="D21" s="403" t="s">
        <v>4634</v>
      </c>
    </row>
    <row r="22" spans="1:7" ht="27.75" customHeight="1" x14ac:dyDescent="0.2">
      <c r="A22" s="121" t="s">
        <v>4635</v>
      </c>
      <c r="B22" s="357" t="s">
        <v>3042</v>
      </c>
      <c r="C22" s="1117">
        <f>IFERROR((IFERROR(IF(CALC_D9_BhaveshMap!$K$11="Yes",1,0),0))*IF(REF_Config!$B$6="KP",-1.75,IF(REF_Config!$B$6="Jaimini",-2,-2)),0)</f>
        <v>0</v>
      </c>
      <c r="D22" s="400" t="s">
        <v>4636</v>
      </c>
    </row>
    <row r="23" spans="1:7" ht="27.75" customHeight="1" x14ac:dyDescent="0.2">
      <c r="A23" s="121" t="s">
        <v>4637</v>
      </c>
      <c r="B23" s="203" t="s">
        <v>3059</v>
      </c>
      <c r="C23" s="1118">
        <f ca="1">IFERROR((IFERROR(IF(OR(AND(CALC_BhaveshMap!$G$10=CALC_D9_BhaveshMap!$G$11,CALC_BhaveshMap!$D$10&lt;&gt;CALC_D9_BhaveshMap!$D$11),AND(CALC_BhaveshMap!$G$12=CALC_D9_BhaveshMap!$G$11,CALC_BhaveshMap!$D$12&lt;&gt;CALC_D9_BhaveshMap!$D$11),AND(CALC_BhaveshMap!$G$16=CALC_D9_BhaveshMap!$G$11,CALC_BhaveshMap!$D$16&lt;&gt;CALC_D9_BhaveshMap!$D$11)),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IFERROR(IF(OR(CALC_D9_BhaveshMap!$D$11="Sun",CALC_D9_BhaveshMap!$D$11="Rahu",CALC_D9_BhaveshMap!$D$11="Ketu"),0,IF(CALC_D9_BhaveshMap!$D$11="Moon",IF(CALC_CombustionCheck!$G$4="Cazimi ✓",0.5,IF(CALC_CombustionCheck!$F$4="COMBUST ⚠",-1,0)),IF(CALC_D9_BhaveshMap!$D$11="Mars",IF(CALC_CombustionCheck!$G$5="Cazimi ✓",0.5,IF(AND(CALC_CombustionCheck!$F$5="COMBUST ⚠",CALC_RetrogradeFix!$F$6="Rx ✓"),-0.5,IF(CALC_CombustionCheck!$F$5="COMBUST ⚠",-1,0))),IF(CALC_D9_BhaveshMap!$D$11="Mercury",IF(CALC_CombustionCheck!$G$6="Cazimi ✓",0.5,IF(AND(CALC_CombustionCheck!$F$6="COMBUST ⚠",CALC_RetrogradeFix!$F$7="Rx ✓"),-0.5,IF(CALC_CombustionCheck!$F$6="COMBUST ⚠",-1,0))),IF(CALC_D9_BhaveshMap!$D$11="Jupiter",IF(CALC_CombustionCheck!$G$7="Cazimi ✓",0.5,IF(AND(CALC_CombustionCheck!$F$7="COMBUST ⚠",CALC_RetrogradeFix!$F$8="Rx ✓"),-0.5,IF(CALC_CombustionCheck!$F$7="COMBUST ⚠",-1,0))),IF(CALC_D9_BhaveshMap!$D$11="Venus",IF(CALC_CombustionCheck!$G$8="Cazimi ✓",0.5,IF(AND(CALC_CombustionCheck!$F$8="COMBUST ⚠",CALC_RetrogradeFix!$F$9="Rx ✓"),-0.5,IF(CALC_CombustionCheck!$F$8="COMBUST ⚠",-1,0))),IF(CALC_D9_BhaveshMap!$D$11="Saturn",IF(CALC_CombustionCheck!$G$9="Cazimi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$11="Rahu",CALC_D9_BhaveshMap!$D$11="Ketu"),0,IF(ISNUMBER(MATCH(CALC_D9_BhaveshMap!$D$11,{"Sun","Moon","Mars","Mercury","Jupiter","Venus","Saturn"},0)),IF(INDEX(CALC_DigBala!$F$4:$F$10,MATCH(CALC_D9_BhaveshMap!$D$11,{"Sun","Moon","Mars","Mercury","Jupiter","Venus","Saturn"},0))="Yes",0.5,0),0)),0)</f>
        <v>0</v>
      </c>
      <c r="D28" s="400" t="s">
        <v>4647</v>
      </c>
    </row>
    <row r="29" spans="1:7" ht="27.75" customHeight="1" x14ac:dyDescent="0.2">
      <c r="A29" s="1120" t="s">
        <v>4648</v>
      </c>
      <c r="B29" s="296" t="s">
        <v>3372</v>
      </c>
      <c r="C29" s="1117">
        <f ca="1">IFERROR(IF(COUNTIFS(REF_PushkaraNavamsha!$A$4:$A$27,CALC_D9_BhaveshMap!$G$11,REF_PushkaraNavamsha!$B$4:$B$27,INDEX(CALC_PlanetPositions!$G$7:$G$15,MATCH(CALC_D9_BhaveshMap!$D$11,CALC_PlanetPositions!$A$7:$A$15,0)))&gt;0,0.5,0),0)</f>
        <v>0</v>
      </c>
      <c r="D29" s="400" t="s">
        <v>4649</v>
      </c>
    </row>
    <row r="30" spans="1:7" ht="25.5" customHeight="1" x14ac:dyDescent="0.2">
      <c r="A30" s="147" t="s">
        <v>4650</v>
      </c>
      <c r="B30" s="1121" t="s">
        <v>4651</v>
      </c>
      <c r="C30" s="1122">
        <f>IFERROR(IF(ISNUMBER(MATCH(CALC_D9_BhaveshMap!$D$11,{"Sun","Moon","Mars","Mercury","Jupiter","Venus","Saturn"},0)),INDEX(CALC_RetrogradeFix!$G$4:$G$10,MATCH(CALC_D9_BhaveshMap!$D$11,{"Sun","Moon","Mars","Mercury","Jupiter","Venus","Saturn"},0)),0),0)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v>
      </c>
      <c r="D37" s="1129"/>
    </row>
    <row r="38" spans="1:4" ht="21.75" customHeight="1" x14ac:dyDescent="0.2">
      <c r="A38" s="89" t="s">
        <v>4661</v>
      </c>
      <c r="B38" s="1129"/>
      <c r="C38" s="1131">
        <f ca="1">IFERROR(MAX(-10,MIN(10,C37)),0)</f>
        <v>1</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1</v>
      </c>
      <c r="D40" s="1136" t="str">
        <f ca="1">IFERROR(IF(C40&gt;=7,"Excellent — Self domain very strong",IF(C40&gt;=4,"Good — Self domain strong",IF(C40&gt;=1,"Moderate",IF(C40&gt;=-2,"Mixed — Self has challenges",IF(C40&gt;=-5,"Weak","Very weak — Self heavily afflicted"))))),"—")</f>
        <v>Moderate</v>
      </c>
    </row>
    <row r="41" spans="1:4" ht="18" customHeight="1" x14ac:dyDescent="0.2">
      <c r="A41" s="338" t="s">
        <v>4664</v>
      </c>
      <c r="B41" s="1129"/>
      <c r="C41" s="470" t="str">
        <f ca="1">IFERROR(IF(AND(C32&gt;0,C33&gt;0,C34=0,C35=0),"Nirvivad ✓","Vivadit"),"—")</f>
        <v>Nirvivad ✓</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4763</v>
      </c>
      <c r="B1" s="1518"/>
      <c r="C1" s="1518"/>
      <c r="D1" s="1518"/>
      <c r="L1" s="544" t="s">
        <v>2214</v>
      </c>
    </row>
    <row r="2" spans="1:12" ht="19.5" customHeight="1" x14ac:dyDescent="0.2">
      <c r="A2" s="1595" t="str">
        <f>IFERROR("Karakamsha Lagna: "&amp;CALC_Karakamsha!$B$5&amp;"  ·  H8 — Longevity from soul's seat","← Enter chart")</f>
        <v>Karakamsha Lagna: Sun  ·  H8 — Longevity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IFERROR((IFERROR(IF(INDEX(REF_Zodiac!$D$17:$O$17,MATCH(CALC_D9_BhaveshMap!$C$12,REF_Zodiac!$D$3:$O$3,0))="Gentle",1,0),0))*0.5,0)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IFERROR(IF(AND(OR(CALC_D9_BhaveshMap!$I$12="Yes",CALC_D9_BhaveshMap!$J$12="Yes"),NOT(CALC_D9_BhaveshMap!$K$12="Yes")),1,0)*IF(REF_Config!$B$6="KP",1.5,IF(REF_Config!$B$6="Jaimini",1.5,2)),0)</f>
        <v>0</v>
      </c>
      <c r="D9" s="403" t="s">
        <v>4612</v>
      </c>
    </row>
    <row r="10" spans="1:12" ht="27.75" customHeight="1" x14ac:dyDescent="0.2">
      <c r="A10" s="121" t="s">
        <v>4613</v>
      </c>
      <c r="B10" s="357" t="s">
        <v>3093</v>
      </c>
      <c r="C10" s="1117">
        <f ca="1">IFERROR((IFERROR(IF(OR(AND(CALC_D9_BhaveshMap!$G$12=CALC_D9_BhaveshMap!$G$12,CALC_D9_BhaveshMap!$D$12&lt;&gt;CALC_D9_BhaveshMap!$D$12),AND(CALC_BhaveshMap!$G$8=CALC_D9_BhaveshMap!$G$12,CALC_BhaveshMap!$D$8&lt;&gt;CALC_D9_BhaveshMap!$D$12),AND(CALC_BhaveshMap!$G$9=CALC_D9_BhaveshMap!$G$12,CALC_BhaveshMap!$D$9&lt;&gt;CALC_D9_BhaveshMap!$D$12),AND(CALC_BhaveshMap!$G$11=CALC_D9_BhaveshMap!$G$12,CALC_BhaveshMap!$D$11&lt;&gt;CALC_D9_BhaveshMap!$D$12),AND(CALC_BhaveshMap!$G$13=CALC_D9_BhaveshMap!$G$12,CALC_BhaveshMap!$D$13&lt;&gt;CALC_D9_BhaveshMap!$D$12),AND(CALC_BhaveshMap!$G$14=CALC_D9_BhaveshMap!$G$12,CALC_BhaveshMap!$D$14&lt;&gt;CALC_D9_BhaveshMap!$D$12)),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$12,CALC_D9_BhaveshMap!$D$12&lt;&gt;"Sun"),AND(OR(CALC_PlanetPositions!$M$8="Benefic",CALC_PlanetPositions!$M$8="Yogakaraka"),CALC_PlanetPositions!$B$8=CALC_D9_BhaveshMap!$G$12,CALC_D9_BhaveshMap!$D$12&lt;&gt;"Moon"),AND(OR(CALC_PlanetPositions!$M$9="Benefic",CALC_PlanetPositions!$M$9="Yogakaraka"),CALC_PlanetPositions!$B$9=CALC_D9_BhaveshMap!$G$12,CALC_D9_BhaveshMap!$D$12&lt;&gt;"Mars"),AND(OR(CALC_PlanetPositions!$M$10="Benefic",CALC_PlanetPositions!$M$10="Yogakaraka"),CALC_PlanetPositions!$B$10=CALC_D9_BhaveshMap!$G$12,CALC_D9_BhaveshMap!$D$12&lt;&gt;"Mercury"),AND(OR(CALC_PlanetPositions!$M$11="Benefic",CALC_PlanetPositions!$M$11="Yogakaraka"),CALC_PlanetPositions!$B$11=CALC_D9_BhaveshMap!$G$12,CALC_D9_BhaveshMap!$D$12&lt;&gt;"Jupiter"),AND(OR(CALC_PlanetPositions!$M$12="Benefic",CALC_PlanetPositions!$M$12="Yogakaraka"),CALC_PlanetPositions!$B$12=CALC_D9_BhaveshMap!$G$12,CALC_D9_BhaveshMap!$D$12&lt;&gt;"Venus"),AND(OR(CALC_PlanetPositions!$M$13="Benefic",CALC_PlanetPositions!$M$13="Yogakaraka"),CALC_PlanetPositions!$B$13=CALC_D9_BhaveshMap!$G$12,CALC_D9_BhaveshMap!$D$12&lt;&gt;"Saturn")),1,0),0))*IF(OR(AND(CALC_PlanetPositions!$M$7="Yogakaraka",CALC_PlanetPositions!$B$7=CALC_D9_BhaveshMap!$G$12,CALC_D9_BhaveshMap!$D$12&lt;&gt;"Sun"),AND(CALC_PlanetPositions!$M$8="Yogakaraka",CALC_PlanetPositions!$B$8=CALC_D9_BhaveshMap!$G$12,CALC_D9_BhaveshMap!$D$12&lt;&gt;"Moon"),AND(CALC_PlanetPositions!$M$9="Yogakaraka",CALC_PlanetPositions!$B$9=CALC_D9_BhaveshMap!$G$12,CALC_D9_BhaveshMap!$D$12&lt;&gt;"Mars"),AND(CALC_PlanetPositions!$M$10="Yogakaraka",CALC_PlanetPositions!$B$10=CALC_D9_BhaveshMap!$G$12,CALC_D9_BhaveshMap!$D$12&lt;&gt;"Mercury"),AND(CALC_PlanetPositions!$M$11="Yogakaraka",CALC_PlanetPositions!$B$11=CALC_D9_BhaveshMap!$G$12,CALC_D9_BhaveshMap!$D$12&lt;&gt;"Jupiter"),AND(CALC_PlanetPositions!$M$12="Yogakaraka",CALC_PlanetPositions!$B$12=CALC_D9_BhaveshMap!$G$12,CALC_D9_BhaveshMap!$D$12&lt;&gt;"Venus"),AND(CALC_PlanetPositions!$M$13="Yogakaraka",CALC_PlanetPositions!$B$13=CALC_D9_BhaveshMap!$G$12,CALC_D9_BhaveshMap!$D$12&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$12-(MOD(MATCH(CALC_PlanetPositions!$B$7,{"Aries","Taurus","Gemini","Cancer","Leo","Virgo","Libra","Scorpio","Sagittarius","Capricorn","Aquarius","Pisces"},0)-MATCH(CALC_Karakamsha!$B$5,{"Aries","Taurus","Gemini","Cancer","Leo","Virgo","Libra","Scorpio","Sagittarius","Capricorn","Aquarius","Pisces"},0),12)+1),12)+1)="FULL",NOT(CALC_PlanetPositions!$B$7=CALC_D9_BhaveshMap!$G$12)),AND(OR(CALC_PlanetPositions!$M$8="Benefic",CALC_PlanetPositions!$M$8="Yogakaraka"),INDEX(REF_Aspects!$D$5:$O$13,2,MOD(CALC_D9_BhaveshMap!$H$12-(MOD(MATCH(CALC_PlanetPositions!$B$8,{"Aries","Taurus","Gemini","Cancer","Leo","Virgo","Libra","Scorpio","Sagittarius","Capricorn","Aquarius","Pisces"},0)-MATCH(CALC_Karakamsha!$B$5,{"Aries","Taurus","Gemini","Cancer","Leo","Virgo","Libra","Scorpio","Sagittarius","Capricorn","Aquarius","Pisces"},0),12)+1),12)+1)="FULL",NOT(CALC_PlanetPositions!$B$8=CALC_D9_BhaveshMap!$G$12)),AND(OR(CALC_PlanetPositions!$M$9="Benefic",CALC_PlanetPositions!$M$9="Yogakaraka"),INDEX(REF_Aspects!$D$5:$O$13,3,MOD(CALC_D9_BhaveshMap!$H$12-(MOD(MATCH(CALC_PlanetPositions!$B$9,{"Aries","Taurus","Gemini","Cancer","Leo","Virgo","Libra","Scorpio","Sagittarius","Capricorn","Aquarius","Pisces"},0)-MATCH(CALC_Karakamsha!$B$5,{"Aries","Taurus","Gemini","Cancer","Leo","Virgo","Libra","Scorpio","Sagittarius","Capricorn","Aquarius","Pisces"},0),12)+1),12)+1)="FULL",NOT(CALC_PlanetPositions!$B$9=CALC_D9_BhaveshMap!$G$12)),AND(OR(CALC_PlanetPositions!$M$10="Benefic",CALC_PlanetPositions!$M$10="Yogakaraka"),INDEX(REF_Aspects!$D$5:$O$13,4,MOD(CALC_D9_BhaveshMap!$H$12-(MOD(MATCH(CALC_PlanetPositions!$B$10,{"Aries","Taurus","Gemini","Cancer","Leo","Virgo","Libra","Scorpio","Sagittarius","Capricorn","Aquarius","Pisces"},0)-MATCH(CALC_Karakamsha!$B$5,{"Aries","Taurus","Gemini","Cancer","Leo","Virgo","Libra","Scorpio","Sagittarius","Capricorn","Aquarius","Pisces"},0),12)+1),12)+1)="FULL",NOT(CALC_PlanetPositions!$B$10=CALC_D9_BhaveshMap!$G$12)),AND(OR(CALC_PlanetPositions!$M$11="Benefic",CALC_PlanetPositions!$M$11="Yogakaraka"),INDEX(REF_Aspects!$D$5:$O$13,5,MOD(CALC_D9_BhaveshMap!$H$12-(MOD(MATCH(CALC_PlanetPositions!$B$11,{"Aries","Taurus","Gemini","Cancer","Leo","Virgo","Libra","Scorpio","Sagittarius","Capricorn","Aquarius","Pisces"},0)-MATCH(CALC_Karakamsha!$B$5,{"Aries","Taurus","Gemini","Cancer","Leo","Virgo","Libra","Scorpio","Sagittarius","Capricorn","Aquarius","Pisces"},0),12)+1),12)+1)="FULL",NOT(CALC_PlanetPositions!$B$11=CALC_D9_BhaveshMap!$G$12)),AND(OR(CALC_PlanetPositions!$M$12="Benefic",CALC_PlanetPositions!$M$12="Yogakaraka"),INDEX(REF_Aspects!$D$5:$O$13,6,MOD(CALC_D9_BhaveshMap!$H$12-(MOD(MATCH(CALC_PlanetPositions!$B$12,{"Aries","Taurus","Gemini","Cancer","Leo","Virgo","Libra","Scorpio","Sagittarius","Capricorn","Aquarius","Pisces"},0)-MATCH(CALC_Karakamsha!$B$5,{"Aries","Taurus","Gemini","Cancer","Leo","Virgo","Libra","Scorpio","Sagittarius","Capricorn","Aquarius","Pisces"},0),12)+1),12)+1)="FULL",NOT(CALC_PlanetPositions!$B$12=CALC_D9_BhaveshMap!$G$12)),AND(OR(CALC_PlanetPositions!$M$13="Benefic",CALC_PlanetPositions!$M$13="Yogakaraka"),INDEX(REF_Aspects!$D$5:$O$13,7,MOD(CALC_D9_BhaveshMap!$H$12-(MOD(MATCH(CALC_PlanetPositions!$B$13,{"Aries","Taurus","Gemini","Cancer","Leo","Virgo","Libra","Scorpio","Sagittarius","Capricorn","Aquarius","Pisces"},0)-MATCH(CALC_Karakamsha!$B$5,{"Aries","Taurus","Gemini","Cancer","Leo","Virgo","Libra","Scorpio","Sagittarius","Capricorn","Aquarius","Pisces"},0),12)+1),12)+1)="FULL",NOT(CALC_PlanetPositions!$B$13=CALC_D9_BhaveshMap!$G$12)),AND(FALSE(),INDEX(REF_Aspects!$D$5:$O$13,8,MOD(CALC_D9_BhaveshMap!$H$12-(MOD(MATCH(CALC_PlanetPositions!$B$14,{"Aries","Taurus","Gemini","Cancer","Leo","Virgo","Libra","Scorpio","Sagittarius","Capricorn","Aquarius","Pisces"},0)-MATCH(CALC_Karakamsha!$B$5,{"Aries","Taurus","Gemini","Cancer","Leo","Virgo","Libra","Scorpio","Sagittarius","Capricorn","Aquarius","Pisces"},0),12)+1),12)+1)="FULL",NOT(CALC_PlanetPositions!$B$14=CALC_D9_BhaveshMap!$G$12)),AND(FALSE(),INDEX(REF_Aspects!$D$5:$O$13,9,MOD(CALC_D9_BhaveshMap!$H$12-(MOD(MATCH(CALC_PlanetPositions!$B$15,{"Aries","Taurus","Gemini","Cancer","Leo","Virgo","Libra","Scorpio","Sagittarius","Capricorn","Aquarius","Pisces"},0)-MATCH(CALC_Karakamsha!$B$5,{"Aries","Taurus","Gemini","Cancer","Leo","Virgo","Libra","Scorpio","Sagittarius","Capricorn","Aquarius","Pisces"},0),12)+1),12)+1)="FULL",NOT(CALC_PlanetPositions!$B$15=CALC_D9_BhaveshMap!$G$12))),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$12-2,12)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$12-2,12)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$12-2,12)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$12-2,12)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$12-2,12)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$12-2,12)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$12-2,12)+1)),AND(FALSE(),MOD(MATCH(CALC_PlanetPositions!$B$14,{"Aries","Taurus","Gemini","Cancer","Leo","Virgo","Libra","Scorpio","Sagittarius","Capricorn","Aquarius","Pisces"},0)-MATCH(CALC_Karakamsha!$B$5,{"Aries","Taurus","Gemini","Cancer","Leo","Virgo","Libra","Scorpio","Sagittarius","Capricorn","Aquarius","Pisces"},0),12)+1=(MOD(CALC_D9_BhaveshMap!$H$12-2,12)+1)),AND(FALSE(),MOD(MATCH(CALC_PlanetPositions!$B$15,{"Aries","Taurus","Gemini","Cancer","Leo","Virgo","Libra","Scorpio","Sagittarius","Capricorn","Aquarius","Pisces"},0)-MATCH(CALC_Karakamsha!$B$5,{"Aries","Taurus","Gemini","Cancer","Leo","Virgo","Libra","Scorpio","Sagittarius","Capricorn","Aquarius","Pisces"},0),12)+1=(MOD(CALC_D9_BhaveshMap!$H$12-2,12)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$12,12)+1)),AND(FALSE(),MOD(MATCH(CALC_PlanetPositions!$B$14,{"Aries","Taurus","Gemini","Cancer","Leo","Virgo","Libra","Scorpio","Sagittarius","Capricorn","Aquarius","Pisces"},0)-MATCH(CALC_Karakamsha!$B$5,{"Aries","Taurus","Gemini","Cancer","Leo","Virgo","Libra","Scorpio","Sagittarius","Capricorn","Aquarius","Pisces"},0),12)+1=(MOD(CALC_D9_BhaveshMap!$H$12,12)+1)),AND(FALSE(),MOD(MATCH(CALC_PlanetPositions!$B$15,{"Aries","Taurus","Gemini","Cancer","Leo","Virgo","Libra","Scorpio","Sagittarius","Capricorn","Aquarius","Pisces"},0)-MATCH(CALC_Karakamsha!$B$5,{"Aries","Taurus","Gemini","Cancer","Leo","Virgo","Libra","Scorpio","Sagittarius","Capricorn","Aquarius","Pisces"},0),12)+1=(MOD(CALC_D9_BhaveshMap!$H$12,12)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$12-(MOD(MATCH(CALC_PlanetPositions!$B$7,{"Aries","Taurus","Gemini","Cancer","Leo","Virgo","Libra","Scorpio","Sagittarius","Capricorn","Aquarius","Pisces"},0)-MATCH(CALC_Karakamsha!$B$5,{"Aries","Taurus","Gemini","Cancer","Leo","Virgo","Libra","Scorpio","Sagittarius","Capricorn","Aquarius","Pisces"},0),12)+1),12)+1)="FULL",NOT(CALC_PlanetPositions!$B$7=CALC_D9_BhaveshMap!$G$12)),AND(CALC_PlanetPositions!$M$8="Malefic",INDEX(REF_Aspects!$D$5:$O$13,2,MOD(CALC_D9_BhaveshMap!$H$12-(MOD(MATCH(CALC_PlanetPositions!$B$8,{"Aries","Taurus","Gemini","Cancer","Leo","Virgo","Libra","Scorpio","Sagittarius","Capricorn","Aquarius","Pisces"},0)-MATCH(CALC_Karakamsha!$B$5,{"Aries","Taurus","Gemini","Cancer","Leo","Virgo","Libra","Scorpio","Sagittarius","Capricorn","Aquarius","Pisces"},0),12)+1),12)+1)="FULL",NOT(CALC_PlanetPositions!$B$8=CALC_D9_BhaveshMap!$G$12)),AND(CALC_PlanetPositions!$M$9="Malefic",INDEX(REF_Aspects!$D$5:$O$13,3,MOD(CALC_D9_BhaveshMap!$H$12-(MOD(MATCH(CALC_PlanetPositions!$B$9,{"Aries","Taurus","Gemini","Cancer","Leo","Virgo","Libra","Scorpio","Sagittarius","Capricorn","Aquarius","Pisces"},0)-MATCH(CALC_Karakamsha!$B$5,{"Aries","Taurus","Gemini","Cancer","Leo","Virgo","Libra","Scorpio","Sagittarius","Capricorn","Aquarius","Pisces"},0),12)+1),12)+1)="FULL",NOT(CALC_PlanetPositions!$B$9=CALC_D9_BhaveshMap!$G$12)),AND(CALC_PlanetPositions!$M$10="Malefic",INDEX(REF_Aspects!$D$5:$O$13,4,MOD(CALC_D9_BhaveshMap!$H$12-(MOD(MATCH(CALC_PlanetPositions!$B$10,{"Aries","Taurus","Gemini","Cancer","Leo","Virgo","Libra","Scorpio","Sagittarius","Capricorn","Aquarius","Pisces"},0)-MATCH(CALC_Karakamsha!$B$5,{"Aries","Taurus","Gemini","Cancer","Leo","Virgo","Libra","Scorpio","Sagittarius","Capricorn","Aquarius","Pisces"},0),12)+1),12)+1)="FULL",NOT(CALC_PlanetPositions!$B$10=CALC_D9_BhaveshMap!$G$12)),AND(CALC_PlanetPositions!$M$11="Malefic",INDEX(REF_Aspects!$D$5:$O$13,5,MOD(CALC_D9_BhaveshMap!$H$12-(MOD(MATCH(CALC_PlanetPositions!$B$11,{"Aries","Taurus","Gemini","Cancer","Leo","Virgo","Libra","Scorpio","Sagittarius","Capricorn","Aquarius","Pisces"},0)-MATCH(CALC_Karakamsha!$B$5,{"Aries","Taurus","Gemini","Cancer","Leo","Virgo","Libra","Scorpio","Sagittarius","Capricorn","Aquarius","Pisces"},0),12)+1),12)+1)="FULL",NOT(CALC_PlanetPositions!$B$11=CALC_D9_BhaveshMap!$G$12)),AND(CALC_PlanetPositions!$M$12="Malefic",INDEX(REF_Aspects!$D$5:$O$13,6,MOD(CALC_D9_BhaveshMap!$H$12-(MOD(MATCH(CALC_PlanetPositions!$B$12,{"Aries","Taurus","Gemini","Cancer","Leo","Virgo","Libra","Scorpio","Sagittarius","Capricorn","Aquarius","Pisces"},0)-MATCH(CALC_Karakamsha!$B$5,{"Aries","Taurus","Gemini","Cancer","Leo","Virgo","Libra","Scorpio","Sagittarius","Capricorn","Aquarius","Pisces"},0),12)+1),12)+1)="FULL",NOT(CALC_PlanetPositions!$B$12=CALC_D9_BhaveshMap!$G$12)),AND(CALC_PlanetPositions!$M$13="Malefic",INDEX(REF_Aspects!$D$5:$O$13,7,MOD(CALC_D9_BhaveshMap!$H$12-(MOD(MATCH(CALC_PlanetPositions!$B$13,{"Aries","Taurus","Gemini","Cancer","Leo","Virgo","Libra","Scorpio","Sagittarius","Capricorn","Aquarius","Pisces"},0)-MATCH(CALC_Karakamsha!$B$5,{"Aries","Taurus","Gemini","Cancer","Leo","Virgo","Libra","Scorpio","Sagittarius","Capricorn","Aquarius","Pisces"},0),12)+1),12)+1)="FULL",NOT(CALC_PlanetPositions!$B$13=CALC_D9_BhaveshMap!$G$12)),AND(TRUE(),INDEX(REF_Aspects!$D$5:$O$13,8,MOD(CALC_D9_BhaveshMap!$H$12-(MOD(MATCH(CALC_PlanetPositions!$B$14,{"Aries","Taurus","Gemini","Cancer","Leo","Virgo","Libra","Scorpio","Sagittarius","Capricorn","Aquarius","Pisces"},0)-MATCH(CALC_Karakamsha!$B$5,{"Aries","Taurus","Gemini","Cancer","Leo","Virgo","Libra","Scorpio","Sagittarius","Capricorn","Aquarius","Pisces"},0),12)+1),12)+1)="FULL",NOT(CALC_PlanetPositions!$B$14=CALC_D9_BhaveshMap!$G$12)),AND(TRUE(),INDEX(REF_Aspects!$D$5:$O$13,9,MOD(CALC_D9_BhaveshMap!$H$12-(MOD(MATCH(CALC_PlanetPositions!$B$15,{"Aries","Taurus","Gemini","Cancer","Leo","Virgo","Libra","Scorpio","Sagittarius","Capricorn","Aquarius","Pisces"},0)-MATCH(CALC_Karakamsha!$B$5,{"Aries","Taurus","Gemini","Cancer","Leo","Virgo","Libra","Scorpio","Sagittarius","Capricorn","Aquarius","Pisces"},0),12)+1),12)+1)="FULL",NOT(CALC_PlanetPositions!$B$15=CALC_D9_BhaveshMap!$G$12))),1,0),0))*-0.5,0)</f>
        <v>0</v>
      </c>
      <c r="D21" s="403" t="s">
        <v>4634</v>
      </c>
    </row>
    <row r="22" spans="1:7" ht="27.75" customHeight="1" x14ac:dyDescent="0.2">
      <c r="A22" s="121" t="s">
        <v>4635</v>
      </c>
      <c r="B22" s="357" t="s">
        <v>3042</v>
      </c>
      <c r="C22" s="1117">
        <f>IFERROR((IFERROR(IF(CALC_D9_BhaveshMap!$K$12="Yes",1,0),0))*IF(REF_Config!$B$6="KP",-1.75,IF(REF_Config!$B$6="Jaimini",-2,-2)),0)</f>
        <v>0</v>
      </c>
      <c r="D22" s="400" t="s">
        <v>4636</v>
      </c>
    </row>
    <row r="23" spans="1:7" ht="27.75" customHeight="1" x14ac:dyDescent="0.2">
      <c r="A23" s="121" t="s">
        <v>4637</v>
      </c>
      <c r="B23" s="203" t="s">
        <v>3059</v>
      </c>
      <c r="C23" s="1118">
        <f ca="1">IFERROR((IFERROR(IF(OR(AND(CALC_BhaveshMap!$G$10=CALC_D9_BhaveshMap!$G$12,CALC_BhaveshMap!$D$10&lt;&gt;CALC_D9_BhaveshMap!$D$12),AND(CALC_BhaveshMap!$G$12=CALC_D9_BhaveshMap!$G$12,CALC_BhaveshMap!$D$12&lt;&gt;CALC_D9_BhaveshMap!$D$12),AND(CALC_BhaveshMap!$G$16=CALC_D9_BhaveshMap!$G$12,CALC_BhaveshMap!$D$16&lt;&gt;CALC_D9_BhaveshMap!$D$12)),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IFERROR(IF(OR(CALC_D9_BhaveshMap!$D$12="Sun",CALC_D9_BhaveshMap!$D$12="Rahu",CALC_D9_BhaveshMap!$D$12="Ketu"),0,IF(CALC_D9_BhaveshMap!$D$12="Moon",IF(CALC_CombustionCheck!$G$4="Cazimi ✓",0.5,IF(CALC_CombustionCheck!$F$4="COMBUST ⚠",-1,0)),IF(CALC_D9_BhaveshMap!$D$12="Mars",IF(CALC_CombustionCheck!$G$5="Cazimi ✓",0.5,IF(AND(CALC_CombustionCheck!$F$5="COMBUST ⚠",CALC_RetrogradeFix!$F$6="Rx ✓"),-0.5,IF(CALC_CombustionCheck!$F$5="COMBUST ⚠",-1,0))),IF(CALC_D9_BhaveshMap!$D$12="Mercury",IF(CALC_CombustionCheck!$G$6="Cazimi ✓",0.5,IF(AND(CALC_CombustionCheck!$F$6="COMBUST ⚠",CALC_RetrogradeFix!$F$7="Rx ✓"),-0.5,IF(CALC_CombustionCheck!$F$6="COMBUST ⚠",-1,0))),IF(CALC_D9_BhaveshMap!$D$12="Jupiter",IF(CALC_CombustionCheck!$G$7="Cazimi ✓",0.5,IF(AND(CALC_CombustionCheck!$F$7="COMBUST ⚠",CALC_RetrogradeFix!$F$8="Rx ✓"),-0.5,IF(CALC_CombustionCheck!$F$7="COMBUST ⚠",-1,0))),IF(CALC_D9_BhaveshMap!$D$12="Venus",IF(CALC_CombustionCheck!$G$8="Cazimi ✓",0.5,IF(AND(CALC_CombustionCheck!$F$8="COMBUST ⚠",CALC_RetrogradeFix!$F$9="Rx ✓"),-0.5,IF(CALC_CombustionCheck!$F$8="COMBUST ⚠",-1,0))),IF(CALC_D9_BhaveshMap!$D$12="Saturn",IF(CALC_CombustionCheck!$G$9="Cazimi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9_BhaveshMap!$D$12="Rahu",CALC_D9_BhaveshMap!$D$12="Ketu"),0,IF(ISNUMBER(MATCH(CALC_D9_BhaveshMap!$D$12,{"Sun","Moon","Mars","Mercury","Jupiter","Venus","Saturn"},0)),IF(INDEX(CALC_DigBala!$F$4:$F$10,MATCH(CALC_D9_BhaveshMap!$D$12,{"Sun","Moon","Mars","Mercury","Jupiter","Venus","Saturn"},0))="Yes",0.5,0),0)),0)</f>
        <v>0</v>
      </c>
      <c r="D28" s="400" t="s">
        <v>4647</v>
      </c>
    </row>
    <row r="29" spans="1:7" ht="27.75" customHeight="1" x14ac:dyDescent="0.2">
      <c r="A29" s="1120" t="s">
        <v>4648</v>
      </c>
      <c r="B29" s="296" t="s">
        <v>3372</v>
      </c>
      <c r="C29" s="1117">
        <f ca="1">IFERROR(IF(COUNTIFS(REF_PushkaraNavamsha!$A$4:$A$27,CALC_D9_BhaveshMap!$G$12,REF_PushkaraNavamsha!$B$4:$B$27,INDEX(CALC_PlanetPositions!$G$7:$G$15,MATCH(CALC_D9_BhaveshMap!$D$12,CALC_PlanetPositions!$A$7:$A$15,0)))&gt;0,0.5,0),0)</f>
        <v>0</v>
      </c>
      <c r="D29" s="400" t="s">
        <v>4649</v>
      </c>
    </row>
    <row r="30" spans="1:7" ht="25.5" customHeight="1" x14ac:dyDescent="0.2">
      <c r="A30" s="147" t="s">
        <v>4650</v>
      </c>
      <c r="B30" s="1121" t="s">
        <v>4651</v>
      </c>
      <c r="C30" s="1122">
        <f>IFERROR(IF(ISNUMBER(MATCH(CALC_D9_BhaveshMap!$D$12,{"Sun","Moon","Mars","Mercury","Jupiter","Venus","Saturn"},0)),INDEX(CALC_RetrogradeFix!$G$4:$G$10,MATCH(CALC_D9_BhaveshMap!$D$12,{"Sun","Moon","Mars","Mercury","Jupiter","Venus","Saturn"},0)),0),0)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0</v>
      </c>
      <c r="D37" s="1129"/>
    </row>
    <row r="38" spans="1:4" ht="21.75" customHeight="1" x14ac:dyDescent="0.2">
      <c r="A38" s="89" t="s">
        <v>4661</v>
      </c>
      <c r="B38" s="1129"/>
      <c r="C38" s="1131">
        <f ca="1">IFERROR(MAX(-10,MIN(10,C37)),0)</f>
        <v>0</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0</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338" t="s">
        <v>4664</v>
      </c>
      <c r="B41" s="1129"/>
      <c r="C41" s="470" t="str">
        <f ca="1">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4764</v>
      </c>
      <c r="B1" s="1518"/>
      <c r="C1" s="1518"/>
      <c r="D1" s="1518"/>
      <c r="L1" s="544" t="s">
        <v>2214</v>
      </c>
    </row>
    <row r="2" spans="1:12" ht="19.5" customHeight="1" x14ac:dyDescent="0.2">
      <c r="A2" s="1595" t="str">
        <f>IFERROR("Karakamsha Lagna: "&amp;CALC_Karakamsha!$B$5&amp;"  ·  H9 — Fortune from soul's seat","← Enter chart")</f>
        <v>Karakamsha Lagna: Sun  ·  H9 — Fortune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IFERROR((IFERROR(IF(INDEX(REF_Zodiac!$D$17:$O$17,MATCH(CALC_D9_BhaveshMap!$C$13,REF_Zodiac!$D$3:$O$3,0))="Gentle",1,0),0))*0.5,0)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IFERROR(IF(AND(OR(CALC_D9_BhaveshMap!$I$13="Yes",CALC_D9_BhaveshMap!$J$13="Yes"),NOT(CALC_D9_BhaveshMap!$K$13="Yes")),1,0)*IF(REF_Config!$B$6="KP",1.5,IF(REF_Config!$B$6="Jaimini",1.5,2)),0)</f>
        <v>0</v>
      </c>
      <c r="D9" s="403" t="s">
        <v>4612</v>
      </c>
    </row>
    <row r="10" spans="1:12" ht="27.75" customHeight="1" x14ac:dyDescent="0.2">
      <c r="A10" s="121" t="s">
        <v>4613</v>
      </c>
      <c r="B10" s="357" t="s">
        <v>3093</v>
      </c>
      <c r="C10" s="1117">
        <f ca="1">IFERROR((IFERROR(IF(OR(AND(CALC_D9_BhaveshMap!$G$13=CALC_D9_BhaveshMap!$G$13,CALC_D9_BhaveshMap!$D$13&lt;&gt;CALC_D9_BhaveshMap!$D$13),AND(CALC_BhaveshMap!$G$8=CALC_D9_BhaveshMap!$G$13,CALC_BhaveshMap!$D$8&lt;&gt;CALC_D9_BhaveshMap!$D$13),AND(CALC_BhaveshMap!$G$9=CALC_D9_BhaveshMap!$G$13,CALC_BhaveshMap!$D$9&lt;&gt;CALC_D9_BhaveshMap!$D$13),AND(CALC_BhaveshMap!$G$11=CALC_D9_BhaveshMap!$G$13,CALC_BhaveshMap!$D$11&lt;&gt;CALC_D9_BhaveshMap!$D$13),AND(CALC_BhaveshMap!$G$13=CALC_D9_BhaveshMap!$G$13,CALC_BhaveshMap!$D$13&lt;&gt;CALC_D9_BhaveshMap!$D$13),AND(CALC_BhaveshMap!$G$14=CALC_D9_BhaveshMap!$G$13,CALC_BhaveshMap!$D$14&lt;&gt;CALC_D9_BhaveshMap!$D$13)),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$13,CALC_D9_BhaveshMap!$D$13&lt;&gt;"Sun"),AND(OR(CALC_PlanetPositions!$M$8="Benefic",CALC_PlanetPositions!$M$8="Yogakaraka"),CALC_PlanetPositions!$B$8=CALC_D9_BhaveshMap!$G$13,CALC_D9_BhaveshMap!$D$13&lt;&gt;"Moon"),AND(OR(CALC_PlanetPositions!$M$9="Benefic",CALC_PlanetPositions!$M$9="Yogakaraka"),CALC_PlanetPositions!$B$9=CALC_D9_BhaveshMap!$G$13,CALC_D9_BhaveshMap!$D$13&lt;&gt;"Mars"),AND(OR(CALC_PlanetPositions!$M$10="Benefic",CALC_PlanetPositions!$M$10="Yogakaraka"),CALC_PlanetPositions!$B$10=CALC_D9_BhaveshMap!$G$13,CALC_D9_BhaveshMap!$D$13&lt;&gt;"Mercury"),AND(OR(CALC_PlanetPositions!$M$11="Benefic",CALC_PlanetPositions!$M$11="Yogakaraka"),CALC_PlanetPositions!$B$11=CALC_D9_BhaveshMap!$G$13,CALC_D9_BhaveshMap!$D$13&lt;&gt;"Jupiter"),AND(OR(CALC_PlanetPositions!$M$12="Benefic",CALC_PlanetPositions!$M$12="Yogakaraka"),CALC_PlanetPositions!$B$12=CALC_D9_BhaveshMap!$G$13,CALC_D9_BhaveshMap!$D$13&lt;&gt;"Venus"),AND(OR(CALC_PlanetPositions!$M$13="Benefic",CALC_PlanetPositions!$M$13="Yogakaraka"),CALC_PlanetPositions!$B$13=CALC_D9_BhaveshMap!$G$13,CALC_D9_BhaveshMap!$D$13&lt;&gt;"Saturn")),1,0),0))*IF(OR(AND(CALC_PlanetPositions!$M$7="Yogakaraka",CALC_PlanetPositions!$B$7=CALC_D9_BhaveshMap!$G$13,CALC_D9_BhaveshMap!$D$13&lt;&gt;"Sun"),AND(CALC_PlanetPositions!$M$8="Yogakaraka",CALC_PlanetPositions!$B$8=CALC_D9_BhaveshMap!$G$13,CALC_D9_BhaveshMap!$D$13&lt;&gt;"Moon"),AND(CALC_PlanetPositions!$M$9="Yogakaraka",CALC_PlanetPositions!$B$9=CALC_D9_BhaveshMap!$G$13,CALC_D9_BhaveshMap!$D$13&lt;&gt;"Mars"),AND(CALC_PlanetPositions!$M$10="Yogakaraka",CALC_PlanetPositions!$B$10=CALC_D9_BhaveshMap!$G$13,CALC_D9_BhaveshMap!$D$13&lt;&gt;"Mercury"),AND(CALC_PlanetPositions!$M$11="Yogakaraka",CALC_PlanetPositions!$B$11=CALC_D9_BhaveshMap!$G$13,CALC_D9_BhaveshMap!$D$13&lt;&gt;"Jupiter"),AND(CALC_PlanetPositions!$M$12="Yogakaraka",CALC_PlanetPositions!$B$12=CALC_D9_BhaveshMap!$G$13,CALC_D9_BhaveshMap!$D$13&lt;&gt;"Venus"),AND(CALC_PlanetPositions!$M$13="Yogakaraka",CALC_PlanetPositions!$B$13=CALC_D9_BhaveshMap!$G$13,CALC_D9_BhaveshMap!$D$13&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$13-(MOD(MATCH(CALC_PlanetPositions!$B$7,{"Aries","Taurus","Gemini","Cancer","Leo","Virgo","Libra","Scorpio","Sagittarius","Capricorn","Aquarius","Pisces"},0)-MATCH(CALC_Karakamsha!$B$5,{"Aries","Taurus","Gemini","Cancer","Leo","Virgo","Libra","Scorpio","Sagittarius","Capricorn","Aquarius","Pisces"},0),12)+1),12)+1)="FULL",NOT(CALC_PlanetPositions!$B$7=CALC_D9_BhaveshMap!$G$13)),AND(OR(CALC_PlanetPositions!$M$8="Benefic",CALC_PlanetPositions!$M$8="Yogakaraka"),INDEX(REF_Aspects!$D$5:$O$13,2,MOD(CALC_D9_BhaveshMap!$H$13-(MOD(MATCH(CALC_PlanetPositions!$B$8,{"Aries","Taurus","Gemini","Cancer","Leo","Virgo","Libra","Scorpio","Sagittarius","Capricorn","Aquarius","Pisces"},0)-MATCH(CALC_Karakamsha!$B$5,{"Aries","Taurus","Gemini","Cancer","Leo","Virgo","Libra","Scorpio","Sagittarius","Capricorn","Aquarius","Pisces"},0),12)+1),12)+1)="FULL",NOT(CALC_PlanetPositions!$B$8=CALC_D9_BhaveshMap!$G$13)),AND(OR(CALC_PlanetPositions!$M$9="Benefic",CALC_PlanetPositions!$M$9="Yogakaraka"),INDEX(REF_Aspects!$D$5:$O$13,3,MOD(CALC_D9_BhaveshMap!$H$13-(MOD(MATCH(CALC_PlanetPositions!$B$9,{"Aries","Taurus","Gemini","Cancer","Leo","Virgo","Libra","Scorpio","Sagittarius","Capricorn","Aquarius","Pisces"},0)-MATCH(CALC_Karakamsha!$B$5,{"Aries","Taurus","Gemini","Cancer","Leo","Virgo","Libra","Scorpio","Sagittarius","Capricorn","Aquarius","Pisces"},0),12)+1),12)+1)="FULL",NOT(CALC_PlanetPositions!$B$9=CALC_D9_BhaveshMap!$G$13)),AND(OR(CALC_PlanetPositions!$M$10="Benefic",CALC_PlanetPositions!$M$10="Yogakaraka"),INDEX(REF_Aspects!$D$5:$O$13,4,MOD(CALC_D9_BhaveshMap!$H$13-(MOD(MATCH(CALC_PlanetPositions!$B$10,{"Aries","Taurus","Gemini","Cancer","Leo","Virgo","Libra","Scorpio","Sagittarius","Capricorn","Aquarius","Pisces"},0)-MATCH(CALC_Karakamsha!$B$5,{"Aries","Taurus","Gemini","Cancer","Leo","Virgo","Libra","Scorpio","Sagittarius","Capricorn","Aquarius","Pisces"},0),12)+1),12)+1)="FULL",NOT(CALC_PlanetPositions!$B$10=CALC_D9_BhaveshMap!$G$13)),AND(OR(CALC_PlanetPositions!$M$11="Benefic",CALC_PlanetPositions!$M$11="Yogakaraka"),INDEX(REF_Aspects!$D$5:$O$13,5,MOD(CALC_D9_BhaveshMap!$H$13-(MOD(MATCH(CALC_PlanetPositions!$B$11,{"Aries","Taurus","Gemini","Cancer","Leo","Virgo","Libra","Scorpio","Sagittarius","Capricorn","Aquarius","Pisces"},0)-MATCH(CALC_Karakamsha!$B$5,{"Aries","Taurus","Gemini","Cancer","Leo","Virgo","Libra","Scorpio","Sagittarius","Capricorn","Aquarius","Pisces"},0),12)+1),12)+1)="FULL",NOT(CALC_PlanetPositions!$B$11=CALC_D9_BhaveshMap!$G$13)),AND(OR(CALC_PlanetPositions!$M$12="Benefic",CALC_PlanetPositions!$M$12="Yogakaraka"),INDEX(REF_Aspects!$D$5:$O$13,6,MOD(CALC_D9_BhaveshMap!$H$13-(MOD(MATCH(CALC_PlanetPositions!$B$12,{"Aries","Taurus","Gemini","Cancer","Leo","Virgo","Libra","Scorpio","Sagittarius","Capricorn","Aquarius","Pisces"},0)-MATCH(CALC_Karakamsha!$B$5,{"Aries","Taurus","Gemini","Cancer","Leo","Virgo","Libra","Scorpio","Sagittarius","Capricorn","Aquarius","Pisces"},0),12)+1),12)+1)="FULL",NOT(CALC_PlanetPositions!$B$12=CALC_D9_BhaveshMap!$G$13)),AND(OR(CALC_PlanetPositions!$M$13="Benefic",CALC_PlanetPositions!$M$13="Yogakaraka"),INDEX(REF_Aspects!$D$5:$O$13,7,MOD(CALC_D9_BhaveshMap!$H$13-(MOD(MATCH(CALC_PlanetPositions!$B$13,{"Aries","Taurus","Gemini","Cancer","Leo","Virgo","Libra","Scorpio","Sagittarius","Capricorn","Aquarius","Pisces"},0)-MATCH(CALC_Karakamsha!$B$5,{"Aries","Taurus","Gemini","Cancer","Leo","Virgo","Libra","Scorpio","Sagittarius","Capricorn","Aquarius","Pisces"},0),12)+1),12)+1)="FULL",NOT(CALC_PlanetPositions!$B$13=CALC_D9_BhaveshMap!$G$13)),AND(FALSE(),INDEX(REF_Aspects!$D$5:$O$13,8,MOD(CALC_D9_BhaveshMap!$H$13-(MOD(MATCH(CALC_PlanetPositions!$B$14,{"Aries","Taurus","Gemini","Cancer","Leo","Virgo","Libra","Scorpio","Sagittarius","Capricorn","Aquarius","Pisces"},0)-MATCH(CALC_Karakamsha!$B$5,{"Aries","Taurus","Gemini","Cancer","Leo","Virgo","Libra","Scorpio","Sagittarius","Capricorn","Aquarius","Pisces"},0),12)+1),12)+1)="FULL",NOT(CALC_PlanetPositions!$B$14=CALC_D9_BhaveshMap!$G$13)),AND(FALSE(),INDEX(REF_Aspects!$D$5:$O$13,9,MOD(CALC_D9_BhaveshMap!$H$13-(MOD(MATCH(CALC_PlanetPositions!$B$15,{"Aries","Taurus","Gemini","Cancer","Leo","Virgo","Libra","Scorpio","Sagittarius","Capricorn","Aquarius","Pisces"},0)-MATCH(CALC_Karakamsha!$B$5,{"Aries","Taurus","Gemini","Cancer","Leo","Virgo","Libra","Scorpio","Sagittarius","Capricorn","Aquarius","Pisces"},0),12)+1),12)+1)="FULL",NOT(CALC_PlanetPositions!$B$15=CALC_D9_BhaveshMap!$G$13))),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$13-2,12)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$13-2,12)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$13-2,12)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$13-2,12)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$13-2,12)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$13-2,12)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$13-2,12)+1)),AND(FALSE(),MOD(MATCH(CALC_PlanetPositions!$B$14,{"Aries","Taurus","Gemini","Cancer","Leo","Virgo","Libra","Scorpio","Sagittarius","Capricorn","Aquarius","Pisces"},0)-MATCH(CALC_Karakamsha!$B$5,{"Aries","Taurus","Gemini","Cancer","Leo","Virgo","Libra","Scorpio","Sagittarius","Capricorn","Aquarius","Pisces"},0),12)+1=(MOD(CALC_D9_BhaveshMap!$H$13-2,12)+1)),AND(FALSE(),MOD(MATCH(CALC_PlanetPositions!$B$15,{"Aries","Taurus","Gemini","Cancer","Leo","Virgo","Libra","Scorpio","Sagittarius","Capricorn","Aquarius","Pisces"},0)-MATCH(CALC_Karakamsha!$B$5,{"Aries","Taurus","Gemini","Cancer","Leo","Virgo","Libra","Scorpio","Sagittarius","Capricorn","Aquarius","Pisces"},0),12)+1=(MOD(CALC_D9_BhaveshMap!$H$13-2,12)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$13,12)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$13,12)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$13,12)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$13,12)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$13,12)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$13,12)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$13,12)+1)),AND(FALSE(),MOD(MATCH(CALC_PlanetPositions!$B$14,{"Aries","Taurus","Gemini","Cancer","Leo","Virgo","Libra","Scorpio","Sagittarius","Capricorn","Aquarius","Pisces"},0)-MATCH(CALC_Karakamsha!$B$5,{"Aries","Taurus","Gemini","Cancer","Leo","Virgo","Libra","Scorpio","Sagittarius","Capricorn","Aquarius","Pisces"},0),12)+1=(MOD(CALC_D9_BhaveshMap!$H$13,12)+1)),AND(FALSE(),MOD(MATCH(CALC_PlanetPositions!$B$15,{"Aries","Taurus","Gemini","Cancer","Leo","Virgo","Libra","Scorpio","Sagittarius","Capricorn","Aquarius","Pisces"},0)-MATCH(CALC_Karakamsha!$B$5,{"Aries","Taurus","Gemini","Cancer","Leo","Virgo","Libra","Scorpio","Sagittarius","Capricorn","Aquarius","Pisces"},0),12)+1=(MOD(CALC_D9_BhaveshMap!$H$13,12)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$13-(MOD(MATCH(CALC_PlanetPositions!$B$7,{"Aries","Taurus","Gemini","Cancer","Leo","Virgo","Libra","Scorpio","Sagittarius","Capricorn","Aquarius","Pisces"},0)-MATCH(CALC_Karakamsha!$B$5,{"Aries","Taurus","Gemini","Cancer","Leo","Virgo","Libra","Scorpio","Sagittarius","Capricorn","Aquarius","Pisces"},0),12)+1),12)+1)="FULL",NOT(CALC_PlanetPositions!$B$7=CALC_D9_BhaveshMap!$G$13)),AND(CALC_PlanetPositions!$M$8="Malefic",INDEX(REF_Aspects!$D$5:$O$13,2,MOD(CALC_D9_BhaveshMap!$H$13-(MOD(MATCH(CALC_PlanetPositions!$B$8,{"Aries","Taurus","Gemini","Cancer","Leo","Virgo","Libra","Scorpio","Sagittarius","Capricorn","Aquarius","Pisces"},0)-MATCH(CALC_Karakamsha!$B$5,{"Aries","Taurus","Gemini","Cancer","Leo","Virgo","Libra","Scorpio","Sagittarius","Capricorn","Aquarius","Pisces"},0),12)+1),12)+1)="FULL",NOT(CALC_PlanetPositions!$B$8=CALC_D9_BhaveshMap!$G$13)),AND(CALC_PlanetPositions!$M$9="Malefic",INDEX(REF_Aspects!$D$5:$O$13,3,MOD(CALC_D9_BhaveshMap!$H$13-(MOD(MATCH(CALC_PlanetPositions!$B$9,{"Aries","Taurus","Gemini","Cancer","Leo","Virgo","Libra","Scorpio","Sagittarius","Capricorn","Aquarius","Pisces"},0)-MATCH(CALC_Karakamsha!$B$5,{"Aries","Taurus","Gemini","Cancer","Leo","Virgo","Libra","Scorpio","Sagittarius","Capricorn","Aquarius","Pisces"},0),12)+1),12)+1)="FULL",NOT(CALC_PlanetPositions!$B$9=CALC_D9_BhaveshMap!$G$13)),AND(CALC_PlanetPositions!$M$10="Malefic",INDEX(REF_Aspects!$D$5:$O$13,4,MOD(CALC_D9_BhaveshMap!$H$13-(MOD(MATCH(CALC_PlanetPositions!$B$10,{"Aries","Taurus","Gemini","Cancer","Leo","Virgo","Libra","Scorpio","Sagittarius","Capricorn","Aquarius","Pisces"},0)-MATCH(CALC_Karakamsha!$B$5,{"Aries","Taurus","Gemini","Cancer","Leo","Virgo","Libra","Scorpio","Sagittarius","Capricorn","Aquarius","Pisces"},0),12)+1),12)+1)="FULL",NOT(CALC_PlanetPositions!$B$10=CALC_D9_BhaveshMap!$G$13)),AND(CALC_PlanetPositions!$M$11="Malefic",INDEX(REF_Aspects!$D$5:$O$13,5,MOD(CALC_D9_BhaveshMap!$H$13-(MOD(MATCH(CALC_PlanetPositions!$B$11,{"Aries","Taurus","Gemini","Cancer","Leo","Virgo","Libra","Scorpio","Sagittarius","Capricorn","Aquarius","Pisces"},0)-MATCH(CALC_Karakamsha!$B$5,{"Aries","Taurus","Gemini","Cancer","Leo","Virgo","Libra","Scorpio","Sagittarius","Capricorn","Aquarius","Pisces"},0),12)+1),12)+1)="FULL",NOT(CALC_PlanetPositions!$B$11=CALC_D9_BhaveshMap!$G$13)),AND(CALC_PlanetPositions!$M$12="Malefic",INDEX(REF_Aspects!$D$5:$O$13,6,MOD(CALC_D9_BhaveshMap!$H$13-(MOD(MATCH(CALC_PlanetPositions!$B$12,{"Aries","Taurus","Gemini","Cancer","Leo","Virgo","Libra","Scorpio","Sagittarius","Capricorn","Aquarius","Pisces"},0)-MATCH(CALC_Karakamsha!$B$5,{"Aries","Taurus","Gemini","Cancer","Leo","Virgo","Libra","Scorpio","Sagittarius","Capricorn","Aquarius","Pisces"},0),12)+1),12)+1)="FULL",NOT(CALC_PlanetPositions!$B$12=CALC_D9_BhaveshMap!$G$13)),AND(CALC_PlanetPositions!$M$13="Malefic",INDEX(REF_Aspects!$D$5:$O$13,7,MOD(CALC_D9_BhaveshMap!$H$13-(MOD(MATCH(CALC_PlanetPositions!$B$13,{"Aries","Taurus","Gemini","Cancer","Leo","Virgo","Libra","Scorpio","Sagittarius","Capricorn","Aquarius","Pisces"},0)-MATCH(CALC_Karakamsha!$B$5,{"Aries","Taurus","Gemini","Cancer","Leo","Virgo","Libra","Scorpio","Sagittarius","Capricorn","Aquarius","Pisces"},0),12)+1),12)+1)="FULL",NOT(CALC_PlanetPositions!$B$13=CALC_D9_BhaveshMap!$G$13)),AND(TRUE(),INDEX(REF_Aspects!$D$5:$O$13,8,MOD(CALC_D9_BhaveshMap!$H$13-(MOD(MATCH(CALC_PlanetPositions!$B$14,{"Aries","Taurus","Gemini","Cancer","Leo","Virgo","Libra","Scorpio","Sagittarius","Capricorn","Aquarius","Pisces"},0)-MATCH(CALC_Karakamsha!$B$5,{"Aries","Taurus","Gemini","Cancer","Leo","Virgo","Libra","Scorpio","Sagittarius","Capricorn","Aquarius","Pisces"},0),12)+1),12)+1)="FULL",NOT(CALC_PlanetPositions!$B$14=CALC_D9_BhaveshMap!$G$13)),AND(TRUE(),INDEX(REF_Aspects!$D$5:$O$13,9,MOD(CALC_D9_BhaveshMap!$H$13-(MOD(MATCH(CALC_PlanetPositions!$B$15,{"Aries","Taurus","Gemini","Cancer","Leo","Virgo","Libra","Scorpio","Sagittarius","Capricorn","Aquarius","Pisces"},0)-MATCH(CALC_Karakamsha!$B$5,{"Aries","Taurus","Gemini","Cancer","Leo","Virgo","Libra","Scorpio","Sagittarius","Capricorn","Aquarius","Pisces"},0),12)+1),12)+1)="FULL",NOT(CALC_PlanetPositions!$B$15=CALC_D9_BhaveshMap!$G$13))),1,0),0))*-0.5,0)</f>
        <v>0</v>
      </c>
      <c r="D21" s="403" t="s">
        <v>4634</v>
      </c>
    </row>
    <row r="22" spans="1:7" ht="27.75" customHeight="1" x14ac:dyDescent="0.2">
      <c r="A22" s="121" t="s">
        <v>4635</v>
      </c>
      <c r="B22" s="357" t="s">
        <v>3042</v>
      </c>
      <c r="C22" s="1117">
        <f>IFERROR((IFERROR(IF(CALC_D9_BhaveshMap!$K$13="Yes",1,0),0))*IF(REF_Config!$B$6="KP",-1.75,IF(REF_Config!$B$6="Jaimini",-2,-2)),0)</f>
        <v>0</v>
      </c>
      <c r="D22" s="400" t="s">
        <v>4636</v>
      </c>
    </row>
    <row r="23" spans="1:7" ht="27.75" customHeight="1" x14ac:dyDescent="0.2">
      <c r="A23" s="121" t="s">
        <v>4637</v>
      </c>
      <c r="B23" s="203" t="s">
        <v>3059</v>
      </c>
      <c r="C23" s="1118">
        <f ca="1">IFERROR((IFERROR(IF(OR(AND(CALC_BhaveshMap!$G$10=CALC_D9_BhaveshMap!$G$13,CALC_BhaveshMap!$D$10&lt;&gt;CALC_D9_BhaveshMap!$D$13),AND(CALC_BhaveshMap!$G$12=CALC_D9_BhaveshMap!$G$13,CALC_BhaveshMap!$D$12&lt;&gt;CALC_D9_BhaveshMap!$D$13),AND(CALC_BhaveshMap!$G$16=CALC_D9_BhaveshMap!$G$13,CALC_BhaveshMap!$D$16&lt;&gt;CALC_D9_BhaveshMap!$D$13)),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IFERROR(IF(OR(CALC_D9_BhaveshMap!$D$13="Sun",CALC_D9_BhaveshMap!$D$13="Rahu",CALC_D9_BhaveshMap!$D$13="Ketu"),0,IF(CALC_D9_BhaveshMap!$D$13="Moon",IF(CALC_CombustionCheck!$G$4="Cazimi ✓",0.5,IF(CALC_CombustionCheck!$F$4="COMBUST ⚠",-1,0)),IF(CALC_D9_BhaveshMap!$D$13="Mars",IF(CALC_CombustionCheck!$G$5="Cazimi ✓",0.5,IF(AND(CALC_CombustionCheck!$F$5="COMBUST ⚠",CALC_RetrogradeFix!$F$6="Rx ✓"),-0.5,IF(CALC_CombustionCheck!$F$5="COMBUST ⚠",-1,0))),IF(CALC_D9_BhaveshMap!$D$13="Mercury",IF(CALC_CombustionCheck!$G$6="Cazimi ✓",0.5,IF(AND(CALC_CombustionCheck!$F$6="COMBUST ⚠",CALC_RetrogradeFix!$F$7="Rx ✓"),-0.5,IF(CALC_CombustionCheck!$F$6="COMBUST ⚠",-1,0))),IF(CALC_D9_BhaveshMap!$D$13="Jupiter",IF(CALC_CombustionCheck!$G$7="Cazimi ✓",0.5,IF(AND(CALC_CombustionCheck!$F$7="COMBUST ⚠",CALC_RetrogradeFix!$F$8="Rx ✓"),-0.5,IF(CALC_CombustionCheck!$F$7="COMBUST ⚠",-1,0))),IF(CALC_D9_BhaveshMap!$D$13="Venus",IF(CALC_CombustionCheck!$G$8="Cazimi ✓",0.5,IF(AND(CALC_CombustionCheck!$F$8="COMBUST ⚠",CALC_RetrogradeFix!$F$9="Rx ✓"),-0.5,IF(CALC_CombustionCheck!$F$8="COMBUST ⚠",-1,0))),IF(CALC_D9_BhaveshMap!$D$13="Saturn",IF(CALC_CombustionCheck!$G$9="Cazimi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$13="Rahu",CALC_D9_BhaveshMap!$D$13="Ketu"),0,IF(ISNUMBER(MATCH(CALC_D9_BhaveshMap!$D$13,{"Sun","Moon","Mars","Mercury","Jupiter","Venus","Saturn"},0)),IF(INDEX(CALC_DigBala!$F$4:$F$10,MATCH(CALC_D9_BhaveshMap!$D$13,{"Sun","Moon","Mars","Mercury","Jupiter","Venus","Saturn"},0))="Yes",0.5,0),0)),0)</f>
        <v>0</v>
      </c>
      <c r="D28" s="400" t="s">
        <v>4647</v>
      </c>
    </row>
    <row r="29" spans="1:7" ht="27.75" customHeight="1" x14ac:dyDescent="0.2">
      <c r="A29" s="1120" t="s">
        <v>4648</v>
      </c>
      <c r="B29" s="296" t="s">
        <v>3372</v>
      </c>
      <c r="C29" s="1117">
        <f ca="1">IFERROR(IF(COUNTIFS(REF_PushkaraNavamsha!$A$4:$A$27,CALC_D9_BhaveshMap!$G$13,REF_PushkaraNavamsha!$B$4:$B$27,INDEX(CALC_PlanetPositions!$G$7:$G$15,MATCH(CALC_D9_BhaveshMap!$D$13,CALC_PlanetPositions!$A$7:$A$15,0)))&gt;0,0.5,0),0)</f>
        <v>0</v>
      </c>
      <c r="D29" s="400" t="s">
        <v>4649</v>
      </c>
    </row>
    <row r="30" spans="1:7" ht="25.5" customHeight="1" x14ac:dyDescent="0.2">
      <c r="A30" s="147" t="s">
        <v>4650</v>
      </c>
      <c r="B30" s="1121" t="s">
        <v>4651</v>
      </c>
      <c r="C30" s="1122">
        <f>IFERROR(IF(ISNUMBER(MATCH(CALC_D9_BhaveshMap!$D$13,{"Sun","Moon","Mars","Mercury","Jupiter","Venus","Saturn"},0)),INDEX(CALC_RetrogradeFix!$G$4:$G$10,MATCH(CALC_D9_BhaveshMap!$D$13,{"Sun","Moon","Mars","Mercury","Jupiter","Venus","Saturn"},0)),0),0)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0.5</v>
      </c>
      <c r="D37" s="1129"/>
    </row>
    <row r="38" spans="1:4" ht="21.75" customHeight="1" x14ac:dyDescent="0.2">
      <c r="A38" s="89" t="s">
        <v>4661</v>
      </c>
      <c r="B38" s="1129"/>
      <c r="C38" s="1131">
        <f ca="1">IFERROR(MAX(-10,MIN(10,C37)),0)</f>
        <v>0.5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0.5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338" t="s">
        <v>4664</v>
      </c>
      <c r="B41" s="1129"/>
      <c r="C41" s="470" t="str">
        <f ca="1">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4765</v>
      </c>
      <c r="B1" s="1518"/>
      <c r="C1" s="1518"/>
      <c r="D1" s="1518"/>
      <c r="L1" s="544" t="s">
        <v>2214</v>
      </c>
    </row>
    <row r="2" spans="1:12" ht="19.5" customHeight="1" x14ac:dyDescent="0.2">
      <c r="A2" s="1595" t="str">
        <f>IFERROR("Karakamsha Lagna: "&amp;CALC_Karakamsha!$B$5&amp;"  ·  H10 — Career from soul's seat","← Enter chart")</f>
        <v>Karakamsha Lagna: Sun  ·  H10 — Career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IFERROR((IFERROR(IF(INDEX(REF_Zodiac!$D$17:$O$17,MATCH(CALC_D9_BhaveshMap!$C$14,REF_Zodiac!$D$3:$O$3,0))="Gentle",1,0),0))*0.5,0)</f>
        <v>0.5</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IFERROR(IF(AND(OR(CALC_D9_BhaveshMap!$I$14="Yes",CALC_D9_BhaveshMap!$J$14="Yes"),NOT(CALC_D9_BhaveshMap!$K$14="Yes")),1,0)*IF(REF_Config!$B$6="KP",1.5,IF(REF_Config!$B$6="Jaimini",1.5,2)),0)</f>
        <v>0</v>
      </c>
      <c r="D9" s="403" t="s">
        <v>4612</v>
      </c>
    </row>
    <row r="10" spans="1:12" ht="27.75" customHeight="1" x14ac:dyDescent="0.2">
      <c r="A10" s="121" t="s">
        <v>4613</v>
      </c>
      <c r="B10" s="357" t="s">
        <v>3093</v>
      </c>
      <c r="C10" s="1117">
        <f ca="1">IFERROR((IFERROR(IF(OR(AND(CALC_D9_BhaveshMap!$G$14=CALC_D9_BhaveshMap!$G$14,CALC_D9_BhaveshMap!$D$14&lt;&gt;CALC_D9_BhaveshMap!$D$14),AND(CALC_BhaveshMap!$G$8=CALC_D9_BhaveshMap!$G$14,CALC_BhaveshMap!$D$8&lt;&gt;CALC_D9_BhaveshMap!$D$14),AND(CALC_BhaveshMap!$G$9=CALC_D9_BhaveshMap!$G$14,CALC_BhaveshMap!$D$9&lt;&gt;CALC_D9_BhaveshMap!$D$14),AND(CALC_BhaveshMap!$G$11=CALC_D9_BhaveshMap!$G$14,CALC_BhaveshMap!$D$11&lt;&gt;CALC_D9_BhaveshMap!$D$14),AND(CALC_BhaveshMap!$G$13=CALC_D9_BhaveshMap!$G$14,CALC_BhaveshMap!$D$13&lt;&gt;CALC_D9_BhaveshMap!$D$14),AND(CALC_BhaveshMap!$G$14=CALC_D9_BhaveshMap!$G$14,CALC_BhaveshMap!$D$14&lt;&gt;CALC_D9_BhaveshMap!$D$14)),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$14,CALC_D9_BhaveshMap!$D$14&lt;&gt;"Sun"),AND(OR(CALC_PlanetPositions!$M$8="Benefic",CALC_PlanetPositions!$M$8="Yogakaraka"),CALC_PlanetPositions!$B$8=CALC_D9_BhaveshMap!$G$14,CALC_D9_BhaveshMap!$D$14&lt;&gt;"Moon"),AND(OR(CALC_PlanetPositions!$M$9="Benefic",CALC_PlanetPositions!$M$9="Yogakaraka"),CALC_PlanetPositions!$B$9=CALC_D9_BhaveshMap!$G$14,CALC_D9_BhaveshMap!$D$14&lt;&gt;"Mars"),AND(OR(CALC_PlanetPositions!$M$10="Benefic",CALC_PlanetPositions!$M$10="Yogakaraka"),CALC_PlanetPositions!$B$10=CALC_D9_BhaveshMap!$G$14,CALC_D9_BhaveshMap!$D$14&lt;&gt;"Mercury"),AND(OR(CALC_PlanetPositions!$M$11="Benefic",CALC_PlanetPositions!$M$11="Yogakaraka"),CALC_PlanetPositions!$B$11=CALC_D9_BhaveshMap!$G$14,CALC_D9_BhaveshMap!$D$14&lt;&gt;"Jupiter"),AND(OR(CALC_PlanetPositions!$M$12="Benefic",CALC_PlanetPositions!$M$12="Yogakaraka"),CALC_PlanetPositions!$B$12=CALC_D9_BhaveshMap!$G$14,CALC_D9_BhaveshMap!$D$14&lt;&gt;"Venus"),AND(OR(CALC_PlanetPositions!$M$13="Benefic",CALC_PlanetPositions!$M$13="Yogakaraka"),CALC_PlanetPositions!$B$13=CALC_D9_BhaveshMap!$G$14,CALC_D9_BhaveshMap!$D$14&lt;&gt;"Saturn")),1,0),0))*IF(OR(AND(CALC_PlanetPositions!$M$7="Yogakaraka",CALC_PlanetPositions!$B$7=CALC_D9_BhaveshMap!$G$14,CALC_D9_BhaveshMap!$D$14&lt;&gt;"Sun"),AND(CALC_PlanetPositions!$M$8="Yogakaraka",CALC_PlanetPositions!$B$8=CALC_D9_BhaveshMap!$G$14,CALC_D9_BhaveshMap!$D$14&lt;&gt;"Moon"),AND(CALC_PlanetPositions!$M$9="Yogakaraka",CALC_PlanetPositions!$B$9=CALC_D9_BhaveshMap!$G$14,CALC_D9_BhaveshMap!$D$14&lt;&gt;"Mars"),AND(CALC_PlanetPositions!$M$10="Yogakaraka",CALC_PlanetPositions!$B$10=CALC_D9_BhaveshMap!$G$14,CALC_D9_BhaveshMap!$D$14&lt;&gt;"Mercury"),AND(CALC_PlanetPositions!$M$11="Yogakaraka",CALC_PlanetPositions!$B$11=CALC_D9_BhaveshMap!$G$14,CALC_D9_BhaveshMap!$D$14&lt;&gt;"Jupiter"),AND(CALC_PlanetPositions!$M$12="Yogakaraka",CALC_PlanetPositions!$B$12=CALC_D9_BhaveshMap!$G$14,CALC_D9_BhaveshMap!$D$14&lt;&gt;"Venus"),AND(CALC_PlanetPositions!$M$13="Yogakaraka",CALC_PlanetPositions!$B$13=CALC_D9_BhaveshMap!$G$14,CALC_D9_BhaveshMap!$D$14&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$14-(MOD(MATCH(CALC_PlanetPositions!$B$7,{"Aries","Taurus","Gemini","Cancer","Leo","Virgo","Libra","Scorpio","Sagittarius","Capricorn","Aquarius","Pisces"},0)-MATCH(CALC_Karakamsha!$B$5,{"Aries","Taurus","Gemini","Cancer","Leo","Virgo","Libra","Scorpio","Sagittarius","Capricorn","Aquarius","Pisces"},0),12)+1),12)+1)="FULL",NOT(CALC_PlanetPositions!$B$7=CALC_D9_BhaveshMap!$G$14)),AND(OR(CALC_PlanetPositions!$M$8="Benefic",CALC_PlanetPositions!$M$8="Yogakaraka"),INDEX(REF_Aspects!$D$5:$O$13,2,MOD(CALC_D9_BhaveshMap!$H$14-(MOD(MATCH(CALC_PlanetPositions!$B$8,{"Aries","Taurus","Gemini","Cancer","Leo","Virgo","Libra","Scorpio","Sagittarius","Capricorn","Aquarius","Pisces"},0)-MATCH(CALC_Karakamsha!$B$5,{"Aries","Taurus","Gemini","Cancer","Leo","Virgo","Libra","Scorpio","Sagittarius","Capricorn","Aquarius","Pisces"},0),12)+1),12)+1)="FULL",NOT(CALC_PlanetPositions!$B$8=CALC_D9_BhaveshMap!$G$14)),AND(OR(CALC_PlanetPositions!$M$9="Benefic",CALC_PlanetPositions!$M$9="Yogakaraka"),INDEX(REF_Aspects!$D$5:$O$13,3,MOD(CALC_D9_BhaveshMap!$H$14-(MOD(MATCH(CALC_PlanetPositions!$B$9,{"Aries","Taurus","Gemini","Cancer","Leo","Virgo","Libra","Scorpio","Sagittarius","Capricorn","Aquarius","Pisces"},0)-MATCH(CALC_Karakamsha!$B$5,{"Aries","Taurus","Gemini","Cancer","Leo","Virgo","Libra","Scorpio","Sagittarius","Capricorn","Aquarius","Pisces"},0),12)+1),12)+1)="FULL",NOT(CALC_PlanetPositions!$B$9=CALC_D9_BhaveshMap!$G$14)),AND(OR(CALC_PlanetPositions!$M$10="Benefic",CALC_PlanetPositions!$M$10="Yogakaraka"),INDEX(REF_Aspects!$D$5:$O$13,4,MOD(CALC_D9_BhaveshMap!$H$14-(MOD(MATCH(CALC_PlanetPositions!$B$10,{"Aries","Taurus","Gemini","Cancer","Leo","Virgo","Libra","Scorpio","Sagittarius","Capricorn","Aquarius","Pisces"},0)-MATCH(CALC_Karakamsha!$B$5,{"Aries","Taurus","Gemini","Cancer","Leo","Virgo","Libra","Scorpio","Sagittarius","Capricorn","Aquarius","Pisces"},0),12)+1),12)+1)="FULL",NOT(CALC_PlanetPositions!$B$10=CALC_D9_BhaveshMap!$G$14)),AND(OR(CALC_PlanetPositions!$M$11="Benefic",CALC_PlanetPositions!$M$11="Yogakaraka"),INDEX(REF_Aspects!$D$5:$O$13,5,MOD(CALC_D9_BhaveshMap!$H$14-(MOD(MATCH(CALC_PlanetPositions!$B$11,{"Aries","Taurus","Gemini","Cancer","Leo","Virgo","Libra","Scorpio","Sagittarius","Capricorn","Aquarius","Pisces"},0)-MATCH(CALC_Karakamsha!$B$5,{"Aries","Taurus","Gemini","Cancer","Leo","Virgo","Libra","Scorpio","Sagittarius","Capricorn","Aquarius","Pisces"},0),12)+1),12)+1)="FULL",NOT(CALC_PlanetPositions!$B$11=CALC_D9_BhaveshMap!$G$14)),AND(OR(CALC_PlanetPositions!$M$12="Benefic",CALC_PlanetPositions!$M$12="Yogakaraka"),INDEX(REF_Aspects!$D$5:$O$13,6,MOD(CALC_D9_BhaveshMap!$H$14-(MOD(MATCH(CALC_PlanetPositions!$B$12,{"Aries","Taurus","Gemini","Cancer","Leo","Virgo","Libra","Scorpio","Sagittarius","Capricorn","Aquarius","Pisces"},0)-MATCH(CALC_Karakamsha!$B$5,{"Aries","Taurus","Gemini","Cancer","Leo","Virgo","Libra","Scorpio","Sagittarius","Capricorn","Aquarius","Pisces"},0),12)+1),12)+1)="FULL",NOT(CALC_PlanetPositions!$B$12=CALC_D9_BhaveshMap!$G$14)),AND(OR(CALC_PlanetPositions!$M$13="Benefic",CALC_PlanetPositions!$M$13="Yogakaraka"),INDEX(REF_Aspects!$D$5:$O$13,7,MOD(CALC_D9_BhaveshMap!$H$14-(MOD(MATCH(CALC_PlanetPositions!$B$13,{"Aries","Taurus","Gemini","Cancer","Leo","Virgo","Libra","Scorpio","Sagittarius","Capricorn","Aquarius","Pisces"},0)-MATCH(CALC_Karakamsha!$B$5,{"Aries","Taurus","Gemini","Cancer","Leo","Virgo","Libra","Scorpio","Sagittarius","Capricorn","Aquarius","Pisces"},0),12)+1),12)+1)="FULL",NOT(CALC_PlanetPositions!$B$13=CALC_D9_BhaveshMap!$G$14)),AND(FALSE(),INDEX(REF_Aspects!$D$5:$O$13,8,MOD(CALC_D9_BhaveshMap!$H$14-(MOD(MATCH(CALC_PlanetPositions!$B$14,{"Aries","Taurus","Gemini","Cancer","Leo","Virgo","Libra","Scorpio","Sagittarius","Capricorn","Aquarius","Pisces"},0)-MATCH(CALC_Karakamsha!$B$5,{"Aries","Taurus","Gemini","Cancer","Leo","Virgo","Libra","Scorpio","Sagittarius","Capricorn","Aquarius","Pisces"},0),12)+1),12)+1)="FULL",NOT(CALC_PlanetPositions!$B$14=CALC_D9_BhaveshMap!$G$14)),AND(FALSE(),INDEX(REF_Aspects!$D$5:$O$13,9,MOD(CALC_D9_BhaveshMap!$H$14-(MOD(MATCH(CALC_PlanetPositions!$B$15,{"Aries","Taurus","Gemini","Cancer","Leo","Virgo","Libra","Scorpio","Sagittarius","Capricorn","Aquarius","Pisces"},0)-MATCH(CALC_Karakamsha!$B$5,{"Aries","Taurus","Gemini","Cancer","Leo","Virgo","Libra","Scorpio","Sagittarius","Capricorn","Aquarius","Pisces"},0),12)+1),12)+1)="FULL",NOT(CALC_PlanetPositions!$B$15=CALC_D9_BhaveshMap!$G$14))),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$14-2,12)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$14-2,12)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$14-2,12)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$14-2,12)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$14-2,12)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$14-2,12)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$14-2,12)+1)),AND(FALSE(),MOD(MATCH(CALC_PlanetPositions!$B$14,{"Aries","Taurus","Gemini","Cancer","Leo","Virgo","Libra","Scorpio","Sagittarius","Capricorn","Aquarius","Pisces"},0)-MATCH(CALC_Karakamsha!$B$5,{"Aries","Taurus","Gemini","Cancer","Leo","Virgo","Libra","Scorpio","Sagittarius","Capricorn","Aquarius","Pisces"},0),12)+1=(MOD(CALC_D9_BhaveshMap!$H$14-2,12)+1)),AND(FALSE(),MOD(MATCH(CALC_PlanetPositions!$B$15,{"Aries","Taurus","Gemini","Cancer","Leo","Virgo","Libra","Scorpio","Sagittarius","Capricorn","Aquarius","Pisces"},0)-MATCH(CALC_Karakamsha!$B$5,{"Aries","Taurus","Gemini","Cancer","Leo","Virgo","Libra","Scorpio","Sagittarius","Capricorn","Aquarius","Pisces"},0),12)+1=(MOD(CALC_D9_BhaveshMap!$H$14-2,12)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$14,12)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$14,12)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$14,12)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$14,12)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$14,12)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$14,12)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$14,12)+1)),AND(FALSE(),MOD(MATCH(CALC_PlanetPositions!$B$14,{"Aries","Taurus","Gemini","Cancer","Leo","Virgo","Libra","Scorpio","Sagittarius","Capricorn","Aquarius","Pisces"},0)-MATCH(CALC_Karakamsha!$B$5,{"Aries","Taurus","Gemini","Cancer","Leo","Virgo","Libra","Scorpio","Sagittarius","Capricorn","Aquarius","Pisces"},0),12)+1=(MOD(CALC_D9_BhaveshMap!$H$14,12)+1)),AND(FALSE(),MOD(MATCH(CALC_PlanetPositions!$B$15,{"Aries","Taurus","Gemini","Cancer","Leo","Virgo","Libra","Scorpio","Sagittarius","Capricorn","Aquarius","Pisces"},0)-MATCH(CALC_Karakamsha!$B$5,{"Aries","Taurus","Gemini","Cancer","Leo","Virgo","Libra","Scorpio","Sagittarius","Capricorn","Aquarius","Pisces"},0),12)+1=(MOD(CALC_D9_BhaveshMap!$H$14,12)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$14-(MOD(MATCH(CALC_PlanetPositions!$B$7,{"Aries","Taurus","Gemini","Cancer","Leo","Virgo","Libra","Scorpio","Sagittarius","Capricorn","Aquarius","Pisces"},0)-MATCH(CALC_Karakamsha!$B$5,{"Aries","Taurus","Gemini","Cancer","Leo","Virgo","Libra","Scorpio","Sagittarius","Capricorn","Aquarius","Pisces"},0),12)+1),12)+1)="FULL",NOT(CALC_PlanetPositions!$B$7=CALC_D9_BhaveshMap!$G$14)),AND(CALC_PlanetPositions!$M$8="Malefic",INDEX(REF_Aspects!$D$5:$O$13,2,MOD(CALC_D9_BhaveshMap!$H$14-(MOD(MATCH(CALC_PlanetPositions!$B$8,{"Aries","Taurus","Gemini","Cancer","Leo","Virgo","Libra","Scorpio","Sagittarius","Capricorn","Aquarius","Pisces"},0)-MATCH(CALC_Karakamsha!$B$5,{"Aries","Taurus","Gemini","Cancer","Leo","Virgo","Libra","Scorpio","Sagittarius","Capricorn","Aquarius","Pisces"},0),12)+1),12)+1)="FULL",NOT(CALC_PlanetPositions!$B$8=CALC_D9_BhaveshMap!$G$14)),AND(CALC_PlanetPositions!$M$9="Malefic",INDEX(REF_Aspects!$D$5:$O$13,3,MOD(CALC_D9_BhaveshMap!$H$14-(MOD(MATCH(CALC_PlanetPositions!$B$9,{"Aries","Taurus","Gemini","Cancer","Leo","Virgo","Libra","Scorpio","Sagittarius","Capricorn","Aquarius","Pisces"},0)-MATCH(CALC_Karakamsha!$B$5,{"Aries","Taurus","Gemini","Cancer","Leo","Virgo","Libra","Scorpio","Sagittarius","Capricorn","Aquarius","Pisces"},0),12)+1),12)+1)="FULL",NOT(CALC_PlanetPositions!$B$9=CALC_D9_BhaveshMap!$G$14)),AND(CALC_PlanetPositions!$M$10="Malefic",INDEX(REF_Aspects!$D$5:$O$13,4,MOD(CALC_D9_BhaveshMap!$H$14-(MOD(MATCH(CALC_PlanetPositions!$B$10,{"Aries","Taurus","Gemini","Cancer","Leo","Virgo","Libra","Scorpio","Sagittarius","Capricorn","Aquarius","Pisces"},0)-MATCH(CALC_Karakamsha!$B$5,{"Aries","Taurus","Gemini","Cancer","Leo","Virgo","Libra","Scorpio","Sagittarius","Capricorn","Aquarius","Pisces"},0),12)+1),12)+1)="FULL",NOT(CALC_PlanetPositions!$B$10=CALC_D9_BhaveshMap!$G$14)),AND(CALC_PlanetPositions!$M$11="Malefic",INDEX(REF_Aspects!$D$5:$O$13,5,MOD(CALC_D9_BhaveshMap!$H$14-(MOD(MATCH(CALC_PlanetPositions!$B$11,{"Aries","Taurus","Gemini","Cancer","Leo","Virgo","Libra","Scorpio","Sagittarius","Capricorn","Aquarius","Pisces"},0)-MATCH(CALC_Karakamsha!$B$5,{"Aries","Taurus","Gemini","Cancer","Leo","Virgo","Libra","Scorpio","Sagittarius","Capricorn","Aquarius","Pisces"},0),12)+1),12)+1)="FULL",NOT(CALC_PlanetPositions!$B$11=CALC_D9_BhaveshMap!$G$14)),AND(CALC_PlanetPositions!$M$12="Malefic",INDEX(REF_Aspects!$D$5:$O$13,6,MOD(CALC_D9_BhaveshMap!$H$14-(MOD(MATCH(CALC_PlanetPositions!$B$12,{"Aries","Taurus","Gemini","Cancer","Leo","Virgo","Libra","Scorpio","Sagittarius","Capricorn","Aquarius","Pisces"},0)-MATCH(CALC_Karakamsha!$B$5,{"Aries","Taurus","Gemini","Cancer","Leo","Virgo","Libra","Scorpio","Sagittarius","Capricorn","Aquarius","Pisces"},0),12)+1),12)+1)="FULL",NOT(CALC_PlanetPositions!$B$12=CALC_D9_BhaveshMap!$G$14)),AND(CALC_PlanetPositions!$M$13="Malefic",INDEX(REF_Aspects!$D$5:$O$13,7,MOD(CALC_D9_BhaveshMap!$H$14-(MOD(MATCH(CALC_PlanetPositions!$B$13,{"Aries","Taurus","Gemini","Cancer","Leo","Virgo","Libra","Scorpio","Sagittarius","Capricorn","Aquarius","Pisces"},0)-MATCH(CALC_Karakamsha!$B$5,{"Aries","Taurus","Gemini","Cancer","Leo","Virgo","Libra","Scorpio","Sagittarius","Capricorn","Aquarius","Pisces"},0),12)+1),12)+1)="FULL",NOT(CALC_PlanetPositions!$B$13=CALC_D9_BhaveshMap!$G$14)),AND(TRUE(),INDEX(REF_Aspects!$D$5:$O$13,8,MOD(CALC_D9_BhaveshMap!$H$14-(MOD(MATCH(CALC_PlanetPositions!$B$14,{"Aries","Taurus","Gemini","Cancer","Leo","Virgo","Libra","Scorpio","Sagittarius","Capricorn","Aquarius","Pisces"},0)-MATCH(CALC_Karakamsha!$B$5,{"Aries","Taurus","Gemini","Cancer","Leo","Virgo","Libra","Scorpio","Sagittarius","Capricorn","Aquarius","Pisces"},0),12)+1),12)+1)="FULL",NOT(CALC_PlanetPositions!$B$14=CALC_D9_BhaveshMap!$G$14)),AND(TRUE(),INDEX(REF_Aspects!$D$5:$O$13,9,MOD(CALC_D9_BhaveshMap!$H$14-(MOD(MATCH(CALC_PlanetPositions!$B$15,{"Aries","Taurus","Gemini","Cancer","Leo","Virgo","Libra","Scorpio","Sagittarius","Capricorn","Aquarius","Pisces"},0)-MATCH(CALC_Karakamsha!$B$5,{"Aries","Taurus","Gemini","Cancer","Leo","Virgo","Libra","Scorpio","Sagittarius","Capricorn","Aquarius","Pisces"},0),12)+1),12)+1)="FULL",NOT(CALC_PlanetPositions!$B$15=CALC_D9_BhaveshMap!$G$14))),1,0),0))*-0.5,0)</f>
        <v>0</v>
      </c>
      <c r="D21" s="403" t="s">
        <v>4634</v>
      </c>
    </row>
    <row r="22" spans="1:7" ht="27.75" customHeight="1" x14ac:dyDescent="0.2">
      <c r="A22" s="121" t="s">
        <v>4635</v>
      </c>
      <c r="B22" s="357" t="s">
        <v>3042</v>
      </c>
      <c r="C22" s="1117">
        <f>IFERROR((IFERROR(IF(CALC_D9_BhaveshMap!$K$14="Yes",1,0),0))*IF(REF_Config!$B$6="KP",-1.75,IF(REF_Config!$B$6="Jaimini",-2,-2)),0)</f>
        <v>0</v>
      </c>
      <c r="D22" s="400" t="s">
        <v>4636</v>
      </c>
    </row>
    <row r="23" spans="1:7" ht="27.75" customHeight="1" x14ac:dyDescent="0.2">
      <c r="A23" s="121" t="s">
        <v>4637</v>
      </c>
      <c r="B23" s="203" t="s">
        <v>3059</v>
      </c>
      <c r="C23" s="1118">
        <f ca="1">IFERROR((IFERROR(IF(OR(AND(CALC_BhaveshMap!$G$10=CALC_D9_BhaveshMap!$G$14,CALC_BhaveshMap!$D$10&lt;&gt;CALC_D9_BhaveshMap!$D$14),AND(CALC_BhaveshMap!$G$12=CALC_D9_BhaveshMap!$G$14,CALC_BhaveshMap!$D$12&lt;&gt;CALC_D9_BhaveshMap!$D$14),AND(CALC_BhaveshMap!$G$16=CALC_D9_BhaveshMap!$G$14,CALC_BhaveshMap!$D$16&lt;&gt;CALC_D9_BhaveshMap!$D$14)),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IFERROR(IF(OR(CALC_D9_BhaveshMap!$D$14="Sun",CALC_D9_BhaveshMap!$D$14="Rahu",CALC_D9_BhaveshMap!$D$14="Ketu"),0,IF(CALC_D9_BhaveshMap!$D$14="Moon",IF(CALC_CombustionCheck!$G$4="Cazimi ✓",0.5,IF(CALC_CombustionCheck!$F$4="COMBUST ⚠",-1,0)),IF(CALC_D9_BhaveshMap!$D$14="Mars",IF(CALC_CombustionCheck!$G$5="Cazimi ✓",0.5,IF(AND(CALC_CombustionCheck!$F$5="COMBUST ⚠",CALC_RetrogradeFix!$F$6="Rx ✓"),-0.5,IF(CALC_CombustionCheck!$F$5="COMBUST ⚠",-1,0))),IF(CALC_D9_BhaveshMap!$D$14="Mercury",IF(CALC_CombustionCheck!$G$6="Cazimi ✓",0.5,IF(AND(CALC_CombustionCheck!$F$6="COMBUST ⚠",CALC_RetrogradeFix!$F$7="Rx ✓"),-0.5,IF(CALC_CombustionCheck!$F$6="COMBUST ⚠",-1,0))),IF(CALC_D9_BhaveshMap!$D$14="Jupiter",IF(CALC_CombustionCheck!$G$7="Cazimi ✓",0.5,IF(AND(CALC_CombustionCheck!$F$7="COMBUST ⚠",CALC_RetrogradeFix!$F$8="Rx ✓"),-0.5,IF(CALC_CombustionCheck!$F$7="COMBUST ⚠",-1,0))),IF(CALC_D9_BhaveshMap!$D$14="Venus",IF(CALC_CombustionCheck!$G$8="Cazimi ✓",0.5,IF(AND(CALC_CombustionCheck!$F$8="COMBUST ⚠",CALC_RetrogradeFix!$F$9="Rx ✓"),-0.5,IF(CALC_CombustionCheck!$F$8="COMBUST ⚠",-1,0))),IF(CALC_D9_BhaveshMap!$D$14="Saturn",IF(CALC_CombustionCheck!$G$9="Cazimi ✓",0.5,IF(AND(CALC_CombustionCheck!$F$9="COMBUST ⚠",CALC_RetrogradeFix!$F$10="Rx ✓"),-0.5,IF(CALC_CombustionCheck!$F$9="COMBUST ⚠",-1,0))),0))))))),0)</f>
        <v>0</v>
      </c>
      <c r="D27" s="400" t="s">
        <v>4645</v>
      </c>
    </row>
    <row r="28" spans="1:7" ht="27.75" customHeight="1" x14ac:dyDescent="0.2">
      <c r="A28" s="1120" t="s">
        <v>4646</v>
      </c>
      <c r="B28" s="296" t="s">
        <v>3372</v>
      </c>
      <c r="C28" s="1117">
        <f>IFERROR(IF(OR(CALC_D9_BhaveshMap!$D$14="Rahu",CALC_D9_BhaveshMap!$D$14="Ketu"),0,IF(ISNUMBER(MATCH(CALC_D9_BhaveshMap!$D$14,{"Sun","Moon","Mars","Mercury","Jupiter","Venus","Saturn"},0)),IF(INDEX(CALC_DigBala!$F$4:$F$10,MATCH(CALC_D9_BhaveshMap!$D$14,{"Sun","Moon","Mars","Mercury","Jupiter","Venus","Saturn"},0))="Yes",0.5,0),0)),0)</f>
        <v>0</v>
      </c>
      <c r="D28" s="400" t="s">
        <v>4647</v>
      </c>
    </row>
    <row r="29" spans="1:7" ht="27.75" customHeight="1" x14ac:dyDescent="0.2">
      <c r="A29" s="1120" t="s">
        <v>4648</v>
      </c>
      <c r="B29" s="296" t="s">
        <v>3372</v>
      </c>
      <c r="C29" s="1117">
        <f ca="1">IFERROR(IF(COUNTIFS(REF_PushkaraNavamsha!$A$4:$A$27,CALC_D9_BhaveshMap!$G$14,REF_PushkaraNavamsha!$B$4:$B$27,INDEX(CALC_PlanetPositions!$G$7:$G$15,MATCH(CALC_D9_BhaveshMap!$D$14,CALC_PlanetPositions!$A$7:$A$15,0)))&gt;0,0.5,0),0)</f>
        <v>0</v>
      </c>
      <c r="D29" s="400" t="s">
        <v>4649</v>
      </c>
    </row>
    <row r="30" spans="1:7" ht="25.5" customHeight="1" x14ac:dyDescent="0.2">
      <c r="A30" s="147" t="s">
        <v>4650</v>
      </c>
      <c r="B30" s="1121" t="s">
        <v>4651</v>
      </c>
      <c r="C30" s="1122">
        <f>IFERROR(IF(ISNUMBER(MATCH(CALC_D9_BhaveshMap!$D$14,{"Sun","Moon","Mars","Mercury","Jupiter","Venus","Saturn"},0)),INDEX(CALC_RetrogradeFix!$G$4:$G$10,MATCH(CALC_D9_BhaveshMap!$D$14,{"Sun","Moon","Mars","Mercury","Jupiter","Venus","Saturn"},0)),0),0)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0.5</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0</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1</v>
      </c>
      <c r="D37" s="1129"/>
    </row>
    <row r="38" spans="1:4" ht="21.75" customHeight="1" x14ac:dyDescent="0.2">
      <c r="A38" s="89" t="s">
        <v>4661</v>
      </c>
      <c r="B38" s="1129"/>
      <c r="C38" s="1131">
        <f ca="1">IFERROR(MAX(-10,MIN(10,C37)),0)</f>
        <v>1</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1</v>
      </c>
      <c r="D40" s="1136" t="str">
        <f ca="1">IFERROR(IF(C40&gt;=7,"Excellent — Self domain very strong",IF(C40&gt;=4,"Good — Self domain strong",IF(C40&gt;=1,"Moderate",IF(C40&gt;=-2,"Mixed — Self has challenges",IF(C40&gt;=-5,"Weak","Very weak — Self heavily afflicted"))))),"—")</f>
        <v>Moderate</v>
      </c>
    </row>
    <row r="41" spans="1:4" ht="18" customHeight="1" x14ac:dyDescent="0.2">
      <c r="A41" s="338" t="s">
        <v>4664</v>
      </c>
      <c r="B41" s="1129"/>
      <c r="C41" s="470" t="str">
        <f ca="1">IFERROR(IF(AND(C32&gt;0,C33&gt;0,C34=0,C35=0),"Nirvivad ✓","Vivadit"),"—")</f>
        <v>Nirvivad ✓</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4766</v>
      </c>
      <c r="B1" s="1518"/>
      <c r="C1" s="1518"/>
      <c r="D1" s="1518"/>
      <c r="L1" s="544" t="s">
        <v>2214</v>
      </c>
    </row>
    <row r="2" spans="1:12" ht="19.5" customHeight="1" x14ac:dyDescent="0.2">
      <c r="A2" s="1595" t="str">
        <f>IFERROR("Karakamsha Lagna: "&amp;CALC_Karakamsha!$B$5&amp;"  ·  H11 — Gains from soul's seat","← Enter chart")</f>
        <v>Karakamsha Lagna: Sun  ·  H11 — Gains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IFERROR((IFERROR(IF(INDEX(REF_Zodiac!$D$17:$O$17,MATCH(CALC_D9_BhaveshMap!$C$15,REF_Zodiac!$D$3:$O$3,0))="Gentle",1,0),0))*0.5,0)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IFERROR(IF(AND(OR(CALC_D9_BhaveshMap!$I$15="Yes",CALC_D9_BhaveshMap!$J$15="Yes"),NOT(CALC_D9_BhaveshMap!$K$15="Yes")),1,0)*IF(REF_Config!$B$6="KP",1.5,IF(REF_Config!$B$6="Jaimini",1.5,2)),0)</f>
        <v>0</v>
      </c>
      <c r="D9" s="403" t="s">
        <v>4612</v>
      </c>
    </row>
    <row r="10" spans="1:12" ht="27.75" customHeight="1" x14ac:dyDescent="0.2">
      <c r="A10" s="121" t="s">
        <v>4613</v>
      </c>
      <c r="B10" s="357" t="s">
        <v>3093</v>
      </c>
      <c r="C10" s="1117">
        <f ca="1">IFERROR((IFERROR(IF(OR(AND(CALC_D9_BhaveshMap!$G$15=CALC_D9_BhaveshMap!$G$15,CALC_D9_BhaveshMap!$D$15&lt;&gt;CALC_D9_BhaveshMap!$D$15),AND(CALC_BhaveshMap!$G$8=CALC_D9_BhaveshMap!$G$15,CALC_BhaveshMap!$D$8&lt;&gt;CALC_D9_BhaveshMap!$D$15),AND(CALC_BhaveshMap!$G$9=CALC_D9_BhaveshMap!$G$15,CALC_BhaveshMap!$D$9&lt;&gt;CALC_D9_BhaveshMap!$D$15),AND(CALC_BhaveshMap!$G$11=CALC_D9_BhaveshMap!$G$15,CALC_BhaveshMap!$D$11&lt;&gt;CALC_D9_BhaveshMap!$D$15),AND(CALC_BhaveshMap!$G$13=CALC_D9_BhaveshMap!$G$15,CALC_BhaveshMap!$D$13&lt;&gt;CALC_D9_BhaveshMap!$D$15),AND(CALC_BhaveshMap!$G$14=CALC_D9_BhaveshMap!$G$15,CALC_BhaveshMap!$D$14&lt;&gt;CALC_D9_BhaveshMap!$D$15)),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$15,CALC_D9_BhaveshMap!$D$15&lt;&gt;"Sun"),AND(OR(CALC_PlanetPositions!$M$8="Benefic",CALC_PlanetPositions!$M$8="Yogakaraka"),CALC_PlanetPositions!$B$8=CALC_D9_BhaveshMap!$G$15,CALC_D9_BhaveshMap!$D$15&lt;&gt;"Moon"),AND(OR(CALC_PlanetPositions!$M$9="Benefic",CALC_PlanetPositions!$M$9="Yogakaraka"),CALC_PlanetPositions!$B$9=CALC_D9_BhaveshMap!$G$15,CALC_D9_BhaveshMap!$D$15&lt;&gt;"Mars"),AND(OR(CALC_PlanetPositions!$M$10="Benefic",CALC_PlanetPositions!$M$10="Yogakaraka"),CALC_PlanetPositions!$B$10=CALC_D9_BhaveshMap!$G$15,CALC_D9_BhaveshMap!$D$15&lt;&gt;"Mercury"),AND(OR(CALC_PlanetPositions!$M$11="Benefic",CALC_PlanetPositions!$M$11="Yogakaraka"),CALC_PlanetPositions!$B$11=CALC_D9_BhaveshMap!$G$15,CALC_D9_BhaveshMap!$D$15&lt;&gt;"Jupiter"),AND(OR(CALC_PlanetPositions!$M$12="Benefic",CALC_PlanetPositions!$M$12="Yogakaraka"),CALC_PlanetPositions!$B$12=CALC_D9_BhaveshMap!$G$15,CALC_D9_BhaveshMap!$D$15&lt;&gt;"Venus"),AND(OR(CALC_PlanetPositions!$M$13="Benefic",CALC_PlanetPositions!$M$13="Yogakaraka"),CALC_PlanetPositions!$B$13=CALC_D9_BhaveshMap!$G$15,CALC_D9_BhaveshMap!$D$15&lt;&gt;"Saturn")),1,0),0))*IF(OR(AND(CALC_PlanetPositions!$M$7="Yogakaraka",CALC_PlanetPositions!$B$7=CALC_D9_BhaveshMap!$G$15,CALC_D9_BhaveshMap!$D$15&lt;&gt;"Sun"),AND(CALC_PlanetPositions!$M$8="Yogakaraka",CALC_PlanetPositions!$B$8=CALC_D9_BhaveshMap!$G$15,CALC_D9_BhaveshMap!$D$15&lt;&gt;"Moon"),AND(CALC_PlanetPositions!$M$9="Yogakaraka",CALC_PlanetPositions!$B$9=CALC_D9_BhaveshMap!$G$15,CALC_D9_BhaveshMap!$D$15&lt;&gt;"Mars"),AND(CALC_PlanetPositions!$M$10="Yogakaraka",CALC_PlanetPositions!$B$10=CALC_D9_BhaveshMap!$G$15,CALC_D9_BhaveshMap!$D$15&lt;&gt;"Mercury"),AND(CALC_PlanetPositions!$M$11="Yogakaraka",CALC_PlanetPositions!$B$11=CALC_D9_BhaveshMap!$G$15,CALC_D9_BhaveshMap!$D$15&lt;&gt;"Jupiter"),AND(CALC_PlanetPositions!$M$12="Yogakaraka",CALC_PlanetPositions!$B$12=CALC_D9_BhaveshMap!$G$15,CALC_D9_BhaveshMap!$D$15&lt;&gt;"Venus"),AND(CALC_PlanetPositions!$M$13="Yogakaraka",CALC_PlanetPositions!$B$13=CALC_D9_BhaveshMap!$G$15,CALC_D9_BhaveshMap!$D$15&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$15-(MOD(MATCH(CALC_PlanetPositions!$B$7,{"Aries","Taurus","Gemini","Cancer","Leo","Virgo","Libra","Scorpio","Sagittarius","Capricorn","Aquarius","Pisces"},0)-MATCH(CALC_Karakamsha!$B$5,{"Aries","Taurus","Gemini","Cancer","Leo","Virgo","Libra","Scorpio","Sagittarius","Capricorn","Aquarius","Pisces"},0),12)+1),12)+1)="FULL",NOT(CALC_PlanetPositions!$B$7=CALC_D9_BhaveshMap!$G$15)),AND(OR(CALC_PlanetPositions!$M$8="Benefic",CALC_PlanetPositions!$M$8="Yogakaraka"),INDEX(REF_Aspects!$D$5:$O$13,2,MOD(CALC_D9_BhaveshMap!$H$15-(MOD(MATCH(CALC_PlanetPositions!$B$8,{"Aries","Taurus","Gemini","Cancer","Leo","Virgo","Libra","Scorpio","Sagittarius","Capricorn","Aquarius","Pisces"},0)-MATCH(CALC_Karakamsha!$B$5,{"Aries","Taurus","Gemini","Cancer","Leo","Virgo","Libra","Scorpio","Sagittarius","Capricorn","Aquarius","Pisces"},0),12)+1),12)+1)="FULL",NOT(CALC_PlanetPositions!$B$8=CALC_D9_BhaveshMap!$G$15)),AND(OR(CALC_PlanetPositions!$M$9="Benefic",CALC_PlanetPositions!$M$9="Yogakaraka"),INDEX(REF_Aspects!$D$5:$O$13,3,MOD(CALC_D9_BhaveshMap!$H$15-(MOD(MATCH(CALC_PlanetPositions!$B$9,{"Aries","Taurus","Gemini","Cancer","Leo","Virgo","Libra","Scorpio","Sagittarius","Capricorn","Aquarius","Pisces"},0)-MATCH(CALC_Karakamsha!$B$5,{"Aries","Taurus","Gemini","Cancer","Leo","Virgo","Libra","Scorpio","Sagittarius","Capricorn","Aquarius","Pisces"},0),12)+1),12)+1)="FULL",NOT(CALC_PlanetPositions!$B$9=CALC_D9_BhaveshMap!$G$15)),AND(OR(CALC_PlanetPositions!$M$10="Benefic",CALC_PlanetPositions!$M$10="Yogakaraka"),INDEX(REF_Aspects!$D$5:$O$13,4,MOD(CALC_D9_BhaveshMap!$H$15-(MOD(MATCH(CALC_PlanetPositions!$B$10,{"Aries","Taurus","Gemini","Cancer","Leo","Virgo","Libra","Scorpio","Sagittarius","Capricorn","Aquarius","Pisces"},0)-MATCH(CALC_Karakamsha!$B$5,{"Aries","Taurus","Gemini","Cancer","Leo","Virgo","Libra","Scorpio","Sagittarius","Capricorn","Aquarius","Pisces"},0),12)+1),12)+1)="FULL",NOT(CALC_PlanetPositions!$B$10=CALC_D9_BhaveshMap!$G$15)),AND(OR(CALC_PlanetPositions!$M$11="Benefic",CALC_PlanetPositions!$M$11="Yogakaraka"),INDEX(REF_Aspects!$D$5:$O$13,5,MOD(CALC_D9_BhaveshMap!$H$15-(MOD(MATCH(CALC_PlanetPositions!$B$11,{"Aries","Taurus","Gemini","Cancer","Leo","Virgo","Libra","Scorpio","Sagittarius","Capricorn","Aquarius","Pisces"},0)-MATCH(CALC_Karakamsha!$B$5,{"Aries","Taurus","Gemini","Cancer","Leo","Virgo","Libra","Scorpio","Sagittarius","Capricorn","Aquarius","Pisces"},0),12)+1),12)+1)="FULL",NOT(CALC_PlanetPositions!$B$11=CALC_D9_BhaveshMap!$G$15)),AND(OR(CALC_PlanetPositions!$M$12="Benefic",CALC_PlanetPositions!$M$12="Yogakaraka"),INDEX(REF_Aspects!$D$5:$O$13,6,MOD(CALC_D9_BhaveshMap!$H$15-(MOD(MATCH(CALC_PlanetPositions!$B$12,{"Aries","Taurus","Gemini","Cancer","Leo","Virgo","Libra","Scorpio","Sagittarius","Capricorn","Aquarius","Pisces"},0)-MATCH(CALC_Karakamsha!$B$5,{"Aries","Taurus","Gemini","Cancer","Leo","Virgo","Libra","Scorpio","Sagittarius","Capricorn","Aquarius","Pisces"},0),12)+1),12)+1)="FULL",NOT(CALC_PlanetPositions!$B$12=CALC_D9_BhaveshMap!$G$15)),AND(OR(CALC_PlanetPositions!$M$13="Benefic",CALC_PlanetPositions!$M$13="Yogakaraka"),INDEX(REF_Aspects!$D$5:$O$13,7,MOD(CALC_D9_BhaveshMap!$H$15-(MOD(MATCH(CALC_PlanetPositions!$B$13,{"Aries","Taurus","Gemini","Cancer","Leo","Virgo","Libra","Scorpio","Sagittarius","Capricorn","Aquarius","Pisces"},0)-MATCH(CALC_Karakamsha!$B$5,{"Aries","Taurus","Gemini","Cancer","Leo","Virgo","Libra","Scorpio","Sagittarius","Capricorn","Aquarius","Pisces"},0),12)+1),12)+1)="FULL",NOT(CALC_PlanetPositions!$B$13=CALC_D9_BhaveshMap!$G$15)),AND(FALSE(),INDEX(REF_Aspects!$D$5:$O$13,8,MOD(CALC_D9_BhaveshMap!$H$15-(MOD(MATCH(CALC_PlanetPositions!$B$14,{"Aries","Taurus","Gemini","Cancer","Leo","Virgo","Libra","Scorpio","Sagittarius","Capricorn","Aquarius","Pisces"},0)-MATCH(CALC_Karakamsha!$B$5,{"Aries","Taurus","Gemini","Cancer","Leo","Virgo","Libra","Scorpio","Sagittarius","Capricorn","Aquarius","Pisces"},0),12)+1),12)+1)="FULL",NOT(CALC_PlanetPositions!$B$14=CALC_D9_BhaveshMap!$G$15)),AND(FALSE(),INDEX(REF_Aspects!$D$5:$O$13,9,MOD(CALC_D9_BhaveshMap!$H$15-(MOD(MATCH(CALC_PlanetPositions!$B$15,{"Aries","Taurus","Gemini","Cancer","Leo","Virgo","Libra","Scorpio","Sagittarius","Capricorn","Aquarius","Pisces"},0)-MATCH(CALC_Karakamsha!$B$5,{"Aries","Taurus","Gemini","Cancer","Leo","Virgo","Libra","Scorpio","Sagittarius","Capricorn","Aquarius","Pisces"},0),12)+1),12)+1)="FULL",NOT(CALC_PlanetPositions!$B$15=CALC_D9_BhaveshMap!$G$15))),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$15-2,12)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$15-2,12)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$15-2,12)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$15-2,12)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$15-2,12)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$15-2,12)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$15-2,12)+1)),AND(FALSE(),MOD(MATCH(CALC_PlanetPositions!$B$14,{"Aries","Taurus","Gemini","Cancer","Leo","Virgo","Libra","Scorpio","Sagittarius","Capricorn","Aquarius","Pisces"},0)-MATCH(CALC_Karakamsha!$B$5,{"Aries","Taurus","Gemini","Cancer","Leo","Virgo","Libra","Scorpio","Sagittarius","Capricorn","Aquarius","Pisces"},0),12)+1=(MOD(CALC_D9_BhaveshMap!$H$15-2,12)+1)),AND(FALSE(),MOD(MATCH(CALC_PlanetPositions!$B$15,{"Aries","Taurus","Gemini","Cancer","Leo","Virgo","Libra","Scorpio","Sagittarius","Capricorn","Aquarius","Pisces"},0)-MATCH(CALC_Karakamsha!$B$5,{"Aries","Taurus","Gemini","Cancer","Leo","Virgo","Libra","Scorpio","Sagittarius","Capricorn","Aquarius","Pisces"},0),12)+1=(MOD(CALC_D9_BhaveshMap!$H$15-2,12)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$15,12)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$15,12)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$15,12)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$15,12)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$15,12)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$15,12)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$15,12)+1)),AND(FALSE(),MOD(MATCH(CALC_PlanetPositions!$B$14,{"Aries","Taurus","Gemini","Cancer","Leo","Virgo","Libra","Scorpio","Sagittarius","Capricorn","Aquarius","Pisces"},0)-MATCH(CALC_Karakamsha!$B$5,{"Aries","Taurus","Gemini","Cancer","Leo","Virgo","Libra","Scorpio","Sagittarius","Capricorn","Aquarius","Pisces"},0),12)+1=(MOD(CALC_D9_BhaveshMap!$H$15,12)+1)),AND(FALSE(),MOD(MATCH(CALC_PlanetPositions!$B$15,{"Aries","Taurus","Gemini","Cancer","Leo","Virgo","Libra","Scorpio","Sagittarius","Capricorn","Aquarius","Pisces"},0)-MATCH(CALC_Karakamsha!$B$5,{"Aries","Taurus","Gemini","Cancer","Leo","Virgo","Libra","Scorpio","Sagittarius","Capricorn","Aquarius","Pisces"},0),12)+1=(MOD(CALC_D9_BhaveshMap!$H$15,12)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$15-(MOD(MATCH(CALC_PlanetPositions!$B$7,{"Aries","Taurus","Gemini","Cancer","Leo","Virgo","Libra","Scorpio","Sagittarius","Capricorn","Aquarius","Pisces"},0)-MATCH(CALC_Karakamsha!$B$5,{"Aries","Taurus","Gemini","Cancer","Leo","Virgo","Libra","Scorpio","Sagittarius","Capricorn","Aquarius","Pisces"},0),12)+1),12)+1)="FULL",NOT(CALC_PlanetPositions!$B$7=CALC_D9_BhaveshMap!$G$15)),AND(CALC_PlanetPositions!$M$8="Malefic",INDEX(REF_Aspects!$D$5:$O$13,2,MOD(CALC_D9_BhaveshMap!$H$15-(MOD(MATCH(CALC_PlanetPositions!$B$8,{"Aries","Taurus","Gemini","Cancer","Leo","Virgo","Libra","Scorpio","Sagittarius","Capricorn","Aquarius","Pisces"},0)-MATCH(CALC_Karakamsha!$B$5,{"Aries","Taurus","Gemini","Cancer","Leo","Virgo","Libra","Scorpio","Sagittarius","Capricorn","Aquarius","Pisces"},0),12)+1),12)+1)="FULL",NOT(CALC_PlanetPositions!$B$8=CALC_D9_BhaveshMap!$G$15)),AND(CALC_PlanetPositions!$M$9="Malefic",INDEX(REF_Aspects!$D$5:$O$13,3,MOD(CALC_D9_BhaveshMap!$H$15-(MOD(MATCH(CALC_PlanetPositions!$B$9,{"Aries","Taurus","Gemini","Cancer","Leo","Virgo","Libra","Scorpio","Sagittarius","Capricorn","Aquarius","Pisces"},0)-MATCH(CALC_Karakamsha!$B$5,{"Aries","Taurus","Gemini","Cancer","Leo","Virgo","Libra","Scorpio","Sagittarius","Capricorn","Aquarius","Pisces"},0),12)+1),12)+1)="FULL",NOT(CALC_PlanetPositions!$B$9=CALC_D9_BhaveshMap!$G$15)),AND(CALC_PlanetPositions!$M$10="Malefic",INDEX(REF_Aspects!$D$5:$O$13,4,MOD(CALC_D9_BhaveshMap!$H$15-(MOD(MATCH(CALC_PlanetPositions!$B$10,{"Aries","Taurus","Gemini","Cancer","Leo","Virgo","Libra","Scorpio","Sagittarius","Capricorn","Aquarius","Pisces"},0)-MATCH(CALC_Karakamsha!$B$5,{"Aries","Taurus","Gemini","Cancer","Leo","Virgo","Libra","Scorpio","Sagittarius","Capricorn","Aquarius","Pisces"},0),12)+1),12)+1)="FULL",NOT(CALC_PlanetPositions!$B$10=CALC_D9_BhaveshMap!$G$15)),AND(CALC_PlanetPositions!$M$11="Malefic",INDEX(REF_Aspects!$D$5:$O$13,5,MOD(CALC_D9_BhaveshMap!$H$15-(MOD(MATCH(CALC_PlanetPositions!$B$11,{"Aries","Taurus","Gemini","Cancer","Leo","Virgo","Libra","Scorpio","Sagittarius","Capricorn","Aquarius","Pisces"},0)-MATCH(CALC_Karakamsha!$B$5,{"Aries","Taurus","Gemini","Cancer","Leo","Virgo","Libra","Scorpio","Sagittarius","Capricorn","Aquarius","Pisces"},0),12)+1),12)+1)="FULL",NOT(CALC_PlanetPositions!$B$11=CALC_D9_BhaveshMap!$G$15)),AND(CALC_PlanetPositions!$M$12="Malefic",INDEX(REF_Aspects!$D$5:$O$13,6,MOD(CALC_D9_BhaveshMap!$H$15-(MOD(MATCH(CALC_PlanetPositions!$B$12,{"Aries","Taurus","Gemini","Cancer","Leo","Virgo","Libra","Scorpio","Sagittarius","Capricorn","Aquarius","Pisces"},0)-MATCH(CALC_Karakamsha!$B$5,{"Aries","Taurus","Gemini","Cancer","Leo","Virgo","Libra","Scorpio","Sagittarius","Capricorn","Aquarius","Pisces"},0),12)+1),12)+1)="FULL",NOT(CALC_PlanetPositions!$B$12=CALC_D9_BhaveshMap!$G$15)),AND(CALC_PlanetPositions!$M$13="Malefic",INDEX(REF_Aspects!$D$5:$O$13,7,MOD(CALC_D9_BhaveshMap!$H$15-(MOD(MATCH(CALC_PlanetPositions!$B$13,{"Aries","Taurus","Gemini","Cancer","Leo","Virgo","Libra","Scorpio","Sagittarius","Capricorn","Aquarius","Pisces"},0)-MATCH(CALC_Karakamsha!$B$5,{"Aries","Taurus","Gemini","Cancer","Leo","Virgo","Libra","Scorpio","Sagittarius","Capricorn","Aquarius","Pisces"},0),12)+1),12)+1)="FULL",NOT(CALC_PlanetPositions!$B$13=CALC_D9_BhaveshMap!$G$15)),AND(TRUE(),INDEX(REF_Aspects!$D$5:$O$13,8,MOD(CALC_D9_BhaveshMap!$H$15-(MOD(MATCH(CALC_PlanetPositions!$B$14,{"Aries","Taurus","Gemini","Cancer","Leo","Virgo","Libra","Scorpio","Sagittarius","Capricorn","Aquarius","Pisces"},0)-MATCH(CALC_Karakamsha!$B$5,{"Aries","Taurus","Gemini","Cancer","Leo","Virgo","Libra","Scorpio","Sagittarius","Capricorn","Aquarius","Pisces"},0),12)+1),12)+1)="FULL",NOT(CALC_PlanetPositions!$B$14=CALC_D9_BhaveshMap!$G$15)),AND(TRUE(),INDEX(REF_Aspects!$D$5:$O$13,9,MOD(CALC_D9_BhaveshMap!$H$15-(MOD(MATCH(CALC_PlanetPositions!$B$15,{"Aries","Taurus","Gemini","Cancer","Leo","Virgo","Libra","Scorpio","Sagittarius","Capricorn","Aquarius","Pisces"},0)-MATCH(CALC_Karakamsha!$B$5,{"Aries","Taurus","Gemini","Cancer","Leo","Virgo","Libra","Scorpio","Sagittarius","Capricorn","Aquarius","Pisces"},0),12)+1),12)+1)="FULL",NOT(CALC_PlanetPositions!$B$15=CALC_D9_BhaveshMap!$G$15))),1,0),0))*-0.5,0)</f>
        <v>0</v>
      </c>
      <c r="D21" s="403" t="s">
        <v>4634</v>
      </c>
    </row>
    <row r="22" spans="1:7" ht="27.75" customHeight="1" x14ac:dyDescent="0.2">
      <c r="A22" s="121" t="s">
        <v>4635</v>
      </c>
      <c r="B22" s="357" t="s">
        <v>3042</v>
      </c>
      <c r="C22" s="1117">
        <f>IFERROR((IFERROR(IF(CALC_D9_BhaveshMap!$K$15="Yes",1,0),0))*IF(REF_Config!$B$6="KP",-1.75,IF(REF_Config!$B$6="Jaimini",-2,-2)),0)</f>
        <v>0</v>
      </c>
      <c r="D22" s="400" t="s">
        <v>4636</v>
      </c>
    </row>
    <row r="23" spans="1:7" ht="27.75" customHeight="1" x14ac:dyDescent="0.2">
      <c r="A23" s="121" t="s">
        <v>4637</v>
      </c>
      <c r="B23" s="203" t="s">
        <v>3059</v>
      </c>
      <c r="C23" s="1118">
        <f ca="1">IFERROR((IFERROR(IF(OR(AND(CALC_BhaveshMap!$G$10=CALC_D9_BhaveshMap!$G$15,CALC_BhaveshMap!$D$10&lt;&gt;CALC_D9_BhaveshMap!$D$15),AND(CALC_BhaveshMap!$G$12=CALC_D9_BhaveshMap!$G$15,CALC_BhaveshMap!$D$12&lt;&gt;CALC_D9_BhaveshMap!$D$15),AND(CALC_BhaveshMap!$G$16=CALC_D9_BhaveshMap!$G$15,CALC_BhaveshMap!$D$16&lt;&gt;CALC_D9_BhaveshMap!$D$15)),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IFERROR(IF(OR(CALC_D9_BhaveshMap!$D$15="Sun",CALC_D9_BhaveshMap!$D$15="Rahu",CALC_D9_BhaveshMap!$D$15="Ketu"),0,IF(CALC_D9_BhaveshMap!$D$15="Moon",IF(CALC_CombustionCheck!$G$4="Cazimi ✓",0.5,IF(CALC_CombustionCheck!$F$4="COMBUST ⚠",-1,0)),IF(CALC_D9_BhaveshMap!$D$15="Mars",IF(CALC_CombustionCheck!$G$5="Cazimi ✓",0.5,IF(AND(CALC_CombustionCheck!$F$5="COMBUST ⚠",CALC_RetrogradeFix!$F$6="Rx ✓"),-0.5,IF(CALC_CombustionCheck!$F$5="COMBUST ⚠",-1,0))),IF(CALC_D9_BhaveshMap!$D$15="Mercury",IF(CALC_CombustionCheck!$G$6="Cazimi ✓",0.5,IF(AND(CALC_CombustionCheck!$F$6="COMBUST ⚠",CALC_RetrogradeFix!$F$7="Rx ✓"),-0.5,IF(CALC_CombustionCheck!$F$6="COMBUST ⚠",-1,0))),IF(CALC_D9_BhaveshMap!$D$15="Jupiter",IF(CALC_CombustionCheck!$G$7="Cazimi ✓",0.5,IF(AND(CALC_CombustionCheck!$F$7="COMBUST ⚠",CALC_RetrogradeFix!$F$8="Rx ✓"),-0.5,IF(CALC_CombustionCheck!$F$7="COMBUST ⚠",-1,0))),IF(CALC_D9_BhaveshMap!$D$15="Venus",IF(CALC_CombustionCheck!$G$8="Cazimi ✓",0.5,IF(AND(CALC_CombustionCheck!$F$8="COMBUST ⚠",CALC_RetrogradeFix!$F$9="Rx ✓"),-0.5,IF(CALC_CombustionCheck!$F$8="COMBUST ⚠",-1,0))),IF(CALC_D9_BhaveshMap!$D$15="Saturn",IF(CALC_CombustionCheck!$G$9="Cazimi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9_BhaveshMap!$D$15="Rahu",CALC_D9_BhaveshMap!$D$15="Ketu"),0,IF(ISNUMBER(MATCH(CALC_D9_BhaveshMap!$D$15,{"Sun","Moon","Mars","Mercury","Jupiter","Venus","Saturn"},0)),IF(INDEX(CALC_DigBala!$F$4:$F$10,MATCH(CALC_D9_BhaveshMap!$D$15,{"Sun","Moon","Mars","Mercury","Jupiter","Venus","Saturn"},0))="Yes",0.5,0),0)),0)</f>
        <v>0</v>
      </c>
      <c r="D28" s="400" t="s">
        <v>4647</v>
      </c>
    </row>
    <row r="29" spans="1:7" ht="27.75" customHeight="1" x14ac:dyDescent="0.2">
      <c r="A29" s="1120" t="s">
        <v>4648</v>
      </c>
      <c r="B29" s="296" t="s">
        <v>3372</v>
      </c>
      <c r="C29" s="1117">
        <f ca="1">IFERROR(IF(COUNTIFS(REF_PushkaraNavamsha!$A$4:$A$27,CALC_D9_BhaveshMap!$G$15,REF_PushkaraNavamsha!$B$4:$B$27,INDEX(CALC_PlanetPositions!$G$7:$G$15,MATCH(CALC_D9_BhaveshMap!$D$15,CALC_PlanetPositions!$A$7:$A$15,0)))&gt;0,0.5,0),0)</f>
        <v>0</v>
      </c>
      <c r="D29" s="400" t="s">
        <v>4649</v>
      </c>
    </row>
    <row r="30" spans="1:7" ht="25.5" customHeight="1" x14ac:dyDescent="0.2">
      <c r="A30" s="147" t="s">
        <v>4650</v>
      </c>
      <c r="B30" s="1121" t="s">
        <v>4651</v>
      </c>
      <c r="C30" s="1122">
        <f>IFERROR(IF(ISNUMBER(MATCH(CALC_D9_BhaveshMap!$D$15,{"Sun","Moon","Mars","Mercury","Jupiter","Venus","Saturn"},0)),INDEX(CALC_RetrogradeFix!$G$4:$G$10,MATCH(CALC_D9_BhaveshMap!$D$15,{"Sun","Moon","Mars","Mercury","Jupiter","Venus","Saturn"},0)),0),0)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-0.5</v>
      </c>
      <c r="D37" s="1129"/>
    </row>
    <row r="38" spans="1:4" ht="21.75" customHeight="1" x14ac:dyDescent="0.2">
      <c r="A38" s="89" t="s">
        <v>4661</v>
      </c>
      <c r="B38" s="1129"/>
      <c r="C38" s="1131">
        <f ca="1">IFERROR(MAX(-10,MIN(10,C37)),0)</f>
        <v>-0.5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-0.5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338" t="s">
        <v>4664</v>
      </c>
      <c r="B41" s="1129"/>
      <c r="C41" s="470" t="str">
        <f ca="1">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tabColor rgb="FFB71C1C"/>
  </sheetPr>
  <dimension ref="A1:L42"/>
  <sheetViews>
    <sheetView zoomScaleNormal="100" workbookViewId="0"/>
  </sheetViews>
  <sheetFormatPr defaultColWidth="8.609375" defaultRowHeight="15" x14ac:dyDescent="0.2"/>
  <cols>
    <col min="1" max="1" width="13.98828125" customWidth="1"/>
    <col min="2" max="2" width="29.99609375" customWidth="1"/>
    <col min="3" max="3" width="13.98828125" customWidth="1"/>
    <col min="4" max="4" width="53.94140625" customWidth="1"/>
  </cols>
  <sheetData>
    <row r="1" spans="1:12" ht="25.5" customHeight="1" x14ac:dyDescent="0.2">
      <c r="A1" s="1518" t="s">
        <v>4767</v>
      </c>
      <c r="B1" s="1518"/>
      <c r="C1" s="1518"/>
      <c r="D1" s="1518"/>
      <c r="L1" s="544" t="s">
        <v>2214</v>
      </c>
    </row>
    <row r="2" spans="1:12" ht="19.5" customHeight="1" x14ac:dyDescent="0.2">
      <c r="A2" s="1595" t="str">
        <f>IFERROR("Karakamsha Lagna: "&amp;CALC_Karakamsha!$B$5&amp;"  ·  H12 — Liberation from soul's seat","← Enter chart")</f>
        <v>Karakamsha Lagna: Sun  ·  H12 — Liberation from soul's seat</v>
      </c>
      <c r="B2" s="1595"/>
      <c r="C2" s="1595"/>
      <c r="D2" s="1595"/>
    </row>
    <row r="3" spans="1:12" ht="18" customHeight="1" x14ac:dyDescent="0.2">
      <c r="A3" s="87" t="s">
        <v>2393</v>
      </c>
      <c r="B3" s="516" t="s">
        <v>4603</v>
      </c>
      <c r="C3" s="517" t="s">
        <v>4287</v>
      </c>
      <c r="D3" s="89" t="s">
        <v>4604</v>
      </c>
    </row>
    <row r="4" spans="1:12" ht="15.75" customHeight="1" x14ac:dyDescent="0.2">
      <c r="A4" s="1596" t="s">
        <v>3367</v>
      </c>
      <c r="B4" s="1596"/>
      <c r="C4" s="1596"/>
      <c r="D4" s="1596"/>
    </row>
    <row r="5" spans="1:12" ht="27.75" customHeight="1" x14ac:dyDescent="0.2">
      <c r="A5" s="121" t="s">
        <v>4605</v>
      </c>
      <c r="B5" s="357" t="s">
        <v>4529</v>
      </c>
      <c r="C5" s="1117">
        <f>IFERROR((IFERROR(IF(INDEX(REF_Zodiac!$D$17:$O$17,MATCH(CALC_D9_BhaveshMap!$C$16,REF_Zodiac!$D$3:$O$3,0))="Gentle",1,0),0))*0.5,0)</f>
        <v>0</v>
      </c>
      <c r="D5" s="400" t="s">
        <v>4606</v>
      </c>
    </row>
    <row r="6" spans="1:12" ht="27.75" customHeight="1" x14ac:dyDescent="0.2">
      <c r="A6" s="121" t="s">
        <v>4607</v>
      </c>
      <c r="B6" s="203" t="s">
        <v>4531</v>
      </c>
      <c r="C6" s="1118">
        <f>IFERROR((IFERROR(IF(OR(AND(OR(CALC_PlanetPositions!$M$7="Benefic",CALC_PlanetPositions!$M$7="Yogakaraka"),(MOD(MATCH(CALC_PlanetPositions!$B$7,{"Aries","Taurus","Gemini","Cancer","Leo","Virgo","Libra","Scorpio","Sagittarius","Capricorn","Aquarius","Pisces"},0)-MATCH(CALC_Karakamsha!$B$5,{"Aries","Taurus","Gemini","Cancer","Leo","Virgo","Libra","Scorpio","Sagittarius","Capricorn","Aquarius","Pisces"},0),12)+1)=1),AND(OR(CALC_PlanetPositions!$M$8="Benefic",CALC_PlanetPositions!$M$8="Yogakaraka"),(MOD(MATCH(CALC_PlanetPositions!$B$8,{"Aries","Taurus","Gemini","Cancer","Leo","Virgo","Libra","Scorpio","Sagittarius","Capricorn","Aquarius","Pisces"},0)-MATCH(CALC_Karakamsha!$B$5,{"Aries","Taurus","Gemini","Cancer","Leo","Virgo","Libra","Scorpio","Sagittarius","Capricorn","Aquarius","Pisces"},0),12)+1)=1),AND(OR(CALC_PlanetPositions!$M$9="Benefic",CALC_PlanetPositions!$M$9="Yogakaraka"),(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1)),1,0),0))*IF(OR(AND(CALC_PlanetPositions!$M$7="Yogakaraka",(MOD(MATCH(CALC_PlanetPositions!$B$7,{"Aries","Taurus","Gemini","Cancer","Leo","Virgo","Libra","Scorpio","Sagittarius","Capricorn","Aquarius","Pisces"},0)-MATCH(CALC_Karakamsha!$B$5,{"Aries","Taurus","Gemini","Cancer","Leo","Virgo","Libra","Scorpio","Sagittarius","Capricorn","Aquarius","Pisces"},0),12)+1)=1),AND(CALC_PlanetPositions!$M$8="Yogakaraka",(MOD(MATCH(CALC_PlanetPositions!$B$8,{"Aries","Taurus","Gemini","Cancer","Leo","Virgo","Libra","Scorpio","Sagittarius","Capricorn","Aquarius","Pisces"},0)-MATCH(CALC_Karakamsha!$B$5,{"Aries","Taurus","Gemini","Cancer","Leo","Virgo","Libra","Scorpio","Sagittarius","Capricorn","Aquarius","Pisces"},0),12)+1)=1),AND(CALC_PlanetPositions!$M$9="Yogakaraka",(MOD(MATCH(CALC_PlanetPositions!$B$9,{"Aries","Taurus","Gemini","Cancer","Leo","Virgo","Libra","Scorpio","Sagittarius","Capricorn","Aquarius","Pisces"},0)-MATCH(CALC_Karakamsha!$B$5,{"Aries","Taurus","Gemini","Cancer","Leo","Virgo","Libra","Scorpio","Sagittarius","Capricorn","Aquarius","Pisces"},0),12)+1)=1),AND(CALC_PlanetPositions!$M$10="Yogakaraka",(MOD(MATCH(CALC_PlanetPositions!$B$10,{"Aries","Taurus","Gemini","Cancer","Leo","Virgo","Libra","Scorpio","Sagittarius","Capricorn","Aquarius","Pisces"},0)-MATCH(CALC_Karakamsha!$B$5,{"Aries","Taurus","Gemini","Cancer","Leo","Virgo","Libra","Scorpio","Sagittarius","Capricorn","Aquarius","Pisces"},0),12)+1)=1),AND(CALC_PlanetPositions!$M$11="Yogakaraka",(MOD(MATCH(CALC_PlanetPositions!$B$11,{"Aries","Taurus","Gemini","Cancer","Leo","Virgo","Libra","Scorpio","Sagittarius","Capricorn","Aquarius","Pisces"},0)-MATCH(CALC_Karakamsha!$B$5,{"Aries","Taurus","Gemini","Cancer","Leo","Virgo","Libra","Scorpio","Sagittarius","Capricorn","Aquarius","Pisces"},0),12)+1)=1),AND(CALC_PlanetPositions!$M$12="Yogakaraka",(MOD(MATCH(CALC_PlanetPositions!$B$12,{"Aries","Taurus","Gemini","Cancer","Leo","Virgo","Libra","Scorpio","Sagittarius","Capricorn","Aquarius","Pisces"},0)-MATCH(CALC_Karakamsha!$B$5,{"Aries","Taurus","Gemini","Cancer","Leo","Virgo","Libra","Scorpio","Sagittarius","Capricorn","Aquarius","Pisces"},0),12)+1)=1),AND(CALC_PlanetPositions!$M$13="Yogakaraka",(MOD(MATCH(CALC_PlanetPositions!$B$13,{"Aries","Taurus","Gemini","Cancer","Leo","Virgo","Libra","Scorpio","Sagittarius","Capricorn","Aquarius","Pisces"},0)-MATCH(CALC_Karakamsha!$B$5,{"Aries","Taurus","Gemini","Cancer","Leo","Virgo","Libra","Scorpio","Sagittarius","Capricorn","Aquarius","Pisces"},0),12)+1)=1)),1.5,1),0)</f>
        <v>0</v>
      </c>
      <c r="D6" s="403" t="s">
        <v>4608</v>
      </c>
    </row>
    <row r="7" spans="1:12" ht="27.75" customHeight="1" x14ac:dyDescent="0.2">
      <c r="A7" s="121" t="s">
        <v>4609</v>
      </c>
      <c r="B7" s="357" t="s">
        <v>4534</v>
      </c>
      <c r="C7" s="1117">
        <f>IFERROR((IFERROR(IF(OR(AND(OR(CALC_PlanetPositions!$M$7="Benefic",CALC_PlanetPositions!$M$7="Yogakaraka"),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OR(CALC_PlanetPositions!$M$8="Benefic",CALC_PlanetPositions!$M$8="Yogakaraka"),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OR(CALC_PlanetPositions!$M$9="Benefic",CALC_PlanetPositions!$M$9="Yogakaraka"),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OR(CALC_PlanetPositions!$M$10="Benefic",CALC_PlanetPositions!$M$10="Yogakaraka"),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OR(CALC_PlanetPositions!$M$11="Benefic",CALC_PlanetPositions!$M$11="Yogakaraka"),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OR(CALC_PlanetPositions!$M$12="Benefic",CALC_PlanetPositions!$M$12="Yogakaraka"),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OR(CALC_PlanetPositions!$M$13="Benefic",CALC_PlanetPositions!$M$13="Yogakaraka"),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FALS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FALS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IF(REF_Config!$B$6="KP",0.5,IF(REF_Config!$B$6="Jaimini",0.75,0.75)),0)</f>
        <v>0</v>
      </c>
      <c r="D7" s="400" t="s">
        <v>4610</v>
      </c>
    </row>
    <row r="8" spans="1:12" ht="15.75" customHeight="1" x14ac:dyDescent="0.2">
      <c r="A8" s="1597" t="s">
        <v>3372</v>
      </c>
      <c r="B8" s="1597"/>
      <c r="C8" s="1597"/>
      <c r="D8" s="1597"/>
    </row>
    <row r="9" spans="1:12" ht="27.75" customHeight="1" x14ac:dyDescent="0.2">
      <c r="A9" s="121" t="s">
        <v>4611</v>
      </c>
      <c r="B9" s="203" t="s">
        <v>4537</v>
      </c>
      <c r="C9" s="1118">
        <f>IFERROR(IF(AND(OR(CALC_D9_BhaveshMap!$I$16="Yes",CALC_D9_BhaveshMap!$J$16="Yes"),NOT(CALC_D9_BhaveshMap!$K$16="Yes")),1,0)*IF(REF_Config!$B$6="KP",1.5,IF(REF_Config!$B$6="Jaimini",1.5,2)),0)</f>
        <v>0</v>
      </c>
      <c r="D9" s="403" t="s">
        <v>4612</v>
      </c>
    </row>
    <row r="10" spans="1:12" ht="27.75" customHeight="1" x14ac:dyDescent="0.2">
      <c r="A10" s="121" t="s">
        <v>4613</v>
      </c>
      <c r="B10" s="357" t="s">
        <v>3093</v>
      </c>
      <c r="C10" s="1117">
        <f ca="1">IFERROR((IFERROR(IF(OR(AND(CALC_D9_BhaveshMap!$G$16=CALC_D9_BhaveshMap!$G$16,CALC_D9_BhaveshMap!$D$16&lt;&gt;CALC_D9_BhaveshMap!$D$16),AND(CALC_BhaveshMap!$G$8=CALC_D9_BhaveshMap!$G$16,CALC_BhaveshMap!$D$8&lt;&gt;CALC_D9_BhaveshMap!$D$16),AND(CALC_BhaveshMap!$G$9=CALC_D9_BhaveshMap!$G$16,CALC_BhaveshMap!$D$9&lt;&gt;CALC_D9_BhaveshMap!$D$16),AND(CALC_BhaveshMap!$G$11=CALC_D9_BhaveshMap!$G$16,CALC_BhaveshMap!$D$11&lt;&gt;CALC_D9_BhaveshMap!$D$16),AND(CALC_BhaveshMap!$G$13=CALC_D9_BhaveshMap!$G$16,CALC_BhaveshMap!$D$13&lt;&gt;CALC_D9_BhaveshMap!$D$16),AND(CALC_BhaveshMap!$G$14=CALC_D9_BhaveshMap!$G$16,CALC_BhaveshMap!$D$14&lt;&gt;CALC_D9_BhaveshMap!$D$16)),1,0),0))*0.5,0)</f>
        <v>0</v>
      </c>
      <c r="D10" s="400" t="s">
        <v>4614</v>
      </c>
    </row>
    <row r="11" spans="1:12" ht="27.75" customHeight="1" x14ac:dyDescent="0.2">
      <c r="A11" s="121" t="s">
        <v>4615</v>
      </c>
      <c r="B11" s="203" t="s">
        <v>4540</v>
      </c>
      <c r="C11" s="1118">
        <f ca="1">IFERROR((IFERROR(IF(OR(AND(OR(CALC_PlanetPositions!$M$7="Benefic",CALC_PlanetPositions!$M$7="Yogakaraka"),CALC_PlanetPositions!$B$7=CALC_D9_BhaveshMap!$G$16,CALC_D9_BhaveshMap!$D$16&lt;&gt;"Sun"),AND(OR(CALC_PlanetPositions!$M$8="Benefic",CALC_PlanetPositions!$M$8="Yogakaraka"),CALC_PlanetPositions!$B$8=CALC_D9_BhaveshMap!$G$16,CALC_D9_BhaveshMap!$D$16&lt;&gt;"Moon"),AND(OR(CALC_PlanetPositions!$M$9="Benefic",CALC_PlanetPositions!$M$9="Yogakaraka"),CALC_PlanetPositions!$B$9=CALC_D9_BhaveshMap!$G$16,CALC_D9_BhaveshMap!$D$16&lt;&gt;"Mars"),AND(OR(CALC_PlanetPositions!$M$10="Benefic",CALC_PlanetPositions!$M$10="Yogakaraka"),CALC_PlanetPositions!$B$10=CALC_D9_BhaveshMap!$G$16,CALC_D9_BhaveshMap!$D$16&lt;&gt;"Mercury"),AND(OR(CALC_PlanetPositions!$M$11="Benefic",CALC_PlanetPositions!$M$11="Yogakaraka"),CALC_PlanetPositions!$B$11=CALC_D9_BhaveshMap!$G$16,CALC_D9_BhaveshMap!$D$16&lt;&gt;"Jupiter"),AND(OR(CALC_PlanetPositions!$M$12="Benefic",CALC_PlanetPositions!$M$12="Yogakaraka"),CALC_PlanetPositions!$B$12=CALC_D9_BhaveshMap!$G$16,CALC_D9_BhaveshMap!$D$16&lt;&gt;"Venus"),AND(OR(CALC_PlanetPositions!$M$13="Benefic",CALC_PlanetPositions!$M$13="Yogakaraka"),CALC_PlanetPositions!$B$13=CALC_D9_BhaveshMap!$G$16,CALC_D9_BhaveshMap!$D$16&lt;&gt;"Saturn")),1,0),0))*IF(OR(AND(CALC_PlanetPositions!$M$7="Yogakaraka",CALC_PlanetPositions!$B$7=CALC_D9_BhaveshMap!$G$16,CALC_D9_BhaveshMap!$D$16&lt;&gt;"Sun"),AND(CALC_PlanetPositions!$M$8="Yogakaraka",CALC_PlanetPositions!$B$8=CALC_D9_BhaveshMap!$G$16,CALC_D9_BhaveshMap!$D$16&lt;&gt;"Moon"),AND(CALC_PlanetPositions!$M$9="Yogakaraka",CALC_PlanetPositions!$B$9=CALC_D9_BhaveshMap!$G$16,CALC_D9_BhaveshMap!$D$16&lt;&gt;"Mars"),AND(CALC_PlanetPositions!$M$10="Yogakaraka",CALC_PlanetPositions!$B$10=CALC_D9_BhaveshMap!$G$16,CALC_D9_BhaveshMap!$D$16&lt;&gt;"Mercury"),AND(CALC_PlanetPositions!$M$11="Yogakaraka",CALC_PlanetPositions!$B$11=CALC_D9_BhaveshMap!$G$16,CALC_D9_BhaveshMap!$D$16&lt;&gt;"Jupiter"),AND(CALC_PlanetPositions!$M$12="Yogakaraka",CALC_PlanetPositions!$B$12=CALC_D9_BhaveshMap!$G$16,CALC_D9_BhaveshMap!$D$16&lt;&gt;"Venus"),AND(CALC_PlanetPositions!$M$13="Yogakaraka",CALC_PlanetPositions!$B$13=CALC_D9_BhaveshMap!$G$16,CALC_D9_BhaveshMap!$D$16&lt;&gt;"Saturn")),1.5,1),0)</f>
        <v>0</v>
      </c>
      <c r="D11" s="403" t="s">
        <v>4616</v>
      </c>
    </row>
    <row r="12" spans="1:12" ht="27.75" customHeight="1" x14ac:dyDescent="0.2">
      <c r="A12" s="121" t="s">
        <v>4617</v>
      </c>
      <c r="B12" s="357" t="s">
        <v>4542</v>
      </c>
      <c r="C12" s="1117">
        <f ca="1">IFERROR((IFERROR(IF(OR(AND(OR(CALC_PlanetPositions!$M$7="Benefic",CALC_PlanetPositions!$M$7="Yogakaraka"),INDEX(REF_Aspects!$D$5:$O$13,1,MOD(CALC_D9_BhaveshMap!$H$16-(MOD(MATCH(CALC_PlanetPositions!$B$7,{"Aries","Taurus","Gemini","Cancer","Leo","Virgo","Libra","Scorpio","Sagittarius","Capricorn","Aquarius","Pisces"},0)-MATCH(CALC_Karakamsha!$B$5,{"Aries","Taurus","Gemini","Cancer","Leo","Virgo","Libra","Scorpio","Sagittarius","Capricorn","Aquarius","Pisces"},0),12)+1),12)+1)="FULL",NOT(CALC_PlanetPositions!$B$7=CALC_D9_BhaveshMap!$G$16)),AND(OR(CALC_PlanetPositions!$M$8="Benefic",CALC_PlanetPositions!$M$8="Yogakaraka"),INDEX(REF_Aspects!$D$5:$O$13,2,MOD(CALC_D9_BhaveshMap!$H$16-(MOD(MATCH(CALC_PlanetPositions!$B$8,{"Aries","Taurus","Gemini","Cancer","Leo","Virgo","Libra","Scorpio","Sagittarius","Capricorn","Aquarius","Pisces"},0)-MATCH(CALC_Karakamsha!$B$5,{"Aries","Taurus","Gemini","Cancer","Leo","Virgo","Libra","Scorpio","Sagittarius","Capricorn","Aquarius","Pisces"},0),12)+1),12)+1)="FULL",NOT(CALC_PlanetPositions!$B$8=CALC_D9_BhaveshMap!$G$16)),AND(OR(CALC_PlanetPositions!$M$9="Benefic",CALC_PlanetPositions!$M$9="Yogakaraka"),INDEX(REF_Aspects!$D$5:$O$13,3,MOD(CALC_D9_BhaveshMap!$H$16-(MOD(MATCH(CALC_PlanetPositions!$B$9,{"Aries","Taurus","Gemini","Cancer","Leo","Virgo","Libra","Scorpio","Sagittarius","Capricorn","Aquarius","Pisces"},0)-MATCH(CALC_Karakamsha!$B$5,{"Aries","Taurus","Gemini","Cancer","Leo","Virgo","Libra","Scorpio","Sagittarius","Capricorn","Aquarius","Pisces"},0),12)+1),12)+1)="FULL",NOT(CALC_PlanetPositions!$B$9=CALC_D9_BhaveshMap!$G$16)),AND(OR(CALC_PlanetPositions!$M$10="Benefic",CALC_PlanetPositions!$M$10="Yogakaraka"),INDEX(REF_Aspects!$D$5:$O$13,4,MOD(CALC_D9_BhaveshMap!$H$16-(MOD(MATCH(CALC_PlanetPositions!$B$10,{"Aries","Taurus","Gemini","Cancer","Leo","Virgo","Libra","Scorpio","Sagittarius","Capricorn","Aquarius","Pisces"},0)-MATCH(CALC_Karakamsha!$B$5,{"Aries","Taurus","Gemini","Cancer","Leo","Virgo","Libra","Scorpio","Sagittarius","Capricorn","Aquarius","Pisces"},0),12)+1),12)+1)="FULL",NOT(CALC_PlanetPositions!$B$10=CALC_D9_BhaveshMap!$G$16)),AND(OR(CALC_PlanetPositions!$M$11="Benefic",CALC_PlanetPositions!$M$11="Yogakaraka"),INDEX(REF_Aspects!$D$5:$O$13,5,MOD(CALC_D9_BhaveshMap!$H$16-(MOD(MATCH(CALC_PlanetPositions!$B$11,{"Aries","Taurus","Gemini","Cancer","Leo","Virgo","Libra","Scorpio","Sagittarius","Capricorn","Aquarius","Pisces"},0)-MATCH(CALC_Karakamsha!$B$5,{"Aries","Taurus","Gemini","Cancer","Leo","Virgo","Libra","Scorpio","Sagittarius","Capricorn","Aquarius","Pisces"},0),12)+1),12)+1)="FULL",NOT(CALC_PlanetPositions!$B$11=CALC_D9_BhaveshMap!$G$16)),AND(OR(CALC_PlanetPositions!$M$12="Benefic",CALC_PlanetPositions!$M$12="Yogakaraka"),INDEX(REF_Aspects!$D$5:$O$13,6,MOD(CALC_D9_BhaveshMap!$H$16-(MOD(MATCH(CALC_PlanetPositions!$B$12,{"Aries","Taurus","Gemini","Cancer","Leo","Virgo","Libra","Scorpio","Sagittarius","Capricorn","Aquarius","Pisces"},0)-MATCH(CALC_Karakamsha!$B$5,{"Aries","Taurus","Gemini","Cancer","Leo","Virgo","Libra","Scorpio","Sagittarius","Capricorn","Aquarius","Pisces"},0),12)+1),12)+1)="FULL",NOT(CALC_PlanetPositions!$B$12=CALC_D9_BhaveshMap!$G$16)),AND(OR(CALC_PlanetPositions!$M$13="Benefic",CALC_PlanetPositions!$M$13="Yogakaraka"),INDEX(REF_Aspects!$D$5:$O$13,7,MOD(CALC_D9_BhaveshMap!$H$16-(MOD(MATCH(CALC_PlanetPositions!$B$13,{"Aries","Taurus","Gemini","Cancer","Leo","Virgo","Libra","Scorpio","Sagittarius","Capricorn","Aquarius","Pisces"},0)-MATCH(CALC_Karakamsha!$B$5,{"Aries","Taurus","Gemini","Cancer","Leo","Virgo","Libra","Scorpio","Sagittarius","Capricorn","Aquarius","Pisces"},0),12)+1),12)+1)="FULL",NOT(CALC_PlanetPositions!$B$13=CALC_D9_BhaveshMap!$G$16)),AND(FALSE(),INDEX(REF_Aspects!$D$5:$O$13,8,MOD(CALC_D9_BhaveshMap!$H$16-(MOD(MATCH(CALC_PlanetPositions!$B$14,{"Aries","Taurus","Gemini","Cancer","Leo","Virgo","Libra","Scorpio","Sagittarius","Capricorn","Aquarius","Pisces"},0)-MATCH(CALC_Karakamsha!$B$5,{"Aries","Taurus","Gemini","Cancer","Leo","Virgo","Libra","Scorpio","Sagittarius","Capricorn","Aquarius","Pisces"},0),12)+1),12)+1)="FULL",NOT(CALC_PlanetPositions!$B$14=CALC_D9_BhaveshMap!$G$16)),AND(FALSE(),INDEX(REF_Aspects!$D$5:$O$13,9,MOD(CALC_D9_BhaveshMap!$H$16-(MOD(MATCH(CALC_PlanetPositions!$B$15,{"Aries","Taurus","Gemini","Cancer","Leo","Virgo","Libra","Scorpio","Sagittarius","Capricorn","Aquarius","Pisces"},0)-MATCH(CALC_Karakamsha!$B$5,{"Aries","Taurus","Gemini","Cancer","Leo","Virgo","Libra","Scorpio","Sagittarius","Capricorn","Aquarius","Pisces"},0),12)+1),12)+1)="FULL",NOT(CALC_PlanetPositions!$B$15=CALC_D9_BhaveshMap!$G$16))),1,0),0))*0.5,0)</f>
        <v>0</v>
      </c>
      <c r="D12" s="400" t="s">
        <v>4618</v>
      </c>
    </row>
    <row r="13" spans="1:12" ht="27.75" customHeight="1" x14ac:dyDescent="0.2">
      <c r="A13" s="121" t="s">
        <v>4619</v>
      </c>
      <c r="B13" s="203" t="s">
        <v>3034</v>
      </c>
      <c r="C13" s="1118">
        <f ca="1">IFERROR((IFERROR(IF(AND(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$16-2,12)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$16-2,12)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$16-2,12)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$16-2,12)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$16-2,12)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$16-2,12)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$16-2,12)+1)),AND(FALSE(),MOD(MATCH(CALC_PlanetPositions!$B$14,{"Aries","Taurus","Gemini","Cancer","Leo","Virgo","Libra","Scorpio","Sagittarius","Capricorn","Aquarius","Pisces"},0)-MATCH(CALC_Karakamsha!$B$5,{"Aries","Taurus","Gemini","Cancer","Leo","Virgo","Libra","Scorpio","Sagittarius","Capricorn","Aquarius","Pisces"},0),12)+1=(MOD(CALC_D9_BhaveshMap!$H$16-2,12)+1)),AND(FALSE(),MOD(MATCH(CALC_PlanetPositions!$B$15,{"Aries","Taurus","Gemini","Cancer","Leo","Virgo","Libra","Scorpio","Sagittarius","Capricorn","Aquarius","Pisces"},0)-MATCH(CALC_Karakamsha!$B$5,{"Aries","Taurus","Gemini","Cancer","Leo","Virgo","Libra","Scorpio","Sagittarius","Capricorn","Aquarius","Pisces"},0),12)+1=(MOD(CALC_D9_BhaveshMap!$H$16-2,12)+1))),OR(AND(OR(CALC_PlanetPositions!$M$7="Benefic",CALC_PlanetPositions!$M$7="Yogakaraka"),MOD(MATCH(CALC_PlanetPositions!$B$7,{"Aries","Taurus","Gemini","Cancer","Leo","Virgo","Libra","Scorpio","Sagittarius","Capricorn","Aquarius","Pisces"},0)-MATCH(CALC_Karakamsha!$B$5,{"Aries","Taurus","Gemini","Cancer","Leo","Virgo","Libra","Scorpio","Sagittarius","Capricorn","Aquarius","Pisces"},0),12)+1=(MOD(CALC_D9_BhaveshMap!$H$16,12)+1)),AND(OR(CALC_PlanetPositions!$M$8="Benefic",CALC_PlanetPositions!$M$8="Yogakaraka"),MOD(MATCH(CALC_PlanetPositions!$B$8,{"Aries","Taurus","Gemini","Cancer","Leo","Virgo","Libra","Scorpio","Sagittarius","Capricorn","Aquarius","Pisces"},0)-MATCH(CALC_Karakamsha!$B$5,{"Aries","Taurus","Gemini","Cancer","Leo","Virgo","Libra","Scorpio","Sagittarius","Capricorn","Aquarius","Pisces"},0),12)+1=(MOD(CALC_D9_BhaveshMap!$H$16,12)+1)),AND(OR(CALC_PlanetPositions!$M$9="Benefic",CALC_PlanetPositions!$M$9="Yogakaraka"),MOD(MATCH(CALC_PlanetPositions!$B$9,{"Aries","Taurus","Gemini","Cancer","Leo","Virgo","Libra","Scorpio","Sagittarius","Capricorn","Aquarius","Pisces"},0)-MATCH(CALC_Karakamsha!$B$5,{"Aries","Taurus","Gemini","Cancer","Leo","Virgo","Libra","Scorpio","Sagittarius","Capricorn","Aquarius","Pisces"},0),12)+1=(MOD(CALC_D9_BhaveshMap!$H$16,12)+1)),AND(OR(CALC_PlanetPositions!$M$10="Benefic",CALC_PlanetPositions!$M$10="Yogakaraka"),MOD(MATCH(CALC_PlanetPositions!$B$10,{"Aries","Taurus","Gemini","Cancer","Leo","Virgo","Libra","Scorpio","Sagittarius","Capricorn","Aquarius","Pisces"},0)-MATCH(CALC_Karakamsha!$B$5,{"Aries","Taurus","Gemini","Cancer","Leo","Virgo","Libra","Scorpio","Sagittarius","Capricorn","Aquarius","Pisces"},0),12)+1=(MOD(CALC_D9_BhaveshMap!$H$16,12)+1)),AND(OR(CALC_PlanetPositions!$M$11="Benefic",CALC_PlanetPositions!$M$11="Yogakaraka"),MOD(MATCH(CALC_PlanetPositions!$B$11,{"Aries","Taurus","Gemini","Cancer","Leo","Virgo","Libra","Scorpio","Sagittarius","Capricorn","Aquarius","Pisces"},0)-MATCH(CALC_Karakamsha!$B$5,{"Aries","Taurus","Gemini","Cancer","Leo","Virgo","Libra","Scorpio","Sagittarius","Capricorn","Aquarius","Pisces"},0),12)+1=(MOD(CALC_D9_BhaveshMap!$H$16,12)+1)),AND(OR(CALC_PlanetPositions!$M$12="Benefic",CALC_PlanetPositions!$M$12="Yogakaraka"),MOD(MATCH(CALC_PlanetPositions!$B$12,{"Aries","Taurus","Gemini","Cancer","Leo","Virgo","Libra","Scorpio","Sagittarius","Capricorn","Aquarius","Pisces"},0)-MATCH(CALC_Karakamsha!$B$5,{"Aries","Taurus","Gemini","Cancer","Leo","Virgo","Libra","Scorpio","Sagittarius","Capricorn","Aquarius","Pisces"},0),12)+1=(MOD(CALC_D9_BhaveshMap!$H$16,12)+1)),AND(OR(CALC_PlanetPositions!$M$13="Benefic",CALC_PlanetPositions!$M$13="Yogakaraka"),MOD(MATCH(CALC_PlanetPositions!$B$13,{"Aries","Taurus","Gemini","Cancer","Leo","Virgo","Libra","Scorpio","Sagittarius","Capricorn","Aquarius","Pisces"},0)-MATCH(CALC_Karakamsha!$B$5,{"Aries","Taurus","Gemini","Cancer","Leo","Virgo","Libra","Scorpio","Sagittarius","Capricorn","Aquarius","Pisces"},0),12)+1=(MOD(CALC_D9_BhaveshMap!$H$16,12)+1)),AND(FALSE(),MOD(MATCH(CALC_PlanetPositions!$B$14,{"Aries","Taurus","Gemini","Cancer","Leo","Virgo","Libra","Scorpio","Sagittarius","Capricorn","Aquarius","Pisces"},0)-MATCH(CALC_Karakamsha!$B$5,{"Aries","Taurus","Gemini","Cancer","Leo","Virgo","Libra","Scorpio","Sagittarius","Capricorn","Aquarius","Pisces"},0),12)+1=(MOD(CALC_D9_BhaveshMap!$H$16,12)+1)),AND(FALSE(),MOD(MATCH(CALC_PlanetPositions!$B$15,{"Aries","Taurus","Gemini","Cancer","Leo","Virgo","Libra","Scorpio","Sagittarius","Capricorn","Aquarius","Pisces"},0)-MATCH(CALC_Karakamsha!$B$5,{"Aries","Taurus","Gemini","Cancer","Leo","Virgo","Libra","Scorpio","Sagittarius","Capricorn","Aquarius","Pisces"},0),12)+1=(MOD(CALC_D9_BhaveshMap!$H$16,12)+1)))),1,0),0))*IF(REF_Config!$B$6="KP",0.75,IF(REF_Config!$B$6="Jaimini",0.5,0.75)),0)</f>
        <v>0</v>
      </c>
      <c r="D13" s="403" t="s">
        <v>4620</v>
      </c>
    </row>
    <row r="14" spans="1:12" ht="15.75" customHeight="1" x14ac:dyDescent="0.2">
      <c r="A14" s="1598" t="s">
        <v>4621</v>
      </c>
      <c r="B14" s="1598"/>
      <c r="C14" s="1598"/>
      <c r="D14" s="1598"/>
    </row>
    <row r="15" spans="1:12" ht="27.75" customHeight="1" x14ac:dyDescent="0.2">
      <c r="A15" s="121" t="s">
        <v>4622</v>
      </c>
      <c r="B15" s="357" t="s">
        <v>4546</v>
      </c>
      <c r="C15" s="1117">
        <f>IFERROR((IFERROR(IF(OR(AND(CALC_PlanetPositions!$M$7="Malefic",(MOD(MATCH(CALC_PlanetPositions!$B$7,{"Aries","Taurus","Gemini","Cancer","Leo","Virgo","Libra","Scorpio","Sagittarius","Capricorn","Aquarius","Pisces"},0)-MATCH(CALC_Karakamsha!$B$5,{"Aries","Taurus","Gemini","Cancer","Leo","Virgo","Libra","Scorpio","Sagittarius","Capricorn","Aquarius","Pisces"},0),12)+1)=1),AND(CALC_PlanetPositions!$M$8="Malefic",(MOD(MATCH(CALC_PlanetPositions!$B$8,{"Aries","Taurus","Gemini","Cancer","Leo","Virgo","Libra","Scorpio","Sagittarius","Capricorn","Aquarius","Pisces"},0)-MATCH(CALC_Karakamsha!$B$5,{"Aries","Taurus","Gemini","Cancer","Leo","Virgo","Libra","Scorpio","Sagittarius","Capricorn","Aquarius","Pisces"},0),12)+1)=1),AND(CALC_PlanetPositions!$M$9="Malefic",(MOD(MATCH(CALC_PlanetPositions!$B$9,{"Aries","Taurus","Gemini","Cancer","Leo","Virgo","Libra","Scorpio","Sagittarius","Capricorn","Aquarius","Pisces"},0)-MATCH(CALC_Karakamsha!$B$5,{"Aries","Taurus","Gemini","Cancer","Leo","Virgo","Libra","Scorpio","Sagittarius","Capricorn","Aquarius","Pisces"},0),12)+1)=1),AND(CALC_PlanetPositions!$M$10="Malefic",(MOD(MATCH(CALC_PlanetPositions!$B$10,{"Aries","Taurus","Gemini","Cancer","Leo","Virgo","Libra","Scorpio","Sagittarius","Capricorn","Aquarius","Pisces"},0)-MATCH(CALC_Karakamsha!$B$5,{"Aries","Taurus","Gemini","Cancer","Leo","Virgo","Libra","Scorpio","Sagittarius","Capricorn","Aquarius","Pisces"},0),12)+1)=1),AND(CALC_PlanetPositions!$M$11="Malefic",(MOD(MATCH(CALC_PlanetPositions!$B$11,{"Aries","Taurus","Gemini","Cancer","Leo","Virgo","Libra","Scorpio","Sagittarius","Capricorn","Aquarius","Pisces"},0)-MATCH(CALC_Karakamsha!$B$5,{"Aries","Taurus","Gemini","Cancer","Leo","Virgo","Libra","Scorpio","Sagittarius","Capricorn","Aquarius","Pisces"},0),12)+1)=1),AND(CALC_PlanetPositions!$M$12="Malefic",(MOD(MATCH(CALC_PlanetPositions!$B$12,{"Aries","Taurus","Gemini","Cancer","Leo","Virgo","Libra","Scorpio","Sagittarius","Capricorn","Aquarius","Pisces"},0)-MATCH(CALC_Karakamsha!$B$5,{"Aries","Taurus","Gemini","Cancer","Leo","Virgo","Libra","Scorpio","Sagittarius","Capricorn","Aquarius","Pisces"},0),12)+1)=1),AND(CALC_PlanetPositions!$M$13="Malefic",(MOD(MATCH(CALC_PlanetPositions!$B$13,{"Aries","Taurus","Gemini","Cancer","Leo","Virgo","Libra","Scorpio","Sagittarius","Capricorn","Aquarius","Pisces"},0)-MATCH(CALC_Karakamsha!$B$5,{"Aries","Taurus","Gemini","Cancer","Leo","Virgo","Libra","Scorpio","Sagittarius","Capricorn","Aquarius","Pisces"},0),12)+1)=1),AND(TRUE(),(MOD(MATCH(CALC_PlanetPositions!$B$14,{"Aries","Taurus","Gemini","Cancer","Leo","Virgo","Libra","Scorpio","Sagittarius","Capricorn","Aquarius","Pisces"},0)-MATCH(CALC_Karakamsha!$B$5,{"Aries","Taurus","Gemini","Cancer","Leo","Virgo","Libra","Scorpio","Sagittarius","Capricorn","Aquarius","Pisces"},0),12)+1)=1),AND(TRUE(),(MOD(MATCH(CALC_PlanetPositions!$B$15,{"Aries","Taurus","Gemini","Cancer","Leo","Virgo","Libra","Scorpio","Sagittarius","Capricorn","Aquarius","Pisces"},0)-MATCH(CALC_Karakamsha!$B$5,{"Aries","Taurus","Gemini","Cancer","Leo","Virgo","Libra","Scorpio","Sagittarius","Capricorn","Aquarius","Pisces"},0),12)+1)=1)),1,0),0))*-1,0)</f>
        <v>0</v>
      </c>
      <c r="D15" s="400" t="s">
        <v>4623</v>
      </c>
    </row>
    <row r="16" spans="1:12" ht="27.75" customHeight="1" x14ac:dyDescent="0.2">
      <c r="A16" s="121" t="s">
        <v>4624</v>
      </c>
      <c r="B16" s="203" t="s">
        <v>4548</v>
      </c>
      <c r="C16" s="1118">
        <f>IFERROR((IFERROR(IF(OR(AND(CALC_PlanetPositions!$M$7="Malefic",INDEX(REF_Aspects!$D$5:$O$13,1,MOD(1-(MOD(MATCH(CALC_PlanetPositions!$B$7,{"Aries","Taurus","Gemini","Cancer","Leo","Virgo","Libra","Scorpio","Sagittarius","Capricorn","Aquarius","Pisces"},0)-MATCH(CALC_Karakamsha!$B$5,{"Aries","Taurus","Gemini","Cancer","Leo","Virgo","Libra","Scorpio","Sagittarius","Capricorn","Aquarius","Pisces"},0),12)+1),12)+1)="FULL",NOT((MOD(MATCH(CALC_PlanetPositions!$B$7,{"Aries","Taurus","Gemini","Cancer","Leo","Virgo","Libra","Scorpio","Sagittarius","Capricorn","Aquarius","Pisces"},0)-MATCH(CALC_Karakamsha!$B$5,{"Aries","Taurus","Gemini","Cancer","Leo","Virgo","Libra","Scorpio","Sagittarius","Capricorn","Aquarius","Pisces"},0),12)+1)=1)),AND(CALC_PlanetPositions!$M$8="Malefic",INDEX(REF_Aspects!$D$5:$O$13,2,MOD(1-(MOD(MATCH(CALC_PlanetPositions!$B$8,{"Aries","Taurus","Gemini","Cancer","Leo","Virgo","Libra","Scorpio","Sagittarius","Capricorn","Aquarius","Pisces"},0)-MATCH(CALC_Karakamsha!$B$5,{"Aries","Taurus","Gemini","Cancer","Leo","Virgo","Libra","Scorpio","Sagittarius","Capricorn","Aquarius","Pisces"},0),12)+1),12)+1)="FULL",NOT((MOD(MATCH(CALC_PlanetPositions!$B$8,{"Aries","Taurus","Gemini","Cancer","Leo","Virgo","Libra","Scorpio","Sagittarius","Capricorn","Aquarius","Pisces"},0)-MATCH(CALC_Karakamsha!$B$5,{"Aries","Taurus","Gemini","Cancer","Leo","Virgo","Libra","Scorpio","Sagittarius","Capricorn","Aquarius","Pisces"},0),12)+1)=1)),AND(CALC_PlanetPositions!$M$9="Malefic",INDEX(REF_Aspects!$D$5:$O$13,3,MOD(1-(MOD(MATCH(CALC_PlanetPositions!$B$9,{"Aries","Taurus","Gemini","Cancer","Leo","Virgo","Libra","Scorpio","Sagittarius","Capricorn","Aquarius","Pisces"},0)-MATCH(CALC_Karakamsha!$B$5,{"Aries","Taurus","Gemini","Cancer","Leo","Virgo","Libra","Scorpio","Sagittarius","Capricorn","Aquarius","Pisces"},0),12)+1),12)+1)="FULL",NOT((MOD(MATCH(CALC_PlanetPositions!$B$9,{"Aries","Taurus","Gemini","Cancer","Leo","Virgo","Libra","Scorpio","Sagittarius","Capricorn","Aquarius","Pisces"},0)-MATCH(CALC_Karakamsha!$B$5,{"Aries","Taurus","Gemini","Cancer","Leo","Virgo","Libra","Scorpio","Sagittarius","Capricorn","Aquarius","Pisces"},0),12)+1)=1)),AND(CALC_PlanetPositions!$M$10="Malefic",INDEX(REF_Aspects!$D$5:$O$13,4,MOD(1-(MOD(MATCH(CALC_PlanetPositions!$B$10,{"Aries","Taurus","Gemini","Cancer","Leo","Virgo","Libra","Scorpio","Sagittarius","Capricorn","Aquarius","Pisces"},0)-MATCH(CALC_Karakamsha!$B$5,{"Aries","Taurus","Gemini","Cancer","Leo","Virgo","Libra","Scorpio","Sagittarius","Capricorn","Aquarius","Pisces"},0),12)+1),12)+1)="FULL",NOT((MOD(MATCH(CALC_PlanetPositions!$B$10,{"Aries","Taurus","Gemini","Cancer","Leo","Virgo","Libra","Scorpio","Sagittarius","Capricorn","Aquarius","Pisces"},0)-MATCH(CALC_Karakamsha!$B$5,{"Aries","Taurus","Gemini","Cancer","Leo","Virgo","Libra","Scorpio","Sagittarius","Capricorn","Aquarius","Pisces"},0),12)+1)=1)),AND(CALC_PlanetPositions!$M$11="Malefic",INDEX(REF_Aspects!$D$5:$O$13,5,MOD(1-(MOD(MATCH(CALC_PlanetPositions!$B$11,{"Aries","Taurus","Gemini","Cancer","Leo","Virgo","Libra","Scorpio","Sagittarius","Capricorn","Aquarius","Pisces"},0)-MATCH(CALC_Karakamsha!$B$5,{"Aries","Taurus","Gemini","Cancer","Leo","Virgo","Libra","Scorpio","Sagittarius","Capricorn","Aquarius","Pisces"},0),12)+1),12)+1)="FULL",NOT((MOD(MATCH(CALC_PlanetPositions!$B$11,{"Aries","Taurus","Gemini","Cancer","Leo","Virgo","Libra","Scorpio","Sagittarius","Capricorn","Aquarius","Pisces"},0)-MATCH(CALC_Karakamsha!$B$5,{"Aries","Taurus","Gemini","Cancer","Leo","Virgo","Libra","Scorpio","Sagittarius","Capricorn","Aquarius","Pisces"},0),12)+1)=1)),AND(CALC_PlanetPositions!$M$12="Malefic",INDEX(REF_Aspects!$D$5:$O$13,6,MOD(1-(MOD(MATCH(CALC_PlanetPositions!$B$12,{"Aries","Taurus","Gemini","Cancer","Leo","Virgo","Libra","Scorpio","Sagittarius","Capricorn","Aquarius","Pisces"},0)-MATCH(CALC_Karakamsha!$B$5,{"Aries","Taurus","Gemini","Cancer","Leo","Virgo","Libra","Scorpio","Sagittarius","Capricorn","Aquarius","Pisces"},0),12)+1),12)+1)="FULL",NOT((MOD(MATCH(CALC_PlanetPositions!$B$12,{"Aries","Taurus","Gemini","Cancer","Leo","Virgo","Libra","Scorpio","Sagittarius","Capricorn","Aquarius","Pisces"},0)-MATCH(CALC_Karakamsha!$B$5,{"Aries","Taurus","Gemini","Cancer","Leo","Virgo","Libra","Scorpio","Sagittarius","Capricorn","Aquarius","Pisces"},0),12)+1)=1)),AND(CALC_PlanetPositions!$M$13="Malefic",INDEX(REF_Aspects!$D$5:$O$13,7,MOD(1-(MOD(MATCH(CALC_PlanetPositions!$B$13,{"Aries","Taurus","Gemini","Cancer","Leo","Virgo","Libra","Scorpio","Sagittarius","Capricorn","Aquarius","Pisces"},0)-MATCH(CALC_Karakamsha!$B$5,{"Aries","Taurus","Gemini","Cancer","Leo","Virgo","Libra","Scorpio","Sagittarius","Capricorn","Aquarius","Pisces"},0),12)+1),12)+1)="FULL",NOT((MOD(MATCH(CALC_PlanetPositions!$B$13,{"Aries","Taurus","Gemini","Cancer","Leo","Virgo","Libra","Scorpio","Sagittarius","Capricorn","Aquarius","Pisces"},0)-MATCH(CALC_Karakamsha!$B$5,{"Aries","Taurus","Gemini","Cancer","Leo","Virgo","Libra","Scorpio","Sagittarius","Capricorn","Aquarius","Pisces"},0),12)+1)=1)),AND(TRUE(),INDEX(REF_Aspects!$D$5:$O$13,8,MOD(1-(MOD(MATCH(CALC_PlanetPositions!$B$14,{"Aries","Taurus","Gemini","Cancer","Leo","Virgo","Libra","Scorpio","Sagittarius","Capricorn","Aquarius","Pisces"},0)-MATCH(CALC_Karakamsha!$B$5,{"Aries","Taurus","Gemini","Cancer","Leo","Virgo","Libra","Scorpio","Sagittarius","Capricorn","Aquarius","Pisces"},0),12)+1),12)+1)="FULL",NOT((MOD(MATCH(CALC_PlanetPositions!$B$14,{"Aries","Taurus","Gemini","Cancer","Leo","Virgo","Libra","Scorpio","Sagittarius","Capricorn","Aquarius","Pisces"},0)-MATCH(CALC_Karakamsha!$B$5,{"Aries","Taurus","Gemini","Cancer","Leo","Virgo","Libra","Scorpio","Sagittarius","Capricorn","Aquarius","Pisces"},0),12)+1)=1)),AND(TRUE(),INDEX(REF_Aspects!$D$5:$O$13,9,MOD(1-(MOD(MATCH(CALC_PlanetPositions!$B$15,{"Aries","Taurus","Gemini","Cancer","Leo","Virgo","Libra","Scorpio","Sagittarius","Capricorn","Aquarius","Pisces"},0)-MATCH(CALC_Karakamsha!$B$5,{"Aries","Taurus","Gemini","Cancer","Leo","Virgo","Libra","Scorpio","Sagittarius","Capricorn","Aquarius","Pisces"},0),12)+1),12)+1)="FULL",NOT((MOD(MATCH(CALC_PlanetPositions!$B$15,{"Aries","Taurus","Gemini","Cancer","Leo","Virgo","Libra","Scorpio","Sagittarius","Capricorn","Aquarius","Pisces"},0)-MATCH(CALC_Karakamsha!$B$5,{"Aries","Taurus","Gemini","Cancer","Leo","Virgo","Libra","Scorpio","Sagittarius","Capricorn","Aquarius","Pisces"},0),12)+1)=1))),1,0),0))*-1,0)</f>
        <v>0</v>
      </c>
      <c r="D16" s="403" t="s">
        <v>4625</v>
      </c>
    </row>
    <row r="17" spans="1:7" ht="27.75" customHeight="1" x14ac:dyDescent="0.2">
      <c r="A17" s="121" t="s">
        <v>4626</v>
      </c>
      <c r="B17" s="357" t="s">
        <v>3062</v>
      </c>
      <c r="C17" s="1117">
        <v>0</v>
      </c>
      <c r="D17" s="400" t="s">
        <v>4627</v>
      </c>
    </row>
    <row r="18" spans="1:7" ht="27.75" customHeight="1" x14ac:dyDescent="0.2">
      <c r="A18" s="121" t="s">
        <v>4628</v>
      </c>
      <c r="B18" s="203" t="s">
        <v>4552</v>
      </c>
      <c r="C18" s="1118">
        <f>IFERROR((IFERROR(IF(AND(OR(AND(CALC_PlanetPositions!$M$7="Malefic",MOD(MATCH(CALC_PlanetPositions!$B$7,{"Aries","Taurus","Gemini","Cancer","Leo","Virgo","Libra","Scorpio","Sagittarius","Capricorn","Aquarius","Pisces"},0)-MATCH(CALC_Karakamsha!$B$5,{"Aries","Taurus","Gemini","Cancer","Leo","Virgo","Libra","Scorpio","Sagittarius","Capricorn","Aquarius","Pisces"},0),12)+1=(12)),AND(CALC_PlanetPositions!$M$8="Malefic",MOD(MATCH(CALC_PlanetPositions!$B$8,{"Aries","Taurus","Gemini","Cancer","Leo","Virgo","Libra","Scorpio","Sagittarius","Capricorn","Aquarius","Pisces"},0)-MATCH(CALC_Karakamsha!$B$5,{"Aries","Taurus","Gemini","Cancer","Leo","Virgo","Libra","Scorpio","Sagittarius","Capricorn","Aquarius","Pisces"},0),12)+1=(12)),AND(CALC_PlanetPositions!$M$9="Malefic",MOD(MATCH(CALC_PlanetPositions!$B$9,{"Aries","Taurus","Gemini","Cancer","Leo","Virgo","Libra","Scorpio","Sagittarius","Capricorn","Aquarius","Pisces"},0)-MATCH(CALC_Karakamsha!$B$5,{"Aries","Taurus","Gemini","Cancer","Leo","Virgo","Libra","Scorpio","Sagittarius","Capricorn","Aquarius","Pisces"},0),12)+1=(12)),AND(CALC_PlanetPositions!$M$10="Malefic",MOD(MATCH(CALC_PlanetPositions!$B$10,{"Aries","Taurus","Gemini","Cancer","Leo","Virgo","Libra","Scorpio","Sagittarius","Capricorn","Aquarius","Pisces"},0)-MATCH(CALC_Karakamsha!$B$5,{"Aries","Taurus","Gemini","Cancer","Leo","Virgo","Libra","Scorpio","Sagittarius","Capricorn","Aquarius","Pisces"},0),12)+1=(12)),AND(CALC_PlanetPositions!$M$11="Malefic",MOD(MATCH(CALC_PlanetPositions!$B$11,{"Aries","Taurus","Gemini","Cancer","Leo","Virgo","Libra","Scorpio","Sagittarius","Capricorn","Aquarius","Pisces"},0)-MATCH(CALC_Karakamsha!$B$5,{"Aries","Taurus","Gemini","Cancer","Leo","Virgo","Libra","Scorpio","Sagittarius","Capricorn","Aquarius","Pisces"},0),12)+1=(12)),AND(CALC_PlanetPositions!$M$12="Malefic",MOD(MATCH(CALC_PlanetPositions!$B$12,{"Aries","Taurus","Gemini","Cancer","Leo","Virgo","Libra","Scorpio","Sagittarius","Capricorn","Aquarius","Pisces"},0)-MATCH(CALC_Karakamsha!$B$5,{"Aries","Taurus","Gemini","Cancer","Leo","Virgo","Libra","Scorpio","Sagittarius","Capricorn","Aquarius","Pisces"},0),12)+1=(12)),AND(CALC_PlanetPositions!$M$13="Malefic",MOD(MATCH(CALC_PlanetPositions!$B$13,{"Aries","Taurus","Gemini","Cancer","Leo","Virgo","Libra","Scorpio","Sagittarius","Capricorn","Aquarius","Pisces"},0)-MATCH(CALC_Karakamsha!$B$5,{"Aries","Taurus","Gemini","Cancer","Leo","Virgo","Libra","Scorpio","Sagittarius","Capricorn","Aquarius","Pisces"},0),12)+1=(12)),AND(TRUE(),MOD(MATCH(CALC_PlanetPositions!$B$14,{"Aries","Taurus","Gemini","Cancer","Leo","Virgo","Libra","Scorpio","Sagittarius","Capricorn","Aquarius","Pisces"},0)-MATCH(CALC_Karakamsha!$B$5,{"Aries","Taurus","Gemini","Cancer","Leo","Virgo","Libra","Scorpio","Sagittarius","Capricorn","Aquarius","Pisces"},0),12)+1=(12)),AND(TRUE(),MOD(MATCH(CALC_PlanetPositions!$B$15,{"Aries","Taurus","Gemini","Cancer","Leo","Virgo","Libra","Scorpio","Sagittarius","Capricorn","Aquarius","Pisces"},0)-MATCH(CALC_Karakamsha!$B$5,{"Aries","Taurus","Gemini","Cancer","Leo","Virgo","Libra","Scorpio","Sagittarius","Capricorn","Aquarius","Pisces"},0),12)+1=(12))),OR(AND(CALC_PlanetPositions!$M$7="Malefic",MOD(MATCH(CALC_PlanetPositions!$B$7,{"Aries","Taurus","Gemini","Cancer","Leo","Virgo","Libra","Scorpio","Sagittarius","Capricorn","Aquarius","Pisces"},0)-MATCH(CALC_Karakamsha!$B$5,{"Aries","Taurus","Gemini","Cancer","Leo","Virgo","Libra","Scorpio","Sagittarius","Capricorn","Aquarius","Pisces"},0),12)+1=(MOD(1,12)+1)),AND(CALC_PlanetPositions!$M$8="Malefic",MOD(MATCH(CALC_PlanetPositions!$B$8,{"Aries","Taurus","Gemini","Cancer","Leo","Virgo","Libra","Scorpio","Sagittarius","Capricorn","Aquarius","Pisces"},0)-MATCH(CALC_Karakamsha!$B$5,{"Aries","Taurus","Gemini","Cancer","Leo","Virgo","Libra","Scorpio","Sagittarius","Capricorn","Aquarius","Pisces"},0),12)+1=(MOD(1,12)+1)),AND(CALC_PlanetPositions!$M$9="Malefic",MOD(MATCH(CALC_PlanetPositions!$B$9,{"Aries","Taurus","Gemini","Cancer","Leo","Virgo","Libra","Scorpio","Sagittarius","Capricorn","Aquarius","Pisces"},0)-MATCH(CALC_Karakamsha!$B$5,{"Aries","Taurus","Gemini","Cancer","Leo","Virgo","Libra","Scorpio","Sagittarius","Capricorn","Aquarius","Pisces"},0),12)+1=(MOD(1,12)+1)),AND(CALC_PlanetPositions!$M$10="Malefic",MOD(MATCH(CALC_PlanetPositions!$B$10,{"Aries","Taurus","Gemini","Cancer","Leo","Virgo","Libra","Scorpio","Sagittarius","Capricorn","Aquarius","Pisces"},0)-MATCH(CALC_Karakamsha!$B$5,{"Aries","Taurus","Gemini","Cancer","Leo","Virgo","Libra","Scorpio","Sagittarius","Capricorn","Aquarius","Pisces"},0),12)+1=(MOD(1,12)+1)),AND(CALC_PlanetPositions!$M$11="Malefic",MOD(MATCH(CALC_PlanetPositions!$B$11,{"Aries","Taurus","Gemini","Cancer","Leo","Virgo","Libra","Scorpio","Sagittarius","Capricorn","Aquarius","Pisces"},0)-MATCH(CALC_Karakamsha!$B$5,{"Aries","Taurus","Gemini","Cancer","Leo","Virgo","Libra","Scorpio","Sagittarius","Capricorn","Aquarius","Pisces"},0),12)+1=(MOD(1,12)+1)),AND(CALC_PlanetPositions!$M$12="Malefic",MOD(MATCH(CALC_PlanetPositions!$B$12,{"Aries","Taurus","Gemini","Cancer","Leo","Virgo","Libra","Scorpio","Sagittarius","Capricorn","Aquarius","Pisces"},0)-MATCH(CALC_Karakamsha!$B$5,{"Aries","Taurus","Gemini","Cancer","Leo","Virgo","Libra","Scorpio","Sagittarius","Capricorn","Aquarius","Pisces"},0),12)+1=(MOD(1,12)+1)),AND(CALC_PlanetPositions!$M$13="Malefic",MOD(MATCH(CALC_PlanetPositions!$B$13,{"Aries","Taurus","Gemini","Cancer","Leo","Virgo","Libra","Scorpio","Sagittarius","Capricorn","Aquarius","Pisces"},0)-MATCH(CALC_Karakamsha!$B$5,{"Aries","Taurus","Gemini","Cancer","Leo","Virgo","Libra","Scorpio","Sagittarius","Capricorn","Aquarius","Pisces"},0),12)+1=(MOD(1,12)+1)),AND(TRUE(),MOD(MATCH(CALC_PlanetPositions!$B$14,{"Aries","Taurus","Gemini","Cancer","Leo","Virgo","Libra","Scorpio","Sagittarius","Capricorn","Aquarius","Pisces"},0)-MATCH(CALC_Karakamsha!$B$5,{"Aries","Taurus","Gemini","Cancer","Leo","Virgo","Libra","Scorpio","Sagittarius","Capricorn","Aquarius","Pisces"},0),12)+1=(MOD(1,12)+1)),AND(TRUE(),MOD(MATCH(CALC_PlanetPositions!$B$15,{"Aries","Taurus","Gemini","Cancer","Leo","Virgo","Libra","Scorpio","Sagittarius","Capricorn","Aquarius","Pisces"},0)-MATCH(CALC_Karakamsha!$B$5,{"Aries","Taurus","Gemini","Cancer","Leo","Virgo","Libra","Scorpio","Sagittarius","Capricorn","Aquarius","Pisces"},0),12)+1=(MOD(1,12)+1)))),1,0),0))*IF(REF_Config!$B$6="KP",-0.75,IF(REF_Config!$B$6="Jaimini",-0.5,-0.75)),0)</f>
        <v>0</v>
      </c>
      <c r="D18" s="403" t="s">
        <v>4629</v>
      </c>
    </row>
    <row r="19" spans="1:7" ht="15.75" customHeight="1" x14ac:dyDescent="0.2">
      <c r="A19" s="1594" t="s">
        <v>3624</v>
      </c>
      <c r="B19" s="1594"/>
      <c r="C19" s="1594"/>
      <c r="D19" s="1594"/>
    </row>
    <row r="20" spans="1:7" ht="27.75" customHeight="1" x14ac:dyDescent="0.2">
      <c r="A20" s="121" t="s">
        <v>4630</v>
      </c>
      <c r="B20" s="357" t="s">
        <v>4555</v>
      </c>
      <c r="C20" s="1117">
        <v>0</v>
      </c>
      <c r="D20" s="400" t="s">
        <v>4631</v>
      </c>
    </row>
    <row r="21" spans="1:7" ht="27.75" customHeight="1" x14ac:dyDescent="0.2">
      <c r="A21" s="121" t="s">
        <v>4632</v>
      </c>
      <c r="B21" s="203" t="s">
        <v>4633</v>
      </c>
      <c r="C21" s="1118">
        <f ca="1">IFERROR((IFERROR(IF(OR(AND(CALC_PlanetPositions!$M$7="Malefic",INDEX(REF_Aspects!$D$5:$O$13,1,MOD(CALC_D9_BhaveshMap!$H$16-(MOD(MATCH(CALC_PlanetPositions!$B$7,{"Aries","Taurus","Gemini","Cancer","Leo","Virgo","Libra","Scorpio","Sagittarius","Capricorn","Aquarius","Pisces"},0)-MATCH(CALC_Karakamsha!$B$5,{"Aries","Taurus","Gemini","Cancer","Leo","Virgo","Libra","Scorpio","Sagittarius","Capricorn","Aquarius","Pisces"},0),12)+1),12)+1)="FULL",NOT(CALC_PlanetPositions!$B$7=CALC_D9_BhaveshMap!$G$16)),AND(CALC_PlanetPositions!$M$8="Malefic",INDEX(REF_Aspects!$D$5:$O$13,2,MOD(CALC_D9_BhaveshMap!$H$16-(MOD(MATCH(CALC_PlanetPositions!$B$8,{"Aries","Taurus","Gemini","Cancer","Leo","Virgo","Libra","Scorpio","Sagittarius","Capricorn","Aquarius","Pisces"},0)-MATCH(CALC_Karakamsha!$B$5,{"Aries","Taurus","Gemini","Cancer","Leo","Virgo","Libra","Scorpio","Sagittarius","Capricorn","Aquarius","Pisces"},0),12)+1),12)+1)="FULL",NOT(CALC_PlanetPositions!$B$8=CALC_D9_BhaveshMap!$G$16)),AND(CALC_PlanetPositions!$M$9="Malefic",INDEX(REF_Aspects!$D$5:$O$13,3,MOD(CALC_D9_BhaveshMap!$H$16-(MOD(MATCH(CALC_PlanetPositions!$B$9,{"Aries","Taurus","Gemini","Cancer","Leo","Virgo","Libra","Scorpio","Sagittarius","Capricorn","Aquarius","Pisces"},0)-MATCH(CALC_Karakamsha!$B$5,{"Aries","Taurus","Gemini","Cancer","Leo","Virgo","Libra","Scorpio","Sagittarius","Capricorn","Aquarius","Pisces"},0),12)+1),12)+1)="FULL",NOT(CALC_PlanetPositions!$B$9=CALC_D9_BhaveshMap!$G$16)),AND(CALC_PlanetPositions!$M$10="Malefic",INDEX(REF_Aspects!$D$5:$O$13,4,MOD(CALC_D9_BhaveshMap!$H$16-(MOD(MATCH(CALC_PlanetPositions!$B$10,{"Aries","Taurus","Gemini","Cancer","Leo","Virgo","Libra","Scorpio","Sagittarius","Capricorn","Aquarius","Pisces"},0)-MATCH(CALC_Karakamsha!$B$5,{"Aries","Taurus","Gemini","Cancer","Leo","Virgo","Libra","Scorpio","Sagittarius","Capricorn","Aquarius","Pisces"},0),12)+1),12)+1)="FULL",NOT(CALC_PlanetPositions!$B$10=CALC_D9_BhaveshMap!$G$16)),AND(CALC_PlanetPositions!$M$11="Malefic",INDEX(REF_Aspects!$D$5:$O$13,5,MOD(CALC_D9_BhaveshMap!$H$16-(MOD(MATCH(CALC_PlanetPositions!$B$11,{"Aries","Taurus","Gemini","Cancer","Leo","Virgo","Libra","Scorpio","Sagittarius","Capricorn","Aquarius","Pisces"},0)-MATCH(CALC_Karakamsha!$B$5,{"Aries","Taurus","Gemini","Cancer","Leo","Virgo","Libra","Scorpio","Sagittarius","Capricorn","Aquarius","Pisces"},0),12)+1),12)+1)="FULL",NOT(CALC_PlanetPositions!$B$11=CALC_D9_BhaveshMap!$G$16)),AND(CALC_PlanetPositions!$M$12="Malefic",INDEX(REF_Aspects!$D$5:$O$13,6,MOD(CALC_D9_BhaveshMap!$H$16-(MOD(MATCH(CALC_PlanetPositions!$B$12,{"Aries","Taurus","Gemini","Cancer","Leo","Virgo","Libra","Scorpio","Sagittarius","Capricorn","Aquarius","Pisces"},0)-MATCH(CALC_Karakamsha!$B$5,{"Aries","Taurus","Gemini","Cancer","Leo","Virgo","Libra","Scorpio","Sagittarius","Capricorn","Aquarius","Pisces"},0),12)+1),12)+1)="FULL",NOT(CALC_PlanetPositions!$B$12=CALC_D9_BhaveshMap!$G$16)),AND(CALC_PlanetPositions!$M$13="Malefic",INDEX(REF_Aspects!$D$5:$O$13,7,MOD(CALC_D9_BhaveshMap!$H$16-(MOD(MATCH(CALC_PlanetPositions!$B$13,{"Aries","Taurus","Gemini","Cancer","Leo","Virgo","Libra","Scorpio","Sagittarius","Capricorn","Aquarius","Pisces"},0)-MATCH(CALC_Karakamsha!$B$5,{"Aries","Taurus","Gemini","Cancer","Leo","Virgo","Libra","Scorpio","Sagittarius","Capricorn","Aquarius","Pisces"},0),12)+1),12)+1)="FULL",NOT(CALC_PlanetPositions!$B$13=CALC_D9_BhaveshMap!$G$16)),AND(TRUE(),INDEX(REF_Aspects!$D$5:$O$13,8,MOD(CALC_D9_BhaveshMap!$H$16-(MOD(MATCH(CALC_PlanetPositions!$B$14,{"Aries","Taurus","Gemini","Cancer","Leo","Virgo","Libra","Scorpio","Sagittarius","Capricorn","Aquarius","Pisces"},0)-MATCH(CALC_Karakamsha!$B$5,{"Aries","Taurus","Gemini","Cancer","Leo","Virgo","Libra","Scorpio","Sagittarius","Capricorn","Aquarius","Pisces"},0),12)+1),12)+1)="FULL",NOT(CALC_PlanetPositions!$B$14=CALC_D9_BhaveshMap!$G$16)),AND(TRUE(),INDEX(REF_Aspects!$D$5:$O$13,9,MOD(CALC_D9_BhaveshMap!$H$16-(MOD(MATCH(CALC_PlanetPositions!$B$15,{"Aries","Taurus","Gemini","Cancer","Leo","Virgo","Libra","Scorpio","Sagittarius","Capricorn","Aquarius","Pisces"},0)-MATCH(CALC_Karakamsha!$B$5,{"Aries","Taurus","Gemini","Cancer","Leo","Virgo","Libra","Scorpio","Sagittarius","Capricorn","Aquarius","Pisces"},0),12)+1),12)+1)="FULL",NOT(CALC_PlanetPositions!$B$15=CALC_D9_BhaveshMap!$G$16))),1,0),0))*-0.5,0)</f>
        <v>0</v>
      </c>
      <c r="D21" s="403" t="s">
        <v>4634</v>
      </c>
    </row>
    <row r="22" spans="1:7" ht="27.75" customHeight="1" x14ac:dyDescent="0.2">
      <c r="A22" s="121" t="s">
        <v>4635</v>
      </c>
      <c r="B22" s="357" t="s">
        <v>3042</v>
      </c>
      <c r="C22" s="1117">
        <f>IFERROR((IFERROR(IF(CALC_D9_BhaveshMap!$K$16="Yes",1,0),0))*IF(REF_Config!$B$6="KP",-1.75,IF(REF_Config!$B$6="Jaimini",-2,-2)),0)</f>
        <v>0</v>
      </c>
      <c r="D22" s="400" t="s">
        <v>4636</v>
      </c>
    </row>
    <row r="23" spans="1:7" ht="27.75" customHeight="1" x14ac:dyDescent="0.2">
      <c r="A23" s="121" t="s">
        <v>4637</v>
      </c>
      <c r="B23" s="203" t="s">
        <v>3059</v>
      </c>
      <c r="C23" s="1118">
        <f ca="1">IFERROR((IFERROR(IF(OR(AND(CALC_BhaveshMap!$G$10=CALC_D9_BhaveshMap!$G$16,CALC_BhaveshMap!$D$10&lt;&gt;CALC_D9_BhaveshMap!$D$16),AND(CALC_BhaveshMap!$G$12=CALC_D9_BhaveshMap!$G$16,CALC_BhaveshMap!$D$12&lt;&gt;CALC_D9_BhaveshMap!$D$16),AND(CALC_BhaveshMap!$G$16=CALC_D9_BhaveshMap!$G$16,CALC_BhaveshMap!$D$16&lt;&gt;CALC_D9_BhaveshMap!$D$16)),1,0),0))*-1,0)</f>
        <v>0</v>
      </c>
      <c r="D23" s="403" t="s">
        <v>4638</v>
      </c>
    </row>
    <row r="24" spans="1:7" ht="15.75" customHeight="1" x14ac:dyDescent="0.2">
      <c r="A24" s="1484" t="s">
        <v>4639</v>
      </c>
      <c r="B24" s="1484"/>
      <c r="C24" s="1484"/>
      <c r="D24" s="1484"/>
    </row>
    <row r="25" spans="1:7" ht="27.75" customHeight="1" x14ac:dyDescent="0.2">
      <c r="A25" s="121" t="s">
        <v>4640</v>
      </c>
      <c r="B25" s="357" t="s">
        <v>3084</v>
      </c>
      <c r="C25" s="1117">
        <f>IFERROR(IF(CALC_KarakMap!$M$5&gt;0,CALC_KarakMap!$M$5,0),0)</f>
        <v>0</v>
      </c>
      <c r="D25" s="400" t="s">
        <v>4641</v>
      </c>
    </row>
    <row r="26" spans="1:7" ht="27.75" customHeight="1" x14ac:dyDescent="0.2">
      <c r="A26" s="121" t="s">
        <v>4642</v>
      </c>
      <c r="B26" s="203" t="s">
        <v>4564</v>
      </c>
      <c r="C26" s="1118">
        <f>IFERROR(IF(CALC_KarakMap!$M$5&lt;0,CALC_KarakMap!$M$5,0),0)</f>
        <v>0</v>
      </c>
      <c r="D26" s="403" t="s">
        <v>4643</v>
      </c>
    </row>
    <row r="27" spans="1:7" ht="27.75" customHeight="1" x14ac:dyDescent="0.2">
      <c r="A27" s="1119" t="s">
        <v>4644</v>
      </c>
      <c r="B27" s="296" t="s">
        <v>3624</v>
      </c>
      <c r="C27" s="1117">
        <f>IFERROR(IF(OR(CALC_D9_BhaveshMap!$D$16="Sun",CALC_D9_BhaveshMap!$D$16="Rahu",CALC_D9_BhaveshMap!$D$16="Ketu"),0,IF(CALC_D9_BhaveshMap!$D$16="Moon",IF(CALC_CombustionCheck!$G$4="Cazimi ✓",0.5,IF(CALC_CombustionCheck!$F$4="COMBUST ⚠",-1,0)),IF(CALC_D9_BhaveshMap!$D$16="Mars",IF(CALC_CombustionCheck!$G$5="Cazimi ✓",0.5,IF(AND(CALC_CombustionCheck!$F$5="COMBUST ⚠",CALC_RetrogradeFix!$F$6="Rx ✓"),-0.5,IF(CALC_CombustionCheck!$F$5="COMBUST ⚠",-1,0))),IF(CALC_D9_BhaveshMap!$D$16="Mercury",IF(CALC_CombustionCheck!$G$6="Cazimi ✓",0.5,IF(AND(CALC_CombustionCheck!$F$6="COMBUST ⚠",CALC_RetrogradeFix!$F$7="Rx ✓"),-0.5,IF(CALC_CombustionCheck!$F$6="COMBUST ⚠",-1,0))),IF(CALC_D9_BhaveshMap!$D$16="Jupiter",IF(CALC_CombustionCheck!$G$7="Cazimi ✓",0.5,IF(AND(CALC_CombustionCheck!$F$7="COMBUST ⚠",CALC_RetrogradeFix!$F$8="Rx ✓"),-0.5,IF(CALC_CombustionCheck!$F$7="COMBUST ⚠",-1,0))),IF(CALC_D9_BhaveshMap!$D$16="Venus",IF(CALC_CombustionCheck!$G$8="Cazimi ✓",0.5,IF(AND(CALC_CombustionCheck!$F$8="COMBUST ⚠",CALC_RetrogradeFix!$F$9="Rx ✓"),-0.5,IF(CALC_CombustionCheck!$F$8="COMBUST ⚠",-1,0))),IF(CALC_D9_BhaveshMap!$D$16="Saturn",IF(CALC_CombustionCheck!$G$9="Cazimi ✓",0.5,IF(AND(CALC_CombustionCheck!$F$9="COMBUST ⚠",CALC_RetrogradeFix!$F$10="Rx ✓"),-0.5,IF(CALC_CombustionCheck!$F$9="COMBUST ⚠",-1,0))),0))))))),0)</f>
        <v>-1</v>
      </c>
      <c r="D27" s="400" t="s">
        <v>4645</v>
      </c>
    </row>
    <row r="28" spans="1:7" ht="27.75" customHeight="1" x14ac:dyDescent="0.2">
      <c r="A28" s="1120" t="s">
        <v>4646</v>
      </c>
      <c r="B28" s="296" t="s">
        <v>3372</v>
      </c>
      <c r="C28" s="1117">
        <f>IFERROR(IF(OR(CALC_D9_BhaveshMap!$D$16="Rahu",CALC_D9_BhaveshMap!$D$16="Ketu"),0,IF(ISNUMBER(MATCH(CALC_D9_BhaveshMap!$D$16,{"Sun","Moon","Mars","Mercury","Jupiter","Venus","Saturn"},0)),IF(INDEX(CALC_DigBala!$F$4:$F$10,MATCH(CALC_D9_BhaveshMap!$D$16,{"Sun","Moon","Mars","Mercury","Jupiter","Venus","Saturn"},0))="Yes",0.5,0),0)),0)</f>
        <v>0</v>
      </c>
      <c r="D28" s="400" t="s">
        <v>4647</v>
      </c>
    </row>
    <row r="29" spans="1:7" ht="27.75" customHeight="1" x14ac:dyDescent="0.2">
      <c r="A29" s="1120" t="s">
        <v>4648</v>
      </c>
      <c r="B29" s="296" t="s">
        <v>3372</v>
      </c>
      <c r="C29" s="1117">
        <f ca="1">IFERROR(IF(COUNTIFS(REF_PushkaraNavamsha!$A$4:$A$27,CALC_D9_BhaveshMap!$G$16,REF_PushkaraNavamsha!$B$4:$B$27,INDEX(CALC_PlanetPositions!$G$7:$G$15,MATCH(CALC_D9_BhaveshMap!$D$16,CALC_PlanetPositions!$A$7:$A$15,0)))&gt;0,0.5,0),0)</f>
        <v>0</v>
      </c>
      <c r="D29" s="400" t="s">
        <v>4649</v>
      </c>
    </row>
    <row r="30" spans="1:7" ht="25.5" customHeight="1" x14ac:dyDescent="0.2">
      <c r="A30" s="147" t="s">
        <v>4650</v>
      </c>
      <c r="B30" s="1121" t="s">
        <v>4651</v>
      </c>
      <c r="C30" s="1122">
        <f>IFERROR(IF(ISNUMBER(MATCH(CALC_D9_BhaveshMap!$D$16,{"Sun","Moon","Mars","Mercury","Jupiter","Venus","Saturn"},0)),INDEX(CALC_RetrogradeFix!$G$4:$G$10,MATCH(CALC_D9_BhaveshMap!$D$16,{"Sun","Moon","Mars","Mercury","Jupiter","Venus","Saturn"},0)),0),0)</f>
        <v>0</v>
      </c>
      <c r="D30" s="1123" t="s">
        <v>4652</v>
      </c>
    </row>
    <row r="31" spans="1:7" ht="18" customHeight="1" x14ac:dyDescent="0.2">
      <c r="A31" s="1555" t="s">
        <v>4653</v>
      </c>
      <c r="B31" s="1555"/>
      <c r="C31" s="1555"/>
      <c r="D31" s="1555"/>
      <c r="E31" s="1124" t="s">
        <v>4654</v>
      </c>
      <c r="F31" s="1125">
        <f>IFERROR(IF(CALC_Ashtakavarga!B$15&gt;28,0.5,IF(CALC_Ashtakavarga!B$15&lt;22,-0.5,0)),0)</f>
        <v>0.5</v>
      </c>
      <c r="G31" s="1126" t="s">
        <v>4655</v>
      </c>
    </row>
    <row r="32" spans="1:7" ht="18" customHeight="1" x14ac:dyDescent="0.2">
      <c r="A32" s="189" t="s">
        <v>3367</v>
      </c>
      <c r="B32" s="1127" t="s">
        <v>4656</v>
      </c>
      <c r="C32" s="1128">
        <f>IFERROR(SUM(C5:C7),0)</f>
        <v>0</v>
      </c>
      <c r="D32" s="1129"/>
    </row>
    <row r="33" spans="1:4" ht="18" customHeight="1" x14ac:dyDescent="0.2">
      <c r="A33" s="189" t="s">
        <v>3372</v>
      </c>
      <c r="B33" s="1127" t="s">
        <v>4657</v>
      </c>
      <c r="C33" s="1128">
        <f ca="1">IFERROR(SUM(C9:C13,C28:C30,F31,0),0)</f>
        <v>0.5</v>
      </c>
      <c r="D33" s="1129"/>
    </row>
    <row r="34" spans="1:4" ht="18" customHeight="1" x14ac:dyDescent="0.2">
      <c r="A34" s="189" t="s">
        <v>4621</v>
      </c>
      <c r="B34" s="1127" t="s">
        <v>4658</v>
      </c>
      <c r="C34" s="1128">
        <f>IFERROR(SUM(C15:C18),0)</f>
        <v>0</v>
      </c>
      <c r="D34" s="1129"/>
    </row>
    <row r="35" spans="1:4" ht="18" customHeight="1" x14ac:dyDescent="0.2">
      <c r="A35" s="189" t="s">
        <v>3624</v>
      </c>
      <c r="B35" s="1127" t="s">
        <v>4659</v>
      </c>
      <c r="C35" s="1128">
        <f ca="1">IFERROR(SUM(C20:C23,C27),0)</f>
        <v>-1</v>
      </c>
      <c r="D35" s="1129"/>
    </row>
    <row r="36" spans="1:4" ht="18" customHeight="1" x14ac:dyDescent="0.2">
      <c r="A36" s="189" t="s">
        <v>4639</v>
      </c>
      <c r="B36" s="1127" t="s">
        <v>4660</v>
      </c>
      <c r="C36" s="1128">
        <f>IFERROR(SUM(C25:C26),0)</f>
        <v>0</v>
      </c>
      <c r="D36" s="1129"/>
    </row>
    <row r="37" spans="1:4" ht="21.75" customHeight="1" x14ac:dyDescent="0.2">
      <c r="A37" s="764" t="s">
        <v>4435</v>
      </c>
      <c r="B37" s="1129"/>
      <c r="C37" s="1130">
        <f ca="1">IFERROR(C32+C33+C34+C35+C36,0)</f>
        <v>-0.5</v>
      </c>
      <c r="D37" s="1129"/>
    </row>
    <row r="38" spans="1:4" ht="21.75" customHeight="1" x14ac:dyDescent="0.2">
      <c r="A38" s="89" t="s">
        <v>4661</v>
      </c>
      <c r="B38" s="1129"/>
      <c r="C38" s="1131">
        <f ca="1">IFERROR(MAX(-10,MIN(10,C37)),0)</f>
        <v>-0.5</v>
      </c>
      <c r="D38" s="1132"/>
    </row>
    <row r="39" spans="1:4" ht="18" customHeight="1" x14ac:dyDescent="0.2">
      <c r="A39" s="517" t="s">
        <v>4662</v>
      </c>
      <c r="B39" s="1129"/>
      <c r="C39" s="1133">
        <f>IFERROR(CALC_LagneshStrength!$I$4,0)</f>
        <v>0</v>
      </c>
      <c r="D39" s="1129"/>
    </row>
    <row r="40" spans="1:4" ht="25.5" customHeight="1" x14ac:dyDescent="0.2">
      <c r="A40" s="1134" t="s">
        <v>4663</v>
      </c>
      <c r="B40" s="1129"/>
      <c r="C40" s="1135">
        <f ca="1">IFERROR(MAX(-10,MIN(10,C38+C39)),0)</f>
        <v>-0.5</v>
      </c>
      <c r="D40" s="1136" t="str">
        <f ca="1">IFERROR(IF(C40&gt;=7,"Excellent — Self domain very strong",IF(C40&gt;=4,"Good — Self domain strong",IF(C40&gt;=1,"Moderate",IF(C40&gt;=-2,"Mixed — Self has challenges",IF(C40&gt;=-5,"Weak","Very weak — Self heavily afflicted"))))),"—")</f>
        <v>Mixed — Self has challenges</v>
      </c>
    </row>
    <row r="41" spans="1:4" ht="18" customHeight="1" x14ac:dyDescent="0.2">
      <c r="A41" s="338" t="s">
        <v>4664</v>
      </c>
      <c r="B41" s="1129"/>
      <c r="C41" s="470" t="str">
        <f ca="1">IFERROR(IF(AND(C32&gt;0,C33&gt;0,C34=0,C35=0),"Nirvivad ✓","Vivadit"),"—")</f>
        <v>Vivadit</v>
      </c>
      <c r="D41" s="1129"/>
    </row>
    <row r="42" spans="1:4" ht="15" customHeight="1" x14ac:dyDescent="0.2">
      <c r="A42" s="1129"/>
      <c r="B42" s="1129"/>
      <c r="C42" s="1129"/>
      <c r="D42" s="1129"/>
    </row>
  </sheetData>
  <mergeCells count="8">
    <mergeCell ref="A19:D19"/>
    <mergeCell ref="A24:D24"/>
    <mergeCell ref="A31:D31"/>
    <mergeCell ref="A1:D1"/>
    <mergeCell ref="A2:D2"/>
    <mergeCell ref="A4:D4"/>
    <mergeCell ref="A8:D8"/>
    <mergeCell ref="A14:D14"/>
  </mergeCells>
  <pageMargins left="0.75" right="0.75" top="1" bottom="1" header="0.511811023622047" footer="0.511811023622047"/>
  <pageSetup paperSize="9" orientation="portrait" horizontalDpi="300" verticalDpi="300"/>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tabColor rgb="FFB71C1C"/>
  </sheetPr>
  <dimension ref="A1:M16"/>
  <sheetViews>
    <sheetView zoomScaleNormal="100" workbookViewId="0"/>
  </sheetViews>
  <sheetFormatPr defaultColWidth="8.609375" defaultRowHeight="15" x14ac:dyDescent="0.2"/>
  <cols>
    <col min="1" max="1" width="6.05078125" customWidth="1"/>
    <col min="2" max="2" width="16.0078125" customWidth="1"/>
    <col min="3" max="3" width="18.0234375" customWidth="1"/>
    <col min="4" max="4" width="11.97265625" customWidth="1"/>
    <col min="5" max="5" width="16.0078125" customWidth="1"/>
    <col min="6" max="6" width="11.97265625" customWidth="1"/>
    <col min="7" max="7" width="16.0078125" customWidth="1"/>
  </cols>
  <sheetData>
    <row r="1" spans="1:13" ht="21.75" customHeight="1" x14ac:dyDescent="0.2">
      <c r="A1" s="1522" t="s">
        <v>4768</v>
      </c>
      <c r="B1" s="1522"/>
      <c r="C1" s="1522"/>
      <c r="D1" s="1522"/>
      <c r="E1" s="1522"/>
      <c r="F1" s="1522"/>
      <c r="G1" s="1522"/>
      <c r="H1" s="1522"/>
      <c r="I1" s="1522"/>
      <c r="J1" s="1522"/>
      <c r="K1" s="1522"/>
      <c r="L1" s="1522"/>
      <c r="M1" s="601" t="s">
        <v>2214</v>
      </c>
    </row>
    <row r="2" spans="1:13" ht="18" customHeight="1" x14ac:dyDescent="0.2">
      <c r="A2" s="1599" t="str">
        <f ca="1">IFERROR("Karakamsha Lagna: "&amp;CALC_Karakamsha!$B$5&amp;"  ·  Atmakaraka: "&amp;CALC_CharaKarak!$B$4&amp;"  ·  As of "&amp;TEXT(TODAY(),"DD-MMM-YYYY"),"—")</f>
        <v>Karakamsha Lagna: Sun  ·  Atmakaraka: Sun  ·  As of 19-Mar-2026</v>
      </c>
      <c r="B2" s="1599"/>
      <c r="C2" s="1599"/>
      <c r="D2" s="1599"/>
      <c r="E2" s="1599"/>
      <c r="F2" s="1599"/>
      <c r="G2" s="1599"/>
      <c r="H2" s="1599"/>
      <c r="I2" s="1599"/>
      <c r="J2" s="1599"/>
      <c r="K2" s="1599"/>
      <c r="L2" s="1599"/>
    </row>
    <row r="3" spans="1:13" ht="15.75" customHeight="1" x14ac:dyDescent="0.2">
      <c r="A3" s="882" t="s">
        <v>2276</v>
      </c>
      <c r="B3" s="882" t="s">
        <v>3192</v>
      </c>
      <c r="C3" s="882" t="s">
        <v>4769</v>
      </c>
      <c r="D3" s="882" t="s">
        <v>4054</v>
      </c>
      <c r="E3" s="882" t="s">
        <v>4770</v>
      </c>
      <c r="F3" s="882" t="s">
        <v>4771</v>
      </c>
      <c r="G3" s="882" t="s">
        <v>4</v>
      </c>
      <c r="H3" s="882"/>
      <c r="I3" s="882"/>
      <c r="J3" s="882"/>
      <c r="K3" s="882"/>
      <c r="L3" s="882"/>
    </row>
    <row r="4" spans="1:13" ht="18" customHeight="1" x14ac:dyDescent="0.2">
      <c r="A4" s="632">
        <v>1</v>
      </c>
      <c r="B4" s="551" t="s">
        <v>3728</v>
      </c>
      <c r="C4" s="1161" t="str">
        <f>IFERROR(CALC_D9_BhaveshMap!$D$5,"—")</f>
        <v>Jupiter</v>
      </c>
      <c r="D4" s="1162">
        <f>IFERROR(SCORE_AllHouses!$J$5,0)</f>
        <v>-0.5</v>
      </c>
      <c r="E4" s="1163">
        <f ca="1">IFERROR(SCORE_Karakamsha!$C$40,0)</f>
        <v>1</v>
      </c>
      <c r="F4" s="1164">
        <f t="shared" ref="F4:F15" ca="1" si="0">IFERROR(E4-D4,0)</f>
        <v>1.5</v>
      </c>
      <c r="G4" s="612" t="str">
        <f t="shared" ref="G4:G15" ca="1" si="1">IFERROR(IF(E4&gt;=4,"★★ Soul-strong",IF(E4&gt;=2,"★ Positive",IF(E4&gt;=-2,"~ Mixed","⚠ Challenging"))),"—")</f>
        <v>~ Mixed</v>
      </c>
    </row>
    <row r="5" spans="1:13" ht="18" customHeight="1" x14ac:dyDescent="0.2">
      <c r="A5" s="627">
        <v>2</v>
      </c>
      <c r="B5" s="546" t="s">
        <v>3729</v>
      </c>
      <c r="C5" s="1165" t="str">
        <f>IFERROR(CALC_D9_BhaveshMap!$D$6,"—")</f>
        <v>Mars</v>
      </c>
      <c r="D5" s="1166">
        <f>IFERROR(SCORE_AllHouses!$J$6,0)</f>
        <v>-2.25</v>
      </c>
      <c r="E5" s="1167">
        <f ca="1">IFERROR(SCORE_H2_Karakamsha!$C$40,0)</f>
        <v>0.5</v>
      </c>
      <c r="F5" s="1168">
        <f t="shared" ca="1" si="0"/>
        <v>2.75</v>
      </c>
      <c r="G5" s="610" t="str">
        <f t="shared" ca="1" si="1"/>
        <v>~ Mixed</v>
      </c>
    </row>
    <row r="6" spans="1:13" ht="18" customHeight="1" x14ac:dyDescent="0.2">
      <c r="A6" s="632">
        <v>3</v>
      </c>
      <c r="B6" s="551" t="s">
        <v>3730</v>
      </c>
      <c r="C6" s="1161" t="str">
        <f>IFERROR(CALC_D9_BhaveshMap!$D$7,"—")</f>
        <v>Venus</v>
      </c>
      <c r="D6" s="1162">
        <f>IFERROR(SCORE_AllHouses!$J$7,0)</f>
        <v>-0.5</v>
      </c>
      <c r="E6" s="1163">
        <f ca="1">IFERROR(SCORE_H3_Karakamsha!$C$40,0)</f>
        <v>0</v>
      </c>
      <c r="F6" s="1164">
        <f t="shared" ca="1" si="0"/>
        <v>0.5</v>
      </c>
      <c r="G6" s="612" t="str">
        <f t="shared" ca="1" si="1"/>
        <v>~ Mixed</v>
      </c>
    </row>
    <row r="7" spans="1:13" ht="18" customHeight="1" x14ac:dyDescent="0.2">
      <c r="A7" s="627">
        <v>4</v>
      </c>
      <c r="B7" s="546" t="s">
        <v>3731</v>
      </c>
      <c r="C7" s="1165" t="str">
        <f>IFERROR(CALC_D9_BhaveshMap!$D$8,"—")</f>
        <v>Mercury</v>
      </c>
      <c r="D7" s="1166">
        <f>IFERROR(SCORE_AllHouses!$J$8,0)</f>
        <v>1</v>
      </c>
      <c r="E7" s="1167">
        <f ca="1">IFERROR(SCORE_H4_Karakamsha!$C$40,0)</f>
        <v>1</v>
      </c>
      <c r="F7" s="1168">
        <f t="shared" ca="1" si="0"/>
        <v>0</v>
      </c>
      <c r="G7" s="610" t="str">
        <f t="shared" ca="1" si="1"/>
        <v>~ Mixed</v>
      </c>
    </row>
    <row r="8" spans="1:13" ht="18" customHeight="1" x14ac:dyDescent="0.2">
      <c r="A8" s="632">
        <v>5</v>
      </c>
      <c r="B8" s="551" t="s">
        <v>3732</v>
      </c>
      <c r="C8" s="1161" t="str">
        <f>IFERROR(CALC_D9_BhaveshMap!$D$9,"—")</f>
        <v>Moon</v>
      </c>
      <c r="D8" s="1162">
        <f>IFERROR(SCORE_AllHouses!$J$9,0)</f>
        <v>1.25</v>
      </c>
      <c r="E8" s="1163">
        <f ca="1">IFERROR(SCORE_H5_Karakamsha!$C$40,0)</f>
        <v>1</v>
      </c>
      <c r="F8" s="1164">
        <f t="shared" ca="1" si="0"/>
        <v>-0.25</v>
      </c>
      <c r="G8" s="612" t="str">
        <f t="shared" ca="1" si="1"/>
        <v>~ Mixed</v>
      </c>
    </row>
    <row r="9" spans="1:13" ht="18" customHeight="1" x14ac:dyDescent="0.2">
      <c r="A9" s="627">
        <v>6</v>
      </c>
      <c r="B9" s="546" t="s">
        <v>3205</v>
      </c>
      <c r="C9" s="1165" t="str">
        <f>IFERROR(CALC_D9_BhaveshMap!$D$10,"—")</f>
        <v>Sun</v>
      </c>
      <c r="D9" s="1166">
        <f>IFERROR(SCORE_AllHouses!$J$10,0)</f>
        <v>0</v>
      </c>
      <c r="E9" s="1167">
        <f ca="1">IFERROR(SCORE_H6_Karakamsha!$C$40,0)</f>
        <v>0.5</v>
      </c>
      <c r="F9" s="1168">
        <f t="shared" ca="1" si="0"/>
        <v>0.5</v>
      </c>
      <c r="G9" s="610" t="str">
        <f t="shared" ca="1" si="1"/>
        <v>~ Mixed</v>
      </c>
    </row>
    <row r="10" spans="1:13" ht="18" customHeight="1" x14ac:dyDescent="0.2">
      <c r="A10" s="632">
        <v>7</v>
      </c>
      <c r="B10" s="551" t="s">
        <v>3733</v>
      </c>
      <c r="C10" s="1161" t="str">
        <f>IFERROR(CALC_D9_BhaveshMap!$D$11,"—")</f>
        <v>Mercury</v>
      </c>
      <c r="D10" s="1162">
        <f>IFERROR(SCORE_AllHouses!$J$11,0)</f>
        <v>-2.5</v>
      </c>
      <c r="E10" s="1163">
        <f ca="1">IFERROR(SCORE_H7_Karakamsha!$C$40,0)</f>
        <v>1</v>
      </c>
      <c r="F10" s="1164">
        <f t="shared" ca="1" si="0"/>
        <v>3.5</v>
      </c>
      <c r="G10" s="612" t="str">
        <f t="shared" ca="1" si="1"/>
        <v>~ Mixed</v>
      </c>
    </row>
    <row r="11" spans="1:13" ht="18" customHeight="1" x14ac:dyDescent="0.2">
      <c r="A11" s="627">
        <v>8</v>
      </c>
      <c r="B11" s="546" t="s">
        <v>3734</v>
      </c>
      <c r="C11" s="1165" t="str">
        <f>IFERROR(CALC_D9_BhaveshMap!$D$12,"—")</f>
        <v>Venus</v>
      </c>
      <c r="D11" s="1166">
        <f>IFERROR(SCORE_AllHouses!$J$12,0)</f>
        <v>-2</v>
      </c>
      <c r="E11" s="1167">
        <f ca="1">IFERROR(SCORE_H8_Karakamsha!$C$40,0)</f>
        <v>0</v>
      </c>
      <c r="F11" s="1168">
        <f t="shared" ca="1" si="0"/>
        <v>2</v>
      </c>
      <c r="G11" s="610" t="str">
        <f t="shared" ca="1" si="1"/>
        <v>~ Mixed</v>
      </c>
    </row>
    <row r="12" spans="1:13" ht="18" customHeight="1" x14ac:dyDescent="0.2">
      <c r="A12" s="632">
        <v>9</v>
      </c>
      <c r="B12" s="551" t="s">
        <v>3735</v>
      </c>
      <c r="C12" s="1161" t="str">
        <f>IFERROR(CALC_D9_BhaveshMap!$D$13,"—")</f>
        <v>Mars</v>
      </c>
      <c r="D12" s="1162">
        <f>IFERROR(SCORE_AllHouses!$J$13,0)</f>
        <v>-1.75</v>
      </c>
      <c r="E12" s="1163">
        <f ca="1">IFERROR(SCORE_H9_Karakamsha!$C$40,0)</f>
        <v>0.5</v>
      </c>
      <c r="F12" s="1164">
        <f t="shared" ca="1" si="0"/>
        <v>2.25</v>
      </c>
      <c r="G12" s="612" t="str">
        <f t="shared" ca="1" si="1"/>
        <v>~ Mixed</v>
      </c>
    </row>
    <row r="13" spans="1:13" ht="18" customHeight="1" x14ac:dyDescent="0.2">
      <c r="A13" s="627">
        <v>10</v>
      </c>
      <c r="B13" s="546" t="s">
        <v>3197</v>
      </c>
      <c r="C13" s="1165" t="str">
        <f>IFERROR(CALC_D9_BhaveshMap!$D$14,"—")</f>
        <v>Jupiter</v>
      </c>
      <c r="D13" s="1166">
        <f>IFERROR(SCORE_AllHouses!$J$14,0)</f>
        <v>-1</v>
      </c>
      <c r="E13" s="1167">
        <f ca="1">IFERROR(SCORE_H10_Karakamsha!$C$40,0)</f>
        <v>1</v>
      </c>
      <c r="F13" s="1168">
        <f t="shared" ca="1" si="0"/>
        <v>2</v>
      </c>
      <c r="G13" s="610" t="str">
        <f t="shared" ca="1" si="1"/>
        <v>~ Mixed</v>
      </c>
    </row>
    <row r="14" spans="1:13" ht="18" customHeight="1" x14ac:dyDescent="0.2">
      <c r="A14" s="632">
        <v>11</v>
      </c>
      <c r="B14" s="551" t="s">
        <v>3736</v>
      </c>
      <c r="C14" s="1161" t="str">
        <f>IFERROR(CALC_D9_BhaveshMap!$D$15,"—")</f>
        <v>Saturn</v>
      </c>
      <c r="D14" s="1162">
        <f>IFERROR(SCORE_AllHouses!$J$15,0)</f>
        <v>-2</v>
      </c>
      <c r="E14" s="1163">
        <f ca="1">IFERROR(SCORE_H11_Karakamsha!$C$40,0)</f>
        <v>-0.5</v>
      </c>
      <c r="F14" s="1164">
        <f t="shared" ca="1" si="0"/>
        <v>1.5</v>
      </c>
      <c r="G14" s="612" t="str">
        <f t="shared" ca="1" si="1"/>
        <v>~ Mixed</v>
      </c>
    </row>
    <row r="15" spans="1:13" ht="18" customHeight="1" x14ac:dyDescent="0.2">
      <c r="A15" s="627">
        <v>12</v>
      </c>
      <c r="B15" s="546" t="s">
        <v>3737</v>
      </c>
      <c r="C15" s="1165" t="str">
        <f>IFERROR(CALC_D9_BhaveshMap!$D$16,"—")</f>
        <v>Saturn</v>
      </c>
      <c r="D15" s="1166">
        <f>IFERROR(SCORE_AllHouses!$J$16,0)</f>
        <v>-0.25</v>
      </c>
      <c r="E15" s="1167">
        <f ca="1">IFERROR(SCORE_H12_Karakamsha!$C$40,0)</f>
        <v>-0.5</v>
      </c>
      <c r="F15" s="1168">
        <f t="shared" ca="1" si="0"/>
        <v>-0.25</v>
      </c>
      <c r="G15" s="610" t="str">
        <f t="shared" ca="1" si="1"/>
        <v>~ Mixed</v>
      </c>
    </row>
    <row r="16" spans="1:13" ht="19.5" customHeight="1" x14ac:dyDescent="0.2">
      <c r="A16" s="1600" t="s">
        <v>4772</v>
      </c>
      <c r="B16" s="1600"/>
      <c r="C16" s="1600"/>
      <c r="D16" s="1169">
        <f>IFERROR(AVERAGE(D4:D15),0)</f>
        <v>-0.875</v>
      </c>
      <c r="E16" s="1170">
        <f ca="1">IFERROR(AVERAGE(E4:E15),0)</f>
        <v>0.45833333333333331</v>
      </c>
    </row>
  </sheetData>
  <mergeCells count="3">
    <mergeCell ref="A1:L1"/>
    <mergeCell ref="A2:L2"/>
    <mergeCell ref="A16:C16"/>
  </mergeCells>
  <pageMargins left="0.75" right="0.75" top="1" bottom="1" header="0.511811023622047" footer="0.511811023622047"/>
  <pageSetup paperSize="9" orientation="portrait" horizontalDpi="300" verticalDpi="300"/>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tabColor rgb="FFE65100"/>
  </sheetPr>
  <dimension ref="A1:L19"/>
  <sheetViews>
    <sheetView zoomScaleNormal="100" workbookViewId="0">
      <pane ySplit="3" topLeftCell="A4" activePane="bottomLeft" state="frozen"/>
      <selection pane="bottomLeft"/>
    </sheetView>
  </sheetViews>
  <sheetFormatPr defaultColWidth="8.609375" defaultRowHeight="15" x14ac:dyDescent="0.2"/>
  <cols>
    <col min="1" max="1" width="22.05859375" customWidth="1"/>
    <col min="2" max="2" width="13.98828125" customWidth="1"/>
    <col min="3" max="3" width="11.97265625" customWidth="1"/>
    <col min="4" max="4" width="34.03125" customWidth="1"/>
    <col min="5" max="5" width="43.98828125" customWidth="1"/>
    <col min="6" max="6" width="29.99609375" customWidth="1"/>
    <col min="7" max="7" width="9.01171875" customWidth="1"/>
    <col min="8" max="8" width="18.0234375" customWidth="1"/>
    <col min="9" max="10" width="13.98828125" customWidth="1"/>
  </cols>
  <sheetData>
    <row r="1" spans="1:12" ht="25.5" customHeight="1" x14ac:dyDescent="0.2">
      <c r="A1" s="1518" t="s">
        <v>4773</v>
      </c>
      <c r="B1" s="1518"/>
      <c r="C1" s="1518"/>
      <c r="D1" s="1518"/>
      <c r="E1" s="1518"/>
      <c r="F1" s="1518"/>
      <c r="G1" s="1518"/>
      <c r="H1" s="1518"/>
      <c r="L1" s="29" t="str">
        <f>HYPERLINK("#'00_INDEX'!A1","&lt;- Index")</f>
        <v>&lt;- Index</v>
      </c>
    </row>
    <row r="2" spans="1:12" ht="19.5" customHeight="1" x14ac:dyDescent="0.2">
      <c r="A2" s="1508" t="s">
        <v>4774</v>
      </c>
      <c r="B2" s="1508"/>
      <c r="C2" s="1508"/>
      <c r="D2" s="1508"/>
      <c r="E2" s="1508"/>
      <c r="F2" s="1508"/>
      <c r="G2" s="1508"/>
      <c r="H2" s="1508"/>
    </row>
    <row r="3" spans="1:12" ht="19.5" customHeight="1" x14ac:dyDescent="0.2">
      <c r="A3" s="87" t="s">
        <v>3378</v>
      </c>
      <c r="B3" s="517" t="s">
        <v>4775</v>
      </c>
      <c r="C3" s="517" t="s">
        <v>4776</v>
      </c>
      <c r="D3" s="516" t="s">
        <v>2314</v>
      </c>
      <c r="E3" s="658" t="s">
        <v>2267</v>
      </c>
      <c r="F3" s="89" t="s">
        <v>2280</v>
      </c>
      <c r="G3" s="517" t="s">
        <v>4287</v>
      </c>
      <c r="H3" s="330" t="s">
        <v>4777</v>
      </c>
      <c r="I3" s="330" t="s">
        <v>4778</v>
      </c>
      <c r="J3" s="330" t="s">
        <v>4779</v>
      </c>
    </row>
    <row r="4" spans="1:12" ht="15.75" customHeight="1" x14ac:dyDescent="0.2">
      <c r="A4" s="1543" t="s">
        <v>4780</v>
      </c>
      <c r="B4" s="1543"/>
      <c r="C4" s="1543"/>
      <c r="D4" s="1543"/>
      <c r="E4" s="1543"/>
      <c r="F4" s="1543"/>
      <c r="G4" s="1543"/>
      <c r="H4" s="1543"/>
    </row>
    <row r="5" spans="1:12" ht="42" customHeight="1" x14ac:dyDescent="0.2">
      <c r="A5" s="90" t="s">
        <v>4781</v>
      </c>
      <c r="B5" s="897" t="s">
        <v>270</v>
      </c>
      <c r="C5" s="768" t="str">
        <f>IFERROR(IF(AND(OR(CALC_PlanetPositions!$K$11="Own sign",CALC_PlanetPositions!$K$11="Mooltrikona",CALC_PlanetPositions!$K$11="Exaltation",CALC_PlanetPositions!$K$11="Deep exalt"),ISNUMBER(MATCH(MOD(MATCH(CALC_PlanetPositions!$B$11,{"Aries","Taurus","Gemini","Cancer","Leo","Virgo","Libra","Scorpio","Sagittarius","Capricorn","Aquarius","Pisces"},0)-MATCH(INPUT_Chart!$C$5,{"Aries","Taurus","Gemini","Cancer","Leo","Virgo","Libra","Scorpio","Sagittarius","Capricorn","Aquarius","Pisces"},0),12)+1,{1,4,7,10},0))),"YES ✓",IF(OR(CALC_PlanetPositions!$K$11="Own sign",CALC_PlanetPositions!$K$11="Mooltrikona",CALC_PlanetPositions!$K$11="Exaltation",CALC_PlanetPositions!$K$11="Deep exalt"),"Partial — no Kendra","No")),"—")</f>
        <v>No</v>
      </c>
      <c r="D5" s="455" t="str">
        <f>IFERROR(CALC_PlanetPositions!$K$11&amp;" · H"&amp;(MOD(MATCH(CALC_PlanetPositions!$B$11,{"Aries","Taurus","Gemini","Cancer","Leo","Virgo","Libra","Scorpio","Sagittarius","Capricorn","Aquarius","Pisces"},0)-MATCH(INPUT_Chart!$C$5,{"Aries","Taurus","Gemini","Cancer","Leo","Virgo","Libra","Scorpio","Sagittarius","Capricorn","Aquarius","Pisces"},0),12)+1),"enter chart")</f>
        <v>Enemy sign · H6</v>
      </c>
      <c r="E5" s="534" t="s">
        <v>4782</v>
      </c>
      <c r="F5" s="1171" t="s">
        <v>4783</v>
      </c>
      <c r="G5" s="1172">
        <f>IFERROR(IF(AND(OR(CALC_PlanetPositions!$K$11="Own sign",CALC_PlanetPositions!$K$11="Mooltrikona",CALC_PlanetPositions!$K$11="Exaltation",CALC_PlanetPositions!$K$11="Deep exalt"),ISNUMBER(MATCH(MOD(MATCH(CALC_PlanetPositions!$B$11,{"Aries","Taurus","Gemini","Cancer","Leo","Virgo","Libra","Scorpio","Sagittarius","Capricorn","Aquarius","Pisces"},0)-MATCH(INPUT_Chart!$C$5,{"Aries","Taurus","Gemini","Cancer","Leo","Virgo","Libra","Scorpio","Sagittarius","Capricorn","Aquarius","Pisces"},0),12)+1,{1,4,7,10},0))),3,IF(OR(CALC_PlanetPositions!$K$11="Own sign",CALC_PlanetPositions!$K$11="Mooltrikona",CALC_PlanetPositions!$K$11="Exaltation",CALC_PlanetPositions!$K$11="Deep exalt"),1,0)),0)</f>
        <v>0</v>
      </c>
      <c r="H5" s="1173" t="str">
        <f ca="1">IFERROR(IF(OR(B5=INDEX(CALC_DashaModifier!$B$5:$B$16,MATCH(MAX(CALC_DashaModifier!$F$5:$F$16),CALC_DashaModifier!$F$5:$F$16,0)),ISNUMBER(SEARCH(INDEX(CALC_DashaModifier!$B$5:$B$16,MATCH(MAX(CALC_DashaModifier!$F$5:$F$16),CALC_DashaModifier!$F$5:$F$16,0)),B5))),"▶ Active","Dormant"),"Dormant")</f>
        <v>Dormant</v>
      </c>
      <c r="I5" s="188">
        <f ca="1">IFERROR(IF(H5="▶ Active",1,0.5),0.5)</f>
        <v>0.5</v>
      </c>
      <c r="J5" s="850">
        <f ca="1">IFERROR(G5*I5,0)</f>
        <v>0</v>
      </c>
    </row>
    <row r="6" spans="1:12" ht="42" customHeight="1" x14ac:dyDescent="0.2">
      <c r="A6" s="94" t="s">
        <v>4784</v>
      </c>
      <c r="B6" s="892" t="s">
        <v>271</v>
      </c>
      <c r="C6" s="769" t="str">
        <f>IFERROR(IF(AND(OR(CALC_PlanetPositions!$K$12="Own sign",CALC_PlanetPositions!$K$12="Mooltrikona",CALC_PlanetPositions!$K$12="Exaltation",CALC_PlanetPositions!$K$12="Deep exalt"),ISNUMBER(MATCH(MOD(MATCH(CALC_PlanetPositions!$B$12,{"Aries","Taurus","Gemini","Cancer","Leo","Virgo","Libra","Scorpio","Sagittarius","Capricorn","Aquarius","Pisces"},0)-MATCH(INPUT_Chart!$C$5,{"Aries","Taurus","Gemini","Cancer","Leo","Virgo","Libra","Scorpio","Sagittarius","Capricorn","Aquarius","Pisces"},0),12)+1,{1,4,7,10},0))),"YES ✓",IF(OR(CALC_PlanetPositions!$K$12="Own sign",CALC_PlanetPositions!$K$12="Mooltrikona",CALC_PlanetPositions!$K$12="Exaltation",CALC_PlanetPositions!$K$12="Deep exalt"),"Partial — no Kendra","No")),"—")</f>
        <v>No</v>
      </c>
      <c r="D6" s="455" t="str">
        <f>IFERROR(CALC_PlanetPositions!$K$12&amp;" · H"&amp;(MOD(MATCH(CALC_PlanetPositions!$B$12,{"Aries","Taurus","Gemini","Cancer","Leo","Virgo","Libra","Scorpio","Sagittarius","Capricorn","Aquarius","Pisces"},0)-MATCH(INPUT_Chart!$C$5,{"Aries","Taurus","Gemini","Cancer","Leo","Virgo","Libra","Scorpio","Sagittarius","Capricorn","Aquarius","Pisces"},0),12)+1),"enter chart")</f>
        <v>Neutral sign · H3</v>
      </c>
      <c r="E6" s="536" t="s">
        <v>4785</v>
      </c>
      <c r="F6" s="1174" t="s">
        <v>4786</v>
      </c>
      <c r="G6" s="1175">
        <f>IFERROR(IF(AND(OR(CALC_PlanetPositions!$K$12="Own sign",CALC_PlanetPositions!$K$12="Mooltrikona",CALC_PlanetPositions!$K$12="Exaltation",CALC_PlanetPositions!$K$12="Deep exalt"),ISNUMBER(MATCH(MOD(MATCH(CALC_PlanetPositions!$B$12,{"Aries","Taurus","Gemini","Cancer","Leo","Virgo","Libra","Scorpio","Sagittarius","Capricorn","Aquarius","Pisces"},0)-MATCH(INPUT_Chart!$C$5,{"Aries","Taurus","Gemini","Cancer","Leo","Virgo","Libra","Scorpio","Sagittarius","Capricorn","Aquarius","Pisces"},0),12)+1,{1,4,7,10},0))),3,IF(OR(CALC_PlanetPositions!$K$12="Own sign",CALC_PlanetPositions!$K$12="Mooltrikona",CALC_PlanetPositions!$K$12="Exaltation",CALC_PlanetPositions!$K$12="Deep exalt"),1,0)),0)</f>
        <v>0</v>
      </c>
      <c r="H6" s="1173" t="str">
        <f ca="1">IFERROR(IF(OR(B6=INDEX(CALC_DashaModifier!$B$5:$B$16,MATCH(MAX(CALC_DashaModifier!$F$5:$F$16),CALC_DashaModifier!$F$5:$F$16,0)),ISNUMBER(SEARCH(INDEX(CALC_DashaModifier!$B$5:$B$16,MATCH(MAX(CALC_DashaModifier!$F$5:$F$16),CALC_DashaModifier!$F$5:$F$16,0)),B6))),"▶ Active","Dormant"),"Dormant")</f>
        <v>Dormant</v>
      </c>
      <c r="I6" s="188">
        <f ca="1">IFERROR(IF(H6="▶ Active",1,0.5),0.5)</f>
        <v>0.5</v>
      </c>
      <c r="J6" s="850">
        <f ca="1">IFERROR(G6*I6,0)</f>
        <v>0</v>
      </c>
    </row>
    <row r="7" spans="1:12" ht="42" customHeight="1" x14ac:dyDescent="0.2">
      <c r="A7" s="90" t="s">
        <v>4787</v>
      </c>
      <c r="B7" s="897" t="s">
        <v>268</v>
      </c>
      <c r="C7" s="768" t="str">
        <f>IFERROR(IF(AND(OR(CALC_PlanetPositions!$K$9="Own sign",CALC_PlanetPositions!$K$9="Mooltrikona",CALC_PlanetPositions!$K$9="Exaltation",CALC_PlanetPositions!$K$9="Deep exalt"),ISNUMBER(MATCH(MOD(MATCH(CALC_PlanetPositions!$B$9,{"Aries","Taurus","Gemini","Cancer","Leo","Virgo","Libra","Scorpio","Sagittarius","Capricorn","Aquarius","Pisces"},0)-MATCH(INPUT_Chart!$C$5,{"Aries","Taurus","Gemini","Cancer","Leo","Virgo","Libra","Scorpio","Sagittarius","Capricorn","Aquarius","Pisces"},0),12)+1,{1,4,7,10},0))),"YES ✓",IF(OR(CALC_PlanetPositions!$K$9="Own sign",CALC_PlanetPositions!$K$9="Mooltrikona",CALC_PlanetPositions!$K$9="Exaltation",CALC_PlanetPositions!$K$9="Deep exalt"),"Partial — no Kendra","No")),"—")</f>
        <v>No</v>
      </c>
      <c r="D7" s="455" t="str">
        <f>IFERROR(CALC_PlanetPositions!$K$9&amp;" · H"&amp;(MOD(MATCH(CALC_PlanetPositions!$B$9,{"Aries","Taurus","Gemini","Cancer","Leo","Virgo","Libra","Scorpio","Sagittarius","Capricorn","Aquarius","Pisces"},0)-MATCH(INPUT_Chart!$C$5,{"Aries","Taurus","Gemini","Cancer","Leo","Virgo","Libra","Scorpio","Sagittarius","Capricorn","Aquarius","Pisces"},0),12)+1),"enter chart")</f>
        <v>Enemy sign · H2</v>
      </c>
      <c r="E7" s="534" t="s">
        <v>4788</v>
      </c>
      <c r="F7" s="1171" t="s">
        <v>4789</v>
      </c>
      <c r="G7" s="1172">
        <f>IFERROR(IF(AND(OR(CALC_PlanetPositions!$K$9="Own sign",CALC_PlanetPositions!$K$9="Mooltrikona",CALC_PlanetPositions!$K$9="Exaltation",CALC_PlanetPositions!$K$9="Deep exalt"),ISNUMBER(MATCH(MOD(MATCH(CALC_PlanetPositions!$B$9,{"Aries","Taurus","Gemini","Cancer","Leo","Virgo","Libra","Scorpio","Sagittarius","Capricorn","Aquarius","Pisces"},0)-MATCH(INPUT_Chart!$C$5,{"Aries","Taurus","Gemini","Cancer","Leo","Virgo","Libra","Scorpio","Sagittarius","Capricorn","Aquarius","Pisces"},0),12)+1,{1,4,7,10},0))),3,IF(OR(CALC_PlanetPositions!$K$9="Own sign",CALC_PlanetPositions!$K$9="Mooltrikona",CALC_PlanetPositions!$K$9="Exaltation",CALC_PlanetPositions!$K$9="Deep exalt"),1,0)),0)</f>
        <v>0</v>
      </c>
      <c r="H7" s="1176" t="str">
        <f ca="1">IFERROR(IF(OR(B7=INDEX(CALC_DashaModifier!$B$5:$B$16,MATCH(MAX(CALC_DashaModifier!$F$5:$F$16),CALC_DashaModifier!$F$5:$F$16,0)),ISNUMBER(SEARCH(INDEX(CALC_DashaModifier!$B$5:$B$16,MATCH(MAX(CALC_DashaModifier!$F$5:$F$16),CALC_DashaModifier!$F$5:$F$16,0)),B7))),"▶ Active","Dormant"),"Dormant")</f>
        <v>Dormant</v>
      </c>
      <c r="I7" s="188">
        <f ca="1">IFERROR(IF(H7="▶ Active",1,0.5),0.5)</f>
        <v>0.5</v>
      </c>
      <c r="J7" s="850">
        <f ca="1">IFERROR(G7*I7,0)</f>
        <v>0</v>
      </c>
    </row>
    <row r="8" spans="1:12" ht="42" customHeight="1" x14ac:dyDescent="0.2">
      <c r="A8" s="94" t="s">
        <v>4790</v>
      </c>
      <c r="B8" s="892" t="s">
        <v>269</v>
      </c>
      <c r="C8" s="769" t="str">
        <f>IFERROR(IF(AND(OR(CALC_PlanetPositions!$K$10="Own sign",CALC_PlanetPositions!$K$10="Mooltrikona",CALC_PlanetPositions!$K$10="Exaltation",CALC_PlanetPositions!$K$10="Deep exalt"),ISNUMBER(MATCH(MOD(MATCH(CALC_PlanetPositions!$B$10,{"Aries","Taurus","Gemini","Cancer","Leo","Virgo","Libra","Scorpio","Sagittarius","Capricorn","Aquarius","Pisces"},0)-MATCH(INPUT_Chart!$C$5,{"Aries","Taurus","Gemini","Cancer","Leo","Virgo","Libra","Scorpio","Sagittarius","Capricorn","Aquarius","Pisces"},0),12)+1,{1,4,7,10},0))),"YES ✓",IF(OR(CALC_PlanetPositions!$K$10="Own sign",CALC_PlanetPositions!$K$10="Mooltrikona",CALC_PlanetPositions!$K$10="Exaltation",CALC_PlanetPositions!$K$10="Deep exalt"),"Partial — no Kendra","No")),"—")</f>
        <v>No</v>
      </c>
      <c r="D8" s="455" t="str">
        <f>IFERROR(CALC_PlanetPositions!$K$10&amp;" · H"&amp;(MOD(MATCH(CALC_PlanetPositions!$B$10,{"Aries","Taurus","Gemini","Cancer","Leo","Virgo","Libra","Scorpio","Sagittarius","Capricorn","Aquarius","Pisces"},0)-MATCH(INPUT_Chart!$C$5,{"Aries","Taurus","Gemini","Cancer","Leo","Virgo","Libra","Scorpio","Sagittarius","Capricorn","Aquarius","Pisces"},0),12)+1),"enter chart")</f>
        <v>Enemy sign · H3</v>
      </c>
      <c r="E8" s="536" t="s">
        <v>4791</v>
      </c>
      <c r="F8" s="1174" t="s">
        <v>4792</v>
      </c>
      <c r="G8" s="1175">
        <f>IFERROR(IF(AND(OR(CALC_PlanetPositions!$K$10="Own sign",CALC_PlanetPositions!$K$10="Mooltrikona",CALC_PlanetPositions!$K$10="Exaltation",CALC_PlanetPositions!$K$10="Deep exalt"),ISNUMBER(MATCH(MOD(MATCH(CALC_PlanetPositions!$B$10,{"Aries","Taurus","Gemini","Cancer","Leo","Virgo","Libra","Scorpio","Sagittarius","Capricorn","Aquarius","Pisces"},0)-MATCH(INPUT_Chart!$C$5,{"Aries","Taurus","Gemini","Cancer","Leo","Virgo","Libra","Scorpio","Sagittarius","Capricorn","Aquarius","Pisces"},0),12)+1,{1,4,7,10},0))),3,IF(OR(CALC_PlanetPositions!$K$10="Own sign",CALC_PlanetPositions!$K$10="Mooltrikona",CALC_PlanetPositions!$K$10="Exaltation",CALC_PlanetPositions!$K$10="Deep exalt"),1,0)),0)</f>
        <v>0</v>
      </c>
      <c r="H8" s="1173" t="str">
        <f ca="1">IFERROR(IF(OR(B8=INDEX(CALC_DashaModifier!$B$5:$B$16,MATCH(MAX(CALC_DashaModifier!$F$5:$F$16),CALC_DashaModifier!$F$5:$F$16,0)),ISNUMBER(SEARCH(INDEX(CALC_DashaModifier!$B$5:$B$16,MATCH(MAX(CALC_DashaModifier!$F$5:$F$16),CALC_DashaModifier!$F$5:$F$16,0)),B8))),"▶ Active","Dormant"),"Dormant")</f>
        <v>Dormant</v>
      </c>
      <c r="I8" s="188">
        <f ca="1">IFERROR(IF(H8="▶ Active",1,0.5),0.5)</f>
        <v>0.5</v>
      </c>
      <c r="J8" s="850">
        <f ca="1">IFERROR(G8*I8,0)</f>
        <v>0</v>
      </c>
    </row>
    <row r="9" spans="1:12" ht="42" customHeight="1" x14ac:dyDescent="0.2">
      <c r="A9" s="90" t="s">
        <v>4793</v>
      </c>
      <c r="B9" s="897" t="s">
        <v>272</v>
      </c>
      <c r="C9" s="768" t="str">
        <f>IFERROR(IF(AND(OR(CALC_PlanetPositions!$K$13="Own sign",CALC_PlanetPositions!$K$13="Mooltrikona",CALC_PlanetPositions!$K$13="Exaltation",CALC_PlanetPositions!$K$13="Deep exalt"),ISNUMBER(MATCH(MOD(MATCH(CALC_PlanetPositions!$B$13,{"Aries","Taurus","Gemini","Cancer","Leo","Virgo","Libra","Scorpio","Sagittarius","Capricorn","Aquarius","Pisces"},0)-MATCH(INPUT_Chart!$C$5,{"Aries","Taurus","Gemini","Cancer","Leo","Virgo","Libra","Scorpio","Sagittarius","Capricorn","Aquarius","Pisces"},0),12)+1,{1,4,7,10},0))),"YES ✓",IF(OR(CALC_PlanetPositions!$K$13="Own sign",CALC_PlanetPositions!$K$13="Mooltrikona",CALC_PlanetPositions!$K$13="Exaltation",CALC_PlanetPositions!$K$13="Deep exalt"),"Partial — no Kendra","No")),"—")</f>
        <v>No</v>
      </c>
      <c r="D9" s="455" t="str">
        <f>IFERROR(CALC_PlanetPositions!$K$13&amp;" · H"&amp;(MOD(MATCH(CALC_PlanetPositions!$B$13,{"Aries","Taurus","Gemini","Cancer","Leo","Virgo","Libra","Scorpio","Sagittarius","Capricorn","Aquarius","Pisces"},0)-MATCH(INPUT_Chart!$C$5,{"Aries","Taurus","Gemini","Cancer","Leo","Virgo","Libra","Scorpio","Sagittarius","Capricorn","Aquarius","Pisces"},0),12)+1),"enter chart")</f>
        <v>Enemy sign · H3</v>
      </c>
      <c r="E9" s="534" t="s">
        <v>4794</v>
      </c>
      <c r="F9" s="1171" t="s">
        <v>4795</v>
      </c>
      <c r="G9" s="1172">
        <f>IFERROR(IF(AND(OR(CALC_PlanetPositions!$K$13="Own sign",CALC_PlanetPositions!$K$13="Mooltrikona",CALC_PlanetPositions!$K$13="Exaltation",CALC_PlanetPositions!$K$13="Deep exalt"),ISNUMBER(MATCH(MOD(MATCH(CALC_PlanetPositions!$B$13,{"Aries","Taurus","Gemini","Cancer","Leo","Virgo","Libra","Scorpio","Sagittarius","Capricorn","Aquarius","Pisces"},0)-MATCH(INPUT_Chart!$C$5,{"Aries","Taurus","Gemini","Cancer","Leo","Virgo","Libra","Scorpio","Sagittarius","Capricorn","Aquarius","Pisces"},0),12)+1,{1,4,7,10},0))),3,IF(OR(CALC_PlanetPositions!$K$13="Own sign",CALC_PlanetPositions!$K$13="Mooltrikona",CALC_PlanetPositions!$K$13="Exaltation",CALC_PlanetPositions!$K$13="Deep exalt"),1,0)),0)</f>
        <v>0</v>
      </c>
      <c r="H9" s="1173" t="str">
        <f ca="1">IFERROR(IF(OR(B9=INDEX(CALC_DashaModifier!$B$5:$B$16,MATCH(MAX(CALC_DashaModifier!$F$5:$F$16),CALC_DashaModifier!$F$5:$F$16,0)),ISNUMBER(SEARCH(INDEX(CALC_DashaModifier!$B$5:$B$16,MATCH(MAX(CALC_DashaModifier!$F$5:$F$16),CALC_DashaModifier!$F$5:$F$16,0)),B9))),"▶ Active","Dormant"),"Dormant")</f>
        <v>Dormant</v>
      </c>
      <c r="I9" s="188">
        <f ca="1">IFERROR(IF(H9="▶ Active",1,0.5),0.5)</f>
        <v>0.5</v>
      </c>
      <c r="J9" s="850">
        <f ca="1">IFERROR(G9*I9,0)</f>
        <v>0</v>
      </c>
    </row>
    <row r="11" spans="1:12" ht="15.75" customHeight="1" x14ac:dyDescent="0.2">
      <c r="A11" s="1601" t="s">
        <v>4796</v>
      </c>
      <c r="B11" s="1601"/>
      <c r="C11" s="1601"/>
      <c r="D11" s="1601"/>
      <c r="E11" s="1601"/>
      <c r="F11" s="1601"/>
      <c r="G11" s="1601"/>
      <c r="H11" s="1601"/>
    </row>
    <row r="12" spans="1:12" ht="42" customHeight="1" x14ac:dyDescent="0.2">
      <c r="A12" s="90" t="s">
        <v>4797</v>
      </c>
      <c r="B12" s="897" t="s">
        <v>270</v>
      </c>
      <c r="C12" s="768" t="str">
        <f>IFERROR(IF(AND(OR(CALC_PlanetPositions!$K$11="Own sign",CALC_PlanetPositions!$K$11="Mooltrikona",CALC_PlanetPositions!$K$11="Exaltation",CALC_PlanetPositions!$K$11="Deep exalt"),ISNUMBER(MATCH(MOD(MATCH(CALC_PlanetPositions!$B$11,{"Aries","Taurus","Gemini","Cancer","Leo","Virgo","Libra","Scorpio","Sagittarius","Capricorn","Aquarius","Pisces"},0)-MATCH(CALC_PlanetPositions!$B$8,{"Aries","Taurus","Gemini","Cancer","Leo","Virgo","Libra","Scorpio","Sagittarius","Capricorn","Aquarius","Pisces"},0),12)+1,{1,4,7,10},0))),"YES (Moon Kendra)","No"),"—")</f>
        <v>No</v>
      </c>
      <c r="D12" s="455" t="str">
        <f>IFERROR(CALC_PlanetPositions!$K$11&amp;" · H"&amp;MOD(MATCH(CALC_PlanetPositions!$B$11,{"Aries","Taurus","Gemini","Cancer","Leo","Virgo","Libra","Scorpio","Sagittarius","Capricorn","Aquarius","Pisces"},0)-MATCH(CALC_PlanetPositions!$B$8,{"Aries","Taurus","Gemini","Cancer","Leo","Virgo","Libra","Scorpio","Sagittarius","Capricorn","Aquarius","Pisces"},0),12)+1&amp;" from Moon","—")</f>
        <v>Enemy sign · H4 from Moon</v>
      </c>
      <c r="E12" s="534" t="s">
        <v>4798</v>
      </c>
      <c r="F12" s="1171" t="s">
        <v>4783</v>
      </c>
      <c r="G12" s="1172">
        <f>IFERROR(IF(AND(OR(CALC_PlanetPositions!$K$11="Own sign",CALC_PlanetPositions!$K$11="Mooltrikona",CALC_PlanetPositions!$K$11="Exaltation",CALC_PlanetPositions!$K$11="Deep exalt"),ISNUMBER(MATCH(MOD(MATCH(CALC_PlanetPositions!$B$11,{"Aries","Taurus","Gemini","Cancer","Leo","Virgo","Libra","Scorpio","Sagittarius","Capricorn","Aquarius","Pisces"},0)-MATCH(CALC_PlanetPositions!$B$8,{"Aries","Taurus","Gemini","Cancer","Leo","Virgo","Libra","Scorpio","Sagittarius","Capricorn","Aquarius","Pisces"},0),12)+1,{1,4,7,10},0))),1.5,0),0)</f>
        <v>0</v>
      </c>
      <c r="H12" s="1173" t="str">
        <f ca="1">IFERROR(IF(OR(B12=INDEX(CALC_DashaModifier!$B$5:$B$16,MATCH(MAX(CALC_DashaModifier!$F$5:$F$16),CALC_DashaModifier!$F$5:$F$16,0)),ISNUMBER(SEARCH(INDEX(CALC_DashaModifier!$B$5:$B$16,MATCH(MAX(CALC_DashaModifier!$F$5:$F$16),CALC_DashaModifier!$F$5:$F$16,0)),B12))),"▶ Active","Dormant"),"Dormant")</f>
        <v>Dormant</v>
      </c>
      <c r="I12" s="188">
        <f ca="1">IFERROR(IF(H12="▶ Active",1,0.5),0.5)</f>
        <v>0.5</v>
      </c>
      <c r="J12" s="850">
        <f ca="1">IFERROR(G12*I12,0)</f>
        <v>0</v>
      </c>
    </row>
    <row r="13" spans="1:12" ht="42" customHeight="1" x14ac:dyDescent="0.2">
      <c r="A13" s="94" t="s">
        <v>4799</v>
      </c>
      <c r="B13" s="892" t="s">
        <v>271</v>
      </c>
      <c r="C13" s="769" t="str">
        <f>IFERROR(IF(AND(OR(CALC_PlanetPositions!$K$12="Own sign",CALC_PlanetPositions!$K$12="Mooltrikona",CALC_PlanetPositions!$K$12="Exaltation",CALC_PlanetPositions!$K$12="Deep exalt"),ISNUMBER(MATCH(MOD(MATCH(CALC_PlanetPositions!$B$12,{"Aries","Taurus","Gemini","Cancer","Leo","Virgo","Libra","Scorpio","Sagittarius","Capricorn","Aquarius","Pisces"},0)-MATCH(CALC_PlanetPositions!$B$8,{"Aries","Taurus","Gemini","Cancer","Leo","Virgo","Libra","Scorpio","Sagittarius","Capricorn","Aquarius","Pisces"},0),12)+1,{1,4,7,10},0))),"YES (Moon Kendra)","No"),"—")</f>
        <v>No</v>
      </c>
      <c r="D13" s="455" t="str">
        <f>IFERROR(CALC_PlanetPositions!$K$12&amp;" · H"&amp;MOD(MATCH(CALC_PlanetPositions!$B$12,{"Aries","Taurus","Gemini","Cancer","Leo","Virgo","Libra","Scorpio","Sagittarius","Capricorn","Aquarius","Pisces"},0)-MATCH(CALC_PlanetPositions!$B$8,{"Aries","Taurus","Gemini","Cancer","Leo","Virgo","Libra","Scorpio","Sagittarius","Capricorn","Aquarius","Pisces"},0),12)+1&amp;" from Moon","—")</f>
        <v>Neutral sign · H1 from Moon</v>
      </c>
      <c r="E13" s="536" t="s">
        <v>4798</v>
      </c>
      <c r="F13" s="1174" t="s">
        <v>4786</v>
      </c>
      <c r="G13" s="1175">
        <f>IFERROR(IF(AND(OR(CALC_PlanetPositions!$K$12="Own sign",CALC_PlanetPositions!$K$12="Mooltrikona",CALC_PlanetPositions!$K$12="Exaltation",CALC_PlanetPositions!$K$12="Deep exalt"),ISNUMBER(MATCH(MOD(MATCH(CALC_PlanetPositions!$B$12,{"Aries","Taurus","Gemini","Cancer","Leo","Virgo","Libra","Scorpio","Sagittarius","Capricorn","Aquarius","Pisces"},0)-MATCH(CALC_PlanetPositions!$B$8,{"Aries","Taurus","Gemini","Cancer","Leo","Virgo","Libra","Scorpio","Sagittarius","Capricorn","Aquarius","Pisces"},0),12)+1,{1,4,7,10},0))),1.5,0),0)</f>
        <v>0</v>
      </c>
      <c r="H13" s="1173" t="str">
        <f ca="1">IFERROR(IF(OR(B13=INDEX(CALC_DashaModifier!$B$5:$B$16,MATCH(MAX(CALC_DashaModifier!$F$5:$F$16),CALC_DashaModifier!$F$5:$F$16,0)),ISNUMBER(SEARCH(INDEX(CALC_DashaModifier!$B$5:$B$16,MATCH(MAX(CALC_DashaModifier!$F$5:$F$16),CALC_DashaModifier!$F$5:$F$16,0)),B13))),"▶ Active","Dormant"),"Dormant")</f>
        <v>Dormant</v>
      </c>
      <c r="I13" s="188">
        <f ca="1">IFERROR(IF(H13="▶ Active",1,0.5),0.5)</f>
        <v>0.5</v>
      </c>
      <c r="J13" s="850">
        <f ca="1">IFERROR(G13*I13,0)</f>
        <v>0</v>
      </c>
    </row>
    <row r="14" spans="1:12" ht="42" customHeight="1" x14ac:dyDescent="0.2">
      <c r="A14" s="90" t="s">
        <v>4800</v>
      </c>
      <c r="B14" s="897" t="s">
        <v>268</v>
      </c>
      <c r="C14" s="768" t="str">
        <f>IFERROR(IF(AND(OR(CALC_PlanetPositions!$K$9="Own sign",CALC_PlanetPositions!$K$9="Mooltrikona",CALC_PlanetPositions!$K$9="Exaltation",CALC_PlanetPositions!$K$9="Deep exalt"),ISNUMBER(MATCH(MOD(MATCH(CALC_PlanetPositions!$B$9,{"Aries","Taurus","Gemini","Cancer","Leo","Virgo","Libra","Scorpio","Sagittarius","Capricorn","Aquarius","Pisces"},0)-MATCH(CALC_PlanetPositions!$B$8,{"Aries","Taurus","Gemini","Cancer","Leo","Virgo","Libra","Scorpio","Sagittarius","Capricorn","Aquarius","Pisces"},0),12)+1,{1,4,7,10},0))),"YES (Moon Kendra)","No"),"—")</f>
        <v>No</v>
      </c>
      <c r="D14" s="455" t="str">
        <f>IFERROR(CALC_PlanetPositions!$K$9&amp;" · H"&amp;MOD(MATCH(CALC_PlanetPositions!$B$9,{"Aries","Taurus","Gemini","Cancer","Leo","Virgo","Libra","Scorpio","Sagittarius","Capricorn","Aquarius","Pisces"},0)-MATCH(CALC_PlanetPositions!$B$8,{"Aries","Taurus","Gemini","Cancer","Leo","Virgo","Libra","Scorpio","Sagittarius","Capricorn","Aquarius","Pisces"},0),12)+1&amp;" from Moon","—")</f>
        <v>Enemy sign · H12 from Moon</v>
      </c>
      <c r="E14" s="534" t="s">
        <v>4798</v>
      </c>
      <c r="F14" s="1171" t="s">
        <v>4789</v>
      </c>
      <c r="G14" s="1172">
        <f>IFERROR(IF(AND(OR(CALC_PlanetPositions!$K$9="Own sign",CALC_PlanetPositions!$K$9="Mooltrikona",CALC_PlanetPositions!$K$9="Exaltation",CALC_PlanetPositions!$K$9="Deep exalt"),ISNUMBER(MATCH(MOD(MATCH(CALC_PlanetPositions!$B$9,{"Aries","Taurus","Gemini","Cancer","Leo","Virgo","Libra","Scorpio","Sagittarius","Capricorn","Aquarius","Pisces"},0)-MATCH(CALC_PlanetPositions!$B$8,{"Aries","Taurus","Gemini","Cancer","Leo","Virgo","Libra","Scorpio","Sagittarius","Capricorn","Aquarius","Pisces"},0),12)+1,{1,4,7,10},0))),1.5,0),0)</f>
        <v>0</v>
      </c>
      <c r="H14" s="1176" t="str">
        <f ca="1">IFERROR(IF(OR(B14=INDEX(CALC_DashaModifier!$B$5:$B$16,MATCH(MAX(CALC_DashaModifier!$F$5:$F$16),CALC_DashaModifier!$F$5:$F$16,0)),ISNUMBER(SEARCH(INDEX(CALC_DashaModifier!$B$5:$B$16,MATCH(MAX(CALC_DashaModifier!$F$5:$F$16),CALC_DashaModifier!$F$5:$F$16,0)),B14))),"▶ Active","Dormant"),"Dormant")</f>
        <v>Dormant</v>
      </c>
      <c r="I14" s="188">
        <f ca="1">IFERROR(IF(H14="▶ Active",1,0.5),0.5)</f>
        <v>0.5</v>
      </c>
      <c r="J14" s="850">
        <f ca="1">IFERROR(G14*I14,0)</f>
        <v>0</v>
      </c>
    </row>
    <row r="15" spans="1:12" ht="42" customHeight="1" x14ac:dyDescent="0.2">
      <c r="A15" s="94" t="s">
        <v>4801</v>
      </c>
      <c r="B15" s="892" t="s">
        <v>269</v>
      </c>
      <c r="C15" s="769" t="str">
        <f>IFERROR(IF(AND(OR(CALC_PlanetPositions!$K$10="Own sign",CALC_PlanetPositions!$K$10="Mooltrikona",CALC_PlanetPositions!$K$10="Exaltation",CALC_PlanetPositions!$K$10="Deep exalt"),ISNUMBER(MATCH(MOD(MATCH(CALC_PlanetPositions!$B$10,{"Aries","Taurus","Gemini","Cancer","Leo","Virgo","Libra","Scorpio","Sagittarius","Capricorn","Aquarius","Pisces"},0)-MATCH(CALC_PlanetPositions!$B$8,{"Aries","Taurus","Gemini","Cancer","Leo","Virgo","Libra","Scorpio","Sagittarius","Capricorn","Aquarius","Pisces"},0),12)+1,{1,4,7,10},0))),"YES (Moon Kendra)","No"),"—")</f>
        <v>No</v>
      </c>
      <c r="D15" s="455" t="str">
        <f>IFERROR(CALC_PlanetPositions!$K$10&amp;" · H"&amp;MOD(MATCH(CALC_PlanetPositions!$B$10,{"Aries","Taurus","Gemini","Cancer","Leo","Virgo","Libra","Scorpio","Sagittarius","Capricorn","Aquarius","Pisces"},0)-MATCH(CALC_PlanetPositions!$B$8,{"Aries","Taurus","Gemini","Cancer","Leo","Virgo","Libra","Scorpio","Sagittarius","Capricorn","Aquarius","Pisces"},0),12)+1&amp;" from Moon","—")</f>
        <v>Enemy sign · H1 from Moon</v>
      </c>
      <c r="E15" s="536" t="s">
        <v>4798</v>
      </c>
      <c r="F15" s="1174" t="s">
        <v>4792</v>
      </c>
      <c r="G15" s="1175">
        <f>IFERROR(IF(AND(OR(CALC_PlanetPositions!$K$10="Own sign",CALC_PlanetPositions!$K$10="Mooltrikona",CALC_PlanetPositions!$K$10="Exaltation",CALC_PlanetPositions!$K$10="Deep exalt"),ISNUMBER(MATCH(MOD(MATCH(CALC_PlanetPositions!$B$10,{"Aries","Taurus","Gemini","Cancer","Leo","Virgo","Libra","Scorpio","Sagittarius","Capricorn","Aquarius","Pisces"},0)-MATCH(CALC_PlanetPositions!$B$8,{"Aries","Taurus","Gemini","Cancer","Leo","Virgo","Libra","Scorpio","Sagittarius","Capricorn","Aquarius","Pisces"},0),12)+1,{1,4,7,10},0))),1.5,0),0)</f>
        <v>0</v>
      </c>
      <c r="H15" s="1173" t="str">
        <f ca="1">IFERROR(IF(OR(B15=INDEX(CALC_DashaModifier!$B$5:$B$16,MATCH(MAX(CALC_DashaModifier!$F$5:$F$16),CALC_DashaModifier!$F$5:$F$16,0)),ISNUMBER(SEARCH(INDEX(CALC_DashaModifier!$B$5:$B$16,MATCH(MAX(CALC_DashaModifier!$F$5:$F$16),CALC_DashaModifier!$F$5:$F$16,0)),B15))),"▶ Active","Dormant"),"Dormant")</f>
        <v>Dormant</v>
      </c>
      <c r="I15" s="188">
        <f ca="1">IFERROR(IF(H15="▶ Active",1,0.5),0.5)</f>
        <v>0.5</v>
      </c>
      <c r="J15" s="850">
        <f ca="1">IFERROR(G15*I15,0)</f>
        <v>0</v>
      </c>
    </row>
    <row r="16" spans="1:12" ht="42" customHeight="1" x14ac:dyDescent="0.2">
      <c r="A16" s="90" t="s">
        <v>4802</v>
      </c>
      <c r="B16" s="897" t="s">
        <v>272</v>
      </c>
      <c r="C16" s="768" t="str">
        <f>IFERROR(IF(AND(OR(CALC_PlanetPositions!$K$13="Own sign",CALC_PlanetPositions!$K$13="Mooltrikona",CALC_PlanetPositions!$K$13="Exaltation",CALC_PlanetPositions!$K$13="Deep exalt"),ISNUMBER(MATCH(MOD(MATCH(CALC_PlanetPositions!$B$13,{"Aries","Taurus","Gemini","Cancer","Leo","Virgo","Libra","Scorpio","Sagittarius","Capricorn","Aquarius","Pisces"},0)-MATCH(CALC_PlanetPositions!$B$8,{"Aries","Taurus","Gemini","Cancer","Leo","Virgo","Libra","Scorpio","Sagittarius","Capricorn","Aquarius","Pisces"},0),12)+1,{1,4,7,10},0))),"YES (Moon Kendra)","No"),"—")</f>
        <v>No</v>
      </c>
      <c r="D16" s="455" t="str">
        <f>IFERROR(CALC_PlanetPositions!$K$13&amp;" · H"&amp;MOD(MATCH(CALC_PlanetPositions!$B$13,{"Aries","Taurus","Gemini","Cancer","Leo","Virgo","Libra","Scorpio","Sagittarius","Capricorn","Aquarius","Pisces"},0)-MATCH(CALC_PlanetPositions!$B$8,{"Aries","Taurus","Gemini","Cancer","Leo","Virgo","Libra","Scorpio","Sagittarius","Capricorn","Aquarius","Pisces"},0),12)+1&amp;" from Moon","—")</f>
        <v>Enemy sign · H1 from Moon</v>
      </c>
      <c r="E16" s="534" t="s">
        <v>4798</v>
      </c>
      <c r="F16" s="1171" t="s">
        <v>4795</v>
      </c>
      <c r="G16" s="1172">
        <f>IFERROR(IF(AND(OR(CALC_PlanetPositions!$K$13="Own sign",CALC_PlanetPositions!$K$13="Mooltrikona",CALC_PlanetPositions!$K$13="Exaltation",CALC_PlanetPositions!$K$13="Deep exalt"),ISNUMBER(MATCH(MOD(MATCH(CALC_PlanetPositions!$B$13,{"Aries","Taurus","Gemini","Cancer","Leo","Virgo","Libra","Scorpio","Sagittarius","Capricorn","Aquarius","Pisces"},0)-MATCH(CALC_PlanetPositions!$B$8,{"Aries","Taurus","Gemini","Cancer","Leo","Virgo","Libra","Scorpio","Sagittarius","Capricorn","Aquarius","Pisces"},0),12)+1,{1,4,7,10},0))),1.5,0),0)</f>
        <v>0</v>
      </c>
      <c r="H16" s="1173" t="str">
        <f ca="1">IFERROR(IF(OR(B16=INDEX(CALC_DashaModifier!$B$5:$B$16,MATCH(MAX(CALC_DashaModifier!$F$5:$F$16),CALC_DashaModifier!$F$5:$F$16,0)),ISNUMBER(SEARCH(INDEX(CALC_DashaModifier!$B$5:$B$16,MATCH(MAX(CALC_DashaModifier!$F$5:$F$16),CALC_DashaModifier!$F$5:$F$16,0)),B16))),"▶ Active","Dormant"),"Dormant")</f>
        <v>Dormant</v>
      </c>
      <c r="I16" s="188">
        <f ca="1">IFERROR(IF(H16="▶ Active",1,0.5),0.5)</f>
        <v>0.5</v>
      </c>
      <c r="J16" s="850">
        <f ca="1">IFERROR(G16*I16,0)</f>
        <v>0</v>
      </c>
    </row>
    <row r="18" spans="1:10" ht="45" customHeight="1" x14ac:dyDescent="0.2">
      <c r="A18" s="1602" t="s">
        <v>4803</v>
      </c>
      <c r="B18" s="1602"/>
      <c r="C18" s="1602"/>
      <c r="D18" s="1602"/>
      <c r="E18" s="1602"/>
      <c r="F18" s="1602"/>
      <c r="G18" s="1177">
        <f>SUM(G5:G9)</f>
        <v>0</v>
      </c>
      <c r="J18" s="514">
        <f ca="1">SUMPRODUCT(G5:G16,I5:I16)</f>
        <v>0</v>
      </c>
    </row>
    <row r="19" spans="1:10" ht="45.75" customHeight="1" x14ac:dyDescent="0.2">
      <c r="H19" s="1517" t="s">
        <v>4804</v>
      </c>
      <c r="I19" s="1517"/>
      <c r="J19" s="1517"/>
    </row>
  </sheetData>
  <mergeCells count="6">
    <mergeCell ref="H19:J19"/>
    <mergeCell ref="A1:H1"/>
    <mergeCell ref="A2:H2"/>
    <mergeCell ref="A4:H4"/>
    <mergeCell ref="A11:H11"/>
    <mergeCell ref="A18:F18"/>
  </mergeCells>
  <pageMargins left="0.75" right="0.75" top="1" bottom="1" header="0.511811023622047" footer="0.511811023622047"/>
  <pageSetup paperSize="9" orientation="portrait" horizontalDpi="300" verticalDpi="300"/>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tabColor rgb="FFE65100"/>
  </sheetPr>
  <dimension ref="A1:L24"/>
  <sheetViews>
    <sheetView zoomScaleNormal="100" workbookViewId="0">
      <pane ySplit="3" topLeftCell="A4" activePane="bottomLeft" state="frozen"/>
      <selection pane="bottomLeft"/>
    </sheetView>
  </sheetViews>
  <sheetFormatPr defaultColWidth="8.609375" defaultRowHeight="15" x14ac:dyDescent="0.2"/>
  <cols>
    <col min="1" max="1" width="22.05859375" customWidth="1"/>
    <col min="2" max="2" width="13.98828125" customWidth="1"/>
    <col min="3" max="3" width="11.97265625" customWidth="1"/>
    <col min="4" max="4" width="34.03125" customWidth="1"/>
    <col min="5" max="5" width="43.98828125" customWidth="1"/>
    <col min="6" max="6" width="29.99609375" customWidth="1"/>
    <col min="7" max="7" width="9.01171875" customWidth="1"/>
    <col min="8" max="8" width="18.0234375" customWidth="1"/>
    <col min="9" max="10" width="13.98828125" customWidth="1"/>
  </cols>
  <sheetData>
    <row r="1" spans="1:12" ht="25.5" customHeight="1" x14ac:dyDescent="0.2">
      <c r="A1" s="1518" t="s">
        <v>4805</v>
      </c>
      <c r="B1" s="1518"/>
      <c r="C1" s="1518"/>
      <c r="D1" s="1518"/>
      <c r="E1" s="1518"/>
      <c r="F1" s="1518"/>
      <c r="G1" s="1518"/>
      <c r="H1" s="1518"/>
      <c r="L1" s="29" t="str">
        <f>HYPERLINK("#'00_INDEX'!A1","&lt;- Index")</f>
        <v>&lt;- Index</v>
      </c>
    </row>
    <row r="2" spans="1:12" ht="19.5" customHeight="1" x14ac:dyDescent="0.2">
      <c r="A2" s="1508" t="s">
        <v>4806</v>
      </c>
      <c r="B2" s="1508"/>
      <c r="C2" s="1508"/>
      <c r="D2" s="1508"/>
      <c r="E2" s="1508"/>
      <c r="F2" s="1508"/>
      <c r="G2" s="1508"/>
      <c r="H2" s="1508"/>
    </row>
    <row r="3" spans="1:12" ht="19.5" customHeight="1" x14ac:dyDescent="0.2">
      <c r="A3" s="87" t="s">
        <v>3378</v>
      </c>
      <c r="B3" s="517" t="s">
        <v>4775</v>
      </c>
      <c r="C3" s="517" t="s">
        <v>4776</v>
      </c>
      <c r="D3" s="516" t="s">
        <v>2314</v>
      </c>
      <c r="E3" s="658" t="s">
        <v>2267</v>
      </c>
      <c r="F3" s="89" t="s">
        <v>2280</v>
      </c>
      <c r="G3" s="517" t="s">
        <v>4287</v>
      </c>
      <c r="H3" s="330" t="s">
        <v>4777</v>
      </c>
      <c r="I3" s="330" t="s">
        <v>4778</v>
      </c>
      <c r="J3" s="330" t="s">
        <v>4779</v>
      </c>
    </row>
    <row r="4" spans="1:12" ht="15.75" customHeight="1" x14ac:dyDescent="0.2">
      <c r="A4" s="1543" t="s">
        <v>4807</v>
      </c>
      <c r="B4" s="1543"/>
      <c r="C4" s="1543"/>
      <c r="D4" s="1543"/>
      <c r="E4" s="1543"/>
      <c r="F4" s="1543"/>
      <c r="G4" s="1543"/>
      <c r="H4" s="1543"/>
    </row>
    <row r="5" spans="1:12" ht="42" customHeight="1" x14ac:dyDescent="0.2">
      <c r="A5" s="90" t="s">
        <v>4808</v>
      </c>
      <c r="B5" s="897" t="s">
        <v>4809</v>
      </c>
      <c r="C5" s="768" t="str">
        <f>IFERROR(IF(OR(CALC_BhaveshMap!$D$8=CALC_BhaveshMap!$D$9,CALC_BhaveshMap!$G$8=CALC_BhaveshMap!$G$9,AND(CALC_BhaveshMap!$G$8=CALC_BhaveshMap!$C$9,CALC_BhaveshMap!$G$9=CALC_BhaveshMap!$C$8)),"YES ✓","No"),"—")</f>
        <v>YES ✓</v>
      </c>
      <c r="D5" s="455" t="str">
        <f>IFERROR(CALC_BhaveshMap!$D$8&amp;" ("&amp;CALC_BhaveshMap!$G$8&amp;") + "&amp;CALC_BhaveshMap!$D$9&amp;" ("&amp;CALC_BhaveshMap!$G$9&amp;")","—")</f>
        <v>Sun (Cancer) + Mercury (Cancer)</v>
      </c>
      <c r="E5" s="534" t="s">
        <v>4810</v>
      </c>
      <c r="F5" s="1171" t="s">
        <v>4811</v>
      </c>
      <c r="G5" s="1172">
        <f>IFERROR(IF(OR(CALC_BhaveshMap!$D$8=CALC_BhaveshMap!$D$9,CALC_BhaveshMap!$G$8=CALC_BhaveshMap!$G$9,AND(CALC_BhaveshMap!$G$8=CALC_BhaveshMap!$C$9,CALC_BhaveshMap!$G$9=CALC_BhaveshMap!$C$8)),IF(OR(CALC_BhaveshMap!$L$8="Exaltation",CALC_BhaveshMap!$L$8="Deep exalt",CALC_BhaveshMap!$L$9="Exaltation",CALC_BhaveshMap!$L$9="Deep exalt"),3,2),0),0)</f>
        <v>2</v>
      </c>
      <c r="H5" s="1173" t="str">
        <f ca="1">IFERROR(IF(OR(B5=INDEX(CALC_DashaModifier!$B$5:$B$16,MATCH(MAX(CALC_DashaModifier!$F$5:$F$16),CALC_DashaModifier!$F$5:$F$16,0)),ISNUMBER(SEARCH(INDEX(CALC_DashaModifier!$B$5:$B$16,MATCH(MAX(CALC_DashaModifier!$F$5:$F$16),CALC_DashaModifier!$F$5:$F$16,0)),B5))),"▶ Active","Dormant"),"Dormant")</f>
        <v>Dormant</v>
      </c>
      <c r="I5" s="188">
        <f t="shared" ref="I5:I12" ca="1" si="0">IFERROR(IF(H5="▶ Active",1,0.5),0.5)</f>
        <v>0.5</v>
      </c>
      <c r="J5" s="850">
        <f t="shared" ref="J5:J12" ca="1" si="1">IFERROR(G5*I5,0)</f>
        <v>1</v>
      </c>
    </row>
    <row r="6" spans="1:12" ht="42" customHeight="1" x14ac:dyDescent="0.2">
      <c r="A6" s="94" t="s">
        <v>4812</v>
      </c>
      <c r="B6" s="892" t="s">
        <v>4813</v>
      </c>
      <c r="C6" s="769" t="str">
        <f>IFERROR(IF(OR(CALC_BhaveshMap!$D$8=CALC_BhaveshMap!$D$13,CALC_BhaveshMap!$G$8=CALC_BhaveshMap!$G$13,AND(CALC_BhaveshMap!$G$8=CALC_BhaveshMap!$C$13,CALC_BhaveshMap!$G$13=CALC_BhaveshMap!$C$8)),"YES ✓","No"),"—")</f>
        <v>YES ✓</v>
      </c>
      <c r="D6" s="455" t="str">
        <f>IFERROR(CALC_BhaveshMap!$D$8&amp;" ("&amp;CALC_BhaveshMap!$G$8&amp;") + "&amp;CALC_BhaveshMap!$D$13&amp;" ("&amp;CALC_BhaveshMap!$G$13&amp;")","—")</f>
        <v>Sun (Cancer) + Saturn (Cancer)</v>
      </c>
      <c r="E6" s="536" t="s">
        <v>4814</v>
      </c>
      <c r="F6" s="1174" t="s">
        <v>4811</v>
      </c>
      <c r="G6" s="1175">
        <f>IFERROR(IF(OR(CALC_BhaveshMap!$D$8=CALC_BhaveshMap!$D$13,CALC_BhaveshMap!$G$8=CALC_BhaveshMap!$G$13,AND(CALC_BhaveshMap!$G$8=CALC_BhaveshMap!$C$13,CALC_BhaveshMap!$G$13=CALC_BhaveshMap!$C$8)),IF(OR(CALC_BhaveshMap!$L$8="Exaltation",CALC_BhaveshMap!$L$8="Deep exalt",CALC_BhaveshMap!$L$13="Exaltation",CALC_BhaveshMap!$L$13="Deep exalt"),3,2),0),0)</f>
        <v>2</v>
      </c>
      <c r="H6" s="1173" t="str">
        <f ca="1">IFERROR(IF(OR(B6=INDEX(CALC_DashaModifier!$B$5:$B$16,MATCH(MAX(CALC_DashaModifier!$F$5:$F$16),CALC_DashaModifier!$F$5:$F$16,0)),ISNUMBER(SEARCH(INDEX(CALC_DashaModifier!$B$5:$B$16,MATCH(MAX(CALC_DashaModifier!$F$5:$F$16),CALC_DashaModifier!$F$5:$F$16,0)),B6))),"▶ Active","Dormant"),"Dormant")</f>
        <v>Dormant</v>
      </c>
      <c r="I6" s="188">
        <f t="shared" ca="1" si="0"/>
        <v>0.5</v>
      </c>
      <c r="J6" s="850">
        <f t="shared" ca="1" si="1"/>
        <v>1</v>
      </c>
    </row>
    <row r="7" spans="1:12" ht="42" customHeight="1" x14ac:dyDescent="0.2">
      <c r="A7" s="90" t="s">
        <v>4815</v>
      </c>
      <c r="B7" s="897" t="s">
        <v>4816</v>
      </c>
      <c r="C7" s="768" t="str">
        <f>IFERROR(IF(OR(CALC_BhaveshMap!$D$11=CALC_BhaveshMap!$D$9,CALC_BhaveshMap!$G$11=CALC_BhaveshMap!$G$9,AND(CALC_BhaveshMap!$G$11=CALC_BhaveshMap!$C$9,CALC_BhaveshMap!$G$9=CALC_BhaveshMap!$C$11)),"YES ✓","No"),"—")</f>
        <v>No</v>
      </c>
      <c r="D7" s="455" t="str">
        <f>IFERROR(CALC_BhaveshMap!$D$11&amp;" ("&amp;CALC_BhaveshMap!$G$11&amp;") + "&amp;CALC_BhaveshMap!$D$9&amp;" ("&amp;CALC_BhaveshMap!$G$9&amp;")","—")</f>
        <v>Mars (Gemini) + Mercury (Cancer)</v>
      </c>
      <c r="E7" s="534" t="s">
        <v>4817</v>
      </c>
      <c r="F7" s="1171" t="s">
        <v>4811</v>
      </c>
      <c r="G7" s="1172">
        <f>IFERROR(IF(OR(CALC_BhaveshMap!$D$11=CALC_BhaveshMap!$D$9,CALC_BhaveshMap!$G$11=CALC_BhaveshMap!$G$9,AND(CALC_BhaveshMap!$G$11=CALC_BhaveshMap!$C$9,CALC_BhaveshMap!$G$9=CALC_BhaveshMap!$C$11)),IF(OR(CALC_BhaveshMap!$L$11="Exaltation",CALC_BhaveshMap!$L$11="Deep exalt",CALC_BhaveshMap!$L$9="Exaltation",CALC_BhaveshMap!$L$9="Deep exalt"),3,2),0),0)</f>
        <v>0</v>
      </c>
      <c r="H7" s="1173" t="str">
        <f ca="1">IFERROR(IF(OR(B7=INDEX(CALC_DashaModifier!$B$5:$B$16,MATCH(MAX(CALC_DashaModifier!$F$5:$F$16),CALC_DashaModifier!$F$5:$F$16,0)),ISNUMBER(SEARCH(INDEX(CALC_DashaModifier!$B$5:$B$16,MATCH(MAX(CALC_DashaModifier!$F$5:$F$16),CALC_DashaModifier!$F$5:$F$16,0)),B7))),"▶ Active","Dormant"),"Dormant")</f>
        <v>Dormant</v>
      </c>
      <c r="I7" s="188">
        <f t="shared" ca="1" si="0"/>
        <v>0.5</v>
      </c>
      <c r="J7" s="850">
        <f t="shared" ca="1" si="1"/>
        <v>0</v>
      </c>
    </row>
    <row r="8" spans="1:12" ht="42" customHeight="1" x14ac:dyDescent="0.2">
      <c r="A8" s="94" t="s">
        <v>4818</v>
      </c>
      <c r="B8" s="892" t="s">
        <v>4819</v>
      </c>
      <c r="C8" s="769" t="str">
        <f>IFERROR(IF(OR(CALC_BhaveshMap!$D$11=CALC_BhaveshMap!$D$13,CALC_BhaveshMap!$G$11=CALC_BhaveshMap!$G$13,AND(CALC_BhaveshMap!$G$11=CALC_BhaveshMap!$C$13,CALC_BhaveshMap!$G$13=CALC_BhaveshMap!$C$11)),"YES ✓","No"),"—")</f>
        <v>No</v>
      </c>
      <c r="D8" s="455" t="str">
        <f>IFERROR(CALC_BhaveshMap!$D$11&amp;" ("&amp;CALC_BhaveshMap!$G$11&amp;") + "&amp;CALC_BhaveshMap!$D$13&amp;" ("&amp;CALC_BhaveshMap!$G$13&amp;")","—")</f>
        <v>Mars (Gemini) + Saturn (Cancer)</v>
      </c>
      <c r="E8" s="536" t="s">
        <v>4820</v>
      </c>
      <c r="F8" s="1174" t="s">
        <v>4811</v>
      </c>
      <c r="G8" s="1175">
        <f>IFERROR(IF(OR(CALC_BhaveshMap!$D$11=CALC_BhaveshMap!$D$13,CALC_BhaveshMap!$G$11=CALC_BhaveshMap!$G$13,AND(CALC_BhaveshMap!$G$11=CALC_BhaveshMap!$C$13,CALC_BhaveshMap!$G$13=CALC_BhaveshMap!$C$11)),IF(OR(CALC_BhaveshMap!$L$11="Exaltation",CALC_BhaveshMap!$L$11="Deep exalt",CALC_BhaveshMap!$L$13="Exaltation",CALC_BhaveshMap!$L$13="Deep exalt"),3,2),0),0)</f>
        <v>0</v>
      </c>
      <c r="H8" s="1173" t="str">
        <f ca="1">IFERROR(IF(OR(B8=INDEX(CALC_DashaModifier!$B$5:$B$16,MATCH(MAX(CALC_DashaModifier!$F$5:$F$16),CALC_DashaModifier!$F$5:$F$16,0)),ISNUMBER(SEARCH(INDEX(CALC_DashaModifier!$B$5:$B$16,MATCH(MAX(CALC_DashaModifier!$F$5:$F$16),CALC_DashaModifier!$F$5:$F$16,0)),B8))),"▶ Active","Dormant"),"Dormant")</f>
        <v>Dormant</v>
      </c>
      <c r="I8" s="188">
        <f t="shared" ca="1" si="0"/>
        <v>0.5</v>
      </c>
      <c r="J8" s="850">
        <f t="shared" ca="1" si="1"/>
        <v>0</v>
      </c>
    </row>
    <row r="9" spans="1:12" ht="42" customHeight="1" x14ac:dyDescent="0.2">
      <c r="A9" s="90" t="s">
        <v>4821</v>
      </c>
      <c r="B9" s="897" t="s">
        <v>4822</v>
      </c>
      <c r="C9" s="768" t="str">
        <f>IFERROR(IF(OR(CALC_BhaveshMap!$D$14=CALC_BhaveshMap!$D$9,CALC_BhaveshMap!$G$14=CALC_BhaveshMap!$G$9,AND(CALC_BhaveshMap!$G$14=CALC_BhaveshMap!$C$9,CALC_BhaveshMap!$G$9=CALC_BhaveshMap!$C$14)),"YES ✓","No"),"—")</f>
        <v>YES ✓</v>
      </c>
      <c r="D9" s="455" t="str">
        <f>IFERROR(CALC_BhaveshMap!$D$14&amp;" ("&amp;CALC_BhaveshMap!$G$14&amp;") + "&amp;CALC_BhaveshMap!$D$9&amp;" ("&amp;CALC_BhaveshMap!$G$9&amp;")","—")</f>
        <v>Saturn (Cancer) + Mercury (Cancer)</v>
      </c>
      <c r="E9" s="534" t="s">
        <v>4823</v>
      </c>
      <c r="F9" s="1171" t="s">
        <v>4811</v>
      </c>
      <c r="G9" s="1172">
        <f>IFERROR(IF(OR(CALC_BhaveshMap!$D$14=CALC_BhaveshMap!$D$9,CALC_BhaveshMap!$G$14=CALC_BhaveshMap!$G$9,AND(CALC_BhaveshMap!$G$14=CALC_BhaveshMap!$C$9,CALC_BhaveshMap!$G$9=CALC_BhaveshMap!$C$14)),IF(OR(CALC_BhaveshMap!$L$14="Exaltation",CALC_BhaveshMap!$L$14="Deep exalt",CALC_BhaveshMap!$L$9="Exaltation",CALC_BhaveshMap!$L$9="Deep exalt"),3,2),0),0)</f>
        <v>2</v>
      </c>
      <c r="H9" s="1173" t="str">
        <f ca="1">IFERROR(IF(OR(B9=INDEX(CALC_DashaModifier!$B$5:$B$16,MATCH(MAX(CALC_DashaModifier!$F$5:$F$16),CALC_DashaModifier!$F$5:$F$16,0)),ISNUMBER(SEARCH(INDEX(CALC_DashaModifier!$B$5:$B$16,MATCH(MAX(CALC_DashaModifier!$F$5:$F$16),CALC_DashaModifier!$F$5:$F$16,0)),B9))),"▶ Active","Dormant"),"Dormant")</f>
        <v>Dormant</v>
      </c>
      <c r="I9" s="188">
        <f t="shared" ca="1" si="0"/>
        <v>0.5</v>
      </c>
      <c r="J9" s="850">
        <f t="shared" ca="1" si="1"/>
        <v>1</v>
      </c>
    </row>
    <row r="10" spans="1:12" ht="42" customHeight="1" x14ac:dyDescent="0.2">
      <c r="A10" s="94" t="s">
        <v>4824</v>
      </c>
      <c r="B10" s="892" t="s">
        <v>4825</v>
      </c>
      <c r="C10" s="769" t="str">
        <f>IFERROR(IF(OR(CALC_BhaveshMap!$D$14=CALC_BhaveshMap!$D$13,CALC_BhaveshMap!$G$14=CALC_BhaveshMap!$G$13,AND(CALC_BhaveshMap!$G$14=CALC_BhaveshMap!$C$13,CALC_BhaveshMap!$G$13=CALC_BhaveshMap!$C$14)),"YES ✓","No"),"—")</f>
        <v>YES ✓</v>
      </c>
      <c r="D10" s="455" t="str">
        <f>IFERROR(CALC_BhaveshMap!$D$14&amp;" ("&amp;CALC_BhaveshMap!$G$14&amp;") + "&amp;CALC_BhaveshMap!$D$13&amp;" ("&amp;CALC_BhaveshMap!$G$13&amp;")","—")</f>
        <v>Saturn (Cancer) + Saturn (Cancer)</v>
      </c>
      <c r="E10" s="536" t="s">
        <v>4826</v>
      </c>
      <c r="F10" s="1174" t="s">
        <v>4811</v>
      </c>
      <c r="G10" s="1175">
        <f>IFERROR(IF(OR(CALC_BhaveshMap!$D$14=CALC_BhaveshMap!$D$13,CALC_BhaveshMap!$G$14=CALC_BhaveshMap!$G$13,AND(CALC_BhaveshMap!$G$14=CALC_BhaveshMap!$C$13,CALC_BhaveshMap!$G$13=CALC_BhaveshMap!$C$14)),IF(OR(CALC_BhaveshMap!$L$14="Exaltation",CALC_BhaveshMap!$L$14="Deep exalt",CALC_BhaveshMap!$L$13="Exaltation",CALC_BhaveshMap!$L$13="Deep exalt"),3,2),0),0)</f>
        <v>2</v>
      </c>
      <c r="H10" s="1173" t="str">
        <f ca="1">IFERROR(IF(OR(B10=INDEX(CALC_DashaModifier!$B$5:$B$16,MATCH(MAX(CALC_DashaModifier!$F$5:$F$16),CALC_DashaModifier!$F$5:$F$16,0)),ISNUMBER(SEARCH(INDEX(CALC_DashaModifier!$B$5:$B$16,MATCH(MAX(CALC_DashaModifier!$F$5:$F$16),CALC_DashaModifier!$F$5:$F$16,0)),B10))),"▶ Active","Dormant"),"Dormant")</f>
        <v>Dormant</v>
      </c>
      <c r="I10" s="188">
        <f t="shared" ca="1" si="0"/>
        <v>0.5</v>
      </c>
      <c r="J10" s="850">
        <f t="shared" ca="1" si="1"/>
        <v>1</v>
      </c>
    </row>
    <row r="11" spans="1:12" ht="42" customHeight="1" x14ac:dyDescent="0.2">
      <c r="A11" s="90" t="s">
        <v>4827</v>
      </c>
      <c r="B11" s="897" t="s">
        <v>4828</v>
      </c>
      <c r="C11" s="768" t="str">
        <f>IFERROR(IF(OR(CALC_BhaveshMap!$D$5=CALC_BhaveshMap!$D$9,CALC_BhaveshMap!$G$5=CALC_BhaveshMap!$G$9,AND(CALC_BhaveshMap!$G$5=CALC_BhaveshMap!$C$9,CALC_BhaveshMap!$G$9=CALC_BhaveshMap!$C$5)),"YES ✓","No"),"—")</f>
        <v>YES ✓</v>
      </c>
      <c r="D11" s="455" t="str">
        <f>IFERROR(CALC_BhaveshMap!$D$5&amp;" ("&amp;CALC_BhaveshMap!$G$5&amp;") + "&amp;CALC_BhaveshMap!$D$9&amp;" ("&amp;CALC_BhaveshMap!$G$9&amp;")","—")</f>
        <v>Venus (Cancer) + Mercury (Cancer)</v>
      </c>
      <c r="E11" s="534" t="s">
        <v>4829</v>
      </c>
      <c r="F11" s="1171" t="s">
        <v>4811</v>
      </c>
      <c r="G11" s="1172">
        <f>IFERROR(IF(OR(CALC_BhaveshMap!$D$5=CALC_BhaveshMap!$D$9,CALC_BhaveshMap!$G$5=CALC_BhaveshMap!$G$9,AND(CALC_BhaveshMap!$G$5=CALC_BhaveshMap!$C$9,CALC_BhaveshMap!$G$9=CALC_BhaveshMap!$C$5)),IF(OR(CALC_BhaveshMap!$L$5="Exaltation",CALC_BhaveshMap!$L$5="Deep exalt",CALC_BhaveshMap!$L$9="Exaltation",CALC_BhaveshMap!$L$9="Deep exalt"),3,2),0),0)</f>
        <v>2</v>
      </c>
      <c r="H11" s="1173" t="str">
        <f ca="1">IFERROR(IF(OR(B11=INDEX(CALC_DashaModifier!$B$5:$B$16,MATCH(MAX(CALC_DashaModifier!$F$5:$F$16),CALC_DashaModifier!$F$5:$F$16,0)),ISNUMBER(SEARCH(INDEX(CALC_DashaModifier!$B$5:$B$16,MATCH(MAX(CALC_DashaModifier!$F$5:$F$16),CALC_DashaModifier!$F$5:$F$16,0)),B11))),"▶ Active","Dormant"),"Dormant")</f>
        <v>Dormant</v>
      </c>
      <c r="I11" s="188">
        <f t="shared" ca="1" si="0"/>
        <v>0.5</v>
      </c>
      <c r="J11" s="850">
        <f t="shared" ca="1" si="1"/>
        <v>1</v>
      </c>
    </row>
    <row r="12" spans="1:12" ht="42" customHeight="1" x14ac:dyDescent="0.2">
      <c r="A12" s="94" t="s">
        <v>4830</v>
      </c>
      <c r="B12" s="892" t="s">
        <v>4831</v>
      </c>
      <c r="C12" s="769" t="str">
        <f>IFERROR(IF(OR(CALC_BhaveshMap!$D$5=CALC_BhaveshMap!$D$13,CALC_BhaveshMap!$G$5=CALC_BhaveshMap!$G$13,AND(CALC_BhaveshMap!$G$5=CALC_BhaveshMap!$C$13,CALC_BhaveshMap!$G$13=CALC_BhaveshMap!$C$5)),"YES ✓","No"),"—")</f>
        <v>YES ✓</v>
      </c>
      <c r="D12" s="455" t="str">
        <f>IFERROR(CALC_BhaveshMap!$D$5&amp;" ("&amp;CALC_BhaveshMap!$G$5&amp;") + "&amp;CALC_BhaveshMap!$D$13&amp;" ("&amp;CALC_BhaveshMap!$G$13&amp;")","—")</f>
        <v>Venus (Cancer) + Saturn (Cancer)</v>
      </c>
      <c r="E12" s="536" t="s">
        <v>4832</v>
      </c>
      <c r="F12" s="1174" t="s">
        <v>4811</v>
      </c>
      <c r="G12" s="1175">
        <f>IFERROR(IF(OR(CALC_BhaveshMap!$D$5=CALC_BhaveshMap!$D$13,CALC_BhaveshMap!$G$5=CALC_BhaveshMap!$G$13,AND(CALC_BhaveshMap!$G$5=CALC_BhaveshMap!$C$13,CALC_BhaveshMap!$G$13=CALC_BhaveshMap!$C$5)),IF(OR(CALC_BhaveshMap!$L$5="Exaltation",CALC_BhaveshMap!$L$5="Deep exalt",CALC_BhaveshMap!$L$13="Exaltation",CALC_BhaveshMap!$L$13="Deep exalt"),3,2),0),0)</f>
        <v>2</v>
      </c>
      <c r="H12" s="1173" t="str">
        <f ca="1">IFERROR(IF(OR(B12=INDEX(CALC_DashaModifier!$B$5:$B$16,MATCH(MAX(CALC_DashaModifier!$F$5:$F$16),CALC_DashaModifier!$F$5:$F$16,0)),ISNUMBER(SEARCH(INDEX(CALC_DashaModifier!$B$5:$B$16,MATCH(MAX(CALC_DashaModifier!$F$5:$F$16),CALC_DashaModifier!$F$5:$F$16,0)),B12))),"▶ Active","Dormant"),"Dormant")</f>
        <v>Dormant</v>
      </c>
      <c r="I12" s="188">
        <f t="shared" ca="1" si="0"/>
        <v>0.5</v>
      </c>
      <c r="J12" s="850">
        <f t="shared" ca="1" si="1"/>
        <v>1</v>
      </c>
    </row>
    <row r="14" spans="1:12" ht="15.75" customHeight="1" x14ac:dyDescent="0.2">
      <c r="A14" s="1544" t="s">
        <v>4833</v>
      </c>
      <c r="B14" s="1544"/>
      <c r="C14" s="1544"/>
      <c r="D14" s="1544"/>
      <c r="E14" s="1544"/>
      <c r="F14" s="1544"/>
      <c r="G14" s="1544"/>
      <c r="H14" s="1544"/>
    </row>
    <row r="15" spans="1:12" ht="42" customHeight="1" x14ac:dyDescent="0.2">
      <c r="A15" s="90" t="s">
        <v>4834</v>
      </c>
      <c r="B15" s="897" t="s">
        <v>4835</v>
      </c>
      <c r="C15" s="768" t="str">
        <f>IFERROR(IF(OR(CALC_BhaveshMap!$D$6=CALC_BhaveshMap!$D$15,CALC_BhaveshMap!$G$6=CALC_BhaveshMap!$G$15,AND(CALC_BhaveshMap!$G$6=CALC_BhaveshMap!$C$15,CALC_BhaveshMap!$G$15=CALC_BhaveshMap!$C$6)),"YES ✓","No"),"—")</f>
        <v>No</v>
      </c>
      <c r="D15" s="455" t="str">
        <f>IFERROR(CALC_BhaveshMap!$D$6&amp;" ("&amp;CALC_BhaveshMap!$G$6&amp;") + "&amp;CALC_BhaveshMap!$D$15&amp;" ("&amp;CALC_BhaveshMap!$G$15&amp;")","—")</f>
        <v>Mercury (Cancer) + Jupiter (Libra)</v>
      </c>
      <c r="E15" s="534" t="s">
        <v>4836</v>
      </c>
      <c r="F15" s="1171" t="s">
        <v>4837</v>
      </c>
      <c r="G15" s="1172">
        <f>IFERROR(IF(OR(CALC_BhaveshMap!$D$6=CALC_BhaveshMap!$D$15,CALC_BhaveshMap!$G$6=CALC_BhaveshMap!$G$15,AND(CALC_BhaveshMap!$G$6=CALC_BhaveshMap!$C$15,CALC_BhaveshMap!$G$15=CALC_BhaveshMap!$C$6)),2,0),0)</f>
        <v>0</v>
      </c>
      <c r="H15" s="1173" t="str">
        <f ca="1">IFERROR(IF(OR(B15=INDEX(CALC_DashaModifier!$B$5:$B$16,MATCH(MAX(CALC_DashaModifier!$F$5:$F$16),CALC_DashaModifier!$F$5:$F$16,0)),ISNUMBER(SEARCH(INDEX(CALC_DashaModifier!$B$5:$B$16,MATCH(MAX(CALC_DashaModifier!$F$5:$F$16),CALC_DashaModifier!$F$5:$F$16,0)),B15))),"▶ Active","Dormant"),"Dormant")</f>
        <v>Dormant</v>
      </c>
      <c r="I15" s="188">
        <f ca="1">IFERROR(IF(H15="▶ Active",1,0.5),0.5)</f>
        <v>0.5</v>
      </c>
      <c r="J15" s="850">
        <f ca="1">IFERROR(G15*I15,0)</f>
        <v>0</v>
      </c>
    </row>
    <row r="16" spans="1:12" ht="42" customHeight="1" x14ac:dyDescent="0.2">
      <c r="A16" s="94" t="s">
        <v>4838</v>
      </c>
      <c r="B16" s="892" t="s">
        <v>4839</v>
      </c>
      <c r="C16" s="769" t="str">
        <f>IFERROR(IF(OR(CALC_BhaveshMap!$D$6=CALC_BhaveshMap!$D$13,CALC_BhaveshMap!$G$6=CALC_BhaveshMap!$G$13,AND(CALC_BhaveshMap!$G$6=CALC_BhaveshMap!$C$13,CALC_BhaveshMap!$G$13=CALC_BhaveshMap!$C$6)),"YES ✓","No"),"—")</f>
        <v>YES ✓</v>
      </c>
      <c r="D16" s="455" t="str">
        <f>IFERROR(CALC_BhaveshMap!$D$6&amp;" ("&amp;CALC_BhaveshMap!$G$6&amp;") + "&amp;CALC_BhaveshMap!$D$13&amp;" ("&amp;CALC_BhaveshMap!$G$13&amp;")","—")</f>
        <v>Mercury (Cancer) + Saturn (Cancer)</v>
      </c>
      <c r="E16" s="536" t="s">
        <v>4840</v>
      </c>
      <c r="F16" s="1174" t="s">
        <v>4837</v>
      </c>
      <c r="G16" s="1175">
        <f>IFERROR(IF(OR(CALC_BhaveshMap!$D$6=CALC_BhaveshMap!$D$13,CALC_BhaveshMap!$G$6=CALC_BhaveshMap!$G$13,AND(CALC_BhaveshMap!$G$6=CALC_BhaveshMap!$C$13,CALC_BhaveshMap!$G$13=CALC_BhaveshMap!$C$6)),2,0),0)</f>
        <v>2</v>
      </c>
      <c r="H16" s="1173" t="str">
        <f ca="1">IFERROR(IF(OR(B16=INDEX(CALC_DashaModifier!$B$5:$B$16,MATCH(MAX(CALC_DashaModifier!$F$5:$F$16),CALC_DashaModifier!$F$5:$F$16,0)),ISNUMBER(SEARCH(INDEX(CALC_DashaModifier!$B$5:$B$16,MATCH(MAX(CALC_DashaModifier!$F$5:$F$16),CALC_DashaModifier!$F$5:$F$16,0)),B16))),"▶ Active","Dormant"),"Dormant")</f>
        <v>Dormant</v>
      </c>
      <c r="I16" s="188">
        <f ca="1">IFERROR(IF(H16="▶ Active",1,0.5),0.5)</f>
        <v>0.5</v>
      </c>
      <c r="J16" s="850">
        <f ca="1">IFERROR(G16*I16,0)</f>
        <v>1</v>
      </c>
    </row>
    <row r="17" spans="1:10" ht="42" customHeight="1" x14ac:dyDescent="0.2">
      <c r="A17" s="90" t="s">
        <v>4841</v>
      </c>
      <c r="B17" s="897" t="s">
        <v>4842</v>
      </c>
      <c r="C17" s="768" t="str">
        <f>IFERROR(IF(OR(CALC_BhaveshMap!$D$6=CALC_BhaveshMap!$D$9,CALC_BhaveshMap!$G$6=CALC_BhaveshMap!$G$9,AND(CALC_BhaveshMap!$G$6=CALC_BhaveshMap!$C$9,CALC_BhaveshMap!$G$9=CALC_BhaveshMap!$C$6)),"YES ✓","No"),"—")</f>
        <v>YES ✓</v>
      </c>
      <c r="D17" s="455" t="str">
        <f>IFERROR(CALC_BhaveshMap!$D$6&amp;" ("&amp;CALC_BhaveshMap!$G$6&amp;") + "&amp;CALC_BhaveshMap!$D$9&amp;" ("&amp;CALC_BhaveshMap!$G$9&amp;")","—")</f>
        <v>Mercury (Cancer) + Mercury (Cancer)</v>
      </c>
      <c r="E17" s="534" t="s">
        <v>4843</v>
      </c>
      <c r="F17" s="1171" t="s">
        <v>4837</v>
      </c>
      <c r="G17" s="1172">
        <f>IFERROR(IF(OR(CALC_BhaveshMap!$D$6=CALC_BhaveshMap!$D$9,CALC_BhaveshMap!$G$6=CALC_BhaveshMap!$G$9,AND(CALC_BhaveshMap!$G$6=CALC_BhaveshMap!$C$9,CALC_BhaveshMap!$G$9=CALC_BhaveshMap!$C$6)),2,0),0)</f>
        <v>2</v>
      </c>
      <c r="H17" s="1173" t="str">
        <f ca="1">IFERROR(IF(OR(B17=INDEX(CALC_DashaModifier!$B$5:$B$16,MATCH(MAX(CALC_DashaModifier!$F$5:$F$16),CALC_DashaModifier!$F$5:$F$16,0)),ISNUMBER(SEARCH(INDEX(CALC_DashaModifier!$B$5:$B$16,MATCH(MAX(CALC_DashaModifier!$F$5:$F$16),CALC_DashaModifier!$F$5:$F$16,0)),B17))),"▶ Active","Dormant"),"Dormant")</f>
        <v>Dormant</v>
      </c>
      <c r="I17" s="188">
        <f ca="1">IFERROR(IF(H17="▶ Active",1,0.5),0.5)</f>
        <v>0.5</v>
      </c>
      <c r="J17" s="850">
        <f ca="1">IFERROR(G17*I17,0)</f>
        <v>1</v>
      </c>
    </row>
    <row r="18" spans="1:10" ht="42" customHeight="1" x14ac:dyDescent="0.2">
      <c r="A18" s="94" t="s">
        <v>4844</v>
      </c>
      <c r="B18" s="892" t="s">
        <v>4845</v>
      </c>
      <c r="C18" s="769" t="str">
        <f>IFERROR(IF(OR(CALC_BhaveshMap!$D$15=CALC_BhaveshMap!$D$13,CALC_BhaveshMap!$G$15=CALC_BhaveshMap!$G$13,AND(CALC_BhaveshMap!$G$15=CALC_BhaveshMap!$C$13,CALC_BhaveshMap!$G$13=CALC_BhaveshMap!$C$15)),"YES ✓","No"),"—")</f>
        <v>No</v>
      </c>
      <c r="D18" s="455" t="str">
        <f>IFERROR(CALC_BhaveshMap!$D$15&amp;" ("&amp;CALC_BhaveshMap!$G$15&amp;") + "&amp;CALC_BhaveshMap!$D$13&amp;" ("&amp;CALC_BhaveshMap!$G$13&amp;")","—")</f>
        <v>Jupiter (Libra) + Saturn (Cancer)</v>
      </c>
      <c r="E18" s="536" t="s">
        <v>4846</v>
      </c>
      <c r="F18" s="1174" t="s">
        <v>4837</v>
      </c>
      <c r="G18" s="1175">
        <f>IFERROR(IF(OR(CALC_BhaveshMap!$D$15=CALC_BhaveshMap!$D$13,CALC_BhaveshMap!$G$15=CALC_BhaveshMap!$G$13,AND(CALC_BhaveshMap!$G$15=CALC_BhaveshMap!$C$13,CALC_BhaveshMap!$G$13=CALC_BhaveshMap!$C$15)),2,0),0)</f>
        <v>0</v>
      </c>
      <c r="H18" s="1173" t="str">
        <f ca="1">IFERROR(IF(OR(B18=INDEX(CALC_DashaModifier!$B$5:$B$16,MATCH(MAX(CALC_DashaModifier!$F$5:$F$16),CALC_DashaModifier!$F$5:$F$16,0)),ISNUMBER(SEARCH(INDEX(CALC_DashaModifier!$B$5:$B$16,MATCH(MAX(CALC_DashaModifier!$F$5:$F$16),CALC_DashaModifier!$F$5:$F$16,0)),B18))),"▶ Active","Dormant"),"Dormant")</f>
        <v>Dormant</v>
      </c>
      <c r="I18" s="188">
        <f ca="1">IFERROR(IF(H18="▶ Active",1,0.5),0.5)</f>
        <v>0.5</v>
      </c>
      <c r="J18" s="850">
        <f ca="1">IFERROR(G18*I18,0)</f>
        <v>0</v>
      </c>
    </row>
    <row r="19" spans="1:10" ht="42" customHeight="1" x14ac:dyDescent="0.2">
      <c r="A19" s="90" t="s">
        <v>4847</v>
      </c>
      <c r="B19" s="897" t="s">
        <v>4848</v>
      </c>
      <c r="C19" s="768" t="str">
        <f>IFERROR(IF(OR(CALC_BhaveshMap!$D$15=CALC_BhaveshMap!$D$9,CALC_BhaveshMap!$G$15=CALC_BhaveshMap!$G$9,AND(CALC_BhaveshMap!$G$15=CALC_BhaveshMap!$C$9,CALC_BhaveshMap!$G$9=CALC_BhaveshMap!$C$15)),"YES ✓","No"),"—")</f>
        <v>No</v>
      </c>
      <c r="D19" s="455" t="str">
        <f>IFERROR(CALC_BhaveshMap!$D$15&amp;" ("&amp;CALC_BhaveshMap!$G$15&amp;") + "&amp;CALC_BhaveshMap!$D$9&amp;" ("&amp;CALC_BhaveshMap!$G$9&amp;")","—")</f>
        <v>Jupiter (Libra) + Mercury (Cancer)</v>
      </c>
      <c r="E19" s="534" t="s">
        <v>4849</v>
      </c>
      <c r="F19" s="1171" t="s">
        <v>4837</v>
      </c>
      <c r="G19" s="1172">
        <f>IFERROR(IF(OR(CALC_BhaveshMap!$D$15=CALC_BhaveshMap!$D$9,CALC_BhaveshMap!$G$15=CALC_BhaveshMap!$G$9,AND(CALC_BhaveshMap!$G$15=CALC_BhaveshMap!$C$9,CALC_BhaveshMap!$G$9=CALC_BhaveshMap!$C$15)),2,0),0)</f>
        <v>0</v>
      </c>
      <c r="H19" s="1173" t="str">
        <f ca="1">IFERROR(IF(OR(B19=INDEX(CALC_DashaModifier!$B$5:$B$16,MATCH(MAX(CALC_DashaModifier!$F$5:$F$16),CALC_DashaModifier!$F$5:$F$16,0)),ISNUMBER(SEARCH(INDEX(CALC_DashaModifier!$B$5:$B$16,MATCH(MAX(CALC_DashaModifier!$F$5:$F$16),CALC_DashaModifier!$F$5:$F$16,0)),B19))),"▶ Active","Dormant"),"Dormant")</f>
        <v>Dormant</v>
      </c>
      <c r="I19" s="188">
        <f ca="1">IFERROR(IF(H19="▶ Active",1,0.5),0.5)</f>
        <v>0.5</v>
      </c>
      <c r="J19" s="850">
        <f ca="1">IFERROR(G19*I19,0)</f>
        <v>0</v>
      </c>
    </row>
    <row r="21" spans="1:10" ht="21.75" customHeight="1" x14ac:dyDescent="0.2">
      <c r="A21" s="1603" t="s">
        <v>4850</v>
      </c>
      <c r="B21" s="1603"/>
      <c r="C21" s="1603"/>
      <c r="D21" s="1603"/>
      <c r="E21" s="1603"/>
      <c r="F21" s="1603"/>
      <c r="G21" s="1177">
        <f>SUM(G5:G19)</f>
        <v>16</v>
      </c>
      <c r="J21" s="514">
        <f ca="1">SUMPRODUCT(G5:G19,I5:I19)</f>
        <v>8</v>
      </c>
    </row>
    <row r="22" spans="1:10" ht="45.75" customHeight="1" x14ac:dyDescent="0.2">
      <c r="H22" s="1517" t="s">
        <v>4804</v>
      </c>
      <c r="I22" s="1517"/>
      <c r="J22" s="1517"/>
    </row>
    <row r="24" spans="1:10" ht="45" customHeight="1" x14ac:dyDescent="0.2">
      <c r="A24" s="562" t="s">
        <v>4803</v>
      </c>
    </row>
  </sheetData>
  <mergeCells count="6">
    <mergeCell ref="H22:J22"/>
    <mergeCell ref="A1:H1"/>
    <mergeCell ref="A2:H2"/>
    <mergeCell ref="A4:H4"/>
    <mergeCell ref="A14:H14"/>
    <mergeCell ref="A21:F21"/>
  </mergeCells>
  <pageMargins left="0.75" right="0.75" top="1" bottom="1" header="0.511811023622047" footer="0.511811023622047"/>
  <pageSetup paperSize="9" orientation="portrait" horizontalDpi="300" verticalDpi="300"/>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tabColor rgb="FFE65100"/>
  </sheetPr>
  <dimension ref="A1:L18"/>
  <sheetViews>
    <sheetView zoomScaleNormal="100" workbookViewId="0">
      <pane ySplit="3" topLeftCell="A4" activePane="bottomLeft" state="frozen"/>
      <selection pane="bottomLeft"/>
    </sheetView>
  </sheetViews>
  <sheetFormatPr defaultColWidth="8.609375" defaultRowHeight="15" x14ac:dyDescent="0.2"/>
  <cols>
    <col min="1" max="1" width="22.05859375" customWidth="1"/>
    <col min="2" max="2" width="13.98828125" customWidth="1"/>
    <col min="3" max="3" width="11.97265625" customWidth="1"/>
    <col min="4" max="4" width="34.03125" customWidth="1"/>
    <col min="5" max="5" width="43.98828125" customWidth="1"/>
    <col min="6" max="6" width="29.99609375" customWidth="1"/>
    <col min="7" max="7" width="9.01171875" customWidth="1"/>
    <col min="8" max="8" width="18.0234375" customWidth="1"/>
    <col min="9" max="10" width="13.98828125" customWidth="1"/>
  </cols>
  <sheetData>
    <row r="1" spans="1:12" ht="25.5" customHeight="1" x14ac:dyDescent="0.2">
      <c r="A1" s="1518" t="s">
        <v>4851</v>
      </c>
      <c r="B1" s="1518"/>
      <c r="C1" s="1518"/>
      <c r="D1" s="1518"/>
      <c r="E1" s="1518"/>
      <c r="F1" s="1518"/>
      <c r="G1" s="1518"/>
      <c r="H1" s="1518"/>
      <c r="L1" s="29" t="str">
        <f>HYPERLINK("#'00_INDEX'!A1","&lt;- Index")</f>
        <v>&lt;- Index</v>
      </c>
    </row>
    <row r="2" spans="1:12" ht="19.5" customHeight="1" x14ac:dyDescent="0.2">
      <c r="A2" s="1508" t="s">
        <v>4852</v>
      </c>
      <c r="B2" s="1508"/>
      <c r="C2" s="1508"/>
      <c r="D2" s="1508"/>
      <c r="E2" s="1508"/>
      <c r="F2" s="1508"/>
      <c r="G2" s="1508"/>
      <c r="H2" s="1508"/>
    </row>
    <row r="3" spans="1:12" ht="19.5" customHeight="1" x14ac:dyDescent="0.2">
      <c r="A3" s="87" t="s">
        <v>3378</v>
      </c>
      <c r="B3" s="517" t="s">
        <v>4775</v>
      </c>
      <c r="C3" s="517" t="s">
        <v>4776</v>
      </c>
      <c r="D3" s="516" t="s">
        <v>2314</v>
      </c>
      <c r="E3" s="658" t="s">
        <v>2267</v>
      </c>
      <c r="F3" s="89" t="s">
        <v>2280</v>
      </c>
      <c r="G3" s="517" t="s">
        <v>4287</v>
      </c>
      <c r="H3" s="330" t="s">
        <v>4777</v>
      </c>
      <c r="I3" s="330" t="s">
        <v>4778</v>
      </c>
      <c r="J3" s="330" t="s">
        <v>4779</v>
      </c>
    </row>
    <row r="4" spans="1:12" ht="15.75" customHeight="1" x14ac:dyDescent="0.2">
      <c r="A4" s="1543" t="s">
        <v>4853</v>
      </c>
      <c r="B4" s="1543"/>
      <c r="C4" s="1543"/>
      <c r="D4" s="1543"/>
      <c r="E4" s="1543"/>
      <c r="F4" s="1543"/>
      <c r="G4" s="1543"/>
      <c r="H4" s="1543"/>
    </row>
    <row r="5" spans="1:12" ht="42" customHeight="1" x14ac:dyDescent="0.2">
      <c r="A5" s="90" t="s">
        <v>4854</v>
      </c>
      <c r="B5" s="897" t="s">
        <v>4855</v>
      </c>
      <c r="C5" s="768" t="str">
        <f>IFERROR(IF(ISNUMBER(MATCH(MOD(MATCH(CALC_PlanetPositions!$B$11,{"Aries","Taurus","Gemini","Cancer","Leo","Virgo","Libra","Scorpio","Sagittarius","Capricorn","Aquarius","Pisces"},0)-MATCH(CALC_PlanetPositions!$B$8,{"Aries","Taurus","Gemini","Cancer","Leo","Virgo","Libra","Scorpio","Sagittarius","Capricorn","Aquarius","Pisces"},0),12)+1,{1,4,7,10},0)),"YES ✓","No"),"—")</f>
        <v>YES ✓</v>
      </c>
      <c r="D5" s="455" t="s">
        <v>4856</v>
      </c>
      <c r="E5" s="534" t="s">
        <v>4857</v>
      </c>
      <c r="F5" s="1171" t="s">
        <v>4858</v>
      </c>
      <c r="G5" s="1172">
        <f>IFERROR(IF(ISNUMBER(MATCH(MOD(MATCH(CALC_PlanetPositions!$B$11,{"Aries","Taurus","Gemini","Cancer","Leo","Virgo","Libra","Scorpio","Sagittarius","Capricorn","Aquarius","Pisces"},0)-MATCH(CALC_PlanetPositions!$B$8,{"Aries","Taurus","Gemini","Cancer","Leo","Virgo","Libra","Scorpio","Sagittarius","Capricorn","Aquarius","Pisces"},0),12)+1,{1,4,7,10},0)),3,0),0)</f>
        <v>3</v>
      </c>
      <c r="H5" s="1173" t="str">
        <f ca="1">IFERROR(IF(OR(B5=INDEX(CALC_DashaModifier!$B$5:$B$16,MATCH(MAX(CALC_DashaModifier!$F$5:$F$16),CALC_DashaModifier!$F$5:$F$16,0)),ISNUMBER(SEARCH(INDEX(CALC_DashaModifier!$B$5:$B$16,MATCH(MAX(CALC_DashaModifier!$F$5:$F$16),CALC_DashaModifier!$F$5:$F$16,0)),B5))),"▶ Active","Dormant"),"Dormant")</f>
        <v>Dormant</v>
      </c>
      <c r="I5" s="188">
        <f t="shared" ref="I5:I14" ca="1" si="0">IFERROR(IF(H5="▶ Active",1,0.5),0.5)</f>
        <v>0.5</v>
      </c>
      <c r="J5" s="850">
        <f t="shared" ref="J5:J14" ca="1" si="1">IFERROR(G5*I5,0)</f>
        <v>1.5</v>
      </c>
    </row>
    <row r="6" spans="1:12" ht="42" customHeight="1" x14ac:dyDescent="0.2">
      <c r="A6" s="94" t="s">
        <v>4859</v>
      </c>
      <c r="B6" s="892" t="s">
        <v>4860</v>
      </c>
      <c r="C6" s="769" t="str">
        <f>IFERROR(IF(CALC_PlanetPositions!$B$7=CALC_PlanetPositions!$B$10,"YES ✓","No"),"—")</f>
        <v>YES ✓</v>
      </c>
      <c r="D6" s="455" t="s">
        <v>4861</v>
      </c>
      <c r="E6" s="536" t="s">
        <v>4862</v>
      </c>
      <c r="F6" s="1174" t="s">
        <v>4863</v>
      </c>
      <c r="G6" s="1175">
        <f>IFERROR(IF(CALC_PlanetPositions!$B$7=CALC_PlanetPositions!$B$10,2,0),0)</f>
        <v>2</v>
      </c>
      <c r="H6" s="1173" t="str">
        <f ca="1">IFERROR(IF(OR(B6=INDEX(CALC_DashaModifier!$B$5:$B$16,MATCH(MAX(CALC_DashaModifier!$F$5:$F$16),CALC_DashaModifier!$F$5:$F$16,0)),ISNUMBER(SEARCH(INDEX(CALC_DashaModifier!$B$5:$B$16,MATCH(MAX(CALC_DashaModifier!$F$5:$F$16),CALC_DashaModifier!$F$5:$F$16,0)),B6))),"▶ Active","Dormant"),"Dormant")</f>
        <v>Dormant</v>
      </c>
      <c r="I6" s="188">
        <f t="shared" ca="1" si="0"/>
        <v>0.5</v>
      </c>
      <c r="J6" s="850">
        <f t="shared" ca="1" si="1"/>
        <v>1</v>
      </c>
    </row>
    <row r="7" spans="1:12" ht="42" customHeight="1" x14ac:dyDescent="0.2">
      <c r="A7" s="90" t="s">
        <v>4864</v>
      </c>
      <c r="B7" s="897" t="s">
        <v>4865</v>
      </c>
      <c r="C7" s="768" t="str">
        <f>IFERROR(IF(AND(ISNUMBER(MATCH(MOD(MATCH(CALC_PlanetPositions!$B$11,{"Aries","Taurus","Gemini","Cancer","Leo","Virgo","Libra","Scorpio","Sagittarius","Capricorn","Aquarius","Pisces"},0)-MATCH(INPUT_Chart!$C$5,{"Aries","Taurus","Gemini","Cancer","Leo","Virgo","Libra","Scorpio","Sagittarius","Capricorn","Aquarius","Pisces"},0),12)+1,{1,2,4,5,7,9,10},0)),ISNUMBER(MATCH(MOD(MATCH(CALC_PlanetPositions!$B$12,{"Aries","Taurus","Gemini","Cancer","Leo","Virgo","Libra","Scorpio","Sagittarius","Capricorn","Aquarius","Pisces"},0)-MATCH(INPUT_Chart!$C$5,{"Aries","Taurus","Gemini","Cancer","Leo","Virgo","Libra","Scorpio","Sagittarius","Capricorn","Aquarius","Pisces"},0),12)+1,{1,2,4,5,7,9,10},0)),ISNUMBER(MATCH(MOD(MATCH(CALC_PlanetPositions!$B$10,{"Aries","Taurus","Gemini","Cancer","Leo","Virgo","Libra","Scorpio","Sagittarius","Capricorn","Aquarius","Pisces"},0)-MATCH(INPUT_Chart!$C$5,{"Aries","Taurus","Gemini","Cancer","Leo","Virgo","Libra","Scorpio","Sagittarius","Capricorn","Aquarius","Pisces"},0),12)+1,{1,2,4,5,7,9,10},0))),"YES ✓","No"),"—")</f>
        <v>No</v>
      </c>
      <c r="D7" s="455" t="s">
        <v>4866</v>
      </c>
      <c r="E7" s="534" t="s">
        <v>4867</v>
      </c>
      <c r="F7" s="1171" t="s">
        <v>4868</v>
      </c>
      <c r="G7" s="1172">
        <f>IFERROR(IF(AND(ISNUMBER(MATCH(MOD(MATCH(CALC_PlanetPositions!$B$11,{"Aries","Taurus","Gemini","Cancer","Leo","Virgo","Libra","Scorpio","Sagittarius","Capricorn","Aquarius","Pisces"},0)-MATCH(INPUT_Chart!$C$5,{"Aries","Taurus","Gemini","Cancer","Leo","Virgo","Libra","Scorpio","Sagittarius","Capricorn","Aquarius","Pisces"},0),12)+1,{1,2,4,5,7,9,10},0)),ISNUMBER(MATCH(MOD(MATCH(CALC_PlanetPositions!$B$12,{"Aries","Taurus","Gemini","Cancer","Leo","Virgo","Libra","Scorpio","Sagittarius","Capricorn","Aquarius","Pisces"},0)-MATCH(INPUT_Chart!$C$5,{"Aries","Taurus","Gemini","Cancer","Leo","Virgo","Libra","Scorpio","Sagittarius","Capricorn","Aquarius","Pisces"},0),12)+1,{1,2,4,5,7,9,10},0)),ISNUMBER(MATCH(MOD(MATCH(CALC_PlanetPositions!$B$10,{"Aries","Taurus","Gemini","Cancer","Leo","Virgo","Libra","Scorpio","Sagittarius","Capricorn","Aquarius","Pisces"},0)-MATCH(INPUT_Chart!$C$5,{"Aries","Taurus","Gemini","Cancer","Leo","Virgo","Libra","Scorpio","Sagittarius","Capricorn","Aquarius","Pisces"},0),12)+1,{1,2,4,5,7,9,10},0))),3,0),0)</f>
        <v>0</v>
      </c>
      <c r="H7" s="1173" t="str">
        <f ca="1">IFERROR(IF(OR(B7=INDEX(CALC_DashaModifier!$B$5:$B$16,MATCH(MAX(CALC_DashaModifier!$F$5:$F$16),CALC_DashaModifier!$F$5:$F$16,0)),ISNUMBER(SEARCH(INDEX(CALC_DashaModifier!$B$5:$B$16,MATCH(MAX(CALC_DashaModifier!$F$5:$F$16),CALC_DashaModifier!$F$5:$F$16,0)),B7))),"▶ Active","Dormant"),"Dormant")</f>
        <v>Dormant</v>
      </c>
      <c r="I7" s="188">
        <f t="shared" ca="1" si="0"/>
        <v>0.5</v>
      </c>
      <c r="J7" s="850">
        <f t="shared" ca="1" si="1"/>
        <v>0</v>
      </c>
    </row>
    <row r="8" spans="1:12" ht="42" customHeight="1" x14ac:dyDescent="0.2">
      <c r="A8" s="94" t="s">
        <v>4869</v>
      </c>
      <c r="B8" s="892" t="s">
        <v>4870</v>
      </c>
      <c r="C8" s="769" t="str">
        <f>IFERROR(IF(AND(ISNUMBER(MATCH(MOD(MATCH(CALC_PlanetPositions!$B$11,{"Aries","Taurus","Gemini","Cancer","Leo","Virgo","Libra","Scorpio","Sagittarius","Capricorn","Aquarius","Pisces"},0)-MATCH(CALC_PlanetPositions!$B$8,{"Aries","Taurus","Gemini","Cancer","Leo","Virgo","Libra","Scorpio","Sagittarius","Capricorn","Aquarius","Pisces"},0),12)+1,{6,7,8},0)),ISNUMBER(MATCH(MOD(MATCH(CALC_PlanetPositions!$B$12,{"Aries","Taurus","Gemini","Cancer","Leo","Virgo","Libra","Scorpio","Sagittarius","Capricorn","Aquarius","Pisces"},0)-MATCH(CALC_PlanetPositions!$B$8,{"Aries","Taurus","Gemini","Cancer","Leo","Virgo","Libra","Scorpio","Sagittarius","Capricorn","Aquarius","Pisces"},0),12)+1,{6,7,8},0)),ISNUMBER(MATCH(MOD(MATCH(CALC_PlanetPositions!$B$10,{"Aries","Taurus","Gemini","Cancer","Leo","Virgo","Libra","Scorpio","Sagittarius","Capricorn","Aquarius","Pisces"},0)-MATCH(CALC_PlanetPositions!$B$8,{"Aries","Taurus","Gemini","Cancer","Leo","Virgo","Libra","Scorpio","Sagittarius","Capricorn","Aquarius","Pisces"},0),12)+1,{6,7,8},0))),"YES ✓","No"),"—")</f>
        <v>No</v>
      </c>
      <c r="D8" s="455" t="s">
        <v>4866</v>
      </c>
      <c r="E8" s="536" t="s">
        <v>4871</v>
      </c>
      <c r="F8" s="1174" t="s">
        <v>4872</v>
      </c>
      <c r="G8" s="1175">
        <f>IFERROR(IF(AND(ISNUMBER(MATCH(MOD(MATCH(CALC_PlanetPositions!$B$11,{"Aries","Taurus","Gemini","Cancer","Leo","Virgo","Libra","Scorpio","Sagittarius","Capricorn","Aquarius","Pisces"},0)-MATCH(CALC_PlanetPositions!$B$8,{"Aries","Taurus","Gemini","Cancer","Leo","Virgo","Libra","Scorpio","Sagittarius","Capricorn","Aquarius","Pisces"},0),12)+1,{6,7,8},0)),ISNUMBER(MATCH(MOD(MATCH(CALC_PlanetPositions!$B$12,{"Aries","Taurus","Gemini","Cancer","Leo","Virgo","Libra","Scorpio","Sagittarius","Capricorn","Aquarius","Pisces"},0)-MATCH(CALC_PlanetPositions!$B$8,{"Aries","Taurus","Gemini","Cancer","Leo","Virgo","Libra","Scorpio","Sagittarius","Capricorn","Aquarius","Pisces"},0),12)+1,{6,7,8},0)),ISNUMBER(MATCH(MOD(MATCH(CALC_PlanetPositions!$B$10,{"Aries","Taurus","Gemini","Cancer","Leo","Virgo","Libra","Scorpio","Sagittarius","Capricorn","Aquarius","Pisces"},0)-MATCH(CALC_PlanetPositions!$B$8,{"Aries","Taurus","Gemini","Cancer","Leo","Virgo","Libra","Scorpio","Sagittarius","Capricorn","Aquarius","Pisces"},0),12)+1,{6,7,8},0))),3,0),0)</f>
        <v>0</v>
      </c>
      <c r="H8" s="1173" t="str">
        <f ca="1">IFERROR(IF(OR(B8=INDEX(CALC_DashaModifier!$B$5:$B$16,MATCH(MAX(CALC_DashaModifier!$F$5:$F$16),CALC_DashaModifier!$F$5:$F$16,0)),ISNUMBER(SEARCH(INDEX(CALC_DashaModifier!$B$5:$B$16,MATCH(MAX(CALC_DashaModifier!$F$5:$F$16),CALC_DashaModifier!$F$5:$F$16,0)),B8))),"▶ Active","Dormant"),"Dormant")</f>
        <v>Dormant</v>
      </c>
      <c r="I8" s="188">
        <f t="shared" ca="1" si="0"/>
        <v>0.5</v>
      </c>
      <c r="J8" s="850">
        <f t="shared" ca="1" si="1"/>
        <v>0</v>
      </c>
    </row>
    <row r="9" spans="1:12" ht="42" customHeight="1" x14ac:dyDescent="0.2">
      <c r="A9" s="90" t="s">
        <v>4873</v>
      </c>
      <c r="B9" s="897" t="s">
        <v>4874</v>
      </c>
      <c r="C9" s="768" t="str">
        <f>IFERROR(IF(CALC_PlanetPositions!$B$8=CALC_PlanetPositions!$B$9,"YES ✓","No"),"—")</f>
        <v>No</v>
      </c>
      <c r="D9" s="455" t="str">
        <f>"CALC_PlanetPositions!$B$8=CALC_PlanetPositions!$B$9"</f>
        <v>CALC_PlanetPositions!$B$8=CALC_PlanetPositions!$B$9</v>
      </c>
      <c r="E9" s="534" t="s">
        <v>4875</v>
      </c>
      <c r="F9" s="1171" t="s">
        <v>4876</v>
      </c>
      <c r="G9" s="1172">
        <f>IFERROR(IF(CALC_PlanetPositions!$B$8=CALC_PlanetPositions!$B$9,1.5,0),0)</f>
        <v>0</v>
      </c>
      <c r="H9" s="1176" t="str">
        <f ca="1">IFERROR(IF(OR(B9=INDEX(CALC_DashaModifier!$B$5:$B$16,MATCH(MAX(CALC_DashaModifier!$F$5:$F$16),CALC_DashaModifier!$F$5:$F$16,0)),ISNUMBER(SEARCH(INDEX(CALC_DashaModifier!$B$5:$B$16,MATCH(MAX(CALC_DashaModifier!$F$5:$F$16),CALC_DashaModifier!$F$5:$F$16,0)),B9))),"▶ Active","Dormant"),"Dormant")</f>
        <v>Dormant</v>
      </c>
      <c r="I9" s="188">
        <f t="shared" ca="1" si="0"/>
        <v>0.5</v>
      </c>
      <c r="J9" s="850">
        <f t="shared" ca="1" si="1"/>
        <v>0</v>
      </c>
    </row>
    <row r="10" spans="1:12" ht="42" customHeight="1" x14ac:dyDescent="0.2">
      <c r="A10" s="94" t="s">
        <v>4877</v>
      </c>
      <c r="B10" s="892" t="s">
        <v>4878</v>
      </c>
      <c r="C10" s="769" t="str">
        <f>IFERROR(IF(ISNUMBER(MATCH(MOD(MATCH(CALC_BhaveshMap!$G$13,{"Aries","Taurus","Gemini","Cancer","Leo","Virgo","Libra","Scorpio","Sagittarius","Capricorn","Aquarius","Pisces"},0)-MATCH(CALC_BhaveshMap!$G$8,{"Aries","Taurus","Gemini","Cancer","Leo","Virgo","Libra","Scorpio","Sagittarius","Capricorn","Aquarius","Pisces"},0),12)+1,{1,4,7,10},0)),"YES ✓","No"),"—")</f>
        <v>YES ✓</v>
      </c>
      <c r="D10" s="455" t="s">
        <v>4879</v>
      </c>
      <c r="E10" s="536" t="s">
        <v>4880</v>
      </c>
      <c r="F10" s="1174" t="s">
        <v>4881</v>
      </c>
      <c r="G10" s="1175">
        <f>IFERROR(IF(ISNUMBER(MATCH(MOD(MATCH(CALC_BhaveshMap!$G$13,{"Aries","Taurus","Gemini","Cancer","Leo","Virgo","Libra","Scorpio","Sagittarius","Capricorn","Aquarius","Pisces"},0)-MATCH(CALC_BhaveshMap!$G$8,{"Aries","Taurus","Gemini","Cancer","Leo","Virgo","Libra","Scorpio","Sagittarius","Capricorn","Aquarius","Pisces"},0),12)+1,{1,4,7,10},0)),2,0),0)</f>
        <v>2</v>
      </c>
      <c r="H10" s="1173" t="str">
        <f ca="1">IFERROR(IF(OR(B10=INDEX(CALC_DashaModifier!$B$5:$B$16,MATCH(MAX(CALC_DashaModifier!$F$5:$F$16),CALC_DashaModifier!$F$5:$F$16,0)),ISNUMBER(SEARCH(INDEX(CALC_DashaModifier!$B$5:$B$16,MATCH(MAX(CALC_DashaModifier!$F$5:$F$16),CALC_DashaModifier!$F$5:$F$16,0)),B10))),"▶ Active","Dormant"),"Dormant")</f>
        <v>Dormant</v>
      </c>
      <c r="I10" s="188">
        <f t="shared" ca="1" si="0"/>
        <v>0.5</v>
      </c>
      <c r="J10" s="850">
        <f t="shared" ca="1" si="1"/>
        <v>1</v>
      </c>
    </row>
    <row r="11" spans="1:12" ht="42" customHeight="1" x14ac:dyDescent="0.2">
      <c r="A11" s="90" t="s">
        <v>4882</v>
      </c>
      <c r="B11" s="897" t="s">
        <v>4883</v>
      </c>
      <c r="C11" s="768" t="str">
        <f>IFERROR(IF(OR(ISNUMBER(MATCH(MOD(MATCH(CALC_PlanetPositions!$B$9,{"Aries","Taurus","Gemini","Cancer","Leo","Virgo","Libra","Scorpio","Sagittarius","Capricorn","Aquarius","Pisces"},0)-MATCH(CALC_PlanetPositions!$B$8,{"Aries","Taurus","Gemini","Cancer","Leo","Virgo","Libra","Scorpio","Sagittarius","Capricorn","Aquarius","Pisces"},0),12)+1,{2},0)),ISNUMBER(MATCH(MOD(MATCH(CALC_PlanetPositions!$B$10,{"Aries","Taurus","Gemini","Cancer","Leo","Virgo","Libra","Scorpio","Sagittarius","Capricorn","Aquarius","Pisces"},0)-MATCH(CALC_PlanetPositions!$B$8,{"Aries","Taurus","Gemini","Cancer","Leo","Virgo","Libra","Scorpio","Sagittarius","Capricorn","Aquarius","Pisces"},0),12)+1,{2},0)),ISNUMBER(MATCH(MOD(MATCH(CALC_PlanetPositions!$B$11,{"Aries","Taurus","Gemini","Cancer","Leo","Virgo","Libra","Scorpio","Sagittarius","Capricorn","Aquarius","Pisces"},0)-MATCH(CALC_PlanetPositions!$B$8,{"Aries","Taurus","Gemini","Cancer","Leo","Virgo","Libra","Scorpio","Sagittarius","Capricorn","Aquarius","Pisces"},0),12)+1,{2},0)),ISNUMBER(MATCH(MOD(MATCH(CALC_PlanetPositions!$B$12,{"Aries","Taurus","Gemini","Cancer","Leo","Virgo","Libra","Scorpio","Sagittarius","Capricorn","Aquarius","Pisces"},0)-MATCH(CALC_PlanetPositions!$B$8,{"Aries","Taurus","Gemini","Cancer","Leo","Virgo","Libra","Scorpio","Sagittarius","Capricorn","Aquarius","Pisces"},0),12)+1,{2},0)),ISNUMBER(MATCH(MOD(MATCH(CALC_PlanetPositions!$B$13,{"Aries","Taurus","Gemini","Cancer","Leo","Virgo","Libra","Scorpio","Sagittarius","Capricorn","Aquarius","Pisces"},0)-MATCH(CALC_PlanetPositions!$B$8,{"Aries","Taurus","Gemini","Cancer","Leo","Virgo","Libra","Scorpio","Sagittarius","Capricorn","Aquarius","Pisces"},0),12)+1,{2},0))),"YES ✓","No"),"—")</f>
        <v>No</v>
      </c>
      <c r="D11" s="455" t="s">
        <v>4884</v>
      </c>
      <c r="E11" s="534" t="s">
        <v>4885</v>
      </c>
      <c r="F11" s="1171" t="s">
        <v>4886</v>
      </c>
      <c r="G11" s="1172">
        <f>IFERROR(IF(OR(ISNUMBER(MATCH(MOD(MATCH(CALC_PlanetPositions!$B$9,{"Aries","Taurus","Gemini","Cancer","Leo","Virgo","Libra","Scorpio","Sagittarius","Capricorn","Aquarius","Pisces"},0)-MATCH(CALC_PlanetPositions!$B$8,{"Aries","Taurus","Gemini","Cancer","Leo","Virgo","Libra","Scorpio","Sagittarius","Capricorn","Aquarius","Pisces"},0),12)+1,{2},0)),ISNUMBER(MATCH(MOD(MATCH(CALC_PlanetPositions!$B$10,{"Aries","Taurus","Gemini","Cancer","Leo","Virgo","Libra","Scorpio","Sagittarius","Capricorn","Aquarius","Pisces"},0)-MATCH(CALC_PlanetPositions!$B$8,{"Aries","Taurus","Gemini","Cancer","Leo","Virgo","Libra","Scorpio","Sagittarius","Capricorn","Aquarius","Pisces"},0),12)+1,{2},0)),ISNUMBER(MATCH(MOD(MATCH(CALC_PlanetPositions!$B$11,{"Aries","Taurus","Gemini","Cancer","Leo","Virgo","Libra","Scorpio","Sagittarius","Capricorn","Aquarius","Pisces"},0)-MATCH(CALC_PlanetPositions!$B$8,{"Aries","Taurus","Gemini","Cancer","Leo","Virgo","Libra","Scorpio","Sagittarius","Capricorn","Aquarius","Pisces"},0),12)+1,{2},0)),ISNUMBER(MATCH(MOD(MATCH(CALC_PlanetPositions!$B$12,{"Aries","Taurus","Gemini","Cancer","Leo","Virgo","Libra","Scorpio","Sagittarius","Capricorn","Aquarius","Pisces"},0)-MATCH(CALC_PlanetPositions!$B$8,{"Aries","Taurus","Gemini","Cancer","Leo","Virgo","Libra","Scorpio","Sagittarius","Capricorn","Aquarius","Pisces"},0),12)+1,{2},0)),ISNUMBER(MATCH(MOD(MATCH(CALC_PlanetPositions!$B$13,{"Aries","Taurus","Gemini","Cancer","Leo","Virgo","Libra","Scorpio","Sagittarius","Capricorn","Aquarius","Pisces"},0)-MATCH(CALC_PlanetPositions!$B$8,{"Aries","Taurus","Gemini","Cancer","Leo","Virgo","Libra","Scorpio","Sagittarius","Capricorn","Aquarius","Pisces"},0),12)+1,{2},0))),1,0),0)</f>
        <v>0</v>
      </c>
      <c r="H11" s="1173" t="str">
        <f ca="1">IFERROR(IF(OR(B11=INDEX(CALC_DashaModifier!$B$5:$B$16,MATCH(MAX(CALC_DashaModifier!$F$5:$F$16),CALC_DashaModifier!$F$5:$F$16,0)),ISNUMBER(SEARCH(INDEX(CALC_DashaModifier!$B$5:$B$16,MATCH(MAX(CALC_DashaModifier!$F$5:$F$16),CALC_DashaModifier!$F$5:$F$16,0)),B11))),"▶ Active","Dormant"),"Dormant")</f>
        <v>Dormant</v>
      </c>
      <c r="I11" s="188">
        <f t="shared" ca="1" si="0"/>
        <v>0.5</v>
      </c>
      <c r="J11" s="850">
        <f t="shared" ca="1" si="1"/>
        <v>0</v>
      </c>
    </row>
    <row r="12" spans="1:12" ht="42" customHeight="1" x14ac:dyDescent="0.2">
      <c r="A12" s="94" t="s">
        <v>4887</v>
      </c>
      <c r="B12" s="892" t="s">
        <v>4888</v>
      </c>
      <c r="C12" s="769" t="str">
        <f>IFERROR(IF(OR(ISNUMBER(MATCH(MOD(MATCH(CALC_PlanetPositions!$B$9,{"Aries","Taurus","Gemini","Cancer","Leo","Virgo","Libra","Scorpio","Sagittarius","Capricorn","Aquarius","Pisces"},0)-MATCH(CALC_PlanetPositions!$B$8,{"Aries","Taurus","Gemini","Cancer","Leo","Virgo","Libra","Scorpio","Sagittarius","Capricorn","Aquarius","Pisces"},0),12)+1,{12},0)),ISNUMBER(MATCH(MOD(MATCH(CALC_PlanetPositions!$B$10,{"Aries","Taurus","Gemini","Cancer","Leo","Virgo","Libra","Scorpio","Sagittarius","Capricorn","Aquarius","Pisces"},0)-MATCH(CALC_PlanetPositions!$B$8,{"Aries","Taurus","Gemini","Cancer","Leo","Virgo","Libra","Scorpio","Sagittarius","Capricorn","Aquarius","Pisces"},0),12)+1,{12},0)),ISNUMBER(MATCH(MOD(MATCH(CALC_PlanetPositions!$B$11,{"Aries","Taurus","Gemini","Cancer","Leo","Virgo","Libra","Scorpio","Sagittarius","Capricorn","Aquarius","Pisces"},0)-MATCH(CALC_PlanetPositions!$B$8,{"Aries","Taurus","Gemini","Cancer","Leo","Virgo","Libra","Scorpio","Sagittarius","Capricorn","Aquarius","Pisces"},0),12)+1,{12},0)),ISNUMBER(MATCH(MOD(MATCH(CALC_PlanetPositions!$B$12,{"Aries","Taurus","Gemini","Cancer","Leo","Virgo","Libra","Scorpio","Sagittarius","Capricorn","Aquarius","Pisces"},0)-MATCH(CALC_PlanetPositions!$B$8,{"Aries","Taurus","Gemini","Cancer","Leo","Virgo","Libra","Scorpio","Sagittarius","Capricorn","Aquarius","Pisces"},0),12)+1,{12},0)),ISNUMBER(MATCH(MOD(MATCH(CALC_PlanetPositions!$B$13,{"Aries","Taurus","Gemini","Cancer","Leo","Virgo","Libra","Scorpio","Sagittarius","Capricorn","Aquarius","Pisces"},0)-MATCH(CALC_PlanetPositions!$B$8,{"Aries","Taurus","Gemini","Cancer","Leo","Virgo","Libra","Scorpio","Sagittarius","Capricorn","Aquarius","Pisces"},0),12)+1,{12},0))),"YES ✓","No"),"—")</f>
        <v>YES ✓</v>
      </c>
      <c r="D12" s="455" t="s">
        <v>4884</v>
      </c>
      <c r="E12" s="536" t="s">
        <v>4889</v>
      </c>
      <c r="F12" s="1174" t="s">
        <v>4890</v>
      </c>
      <c r="G12" s="1175">
        <f>IFERROR(IF(OR(ISNUMBER(MATCH(MOD(MATCH(CALC_PlanetPositions!$B$9,{"Aries","Taurus","Gemini","Cancer","Leo","Virgo","Libra","Scorpio","Sagittarius","Capricorn","Aquarius","Pisces"},0)-MATCH(CALC_PlanetPositions!$B$8,{"Aries","Taurus","Gemini","Cancer","Leo","Virgo","Libra","Scorpio","Sagittarius","Capricorn","Aquarius","Pisces"},0),12)+1,{12},0)),ISNUMBER(MATCH(MOD(MATCH(CALC_PlanetPositions!$B$10,{"Aries","Taurus","Gemini","Cancer","Leo","Virgo","Libra","Scorpio","Sagittarius","Capricorn","Aquarius","Pisces"},0)-MATCH(CALC_PlanetPositions!$B$8,{"Aries","Taurus","Gemini","Cancer","Leo","Virgo","Libra","Scorpio","Sagittarius","Capricorn","Aquarius","Pisces"},0),12)+1,{12},0)),ISNUMBER(MATCH(MOD(MATCH(CALC_PlanetPositions!$B$11,{"Aries","Taurus","Gemini","Cancer","Leo","Virgo","Libra","Scorpio","Sagittarius","Capricorn","Aquarius","Pisces"},0)-MATCH(CALC_PlanetPositions!$B$8,{"Aries","Taurus","Gemini","Cancer","Leo","Virgo","Libra","Scorpio","Sagittarius","Capricorn","Aquarius","Pisces"},0),12)+1,{12},0)),ISNUMBER(MATCH(MOD(MATCH(CALC_PlanetPositions!$B$12,{"Aries","Taurus","Gemini","Cancer","Leo","Virgo","Libra","Scorpio","Sagittarius","Capricorn","Aquarius","Pisces"},0)-MATCH(CALC_PlanetPositions!$B$8,{"Aries","Taurus","Gemini","Cancer","Leo","Virgo","Libra","Scorpio","Sagittarius","Capricorn","Aquarius","Pisces"},0),12)+1,{12},0)),ISNUMBER(MATCH(MOD(MATCH(CALC_PlanetPositions!$B$13,{"Aries","Taurus","Gemini","Cancer","Leo","Virgo","Libra","Scorpio","Sagittarius","Capricorn","Aquarius","Pisces"},0)-MATCH(CALC_PlanetPositions!$B$8,{"Aries","Taurus","Gemini","Cancer","Leo","Virgo","Libra","Scorpio","Sagittarius","Capricorn","Aquarius","Pisces"},0),12)+1,{12},0))),1,0),0)</f>
        <v>1</v>
      </c>
      <c r="H12" s="1173" t="str">
        <f ca="1">IFERROR(IF(OR(B12=INDEX(CALC_DashaModifier!$B$5:$B$16,MATCH(MAX(CALC_DashaModifier!$F$5:$F$16),CALC_DashaModifier!$F$5:$F$16,0)),ISNUMBER(SEARCH(INDEX(CALC_DashaModifier!$B$5:$B$16,MATCH(MAX(CALC_DashaModifier!$F$5:$F$16),CALC_DashaModifier!$F$5:$F$16,0)),B12))),"▶ Active","Dormant"),"Dormant")</f>
        <v>Dormant</v>
      </c>
      <c r="I12" s="188">
        <f t="shared" ca="1" si="0"/>
        <v>0.5</v>
      </c>
      <c r="J12" s="850">
        <f t="shared" ca="1" si="1"/>
        <v>0.5</v>
      </c>
    </row>
    <row r="13" spans="1:12" ht="42" customHeight="1" x14ac:dyDescent="0.2">
      <c r="A13" s="90" t="s">
        <v>4891</v>
      </c>
      <c r="B13" s="897" t="s">
        <v>4892</v>
      </c>
      <c r="C13" s="768" t="str">
        <f>IFERROR(IF(AND(OR(ISNUMBER(MATCH(MOD(MATCH(CALC_PlanetPositions!$B$9,{"Aries","Taurus","Gemini","Cancer","Leo","Virgo","Libra","Scorpio","Sagittarius","Capricorn","Aquarius","Pisces"},0)-MATCH(CALC_PlanetPositions!$B$8,{"Aries","Taurus","Gemini","Cancer","Leo","Virgo","Libra","Scorpio","Sagittarius","Capricorn","Aquarius","Pisces"},0),12)+1,{2},0)),ISNUMBER(MATCH(MOD(MATCH(CALC_PlanetPositions!$B$10,{"Aries","Taurus","Gemini","Cancer","Leo","Virgo","Libra","Scorpio","Sagittarius","Capricorn","Aquarius","Pisces"},0)-MATCH(CALC_PlanetPositions!$B$8,{"Aries","Taurus","Gemini","Cancer","Leo","Virgo","Libra","Scorpio","Sagittarius","Capricorn","Aquarius","Pisces"},0),12)+1,{2},0)),ISNUMBER(MATCH(MOD(MATCH(CALC_PlanetPositions!$B$11,{"Aries","Taurus","Gemini","Cancer","Leo","Virgo","Libra","Scorpio","Sagittarius","Capricorn","Aquarius","Pisces"},0)-MATCH(CALC_PlanetPositions!$B$8,{"Aries","Taurus","Gemini","Cancer","Leo","Virgo","Libra","Scorpio","Sagittarius","Capricorn","Aquarius","Pisces"},0),12)+1,{2},0)),ISNUMBER(MATCH(MOD(MATCH(CALC_PlanetPositions!$B$12,{"Aries","Taurus","Gemini","Cancer","Leo","Virgo","Libra","Scorpio","Sagittarius","Capricorn","Aquarius","Pisces"},0)-MATCH(CALC_PlanetPositions!$B$8,{"Aries","Taurus","Gemini","Cancer","Leo","Virgo","Libra","Scorpio","Sagittarius","Capricorn","Aquarius","Pisces"},0),12)+1,{2},0)),ISNUMBER(MATCH(MOD(MATCH(CALC_PlanetPositions!$B$13,{"Aries","Taurus","Gemini","Cancer","Leo","Virgo","Libra","Scorpio","Sagittarius","Capricorn","Aquarius","Pisces"},0)-MATCH(CALC_PlanetPositions!$B$8,{"Aries","Taurus","Gemini","Cancer","Leo","Virgo","Libra","Scorpio","Sagittarius","Capricorn","Aquarius","Pisces"},0),12)+1,{2},0))),OR(ISNUMBER(MATCH(MOD(MATCH(CALC_PlanetPositions!$B$9,{"Aries","Taurus","Gemini","Cancer","Leo","Virgo","Libra","Scorpio","Sagittarius","Capricorn","Aquarius","Pisces"},0)-MATCH(CALC_PlanetPositions!$B$8,{"Aries","Taurus","Gemini","Cancer","Leo","Virgo","Libra","Scorpio","Sagittarius","Capricorn","Aquarius","Pisces"},0),12)+1,{12},0)),ISNUMBER(MATCH(MOD(MATCH(CALC_PlanetPositions!$B$10,{"Aries","Taurus","Gemini","Cancer","Leo","Virgo","Libra","Scorpio","Sagittarius","Capricorn","Aquarius","Pisces"},0)-MATCH(CALC_PlanetPositions!$B$8,{"Aries","Taurus","Gemini","Cancer","Leo","Virgo","Libra","Scorpio","Sagittarius","Capricorn","Aquarius","Pisces"},0),12)+1,{12},0)),ISNUMBER(MATCH(MOD(MATCH(CALC_PlanetPositions!$B$11,{"Aries","Taurus","Gemini","Cancer","Leo","Virgo","Libra","Scorpio","Sagittarius","Capricorn","Aquarius","Pisces"},0)-MATCH(CALC_PlanetPositions!$B$8,{"Aries","Taurus","Gemini","Cancer","Leo","Virgo","Libra","Scorpio","Sagittarius","Capricorn","Aquarius","Pisces"},0),12)+1,{12},0)),ISNUMBER(MATCH(MOD(MATCH(CALC_PlanetPositions!$B$12,{"Aries","Taurus","Gemini","Cancer","Leo","Virgo","Libra","Scorpio","Sagittarius","Capricorn","Aquarius","Pisces"},0)-MATCH(CALC_PlanetPositions!$B$8,{"Aries","Taurus","Gemini","Cancer","Leo","Virgo","Libra","Scorpio","Sagittarius","Capricorn","Aquarius","Pisces"},0),12)+1,{12},0)),ISNUMBER(MATCH(MOD(MATCH(CALC_PlanetPositions!$B$13,{"Aries","Taurus","Gemini","Cancer","Leo","Virgo","Libra","Scorpio","Sagittarius","Capricorn","Aquarius","Pisces"},0)-MATCH(CALC_PlanetPositions!$B$8,{"Aries","Taurus","Gemini","Cancer","Leo","Virgo","Libra","Scorpio","Sagittarius","Capricorn","Aquarius","Pisces"},0),12)+1,{12},0)))),"YES ✓","No"),"—")</f>
        <v>No</v>
      </c>
      <c r="D13" s="455" t="s">
        <v>4893</v>
      </c>
      <c r="E13" s="534" t="s">
        <v>4894</v>
      </c>
      <c r="F13" s="1171" t="s">
        <v>4895</v>
      </c>
      <c r="G13" s="1172">
        <f>IFERROR(IF(AND(OR(ISNUMBER(MATCH(MOD(MATCH(CALC_PlanetPositions!$B$9,{"Aries","Taurus","Gemini","Cancer","Leo","Virgo","Libra","Scorpio","Sagittarius","Capricorn","Aquarius","Pisces"},0)-MATCH(CALC_PlanetPositions!$B$8,{"Aries","Taurus","Gemini","Cancer","Leo","Virgo","Libra","Scorpio","Sagittarius","Capricorn","Aquarius","Pisces"},0),12)+1,{2},0)),ISNUMBER(MATCH(MOD(MATCH(CALC_PlanetPositions!$B$10,{"Aries","Taurus","Gemini","Cancer","Leo","Virgo","Libra","Scorpio","Sagittarius","Capricorn","Aquarius","Pisces"},0)-MATCH(CALC_PlanetPositions!$B$8,{"Aries","Taurus","Gemini","Cancer","Leo","Virgo","Libra","Scorpio","Sagittarius","Capricorn","Aquarius","Pisces"},0),12)+1,{2},0)),ISNUMBER(MATCH(MOD(MATCH(CALC_PlanetPositions!$B$11,{"Aries","Taurus","Gemini","Cancer","Leo","Virgo","Libra","Scorpio","Sagittarius","Capricorn","Aquarius","Pisces"},0)-MATCH(CALC_PlanetPositions!$B$8,{"Aries","Taurus","Gemini","Cancer","Leo","Virgo","Libra","Scorpio","Sagittarius","Capricorn","Aquarius","Pisces"},0),12)+1,{2},0)),ISNUMBER(MATCH(MOD(MATCH(CALC_PlanetPositions!$B$12,{"Aries","Taurus","Gemini","Cancer","Leo","Virgo","Libra","Scorpio","Sagittarius","Capricorn","Aquarius","Pisces"},0)-MATCH(CALC_PlanetPositions!$B$8,{"Aries","Taurus","Gemini","Cancer","Leo","Virgo","Libra","Scorpio","Sagittarius","Capricorn","Aquarius","Pisces"},0),12)+1,{2},0)),ISNUMBER(MATCH(MOD(MATCH(CALC_PlanetPositions!$B$13,{"Aries","Taurus","Gemini","Cancer","Leo","Virgo","Libra","Scorpio","Sagittarius","Capricorn","Aquarius","Pisces"},0)-MATCH(CALC_PlanetPositions!$B$8,{"Aries","Taurus","Gemini","Cancer","Leo","Virgo","Libra","Scorpio","Sagittarius","Capricorn","Aquarius","Pisces"},0),12)+1,{2},0))),OR(ISNUMBER(MATCH(MOD(MATCH(CALC_PlanetPositions!$B$9,{"Aries","Taurus","Gemini","Cancer","Leo","Virgo","Libra","Scorpio","Sagittarius","Capricorn","Aquarius","Pisces"},0)-MATCH(CALC_PlanetPositions!$B$8,{"Aries","Taurus","Gemini","Cancer","Leo","Virgo","Libra","Scorpio","Sagittarius","Capricorn","Aquarius","Pisces"},0),12)+1,{12},0)),ISNUMBER(MATCH(MOD(MATCH(CALC_PlanetPositions!$B$10,{"Aries","Taurus","Gemini","Cancer","Leo","Virgo","Libra","Scorpio","Sagittarius","Capricorn","Aquarius","Pisces"},0)-MATCH(CALC_PlanetPositions!$B$8,{"Aries","Taurus","Gemini","Cancer","Leo","Virgo","Libra","Scorpio","Sagittarius","Capricorn","Aquarius","Pisces"},0),12)+1,{12},0)),ISNUMBER(MATCH(MOD(MATCH(CALC_PlanetPositions!$B$11,{"Aries","Taurus","Gemini","Cancer","Leo","Virgo","Libra","Scorpio","Sagittarius","Capricorn","Aquarius","Pisces"},0)-MATCH(CALC_PlanetPositions!$B$8,{"Aries","Taurus","Gemini","Cancer","Leo","Virgo","Libra","Scorpio","Sagittarius","Capricorn","Aquarius","Pisces"},0),12)+1,{12},0)),ISNUMBER(MATCH(MOD(MATCH(CALC_PlanetPositions!$B$12,{"Aries","Taurus","Gemini","Cancer","Leo","Virgo","Libra","Scorpio","Sagittarius","Capricorn","Aquarius","Pisces"},0)-MATCH(CALC_PlanetPositions!$B$8,{"Aries","Taurus","Gemini","Cancer","Leo","Virgo","Libra","Scorpio","Sagittarius","Capricorn","Aquarius","Pisces"},0),12)+1,{12},0)),ISNUMBER(MATCH(MOD(MATCH(CALC_PlanetPositions!$B$13,{"Aries","Taurus","Gemini","Cancer","Leo","Virgo","Libra","Scorpio","Sagittarius","Capricorn","Aquarius","Pisces"},0)-MATCH(CALC_PlanetPositions!$B$8,{"Aries","Taurus","Gemini","Cancer","Leo","Virgo","Libra","Scorpio","Sagittarius","Capricorn","Aquarius","Pisces"},0),12)+1,{12},0)))),1.5,0),0)</f>
        <v>0</v>
      </c>
      <c r="H13" s="1173" t="str">
        <f ca="1">IFERROR(IF(OR(B13=INDEX(CALC_DashaModifier!$B$5:$B$16,MATCH(MAX(CALC_DashaModifier!$F$5:$F$16),CALC_DashaModifier!$F$5:$F$16,0)),ISNUMBER(SEARCH(INDEX(CALC_DashaModifier!$B$5:$B$16,MATCH(MAX(CALC_DashaModifier!$F$5:$F$16),CALC_DashaModifier!$F$5:$F$16,0)),B13))),"▶ Active","Dormant"),"Dormant")</f>
        <v>Dormant</v>
      </c>
      <c r="I13" s="188">
        <f t="shared" ca="1" si="0"/>
        <v>0.5</v>
      </c>
      <c r="J13" s="850">
        <f t="shared" ca="1" si="1"/>
        <v>0</v>
      </c>
    </row>
    <row r="14" spans="1:12" ht="42" customHeight="1" x14ac:dyDescent="0.2">
      <c r="A14" s="94" t="s">
        <v>4896</v>
      </c>
      <c r="B14" s="892" t="s">
        <v>4897</v>
      </c>
      <c r="C14" s="769" t="str">
        <f>IFERROR(IF(AND(OR(CALC_BhaveshMap!$I$5="Yes",CALC_BhaveshMap!$J$5="Yes"),OR(CALC_BhaveshMap!$I$6="Yes",CALC_BhaveshMap!$J$6="Yes")),"YES ✓","No"),"—")</f>
        <v>No</v>
      </c>
      <c r="D14" s="455" t="s">
        <v>4898</v>
      </c>
      <c r="E14" s="536" t="s">
        <v>4899</v>
      </c>
      <c r="F14" s="1174" t="s">
        <v>4900</v>
      </c>
      <c r="G14" s="1175">
        <f>IFERROR(IF(AND(OR(CALC_BhaveshMap!$I$5="Yes",CALC_BhaveshMap!$J$5="Yes"),OR(CALC_BhaveshMap!$I$6="Yes",CALC_BhaveshMap!$J$6="Yes")),2,0),0)</f>
        <v>0</v>
      </c>
      <c r="H14" s="1173" t="str">
        <f ca="1">IFERROR(IF(OR(B14=INDEX(CALC_DashaModifier!$B$5:$B$16,MATCH(MAX(CALC_DashaModifier!$F$5:$F$16),CALC_DashaModifier!$F$5:$F$16,0)),ISNUMBER(SEARCH(INDEX(CALC_DashaModifier!$B$5:$B$16,MATCH(MAX(CALC_DashaModifier!$F$5:$F$16),CALC_DashaModifier!$F$5:$F$16,0)),B14))),"▶ Active","Dormant"),"Dormant")</f>
        <v>Dormant</v>
      </c>
      <c r="I14" s="188">
        <f t="shared" ca="1" si="0"/>
        <v>0.5</v>
      </c>
      <c r="J14" s="850">
        <f t="shared" ca="1" si="1"/>
        <v>0</v>
      </c>
    </row>
    <row r="16" spans="1:12" ht="21.75" customHeight="1" x14ac:dyDescent="0.2">
      <c r="A16" s="1604" t="s">
        <v>4901</v>
      </c>
      <c r="B16" s="1604"/>
      <c r="C16" s="1604"/>
      <c r="D16" s="1604"/>
      <c r="E16" s="1604"/>
      <c r="F16" s="1604"/>
      <c r="G16" s="1179">
        <f>SUM(G5:G14)</f>
        <v>8</v>
      </c>
      <c r="J16" s="514">
        <f ca="1">SUMPRODUCT(G5:G14,I5:I14)</f>
        <v>4</v>
      </c>
    </row>
    <row r="17" spans="1:10" ht="45.75" customHeight="1" x14ac:dyDescent="0.2">
      <c r="H17" s="1517" t="s">
        <v>4804</v>
      </c>
      <c r="I17" s="1517"/>
      <c r="J17" s="1517"/>
    </row>
    <row r="18" spans="1:10" ht="90.75" customHeight="1" x14ac:dyDescent="0.2">
      <c r="A18" s="562" t="s">
        <v>4902</v>
      </c>
    </row>
  </sheetData>
  <mergeCells count="5">
    <mergeCell ref="A1:H1"/>
    <mergeCell ref="A2:H2"/>
    <mergeCell ref="A4:H4"/>
    <mergeCell ref="A16:F16"/>
    <mergeCell ref="H17:J17"/>
  </mergeCells>
  <pageMargins left="0.75" right="0.75" top="1" bottom="1" header="0.511811023622047" footer="0.511811023622047"/>
  <pageSetup paperSize="9" orientation="portrait" horizontalDpi="300" verticalDpi="300"/>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tabColor rgb="FFE65100"/>
  </sheetPr>
  <dimension ref="A1:L15"/>
  <sheetViews>
    <sheetView zoomScaleNormal="100" workbookViewId="0">
      <pane ySplit="3" topLeftCell="A4" activePane="bottomLeft" state="frozen"/>
      <selection pane="bottomLeft"/>
    </sheetView>
  </sheetViews>
  <sheetFormatPr defaultColWidth="8.609375" defaultRowHeight="15" x14ac:dyDescent="0.2"/>
  <cols>
    <col min="1" max="1" width="22.05859375" customWidth="1"/>
    <col min="2" max="2" width="13.98828125" customWidth="1"/>
    <col min="3" max="3" width="11.97265625" customWidth="1"/>
    <col min="4" max="4" width="34.03125" customWidth="1"/>
    <col min="5" max="5" width="43.98828125" customWidth="1"/>
    <col min="6" max="6" width="29.99609375" customWidth="1"/>
    <col min="7" max="7" width="9.01171875" customWidth="1"/>
    <col min="8" max="8" width="18.0234375" customWidth="1"/>
    <col min="9" max="10" width="13.98828125" customWidth="1"/>
  </cols>
  <sheetData>
    <row r="1" spans="1:12" ht="25.5" customHeight="1" x14ac:dyDescent="0.2">
      <c r="A1" s="1518" t="s">
        <v>4903</v>
      </c>
      <c r="B1" s="1518"/>
      <c r="C1" s="1518"/>
      <c r="D1" s="1518"/>
      <c r="E1" s="1518"/>
      <c r="F1" s="1518"/>
      <c r="G1" s="1518"/>
      <c r="H1" s="1518"/>
      <c r="L1" s="29" t="str">
        <f>HYPERLINK("#'00_INDEX'!A1","&lt;- Index")</f>
        <v>&lt;- Index</v>
      </c>
    </row>
    <row r="2" spans="1:12" ht="19.5" customHeight="1" x14ac:dyDescent="0.2">
      <c r="A2" s="1508" t="s">
        <v>4904</v>
      </c>
      <c r="B2" s="1508"/>
      <c r="C2" s="1508"/>
      <c r="D2" s="1508"/>
      <c r="E2" s="1508"/>
      <c r="F2" s="1508"/>
      <c r="G2" s="1508"/>
      <c r="H2" s="1508"/>
    </row>
    <row r="3" spans="1:12" ht="19.5" customHeight="1" x14ac:dyDescent="0.2">
      <c r="A3" s="87" t="s">
        <v>3378</v>
      </c>
      <c r="B3" s="517" t="s">
        <v>4775</v>
      </c>
      <c r="C3" s="517" t="s">
        <v>4776</v>
      </c>
      <c r="D3" s="516" t="s">
        <v>2314</v>
      </c>
      <c r="E3" s="658" t="s">
        <v>2267</v>
      </c>
      <c r="F3" s="89" t="s">
        <v>2280</v>
      </c>
      <c r="G3" s="517" t="s">
        <v>4287</v>
      </c>
      <c r="H3" s="330" t="s">
        <v>4777</v>
      </c>
      <c r="I3" s="330" t="s">
        <v>4778</v>
      </c>
      <c r="J3" s="330" t="s">
        <v>4779</v>
      </c>
    </row>
    <row r="4" spans="1:12" ht="15.75" customHeight="1" x14ac:dyDescent="0.2">
      <c r="A4" s="1542" t="s">
        <v>4905</v>
      </c>
      <c r="B4" s="1542"/>
      <c r="C4" s="1542"/>
      <c r="D4" s="1542"/>
      <c r="E4" s="1542"/>
      <c r="F4" s="1542"/>
      <c r="G4" s="1542"/>
      <c r="H4" s="1542"/>
    </row>
    <row r="5" spans="1:12" ht="42" customHeight="1" x14ac:dyDescent="0.2">
      <c r="A5" s="90" t="s">
        <v>4906</v>
      </c>
      <c r="B5" s="897" t="s">
        <v>4907</v>
      </c>
      <c r="C5" s="768" t="str">
        <f>IFERROR(IF(ISNUMBER(MATCH(CALC_BhaveshMap!$H$10,{6,8,12},0)),"YES ✓","No"),"—")</f>
        <v>No</v>
      </c>
      <c r="D5" s="455" t="str">
        <f>IFERROR(CALC_BhaveshMap!$D$10&amp;" in H"&amp;CALC_BhaveshMap!$H$10,"enter chart")</f>
        <v>Venus in H3</v>
      </c>
      <c r="E5" s="534" t="s">
        <v>4908</v>
      </c>
      <c r="F5" s="1171" t="s">
        <v>4909</v>
      </c>
      <c r="G5" s="1172">
        <f>IFERROR(IF(ISNUMBER(MATCH(CALC_BhaveshMap!$H$10,{6,8,12},0)),IF(OR(CALC_BhaveshMap!$L$10="Exaltation",CALC_BhaveshMap!$L$10="Deep exalt"),3,2),0),0)</f>
        <v>0</v>
      </c>
      <c r="H5" s="1173" t="str">
        <f ca="1">IFERROR(IF(CALC_BhaveshMap!$D$10=INDEX(CALC_DashaModifier!$B$5:$B$16,MATCH(MAX(CALC_DashaModifier!$F$5:$F$16),CALC_DashaModifier!$F$5:$F$16,0)),"▶ Active","Dormant"),"Dormant")</f>
        <v>Dormant</v>
      </c>
      <c r="I5" s="188">
        <f ca="1">IFERROR(IF(H5="▶ Active",1,0.5),0.5)</f>
        <v>0.5</v>
      </c>
      <c r="J5" s="850">
        <f ca="1">IFERROR(G5*I5,0)</f>
        <v>0</v>
      </c>
    </row>
    <row r="6" spans="1:12" ht="42" customHeight="1" x14ac:dyDescent="0.2">
      <c r="A6" s="94" t="s">
        <v>4910</v>
      </c>
      <c r="B6" s="892" t="s">
        <v>4911</v>
      </c>
      <c r="C6" s="769" t="str">
        <f>IFERROR(IF(ISNUMBER(MATCH(CALC_BhaveshMap!$H$12,{6,8,12},0)),"YES ✓","No"),"—")</f>
        <v>YES ✓</v>
      </c>
      <c r="D6" s="455" t="str">
        <f>IFERROR(CALC_BhaveshMap!$D$12&amp;" in H"&amp;CALC_BhaveshMap!$H$12,"enter chart")</f>
        <v>Jupiter in H6</v>
      </c>
      <c r="E6" s="536" t="s">
        <v>4912</v>
      </c>
      <c r="F6" s="1174" t="s">
        <v>4913</v>
      </c>
      <c r="G6" s="1175">
        <f>IFERROR(IF(ISNUMBER(MATCH(CALC_BhaveshMap!$H$12,{6,8,12},0)),IF(OR(CALC_BhaveshMap!$L$12="Exaltation",CALC_BhaveshMap!$L$12="Deep exalt"),3,2),0),0)</f>
        <v>2</v>
      </c>
      <c r="H6" s="1173" t="str">
        <f ca="1">IFERROR(IF(CALC_BhaveshMap!$D$12=INDEX(CALC_DashaModifier!$B$5:$B$16,MATCH(MAX(CALC_DashaModifier!$F$5:$F$16),CALC_DashaModifier!$F$5:$F$16,0)),"▶ Active","Dormant"),"Dormant")</f>
        <v>Dormant</v>
      </c>
      <c r="I6" s="188">
        <f ca="1">IFERROR(IF(H6="▶ Active",1,0.5),0.5)</f>
        <v>0.5</v>
      </c>
      <c r="J6" s="850">
        <f ca="1">IFERROR(G6*I6,0)</f>
        <v>1</v>
      </c>
    </row>
    <row r="7" spans="1:12" ht="42" customHeight="1" x14ac:dyDescent="0.2">
      <c r="A7" s="90" t="s">
        <v>4914</v>
      </c>
      <c r="B7" s="897" t="s">
        <v>4915</v>
      </c>
      <c r="C7" s="768" t="str">
        <f>IFERROR(IF(ISNUMBER(MATCH(CALC_BhaveshMap!$H$16,{6,8,12},0)),"YES ✓","No"),"—")</f>
        <v>No</v>
      </c>
      <c r="D7" s="455" t="str">
        <f>IFERROR(CALC_BhaveshMap!$D$16&amp;" in H"&amp;CALC_BhaveshMap!$H$16,"enter chart")</f>
        <v>Mars in H2</v>
      </c>
      <c r="E7" s="534" t="s">
        <v>4916</v>
      </c>
      <c r="F7" s="1171" t="s">
        <v>4917</v>
      </c>
      <c r="G7" s="1172">
        <f>IFERROR(IF(ISNUMBER(MATCH(CALC_BhaveshMap!$H$16,{6,8,12},0)),IF(OR(CALC_BhaveshMap!$L$16="Exaltation",CALC_BhaveshMap!$L$16="Deep exalt"),3,2),0),0)</f>
        <v>0</v>
      </c>
      <c r="H7" s="1173" t="str">
        <f ca="1">IFERROR(IF(CALC_BhaveshMap!$D$16=INDEX(CALC_DashaModifier!$B$5:$B$16,MATCH(MAX(CALC_DashaModifier!$F$5:$F$16),CALC_DashaModifier!$F$5:$F$16,0)),"▶ Active","Dormant"),"Dormant")</f>
        <v>Dormant</v>
      </c>
      <c r="I7" s="188">
        <f ca="1">IFERROR(IF(H7="▶ Active",1,0.5),0.5)</f>
        <v>0.5</v>
      </c>
      <c r="J7" s="850">
        <f ca="1">IFERROR(G7*I7,0)</f>
        <v>0</v>
      </c>
    </row>
    <row r="8" spans="1:12" ht="7.5" customHeight="1" x14ac:dyDescent="0.2"/>
    <row r="9" spans="1:12" ht="15.75" customHeight="1" x14ac:dyDescent="0.2">
      <c r="A9" s="1543" t="s">
        <v>4918</v>
      </c>
      <c r="B9" s="1543"/>
      <c r="C9" s="1543"/>
      <c r="D9" s="1543"/>
      <c r="E9" s="1543"/>
      <c r="F9" s="1543"/>
      <c r="G9" s="1543"/>
      <c r="H9" s="1543"/>
    </row>
    <row r="10" spans="1:12" ht="27.75" customHeight="1" x14ac:dyDescent="0.2">
      <c r="A10" s="1180" t="s">
        <v>4919</v>
      </c>
      <c r="C10" s="1181" t="str">
        <f>IFERROR(IF(AND(G5&gt;0,G6&gt;0,G7&gt;0),"YES — extraordinary","No"),"—")</f>
        <v>No</v>
      </c>
      <c r="D10" s="1606" t="s">
        <v>4920</v>
      </c>
      <c r="E10" s="1606"/>
      <c r="F10" s="1606"/>
      <c r="G10" s="1606"/>
      <c r="H10" s="1606"/>
    </row>
    <row r="12" spans="1:12" ht="21.75" customHeight="1" x14ac:dyDescent="0.2">
      <c r="A12" s="1605" t="s">
        <v>4921</v>
      </c>
      <c r="B12" s="1605"/>
      <c r="C12" s="1605"/>
      <c r="D12" s="1605"/>
      <c r="E12" s="1605"/>
      <c r="F12" s="1605"/>
      <c r="G12" s="1182">
        <f>IFERROR(SUM(G5:G7)+G14,0)</f>
        <v>2</v>
      </c>
      <c r="J12" s="514">
        <f ca="1">SUMPRODUCT(G5:G7,I5:I7)</f>
        <v>1</v>
      </c>
    </row>
    <row r="13" spans="1:12" ht="15" customHeight="1" x14ac:dyDescent="0.2">
      <c r="A13" s="862" t="s">
        <v>4922</v>
      </c>
      <c r="H13" s="1517" t="s">
        <v>4804</v>
      </c>
      <c r="I13" s="1517"/>
      <c r="J13" s="1517"/>
    </row>
    <row r="14" spans="1:12" ht="15" customHeight="1" x14ac:dyDescent="0.2">
      <c r="A14" t="s">
        <v>4923</v>
      </c>
      <c r="B14" t="s">
        <v>4924</v>
      </c>
      <c r="C14" t="str">
        <f>IFERROR(IF(AND(CALC_BhaveshMap!$H$10=8,CALC_BhaveshMap!$H$12=6),"Yes — H6+H8 mutual exchange","·"),"·")</f>
        <v>·</v>
      </c>
      <c r="D14" t="str">
        <f>IFERROR(CALC_BhaveshMap!$D$10&amp;" in H"&amp;CALC_BhaveshMap!$H$10&amp;" ↔ "&amp;CALC_BhaveshMap!$D$12&amp;" in H"&amp;CALC_BhaveshMap!$H$12,"")</f>
        <v>Venus in H3 ↔ Jupiter in H6</v>
      </c>
      <c r="E14" t="s">
        <v>4925</v>
      </c>
      <c r="F14" t="s">
        <v>4926</v>
      </c>
      <c r="G14">
        <f>IFERROR(IF(AND(CALC_BhaveshMap!$H$10=8,CALC_BhaveshMap!$H$12=6),-1,0),0)</f>
        <v>0</v>
      </c>
      <c r="H14" t="s">
        <v>4927</v>
      </c>
    </row>
    <row r="15" spans="1:12" ht="90.75" customHeight="1" x14ac:dyDescent="0.2">
      <c r="A15" s="562" t="s">
        <v>4928</v>
      </c>
    </row>
  </sheetData>
  <mergeCells count="7">
    <mergeCell ref="A12:F12"/>
    <mergeCell ref="H13:J13"/>
    <mergeCell ref="A1:H1"/>
    <mergeCell ref="A2:H2"/>
    <mergeCell ref="A4:H4"/>
    <mergeCell ref="A9:H9"/>
    <mergeCell ref="D10:H10"/>
  </mergeCells>
  <pageMargins left="0.75" right="0.75" top="1" bottom="1" header="0.511811023622047" footer="0.511811023622047"/>
  <pageSetup paperSize="9" orientation="portrait" horizontalDpi="300" verticalDpi="300"/>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tabColor rgb="FFE65100"/>
  </sheetPr>
  <dimension ref="A1:M14"/>
  <sheetViews>
    <sheetView zoomScaleNormal="100" workbookViewId="0">
      <pane ySplit="3" topLeftCell="A4" activePane="bottomLeft" state="frozen"/>
      <selection pane="bottomLeft"/>
    </sheetView>
  </sheetViews>
  <sheetFormatPr defaultColWidth="8.609375" defaultRowHeight="15" x14ac:dyDescent="0.2"/>
  <cols>
    <col min="1" max="1" width="22.05859375" customWidth="1"/>
    <col min="2" max="2" width="13.98828125" customWidth="1"/>
    <col min="3" max="3" width="11.97265625" customWidth="1"/>
    <col min="4" max="4" width="34.03125" customWidth="1"/>
    <col min="5" max="5" width="43.98828125" customWidth="1"/>
    <col min="6" max="6" width="29.99609375" customWidth="1"/>
    <col min="7" max="7" width="9.01171875" customWidth="1"/>
    <col min="8" max="8" width="18.0234375" customWidth="1"/>
    <col min="9" max="10" width="13.98828125" customWidth="1"/>
    <col min="11" max="12" width="22.05859375" customWidth="1"/>
    <col min="13" max="13" width="20.04296875" customWidth="1"/>
  </cols>
  <sheetData>
    <row r="1" spans="1:13" ht="25.5" customHeight="1" x14ac:dyDescent="0.2">
      <c r="A1" s="1518" t="s">
        <v>4929</v>
      </c>
      <c r="B1" s="1518"/>
      <c r="C1" s="1518"/>
      <c r="D1" s="1518"/>
      <c r="E1" s="1518"/>
      <c r="F1" s="1518"/>
      <c r="G1" s="1518"/>
      <c r="H1" s="1518"/>
      <c r="L1" s="29" t="str">
        <f>HYPERLINK("#'00_INDEX'!A1","&lt;- Index")</f>
        <v>&lt;- Index</v>
      </c>
    </row>
    <row r="2" spans="1:13" ht="19.5" customHeight="1" x14ac:dyDescent="0.2">
      <c r="A2" s="1508" t="s">
        <v>4930</v>
      </c>
      <c r="B2" s="1508"/>
      <c r="C2" s="1508"/>
      <c r="D2" s="1508"/>
      <c r="E2" s="1508"/>
      <c r="F2" s="1508"/>
      <c r="G2" s="1508"/>
      <c r="H2" s="1508"/>
    </row>
    <row r="3" spans="1:13" ht="19.5" customHeight="1" x14ac:dyDescent="0.2">
      <c r="A3" s="87" t="s">
        <v>3378</v>
      </c>
      <c r="B3" s="517" t="s">
        <v>4775</v>
      </c>
      <c r="C3" s="517" t="s">
        <v>4776</v>
      </c>
      <c r="D3" s="516" t="s">
        <v>2314</v>
      </c>
      <c r="E3" s="658" t="s">
        <v>2267</v>
      </c>
      <c r="F3" s="89" t="s">
        <v>2280</v>
      </c>
      <c r="G3" s="517" t="s">
        <v>4287</v>
      </c>
      <c r="H3" s="330" t="s">
        <v>4777</v>
      </c>
      <c r="I3" s="330" t="s">
        <v>4778</v>
      </c>
      <c r="J3" s="330" t="s">
        <v>4779</v>
      </c>
      <c r="K3" s="330" t="s">
        <v>4931</v>
      </c>
      <c r="L3" s="330" t="s">
        <v>4932</v>
      </c>
      <c r="M3" s="330" t="s">
        <v>4933</v>
      </c>
    </row>
    <row r="4" spans="1:13" ht="15.75" customHeight="1" x14ac:dyDescent="0.2">
      <c r="A4" s="1544" t="s">
        <v>4934</v>
      </c>
      <c r="B4" s="1544"/>
      <c r="C4" s="1544"/>
      <c r="D4" s="1544"/>
      <c r="E4" s="1544"/>
      <c r="F4" s="1544"/>
      <c r="G4" s="1544"/>
      <c r="H4" s="1544"/>
    </row>
    <row r="5" spans="1:13" ht="42" customHeight="1" x14ac:dyDescent="0.2">
      <c r="A5" s="90" t="s">
        <v>4935</v>
      </c>
      <c r="B5" s="897" t="s">
        <v>266</v>
      </c>
      <c r="C5" s="768" t="str">
        <f>IFERROR(IF(AND(OR(CALC_PlanetPositions!$K$7="Debilitation",CALC_PlanetPositions!$K$7="Deep debil"),OR(ISNUMBER(MATCH(MOD(MATCH(CALC_PlanetPositions!$B$7,{"Aries","Taurus","Gemini","Cancer","Leo","Virgo","Libra","Scorpio","Sagittarius","Capricorn","Aquarius","Pisces"},0)-MATCH(INPUT_Chart!$C$5,{"Aries","Taurus","Gemini","Cancer","Leo","Virgo","Libra","Scorpio","Sagittarius","Capricorn","Aquarius","Pisces"},0),12)+1,{1,4,7,10},0)),ISNUMBER(MATCH(MOD(MATCH(CALC_PlanetPositions!$B$12,{"Aries","Taurus","Gemini","Cancer","Leo","Virgo","Libra","Scorpio","Sagittarius","Capricorn","Aquarius","Pisces"},0)-MATCH(INPUT_Chart!$C$5,{"Aries","Taurus","Gemini","Cancer","Leo","Virgo","Libra","Scorpio","Sagittarius","Capricorn","Aquarius","Pisces"},0),12)+1,{1,4,7,10},0)))),"YES ✓",IF(OR(CALC_PlanetPositions!$K$7="Debilitation",CALC_PlanetPositions!$K$7="Deep debil"),"Debil — not cancelled","No")),"—")</f>
        <v>No</v>
      </c>
      <c r="D5" s="455" t="str">
        <f>IFERROR(CALC_PlanetPositions!$K$7&amp;" · H"&amp;(MOD(MATCH(CALC_PlanetPositions!$B$7,{"Aries","Taurus","Gemini","Cancer","Leo","Virgo","Libra","Scorpio","Sagittarius","Capricorn","Aquarius","Pisces"},0)-MATCH(INPUT_Chart!$C$5,{"Aries","Taurus","Gemini","Cancer","Leo","Virgo","Libra","Scorpio","Sagittarius","Capricorn","Aquarius","Pisces"},0),12)+1),"enter chart")</f>
        <v>Friendly sign · H3</v>
      </c>
      <c r="E5" s="534" t="s">
        <v>4936</v>
      </c>
      <c r="F5" s="1171" t="s">
        <v>4937</v>
      </c>
      <c r="G5" s="1172">
        <f>IFERROR(IF(AND(OR(CALC_PlanetPositions!$K$7="Debilitation",CALC_PlanetPositions!$K$7="Deep debil"),OR(ISNUMBER(MATCH(MOD(MATCH(CALC_PlanetPositions!$B$7,{"Aries","Taurus","Gemini","Cancer","Leo","Virgo","Libra","Scorpio","Sagittarius","Capricorn","Aquarius","Pisces"},0)-MATCH(INPUT_Chart!$C$5,{"Aries","Taurus","Gemini","Cancer","Leo","Virgo","Libra","Scorpio","Sagittarius","Capricorn","Aquarius","Pisces"},0),12)+1,{1,4,7,10},0)),ISNUMBER(MATCH(MOD(MATCH(CALC_PlanetPositions!$B$12,{"Aries","Taurus","Gemini","Cancer","Leo","Virgo","Libra","Scorpio","Sagittarius","Capricorn","Aquarius","Pisces"},0)-MATCH(INPUT_Chart!$C$5,{"Aries","Taurus","Gemini","Cancer","Leo","Virgo","Libra","Scorpio","Sagittarius","Capricorn","Aquarius","Pisces"},0),12)+1,{1,4,7,10},0)))),3,0),0)</f>
        <v>0</v>
      </c>
      <c r="H5" s="1173" t="str">
        <f ca="1">IFERROR(IF(OR(B5=INDEX(CALC_DashaModifier!$B$5:$B$16,MATCH(MAX(CALC_DashaModifier!$F$5:$F$16),CALC_DashaModifier!$F$5:$F$16,0)),ISNUMBER(SEARCH(INDEX(CALC_DashaModifier!$B$5:$B$16,MATCH(MAX(CALC_DashaModifier!$F$5:$F$16),CALC_DashaModifier!$F$5:$F$16,0)),B5))),"▶ Active","Dormant"),"Dormant")</f>
        <v>Dormant</v>
      </c>
      <c r="I5" s="188">
        <f t="shared" ref="I5:I11" ca="1" si="0">IFERROR(IF(H5="▶ Active",1,0.5),0.5)</f>
        <v>0.5</v>
      </c>
      <c r="J5" s="850">
        <f t="shared" ref="J5:J11" ca="1" si="1">IFERROR(G5*I5,0)</f>
        <v>0</v>
      </c>
      <c r="K5" s="1183" t="s">
        <v>4938</v>
      </c>
      <c r="L5" s="1183" t="s">
        <v>2410</v>
      </c>
      <c r="M5" s="1183" t="s">
        <v>2410</v>
      </c>
    </row>
    <row r="6" spans="1:13" ht="42" customHeight="1" x14ac:dyDescent="0.2">
      <c r="A6" s="94" t="s">
        <v>4939</v>
      </c>
      <c r="B6" s="892" t="s">
        <v>267</v>
      </c>
      <c r="C6" s="769" t="str">
        <f>IFERROR(IF(AND(OR(CALC_PlanetPositions!$K$8="Debilitation",CALC_PlanetPositions!$K$8="Deep debil"),OR(ISNUMBER(MATCH(MOD(MATCH(CALC_PlanetPositions!$B$8,{"Aries","Taurus","Gemini","Cancer","Leo","Virgo","Libra","Scorpio","Sagittarius","Capricorn","Aquarius","Pisces"},0)-MATCH(INPUT_Chart!$C$5,{"Aries","Taurus","Gemini","Cancer","Leo","Virgo","Libra","Scorpio","Sagittarius","Capricorn","Aquarius","Pisces"},0),12)+1,{1,4,7,10},0)),ISNUMBER(MATCH(MOD(MATCH(CALC_PlanetPositions!$B$9,{"Aries","Taurus","Gemini","Cancer","Leo","Virgo","Libra","Scorpio","Sagittarius","Capricorn","Aquarius","Pisces"},0)-MATCH(INPUT_Chart!$C$5,{"Aries","Taurus","Gemini","Cancer","Leo","Virgo","Libra","Scorpio","Sagittarius","Capricorn","Aquarius","Pisces"},0),12)+1,{1,4,7,10},0)))),"YES ✓",IF(OR(CALC_PlanetPositions!$K$8="Debilitation",CALC_PlanetPositions!$K$8="Deep debil"),"Debil — not cancelled","No")),"—")</f>
        <v>No</v>
      </c>
      <c r="D6" s="455" t="str">
        <f>IFERROR(CALC_PlanetPositions!$K$8&amp;" · H"&amp;(MOD(MATCH(CALC_PlanetPositions!$B$8,{"Aries","Taurus","Gemini","Cancer","Leo","Virgo","Libra","Scorpio","Sagittarius","Capricorn","Aquarius","Pisces"},0)-MATCH(INPUT_Chart!$C$5,{"Aries","Taurus","Gemini","Cancer","Leo","Virgo","Libra","Scorpio","Sagittarius","Capricorn","Aquarius","Pisces"},0),12)+1),"enter chart")</f>
        <v>Own sign · H3</v>
      </c>
      <c r="E6" s="536" t="s">
        <v>4940</v>
      </c>
      <c r="F6" s="1174" t="s">
        <v>4937</v>
      </c>
      <c r="G6" s="1175">
        <f>IFERROR(IF(AND(OR(CALC_PlanetPositions!$K$8="Debilitation",CALC_PlanetPositions!$K$8="Deep debil"),OR(ISNUMBER(MATCH(MOD(MATCH(CALC_PlanetPositions!$B$8,{"Aries","Taurus","Gemini","Cancer","Leo","Virgo","Libra","Scorpio","Sagittarius","Capricorn","Aquarius","Pisces"},0)-MATCH(INPUT_Chart!$C$5,{"Aries","Taurus","Gemini","Cancer","Leo","Virgo","Libra","Scorpio","Sagittarius","Capricorn","Aquarius","Pisces"},0),12)+1,{1,4,7,10},0)),ISNUMBER(MATCH(MOD(MATCH(CALC_PlanetPositions!$B$9,{"Aries","Taurus","Gemini","Cancer","Leo","Virgo","Libra","Scorpio","Sagittarius","Capricorn","Aquarius","Pisces"},0)-MATCH(INPUT_Chart!$C$5,{"Aries","Taurus","Gemini","Cancer","Leo","Virgo","Libra","Scorpio","Sagittarius","Capricorn","Aquarius","Pisces"},0),12)+1,{1,4,7,10},0)))),3,0),0)</f>
        <v>0</v>
      </c>
      <c r="H6" s="1173" t="str">
        <f ca="1">IFERROR(IF(OR(B6=INDEX(CALC_DashaModifier!$B$5:$B$16,MATCH(MAX(CALC_DashaModifier!$F$5:$F$16),CALC_DashaModifier!$F$5:$F$16,0)),ISNUMBER(SEARCH(INDEX(CALC_DashaModifier!$B$5:$B$16,MATCH(MAX(CALC_DashaModifier!$F$5:$F$16),CALC_DashaModifier!$F$5:$F$16,0)),B6))),"▶ Active","Dormant"),"Dormant")</f>
        <v>Dormant</v>
      </c>
      <c r="I6" s="188">
        <f t="shared" ca="1" si="0"/>
        <v>0.5</v>
      </c>
      <c r="J6" s="850">
        <f t="shared" ca="1" si="1"/>
        <v>0</v>
      </c>
      <c r="K6" s="1183" t="s">
        <v>4938</v>
      </c>
      <c r="L6" s="1183" t="s">
        <v>2410</v>
      </c>
      <c r="M6" s="1183" t="s">
        <v>2410</v>
      </c>
    </row>
    <row r="7" spans="1:13" ht="42" customHeight="1" x14ac:dyDescent="0.2">
      <c r="A7" s="90" t="s">
        <v>4941</v>
      </c>
      <c r="B7" s="897" t="s">
        <v>268</v>
      </c>
      <c r="C7" s="768" t="str">
        <f>IFERROR(IF(AND(OR(CALC_PlanetPositions!$K$9="Debilitation",CALC_PlanetPositions!$K$9="Deep debil"),OR(ISNUMBER(MATCH(MOD(MATCH(CALC_PlanetPositions!$B$9,{"Aries","Taurus","Gemini","Cancer","Leo","Virgo","Libra","Scorpio","Sagittarius","Capricorn","Aquarius","Pisces"},0)-MATCH(INPUT_Chart!$C$5,{"Aries","Taurus","Gemini","Cancer","Leo","Virgo","Libra","Scorpio","Sagittarius","Capricorn","Aquarius","Pisces"},0),12)+1,{1,4,7,10},0)),ISNUMBER(MATCH(MOD(MATCH(CALC_PlanetPositions!$B$8,{"Aries","Taurus","Gemini","Cancer","Leo","Virgo","Libra","Scorpio","Sagittarius","Capricorn","Aquarius","Pisces"},0)-MATCH(INPUT_Chart!$C$5,{"Aries","Taurus","Gemini","Cancer","Leo","Virgo","Libra","Scorpio","Sagittarius","Capricorn","Aquarius","Pisces"},0),12)+1,{1,4,7,10},0)))),"YES ✓",IF(OR(CALC_PlanetPositions!$K$9="Debilitation",CALC_PlanetPositions!$K$9="Deep debil"),"Debil — not cancelled","No")),"—")</f>
        <v>No</v>
      </c>
      <c r="D7" s="455" t="str">
        <f>IFERROR(CALC_PlanetPositions!$K$9&amp;" · H"&amp;(MOD(MATCH(CALC_PlanetPositions!$B$9,{"Aries","Taurus","Gemini","Cancer","Leo","Virgo","Libra","Scorpio","Sagittarius","Capricorn","Aquarius","Pisces"},0)-MATCH(INPUT_Chart!$C$5,{"Aries","Taurus","Gemini","Cancer","Leo","Virgo","Libra","Scorpio","Sagittarius","Capricorn","Aquarius","Pisces"},0),12)+1),"enter chart")</f>
        <v>Enemy sign · H2</v>
      </c>
      <c r="E7" s="534" t="s">
        <v>4942</v>
      </c>
      <c r="F7" s="1171" t="s">
        <v>4937</v>
      </c>
      <c r="G7" s="1172">
        <f>IFERROR(IF(AND(OR(CALC_PlanetPositions!$K$9="Debilitation",CALC_PlanetPositions!$K$9="Deep debil"),OR(ISNUMBER(MATCH(MOD(MATCH(CALC_PlanetPositions!$B$9,{"Aries","Taurus","Gemini","Cancer","Leo","Virgo","Libra","Scorpio","Sagittarius","Capricorn","Aquarius","Pisces"},0)-MATCH(INPUT_Chart!$C$5,{"Aries","Taurus","Gemini","Cancer","Leo","Virgo","Libra","Scorpio","Sagittarius","Capricorn","Aquarius","Pisces"},0),12)+1,{1,4,7,10},0)),ISNUMBER(MATCH(MOD(MATCH(CALC_PlanetPositions!$B$8,{"Aries","Taurus","Gemini","Cancer","Leo","Virgo","Libra","Scorpio","Sagittarius","Capricorn","Aquarius","Pisces"},0)-MATCH(INPUT_Chart!$C$5,{"Aries","Taurus","Gemini","Cancer","Leo","Virgo","Libra","Scorpio","Sagittarius","Capricorn","Aquarius","Pisces"},0),12)+1,{1,4,7,10},0)))),3,0),0)</f>
        <v>0</v>
      </c>
      <c r="H7" s="1176" t="str">
        <f ca="1">IFERROR(IF(OR(B7=INDEX(CALC_DashaModifier!$B$5:$B$16,MATCH(MAX(CALC_DashaModifier!$F$5:$F$16),CALC_DashaModifier!$F$5:$F$16,0)),ISNUMBER(SEARCH(INDEX(CALC_DashaModifier!$B$5:$B$16,MATCH(MAX(CALC_DashaModifier!$F$5:$F$16),CALC_DashaModifier!$F$5:$F$16,0)),B7))),"▶ Active","Dormant"),"Dormant")</f>
        <v>Dormant</v>
      </c>
      <c r="I7" s="188">
        <f t="shared" ca="1" si="0"/>
        <v>0.5</v>
      </c>
      <c r="J7" s="850">
        <f t="shared" ca="1" si="1"/>
        <v>0</v>
      </c>
      <c r="K7" s="1183" t="s">
        <v>4938</v>
      </c>
      <c r="L7" s="1183" t="s">
        <v>2410</v>
      </c>
      <c r="M7" s="1183" t="s">
        <v>2410</v>
      </c>
    </row>
    <row r="8" spans="1:13" ht="42" customHeight="1" x14ac:dyDescent="0.2">
      <c r="A8" s="94" t="s">
        <v>4943</v>
      </c>
      <c r="B8" s="892" t="s">
        <v>269</v>
      </c>
      <c r="C8" s="769" t="str">
        <f>IFERROR(IF(AND(OR(CALC_PlanetPositions!$K$10="Debilitation",CALC_PlanetPositions!$K$10="Deep debil"),OR(ISNUMBER(MATCH(MOD(MATCH(CALC_PlanetPositions!$B$10,{"Aries","Taurus","Gemini","Cancer","Leo","Virgo","Libra","Scorpio","Sagittarius","Capricorn","Aquarius","Pisces"},0)-MATCH(INPUT_Chart!$C$5,{"Aries","Taurus","Gemini","Cancer","Leo","Virgo","Libra","Scorpio","Sagittarius","Capricorn","Aquarius","Pisces"},0),12)+1,{1,4,7,10},0)),ISNUMBER(MATCH(MOD(MATCH(CALC_PlanetPositions!$B$11,{"Aries","Taurus","Gemini","Cancer","Leo","Virgo","Libra","Scorpio","Sagittarius","Capricorn","Aquarius","Pisces"},0)-MATCH(INPUT_Chart!$C$5,{"Aries","Taurus","Gemini","Cancer","Leo","Virgo","Libra","Scorpio","Sagittarius","Capricorn","Aquarius","Pisces"},0),12)+1,{1,4,7,10},0)))),"YES ✓",IF(OR(CALC_PlanetPositions!$K$10="Debilitation",CALC_PlanetPositions!$K$10="Deep debil"),"Debil — not cancelled","No")),"—")</f>
        <v>No</v>
      </c>
      <c r="D8" s="455" t="str">
        <f>IFERROR(CALC_PlanetPositions!$K$10&amp;" · H"&amp;(MOD(MATCH(CALC_PlanetPositions!$B$10,{"Aries","Taurus","Gemini","Cancer","Leo","Virgo","Libra","Scorpio","Sagittarius","Capricorn","Aquarius","Pisces"},0)-MATCH(INPUT_Chart!$C$5,{"Aries","Taurus","Gemini","Cancer","Leo","Virgo","Libra","Scorpio","Sagittarius","Capricorn","Aquarius","Pisces"},0),12)+1),"enter chart")</f>
        <v>Enemy sign · H3</v>
      </c>
      <c r="E8" s="536" t="s">
        <v>4944</v>
      </c>
      <c r="F8" s="1174" t="s">
        <v>4937</v>
      </c>
      <c r="G8" s="1175">
        <f>IFERROR(IF(AND(OR(CALC_PlanetPositions!$K$10="Debilitation",CALC_PlanetPositions!$K$10="Deep debil"),OR(ISNUMBER(MATCH(MOD(MATCH(CALC_PlanetPositions!$B$10,{"Aries","Taurus","Gemini","Cancer","Leo","Virgo","Libra","Scorpio","Sagittarius","Capricorn","Aquarius","Pisces"},0)-MATCH(INPUT_Chart!$C$5,{"Aries","Taurus","Gemini","Cancer","Leo","Virgo","Libra","Scorpio","Sagittarius","Capricorn","Aquarius","Pisces"},0),12)+1,{1,4,7,10},0)),ISNUMBER(MATCH(MOD(MATCH(CALC_PlanetPositions!$B$11,{"Aries","Taurus","Gemini","Cancer","Leo","Virgo","Libra","Scorpio","Sagittarius","Capricorn","Aquarius","Pisces"},0)-MATCH(INPUT_Chart!$C$5,{"Aries","Taurus","Gemini","Cancer","Leo","Virgo","Libra","Scorpio","Sagittarius","Capricorn","Aquarius","Pisces"},0),12)+1,{1,4,7,10},0)))),3,0),0)</f>
        <v>0</v>
      </c>
      <c r="H8" s="1173" t="str">
        <f ca="1">IFERROR(IF(OR(B8=INDEX(CALC_DashaModifier!$B$5:$B$16,MATCH(MAX(CALC_DashaModifier!$F$5:$F$16),CALC_DashaModifier!$F$5:$F$16,0)),ISNUMBER(SEARCH(INDEX(CALC_DashaModifier!$B$5:$B$16,MATCH(MAX(CALC_DashaModifier!$F$5:$F$16),CALC_DashaModifier!$F$5:$F$16,0)),B8))),"▶ Active","Dormant"),"Dormant")</f>
        <v>Dormant</v>
      </c>
      <c r="I8" s="188">
        <f t="shared" ca="1" si="0"/>
        <v>0.5</v>
      </c>
      <c r="J8" s="850">
        <f t="shared" ca="1" si="1"/>
        <v>0</v>
      </c>
      <c r="K8" s="1183" t="s">
        <v>4938</v>
      </c>
      <c r="L8" s="1183" t="s">
        <v>2410</v>
      </c>
      <c r="M8" s="1183" t="s">
        <v>2410</v>
      </c>
    </row>
    <row r="9" spans="1:13" ht="42" customHeight="1" x14ac:dyDescent="0.2">
      <c r="A9" s="90" t="s">
        <v>4945</v>
      </c>
      <c r="B9" s="897" t="s">
        <v>270</v>
      </c>
      <c r="C9" s="768" t="str">
        <f>IFERROR(IF(AND(OR(CALC_PlanetPositions!$K$11="Debilitation",CALC_PlanetPositions!$K$11="Deep debil"),OR(ISNUMBER(MATCH(MOD(MATCH(CALC_PlanetPositions!$B$11,{"Aries","Taurus","Gemini","Cancer","Leo","Virgo","Libra","Scorpio","Sagittarius","Capricorn","Aquarius","Pisces"},0)-MATCH(INPUT_Chart!$C$5,{"Aries","Taurus","Gemini","Cancer","Leo","Virgo","Libra","Scorpio","Sagittarius","Capricorn","Aquarius","Pisces"},0),12)+1,{1,4,7,10},0)),ISNUMBER(MATCH(MOD(MATCH(CALC_PlanetPositions!$B$13,{"Aries","Taurus","Gemini","Cancer","Leo","Virgo","Libra","Scorpio","Sagittarius","Capricorn","Aquarius","Pisces"},0)-MATCH(INPUT_Chart!$C$5,{"Aries","Taurus","Gemini","Cancer","Leo","Virgo","Libra","Scorpio","Sagittarius","Capricorn","Aquarius","Pisces"},0),12)+1,{1,4,7,10},0)))),"YES ✓",IF(OR(CALC_PlanetPositions!$K$11="Debilitation",CALC_PlanetPositions!$K$11="Deep debil"),"Debil — not cancelled","No")),"—")</f>
        <v>No</v>
      </c>
      <c r="D9" s="455" t="str">
        <f>IFERROR(CALC_PlanetPositions!$K$11&amp;" · H"&amp;(MOD(MATCH(CALC_PlanetPositions!$B$11,{"Aries","Taurus","Gemini","Cancer","Leo","Virgo","Libra","Scorpio","Sagittarius","Capricorn","Aquarius","Pisces"},0)-MATCH(INPUT_Chart!$C$5,{"Aries","Taurus","Gemini","Cancer","Leo","Virgo","Libra","Scorpio","Sagittarius","Capricorn","Aquarius","Pisces"},0),12)+1),"enter chart")</f>
        <v>Enemy sign · H6</v>
      </c>
      <c r="E9" s="534" t="s">
        <v>4946</v>
      </c>
      <c r="F9" s="1171" t="s">
        <v>4937</v>
      </c>
      <c r="G9" s="1172">
        <f>IFERROR(IF(AND(OR(CALC_PlanetPositions!$K$11="Debilitation",CALC_PlanetPositions!$K$11="Deep debil"),OR(ISNUMBER(MATCH(MOD(MATCH(CALC_PlanetPositions!$B$11,{"Aries","Taurus","Gemini","Cancer","Leo","Virgo","Libra","Scorpio","Sagittarius","Capricorn","Aquarius","Pisces"},0)-MATCH(INPUT_Chart!$C$5,{"Aries","Taurus","Gemini","Cancer","Leo","Virgo","Libra","Scorpio","Sagittarius","Capricorn","Aquarius","Pisces"},0),12)+1,{1,4,7,10},0)),ISNUMBER(MATCH(MOD(MATCH(CALC_PlanetPositions!$B$13,{"Aries","Taurus","Gemini","Cancer","Leo","Virgo","Libra","Scorpio","Sagittarius","Capricorn","Aquarius","Pisces"},0)-MATCH(INPUT_Chart!$C$5,{"Aries","Taurus","Gemini","Cancer","Leo","Virgo","Libra","Scorpio","Sagittarius","Capricorn","Aquarius","Pisces"},0),12)+1,{1,4,7,10},0)))),3,0),0)</f>
        <v>0</v>
      </c>
      <c r="H9" s="1173" t="str">
        <f ca="1">IFERROR(IF(OR(B9=INDEX(CALC_DashaModifier!$B$5:$B$16,MATCH(MAX(CALC_DashaModifier!$F$5:$F$16),CALC_DashaModifier!$F$5:$F$16,0)),ISNUMBER(SEARCH(INDEX(CALC_DashaModifier!$B$5:$B$16,MATCH(MAX(CALC_DashaModifier!$F$5:$F$16),CALC_DashaModifier!$F$5:$F$16,0)),B9))),"▶ Active","Dormant"),"Dormant")</f>
        <v>Dormant</v>
      </c>
      <c r="I9" s="188">
        <f t="shared" ca="1" si="0"/>
        <v>0.5</v>
      </c>
      <c r="J9" s="850">
        <f t="shared" ca="1" si="1"/>
        <v>0</v>
      </c>
      <c r="K9" s="1183" t="s">
        <v>4938</v>
      </c>
      <c r="L9" s="1183" t="s">
        <v>2410</v>
      </c>
      <c r="M9" s="1183" t="s">
        <v>2410</v>
      </c>
    </row>
    <row r="10" spans="1:13" ht="42" customHeight="1" x14ac:dyDescent="0.2">
      <c r="A10" s="94" t="s">
        <v>4947</v>
      </c>
      <c r="B10" s="892" t="s">
        <v>271</v>
      </c>
      <c r="C10" s="769" t="str">
        <f>IFERROR(IF(AND(OR(CALC_PlanetPositions!$K$12="Debilitation",CALC_PlanetPositions!$K$12="Deep debil"),OR(ISNUMBER(MATCH(MOD(MATCH(CALC_PlanetPositions!$B$12,{"Aries","Taurus","Gemini","Cancer","Leo","Virgo","Libra","Scorpio","Sagittarius","Capricorn","Aquarius","Pisces"},0)-MATCH(INPUT_Chart!$C$5,{"Aries","Taurus","Gemini","Cancer","Leo","Virgo","Libra","Scorpio","Sagittarius","Capricorn","Aquarius","Pisces"},0),12)+1,{1,4,7,10},0)),ISNUMBER(MATCH(MOD(MATCH(CALC_PlanetPositions!$B$10,{"Aries","Taurus","Gemini","Cancer","Leo","Virgo","Libra","Scorpio","Sagittarius","Capricorn","Aquarius","Pisces"},0)-MATCH(INPUT_Chart!$C$5,{"Aries","Taurus","Gemini","Cancer","Leo","Virgo","Libra","Scorpio","Sagittarius","Capricorn","Aquarius","Pisces"},0),12)+1,{1,4,7,10},0)))),"YES ✓",IF(OR(CALC_PlanetPositions!$K$12="Debilitation",CALC_PlanetPositions!$K$12="Deep debil"),"Debil — not cancelled","No")),"—")</f>
        <v>No</v>
      </c>
      <c r="D10" s="455" t="str">
        <f>IFERROR(CALC_PlanetPositions!$K$12&amp;" · H"&amp;(MOD(MATCH(CALC_PlanetPositions!$B$12,{"Aries","Taurus","Gemini","Cancer","Leo","Virgo","Libra","Scorpio","Sagittarius","Capricorn","Aquarius","Pisces"},0)-MATCH(INPUT_Chart!$C$5,{"Aries","Taurus","Gemini","Cancer","Leo","Virgo","Libra","Scorpio","Sagittarius","Capricorn","Aquarius","Pisces"},0),12)+1),"enter chart")</f>
        <v>Neutral sign · H3</v>
      </c>
      <c r="E10" s="536" t="s">
        <v>4948</v>
      </c>
      <c r="F10" s="1174" t="s">
        <v>4937</v>
      </c>
      <c r="G10" s="1175">
        <f>IFERROR(IF(AND(OR(CALC_PlanetPositions!$K$12="Debilitation",CALC_PlanetPositions!$K$12="Deep debil"),OR(ISNUMBER(MATCH(MOD(MATCH(CALC_PlanetPositions!$B$12,{"Aries","Taurus","Gemini","Cancer","Leo","Virgo","Libra","Scorpio","Sagittarius","Capricorn","Aquarius","Pisces"},0)-MATCH(INPUT_Chart!$C$5,{"Aries","Taurus","Gemini","Cancer","Leo","Virgo","Libra","Scorpio","Sagittarius","Capricorn","Aquarius","Pisces"},0),12)+1,{1,4,7,10},0)),ISNUMBER(MATCH(MOD(MATCH(CALC_PlanetPositions!$B$10,{"Aries","Taurus","Gemini","Cancer","Leo","Virgo","Libra","Scorpio","Sagittarius","Capricorn","Aquarius","Pisces"},0)-MATCH(INPUT_Chart!$C$5,{"Aries","Taurus","Gemini","Cancer","Leo","Virgo","Libra","Scorpio","Sagittarius","Capricorn","Aquarius","Pisces"},0),12)+1,{1,4,7,10},0)))),3,0),0)</f>
        <v>0</v>
      </c>
      <c r="H10" s="1173" t="str">
        <f ca="1">IFERROR(IF(OR(B10=INDEX(CALC_DashaModifier!$B$5:$B$16,MATCH(MAX(CALC_DashaModifier!$F$5:$F$16),CALC_DashaModifier!$F$5:$F$16,0)),ISNUMBER(SEARCH(INDEX(CALC_DashaModifier!$B$5:$B$16,MATCH(MAX(CALC_DashaModifier!$F$5:$F$16),CALC_DashaModifier!$F$5:$F$16,0)),B10))),"▶ Active","Dormant"),"Dormant")</f>
        <v>Dormant</v>
      </c>
      <c r="I10" s="188">
        <f t="shared" ca="1" si="0"/>
        <v>0.5</v>
      </c>
      <c r="J10" s="850">
        <f t="shared" ca="1" si="1"/>
        <v>0</v>
      </c>
      <c r="K10" s="1183" t="s">
        <v>4938</v>
      </c>
      <c r="L10" s="1183" t="s">
        <v>2410</v>
      </c>
      <c r="M10" s="1183" t="s">
        <v>2410</v>
      </c>
    </row>
    <row r="11" spans="1:13" ht="42" customHeight="1" x14ac:dyDescent="0.2">
      <c r="A11" s="90" t="s">
        <v>4949</v>
      </c>
      <c r="B11" s="897" t="s">
        <v>272</v>
      </c>
      <c r="C11" s="768" t="str">
        <f>IFERROR(IF(AND(OR(CALC_PlanetPositions!$K$13="Debilitation",CALC_PlanetPositions!$K$13="Deep debil"),OR(ISNUMBER(MATCH(MOD(MATCH(CALC_PlanetPositions!$B$13,{"Aries","Taurus","Gemini","Cancer","Leo","Virgo","Libra","Scorpio","Sagittarius","Capricorn","Aquarius","Pisces"},0)-MATCH(INPUT_Chart!$C$5,{"Aries","Taurus","Gemini","Cancer","Leo","Virgo","Libra","Scorpio","Sagittarius","Capricorn","Aquarius","Pisces"},0),12)+1,{1,4,7,10},0)),ISNUMBER(MATCH(MOD(MATCH(CALC_PlanetPositions!$B$9,{"Aries","Taurus","Gemini","Cancer","Leo","Virgo","Libra","Scorpio","Sagittarius","Capricorn","Aquarius","Pisces"},0)-MATCH(INPUT_Chart!$C$5,{"Aries","Taurus","Gemini","Cancer","Leo","Virgo","Libra","Scorpio","Sagittarius","Capricorn","Aquarius","Pisces"},0),12)+1,{1,4,7,10},0)))),"YES ✓",IF(OR(CALC_PlanetPositions!$K$13="Debilitation",CALC_PlanetPositions!$K$13="Deep debil"),"Debil — not cancelled","No")),"—")</f>
        <v>No</v>
      </c>
      <c r="D11" s="455" t="str">
        <f>IFERROR(CALC_PlanetPositions!$K$13&amp;" · H"&amp;(MOD(MATCH(CALC_PlanetPositions!$B$13,{"Aries","Taurus","Gemini","Cancer","Leo","Virgo","Libra","Scorpio","Sagittarius","Capricorn","Aquarius","Pisces"},0)-MATCH(INPUT_Chart!$C$5,{"Aries","Taurus","Gemini","Cancer","Leo","Virgo","Libra","Scorpio","Sagittarius","Capricorn","Aquarius","Pisces"},0),12)+1),"enter chart")</f>
        <v>Enemy sign · H3</v>
      </c>
      <c r="E11" s="534" t="s">
        <v>4950</v>
      </c>
      <c r="F11" s="1171" t="s">
        <v>4937</v>
      </c>
      <c r="G11" s="1172">
        <f>IFERROR(IF(AND(OR(CALC_PlanetPositions!$K$13="Debilitation",CALC_PlanetPositions!$K$13="Deep debil"),OR(ISNUMBER(MATCH(MOD(MATCH(CALC_PlanetPositions!$B$13,{"Aries","Taurus","Gemini","Cancer","Leo","Virgo","Libra","Scorpio","Sagittarius","Capricorn","Aquarius","Pisces"},0)-MATCH(INPUT_Chart!$C$5,{"Aries","Taurus","Gemini","Cancer","Leo","Virgo","Libra","Scorpio","Sagittarius","Capricorn","Aquarius","Pisces"},0),12)+1,{1,4,7,10},0)),ISNUMBER(MATCH(MOD(MATCH(CALC_PlanetPositions!$B$9,{"Aries","Taurus","Gemini","Cancer","Leo","Virgo","Libra","Scorpio","Sagittarius","Capricorn","Aquarius","Pisces"},0)-MATCH(INPUT_Chart!$C$5,{"Aries","Taurus","Gemini","Cancer","Leo","Virgo","Libra","Scorpio","Sagittarius","Capricorn","Aquarius","Pisces"},0),12)+1,{1,4,7,10},0)))),3,0),0)</f>
        <v>0</v>
      </c>
      <c r="H11" s="1173" t="str">
        <f ca="1">IFERROR(IF(OR(B11=INDEX(CALC_DashaModifier!$B$5:$B$16,MATCH(MAX(CALC_DashaModifier!$F$5:$F$16),CALC_DashaModifier!$F$5:$F$16,0)),ISNUMBER(SEARCH(INDEX(CALC_DashaModifier!$B$5:$B$16,MATCH(MAX(CALC_DashaModifier!$F$5:$F$16),CALC_DashaModifier!$F$5:$F$16,0)),B11))),"▶ Active","Dormant"),"Dormant")</f>
        <v>Dormant</v>
      </c>
      <c r="I11" s="188">
        <f t="shared" ca="1" si="0"/>
        <v>0.5</v>
      </c>
      <c r="J11" s="850">
        <f t="shared" ca="1" si="1"/>
        <v>0</v>
      </c>
      <c r="K11" s="1183" t="s">
        <v>4938</v>
      </c>
      <c r="L11" s="1183" t="s">
        <v>2410</v>
      </c>
      <c r="M11" s="1183" t="s">
        <v>2410</v>
      </c>
    </row>
    <row r="13" spans="1:13" ht="45" customHeight="1" x14ac:dyDescent="0.2">
      <c r="A13" s="1602" t="s">
        <v>4803</v>
      </c>
      <c r="B13" s="1602"/>
      <c r="C13" s="1602"/>
      <c r="D13" s="1602"/>
      <c r="E13" s="1602"/>
      <c r="F13" s="1602"/>
      <c r="G13" s="1179">
        <f>SUM(G5:G11)</f>
        <v>0</v>
      </c>
      <c r="J13" s="514">
        <f ca="1">SUMPRODUCT(G5:G11,I5:I11)</f>
        <v>0</v>
      </c>
      <c r="K13" s="1517" t="s">
        <v>4951</v>
      </c>
      <c r="L13" s="1517"/>
      <c r="M13" s="1517"/>
    </row>
    <row r="14" spans="1:13" ht="45.75" customHeight="1" x14ac:dyDescent="0.2">
      <c r="H14" s="1517" t="s">
        <v>4804</v>
      </c>
      <c r="I14" s="1517"/>
      <c r="J14" s="1517"/>
    </row>
  </sheetData>
  <mergeCells count="6">
    <mergeCell ref="K13:M13"/>
    <mergeCell ref="H14:J14"/>
    <mergeCell ref="A1:H1"/>
    <mergeCell ref="A2:H2"/>
    <mergeCell ref="A4:H4"/>
    <mergeCell ref="A13:F13"/>
  </mergeCells>
  <pageMargins left="0.75" right="0.75" top="1" bottom="1" header="0.511811023622047" footer="0.511811023622047"/>
  <pageSetup paperSize="9" orientation="portrait" horizontalDpi="300" verticalDpi="300"/>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tabColor rgb="FF00838F"/>
  </sheetPr>
  <dimension ref="A1:U44"/>
  <sheetViews>
    <sheetView zoomScaleNormal="100" workbookViewId="0">
      <pane ySplit="9" topLeftCell="A10" activePane="bottomLeft" state="frozen"/>
      <selection pane="bottomLeft"/>
    </sheetView>
  </sheetViews>
  <sheetFormatPr defaultColWidth="8.609375" defaultRowHeight="15" x14ac:dyDescent="0.2"/>
  <cols>
    <col min="1" max="1" width="4.9765625" customWidth="1"/>
    <col min="2" max="2" width="20.04296875" customWidth="1"/>
    <col min="3" max="3" width="6.9921875" customWidth="1"/>
    <col min="4" max="4" width="7.93359375" customWidth="1"/>
    <col min="5" max="5" width="6.9921875" customWidth="1"/>
    <col min="6" max="7" width="9.953125" customWidth="1"/>
    <col min="8" max="8" width="6.05078125" customWidth="1"/>
    <col min="9" max="9" width="13.98828125" customWidth="1"/>
    <col min="10" max="10" width="7.93359375" customWidth="1"/>
    <col min="11" max="14" width="9.953125" customWidth="1"/>
    <col min="15" max="15" width="11.97265625" customWidth="1"/>
    <col min="16" max="17" width="7.93359375" customWidth="1"/>
    <col min="18" max="18" width="9.01171875" customWidth="1"/>
    <col min="19" max="19" width="9.953125" customWidth="1"/>
    <col min="20" max="20" width="6.05078125" customWidth="1"/>
    <col min="21" max="21" width="45.0625" customWidth="1"/>
  </cols>
  <sheetData>
    <row r="1" spans="1:21" ht="30" customHeight="1" x14ac:dyDescent="0.2">
      <c r="A1" s="1607" t="s">
        <v>4952</v>
      </c>
      <c r="B1" s="1607"/>
      <c r="C1" s="1607"/>
      <c r="D1" s="1607"/>
      <c r="E1" s="1607"/>
      <c r="F1" s="1607"/>
      <c r="G1" s="1607"/>
      <c r="H1" s="1607"/>
      <c r="I1" s="1607"/>
      <c r="J1" s="1607"/>
      <c r="L1" s="29" t="str">
        <f>HYPERLINK("#'00_INDEX'!A1","&lt;- Index")</f>
        <v>&lt;- Index</v>
      </c>
    </row>
    <row r="2" spans="1:21" ht="21.75" customHeight="1" x14ac:dyDescent="0.2">
      <c r="A2" s="1608" t="str">
        <f>IFERROR("Lagna: "&amp;INPUT_Chart!$C$5&amp;"  ·  Lagnesh: "&amp;CALC_BhaveshMap!$D$5&amp;" in H"&amp;CALC_BhaveshMap!$H$5&amp;" ("&amp;CALC_BhaveshMap!$L$5&amp;")"&amp;"  ·  Modifier: "&amp;TEXT(CALC_LagneshStrength!$I$4,"+0.00;-0.00;0.00"),"Enter Lagna in INPUT_Chart to activate")</f>
        <v>Lagna: Taurus  ·  Lagnesh: Venus in H3 (Neutral sign)  ·  Modifier: 0.00</v>
      </c>
      <c r="B2" s="1608"/>
      <c r="C2" s="1608"/>
      <c r="D2" s="1608"/>
      <c r="E2" s="1608"/>
      <c r="F2" s="1608"/>
      <c r="G2" s="1608"/>
      <c r="H2" s="1608"/>
      <c r="I2" s="1608"/>
      <c r="J2" s="1608"/>
    </row>
    <row r="3" spans="1:21" ht="7.5" customHeight="1" x14ac:dyDescent="0.2">
      <c r="J3" s="1184" t="str">
        <f>HYPERLINK("#'SCORE_DrillDown'!A1","-&gt; Full Rule Breakdown")</f>
        <v>-&gt; Full Rule Breakdown</v>
      </c>
    </row>
    <row r="4" spans="1:21" ht="15.75" customHeight="1" x14ac:dyDescent="0.2">
      <c r="A4" s="1185" t="s">
        <v>4953</v>
      </c>
      <c r="B4" s="1186"/>
      <c r="C4" s="1185" t="s">
        <v>4954</v>
      </c>
      <c r="D4" s="1186"/>
      <c r="E4" s="1185" t="s">
        <v>4955</v>
      </c>
      <c r="F4" s="1186"/>
      <c r="G4" s="1185" t="s">
        <v>4956</v>
      </c>
      <c r="H4" s="1186"/>
      <c r="I4" s="1185" t="s">
        <v>4957</v>
      </c>
      <c r="J4" s="1186"/>
    </row>
    <row r="5" spans="1:21" ht="36" customHeight="1" x14ac:dyDescent="0.2">
      <c r="A5" s="1187" t="str">
        <f ca="1">IFERROR(IF(INPUT_Chart!$C$5="← Enter here","—",TEXT(SCORE_AllHouses!$S$17,"+0.0;-0.0;0.0")),"—")</f>
        <v>-1.2</v>
      </c>
      <c r="B5" s="1188"/>
      <c r="C5" s="710" t="str">
        <f ca="1">IFERROR(IF(INPUT_Chart!$C$5="← Enter here","—",INDEX(SCORE_AllHouses!$B$5:$B$16,MATCH(MAX(SCORE_AllHouses!$J$5:$S$16),SCORE_AllHouses!$J$5:$S$16,0))),"—")</f>
        <v>—</v>
      </c>
      <c r="D5" s="1188"/>
      <c r="E5" s="719" t="str">
        <f ca="1">IFERROR(IF(INPUT_Chart!$C$5="← Enter here","—",INDEX(SCORE_AllHouses!$B$5:$B$16,MATCH(MIN(SCORE_AllHouses!$J$5:$S$16),SCORE_AllHouses!$J$5:$S$16,0))),"—")</f>
        <v>—</v>
      </c>
      <c r="F5" s="1188"/>
      <c r="G5" s="1189" t="str">
        <f>IFERROR(IF(YOGA_Mahapurush!$G$18&gt;0,1,0)+IF(YOGA_DhanaRaja!$G$21&gt;0,1,0)+IF(YOGA_Graha!$G$16&gt;0,1,0)+IF(YOGA_Viparita!$G$12&gt;0,1,0)+IF(YOGA_NeechaBhanga!$G$13&gt;0,1,0)&amp;" active","—")</f>
        <v>3 active</v>
      </c>
      <c r="H5" s="1188"/>
      <c r="I5" s="1190">
        <f>IFERROR(YOGA_Mahapurush!$G$18+YOGA_DhanaRaja!$G$21+YOGA_Graha!$G$16+YOGA_Viparita!$G$12+YOGA_NeechaBhanga!$G$13,"—")</f>
        <v>26</v>
      </c>
      <c r="J5" s="1188"/>
    </row>
    <row r="6" spans="1:21" ht="18" customHeight="1" x14ac:dyDescent="0.2">
      <c r="A6" s="1609" t="str">
        <f>IFERROR("Mahapurush: "&amp;YOGA_Mahapurush!$G$18&amp;"  ·  Raja+Dhana: "&amp;YOGA_DhanaRaja!$G$21&amp;"  ·  Graha: "&amp;YOGA_Graha!$G$16&amp;"  ·  Viparita: "&amp;YOGA_Viparita!$G$12&amp;"  ·  Neecha Bhanga: "&amp;YOGA_NeechaBhanga!$G$13,"—")</f>
        <v>Mahapurush: 0  ·  Raja+Dhana: 16  ·  Graha: 8  ·  Viparita: 2  ·  Neecha Bhanga: 0</v>
      </c>
      <c r="B6" s="1609"/>
      <c r="C6" s="1609"/>
      <c r="D6" s="1609"/>
      <c r="E6" s="1609"/>
      <c r="F6" s="1609"/>
      <c r="G6" s="1609"/>
      <c r="H6" s="1609"/>
      <c r="I6" s="1609"/>
      <c r="J6" s="1609"/>
    </row>
    <row r="7" spans="1:21" ht="7.5" customHeight="1" x14ac:dyDescent="0.2"/>
    <row r="8" spans="1:21" ht="18" customHeight="1" x14ac:dyDescent="0.2">
      <c r="A8" s="1191" t="s">
        <v>4958</v>
      </c>
    </row>
    <row r="9" spans="1:21" ht="27.75" customHeight="1" x14ac:dyDescent="0.2">
      <c r="A9" s="1192" t="s">
        <v>2276</v>
      </c>
      <c r="B9" s="1193" t="s">
        <v>3192</v>
      </c>
      <c r="C9" s="1194" t="s">
        <v>2072</v>
      </c>
      <c r="D9" s="1194" t="s">
        <v>4959</v>
      </c>
      <c r="E9" s="1194" t="s">
        <v>288</v>
      </c>
      <c r="F9" s="1194" t="s">
        <v>4960</v>
      </c>
      <c r="G9" s="1194" t="s">
        <v>4961</v>
      </c>
      <c r="H9" s="1195" t="s">
        <v>4962</v>
      </c>
      <c r="I9" s="1195" t="s">
        <v>3334</v>
      </c>
      <c r="J9" s="1195" t="s">
        <v>3327</v>
      </c>
      <c r="K9" s="1196" t="s">
        <v>4963</v>
      </c>
      <c r="L9" s="1197" t="s">
        <v>4964</v>
      </c>
      <c r="M9" s="1197" t="s">
        <v>4965</v>
      </c>
      <c r="N9" s="1197" t="s">
        <v>4966</v>
      </c>
      <c r="O9" s="1197" t="s">
        <v>4967</v>
      </c>
      <c r="P9" s="1198" t="s">
        <v>4968</v>
      </c>
      <c r="Q9" s="1198" t="s">
        <v>4969</v>
      </c>
      <c r="R9" s="1198" t="s">
        <v>4970</v>
      </c>
      <c r="S9" s="1199" t="s">
        <v>4971</v>
      </c>
      <c r="T9" s="1199" t="s">
        <v>4468</v>
      </c>
      <c r="U9" s="1199" t="s">
        <v>4972</v>
      </c>
    </row>
    <row r="10" spans="1:21" ht="25.5" customHeight="1" x14ac:dyDescent="0.2">
      <c r="A10" s="304">
        <v>1</v>
      </c>
      <c r="B10" s="303" t="s">
        <v>1801</v>
      </c>
      <c r="C10" s="1200">
        <f ca="1">IFERROR(SCORE_AllHouses!$S$5,0)</f>
        <v>1.25</v>
      </c>
      <c r="D10" s="1201">
        <f>IFERROR(OUTPUT_MultiLagna!$D$6,0)</f>
        <v>2.6</v>
      </c>
      <c r="E10" s="1202">
        <f>IFERROR(OUTPUT_MultiLagna!$E$6,0)</f>
        <v>2.6</v>
      </c>
      <c r="F10" s="1203">
        <f ca="1">IFERROR(OUTPUT_MultiLagna!$F$6,0)</f>
        <v>2.15</v>
      </c>
      <c r="G10" s="1203" t="str">
        <f ca="1">IFERROR(OUTPUT_MultiLagna!$G$6,"—")</f>
        <v>★ High</v>
      </c>
      <c r="H10" s="1203">
        <f>IFERROR(CALC_Ashtakavarga!$B$15,0)</f>
        <v>44</v>
      </c>
      <c r="I10" s="1203" t="str">
        <f>IFERROR(INDEX(CALC_Avasthas!$E$5:$E$11,MATCH(CALC_BhaveshMap!$D$5,CALC_Avasthas!$A$5:$A$11,0)),"—")</f>
        <v>Kumar (Child)</v>
      </c>
      <c r="J10" s="1204">
        <f>IFERROR(SCORE_AllHouses!$P$5,0)</f>
        <v>2.5</v>
      </c>
      <c r="K10" s="1205">
        <f ca="1">IFERROR(SCORE_AllHouses!$Q$5,"·")</f>
        <v>0</v>
      </c>
      <c r="L10" s="1206">
        <f ca="1">IFERROR(SCORE_AllHouses!$M$5,0)</f>
        <v>-0.5</v>
      </c>
      <c r="M10" t="str">
        <f ca="1">IFERROR(IF(CALC_PredictiveTimeline!$E$6="▶ AD","▶ AD","·"),"·")</f>
        <v>·</v>
      </c>
      <c r="N10" t="str">
        <f ca="1">IFERROR(IF(CALC_PredictiveTimeline!$D$6="▶ Maha","▶ ND","·"),"·")</f>
        <v>·</v>
      </c>
      <c r="O10" t="str">
        <f ca="1">IFERROR(CALC_PredictiveTimeline!$H$6,"—")</f>
        <v>⚪ Neutral</v>
      </c>
      <c r="P10" s="1207">
        <f ca="1">IFERROR(CALC_CompositeVargaScore!$D$6,0)</f>
        <v>-1.35</v>
      </c>
      <c r="Q10" s="1207">
        <f ca="1">IFERROR(CALC_CompositeVargaScore!$E$6,0)</f>
        <v>-1.9</v>
      </c>
      <c r="R10" s="1206">
        <f ca="1">IFERROR(SCORE_Karakamsha_AllHouses!$F$4,0)</f>
        <v>1.5</v>
      </c>
      <c r="S10" s="1206">
        <f ca="1">IFERROR(OUTPUT_LifePressureIndex_Full!$O$17,0)</f>
        <v>0.84</v>
      </c>
      <c r="T10" t="str">
        <f t="shared" ref="T10:T21" ca="1" si="0">IFERROR(IF(S10&gt;=4,"🟢",IF(S10&gt;=-1,"🟡","🔴")),"—")</f>
        <v>🟡</v>
      </c>
      <c r="U10" t="str">
        <f ca="1">IFERROR(OUTPUT_LifePressureIndex_Full!$Q$17,"—")</f>
        <v xml:space="preserve">H1: Mixed signals. soul-challenged. </v>
      </c>
    </row>
    <row r="11" spans="1:21" ht="25.5" customHeight="1" x14ac:dyDescent="0.2">
      <c r="A11" s="1208">
        <v>2</v>
      </c>
      <c r="B11" s="1209" t="s">
        <v>1814</v>
      </c>
      <c r="C11" s="1210">
        <f ca="1">IFERROR(SCORE_AllHouses!$S$6,0)</f>
        <v>-5.25</v>
      </c>
      <c r="D11" s="1211">
        <f>IFERROR(OUTPUT_MultiLagna!$D$7,0)</f>
        <v>3.5</v>
      </c>
      <c r="E11" s="1212">
        <f>IFERROR(OUTPUT_MultiLagna!$E$7,0)</f>
        <v>3.5</v>
      </c>
      <c r="F11" s="1213">
        <f ca="1">IFERROR(OUTPUT_MultiLagna!$F$7,0)</f>
        <v>0.58333333333333337</v>
      </c>
      <c r="G11" s="1213" t="str">
        <f ca="1">IFERROR(OUTPUT_MultiLagna!$G$7,"—")</f>
        <v>○ Low</v>
      </c>
      <c r="H11" s="1213">
        <f>IFERROR(CALC_Ashtakavarga!$C$15,0)</f>
        <v>19</v>
      </c>
      <c r="I11" s="1213" t="str">
        <f>IFERROR(INDEX(CALC_Avasthas!$E$5:$E$11,MATCH(CALC_BhaveshMap!$D$6,CALC_Avasthas!$A$5:$A$11,0)),"—")</f>
        <v>Yuva (Prime)</v>
      </c>
      <c r="J11" s="1214">
        <f>IFERROR(SCORE_AllHouses!$P$6,0)</f>
        <v>-1.75</v>
      </c>
      <c r="K11" s="1215">
        <f ca="1">IFERROR(SCORE_AllHouses!$Q$6,"·")</f>
        <v>0</v>
      </c>
      <c r="L11" s="1216">
        <f ca="1">IFERROR(SCORE_AllHouses!$M$6,0)</f>
        <v>-2.25</v>
      </c>
      <c r="M11" s="1217" t="str">
        <f ca="1">IFERROR(IF(CALC_PredictiveTimeline!$E$7="▶ AD","▶ AD","·"),"·")</f>
        <v>·</v>
      </c>
      <c r="N11" s="1217" t="str">
        <f ca="1">IFERROR(IF(CALC_PredictiveTimeline!$D$7="▶ Maha","▶ ND","·"),"·")</f>
        <v>▶ ND</v>
      </c>
      <c r="O11" s="1217" t="str">
        <f ca="1">IFERROR(CALC_PredictiveTimeline!$H$7,"—")</f>
        <v>⚪ Neutral</v>
      </c>
      <c r="P11" s="1218">
        <f ca="1">IFERROR(CALC_CompositeVargaScore!$D$7,0)</f>
        <v>-2</v>
      </c>
      <c r="Q11" s="1218">
        <f ca="1">IFERROR(CALC_CompositeVargaScore!$E$7,0)</f>
        <v>-2.5</v>
      </c>
      <c r="R11" s="1216">
        <f ca="1">IFERROR(SCORE_Karakamsha_AllHouses!$F$5,0)</f>
        <v>2.75</v>
      </c>
      <c r="S11" s="1216">
        <f ca="1">IFERROR(OUTPUT_LifePressureIndex_Full!$O$18,0)</f>
        <v>-1.89</v>
      </c>
      <c r="T11" s="1217" t="str">
        <f t="shared" ca="1" si="0"/>
        <v>🔴</v>
      </c>
      <c r="U11" s="1217" t="str">
        <f ca="1">IFERROR(OUTPUT_LifePressureIndex_Full!$Q$18,"—")</f>
        <v xml:space="preserve">H2: Mixed signals. soul-challenged. P2-4 modifiers reduce promise. </v>
      </c>
    </row>
    <row r="12" spans="1:21" ht="25.5" customHeight="1" x14ac:dyDescent="0.2">
      <c r="A12" s="471">
        <v>3</v>
      </c>
      <c r="B12" s="715" t="s">
        <v>1829</v>
      </c>
      <c r="C12" s="1200">
        <f ca="1">IFERROR(SCORE_AllHouses!$S$7,0)</f>
        <v>1</v>
      </c>
      <c r="D12" s="1219">
        <f>IFERROR(OUTPUT_MultiLagna!$D$8,0)</f>
        <v>4.25</v>
      </c>
      <c r="E12" s="1220">
        <f>IFERROR(OUTPUT_MultiLagna!$E$8,0)</f>
        <v>4.25</v>
      </c>
      <c r="F12" s="1203">
        <f ca="1">IFERROR(OUTPUT_MultiLagna!$F$8,0)</f>
        <v>3.1666666666666665</v>
      </c>
      <c r="G12" s="1203" t="str">
        <f ca="1">IFERROR(OUTPUT_MultiLagna!$G$8,"—")</f>
        <v>◑ Medium</v>
      </c>
      <c r="H12" s="1203">
        <f>IFERROR(CALC_Ashtakavarga!$D$15,0)</f>
        <v>27</v>
      </c>
      <c r="I12" s="1203" t="str">
        <f>IFERROR(INDEX(CALC_Avasthas!$E$5:$E$11,MATCH(CALC_BhaveshMap!$D$7,CALC_Avasthas!$A$5:$A$11,0)),"—")</f>
        <v>Mrita (Dead)</v>
      </c>
      <c r="J12" s="1204">
        <f>IFERROR(SCORE_AllHouses!$P$7,0)</f>
        <v>2.25</v>
      </c>
      <c r="K12" s="1205">
        <f ca="1">IFERROR(SCORE_AllHouses!$Q$7,"·")</f>
        <v>0</v>
      </c>
      <c r="L12" s="1206">
        <f ca="1">IFERROR(SCORE_AllHouses!$M$7,0)</f>
        <v>-0.5</v>
      </c>
      <c r="M12" t="str">
        <f ca="1">IFERROR(IF(CALC_PredictiveTimeline!$E$8="▶ AD","▶ AD","·"),"·")</f>
        <v>·</v>
      </c>
      <c r="N12" t="str">
        <f ca="1">IFERROR(IF(CALC_PredictiveTimeline!$D$8="▶ Maha","▶ ND","·"),"·")</f>
        <v>·</v>
      </c>
      <c r="O12" t="str">
        <f ca="1">IFERROR(CALC_PredictiveTimeline!$H$8,"—")</f>
        <v>⚪ Neutral</v>
      </c>
      <c r="P12" s="1207">
        <f ca="1">IFERROR(CALC_CompositeVargaScore!$D$8,0)</f>
        <v>-2.5</v>
      </c>
      <c r="Q12" s="1207">
        <f ca="1">IFERROR(CALC_CompositeVargaScore!$E$8,0)</f>
        <v>-1.5</v>
      </c>
      <c r="R12" s="1206">
        <f ca="1">IFERROR(SCORE_Karakamsha_AllHouses!$F$6,0)</f>
        <v>0.5</v>
      </c>
      <c r="S12" s="1206">
        <f ca="1">IFERROR(OUTPUT_LifePressureIndex_Full!$O$19,0)</f>
        <v>0.97</v>
      </c>
      <c r="T12" t="str">
        <f t="shared" ca="1" si="0"/>
        <v>🟡</v>
      </c>
      <c r="U12" t="str">
        <f ca="1">IFERROR(OUTPUT_LifePressureIndex_Full!$Q$19,"—")</f>
        <v xml:space="preserve">H3: Mixed signals. soul-challenged. </v>
      </c>
    </row>
    <row r="13" spans="1:21" ht="25.5" customHeight="1" x14ac:dyDescent="0.2">
      <c r="A13" s="1221">
        <v>4</v>
      </c>
      <c r="B13" s="1222" t="s">
        <v>1844</v>
      </c>
      <c r="C13" s="1210">
        <f ca="1">IFERROR(SCORE_AllHouses!$S$8,0)</f>
        <v>1.25</v>
      </c>
      <c r="D13" s="1223">
        <f>IFERROR(OUTPUT_MultiLagna!$D$9,0)</f>
        <v>2.25</v>
      </c>
      <c r="E13" s="1224">
        <f>IFERROR(OUTPUT_MultiLagna!$E$9,0)</f>
        <v>2</v>
      </c>
      <c r="F13" s="1213">
        <f ca="1">IFERROR(OUTPUT_MultiLagna!$F$9,0)</f>
        <v>1.8333333333333333</v>
      </c>
      <c r="G13" s="1213" t="str">
        <f ca="1">IFERROR(OUTPUT_MultiLagna!$G$9,"—")</f>
        <v>★ High</v>
      </c>
      <c r="H13" s="1213">
        <f>IFERROR(CALC_Ashtakavarga!$E$15,0)</f>
        <v>27</v>
      </c>
      <c r="I13" s="1213" t="str">
        <f>IFERROR(INDEX(CALC_Avasthas!$E$5:$E$11,MATCH(CALC_BhaveshMap!$D$8,CALC_Avasthas!$A$5:$A$11,0)),"—")</f>
        <v>Bala (Infant)</v>
      </c>
      <c r="J13" s="1214">
        <f>IFERROR(SCORE_AllHouses!$P$8,0)</f>
        <v>0.5</v>
      </c>
      <c r="K13" s="1215">
        <f ca="1">IFERROR(SCORE_AllHouses!$Q$8,"·")</f>
        <v>0</v>
      </c>
      <c r="L13" s="1216">
        <f ca="1">IFERROR(SCORE_AllHouses!$M$8,0)</f>
        <v>1</v>
      </c>
      <c r="M13" s="1217" t="str">
        <f ca="1">IFERROR(IF(CALC_PredictiveTimeline!$E$9="▶ AD","▶ AD","·"),"·")</f>
        <v>·</v>
      </c>
      <c r="N13" s="1217" t="str">
        <f ca="1">IFERROR(IF(CALC_PredictiveTimeline!$D$9="▶ Maha","▶ ND","·"),"·")</f>
        <v>·</v>
      </c>
      <c r="O13" s="1217" t="str">
        <f ca="1">IFERROR(CALC_PredictiveTimeline!$H$9,"—")</f>
        <v>⚪ Neutral</v>
      </c>
      <c r="P13" s="1218">
        <f ca="1">IFERROR(CALC_CompositeVargaScore!$D$9,0)</f>
        <v>-1.3</v>
      </c>
      <c r="Q13" s="1218">
        <f ca="1">IFERROR(CALC_CompositeVargaScore!$E$9,0)</f>
        <v>-1.5</v>
      </c>
      <c r="R13" s="1216">
        <f ca="1">IFERROR(SCORE_Karakamsha_AllHouses!$F$7,0)</f>
        <v>0</v>
      </c>
      <c r="S13" s="1216">
        <f ca="1">IFERROR(OUTPUT_LifePressureIndex_Full!$O$20,0)</f>
        <v>0.73</v>
      </c>
      <c r="T13" s="1217" t="str">
        <f t="shared" ca="1" si="0"/>
        <v>🟡</v>
      </c>
      <c r="U13" s="1217" t="str">
        <f ca="1">IFERROR(OUTPUT_LifePressureIndex_Full!$Q$20,"—")</f>
        <v xml:space="preserve">H4: Mixed signals. soul-challenged. </v>
      </c>
    </row>
    <row r="14" spans="1:21" ht="25.5" customHeight="1" x14ac:dyDescent="0.2">
      <c r="A14" s="195">
        <v>5</v>
      </c>
      <c r="B14" s="450" t="s">
        <v>1859</v>
      </c>
      <c r="C14" s="1200">
        <f ca="1">IFERROR(SCORE_AllHouses!$S$9,0)</f>
        <v>-1.5</v>
      </c>
      <c r="D14" s="1225">
        <f>IFERROR(OUTPUT_MultiLagna!$D$10,0)</f>
        <v>-4</v>
      </c>
      <c r="E14" s="1226">
        <f>IFERROR(OUTPUT_MultiLagna!$E$10,0)</f>
        <v>-4</v>
      </c>
      <c r="F14" s="1203">
        <f ca="1">IFERROR(OUTPUT_MultiLagna!$F$10,0)</f>
        <v>-3.1666666666666665</v>
      </c>
      <c r="G14" s="1203" t="str">
        <f ca="1">IFERROR(OUTPUT_MultiLagna!$G$10,"—")</f>
        <v>★ High</v>
      </c>
      <c r="H14" s="1203">
        <f>IFERROR(CALC_Ashtakavarga!$F$15,0)</f>
        <v>30</v>
      </c>
      <c r="I14" s="1203" t="str">
        <f>IFERROR(INDEX(CALC_Avasthas!$E$5:$E$11,MATCH(CALC_BhaveshMap!$D$9,CALC_Avasthas!$A$5:$A$11,0)),"—")</f>
        <v>Yuva (Prime)</v>
      </c>
      <c r="J14" s="1204">
        <f>IFERROR(SCORE_AllHouses!$P$9,0)</f>
        <v>-1.5</v>
      </c>
      <c r="K14" s="1205">
        <f ca="1">IFERROR(SCORE_AllHouses!$Q$9,"·")</f>
        <v>0</v>
      </c>
      <c r="L14" s="1206">
        <f ca="1">IFERROR(SCORE_AllHouses!$M$9,0)</f>
        <v>1.25</v>
      </c>
      <c r="M14" t="str">
        <f ca="1">IFERROR(IF(CALC_PredictiveTimeline!$E$10="▶ AD","▶ AD","·"),"·")</f>
        <v>·</v>
      </c>
      <c r="N14" t="str">
        <f ca="1">IFERROR(IF(CALC_PredictiveTimeline!$D$10="▶ Maha","▶ ND","·"),"·")</f>
        <v>·</v>
      </c>
      <c r="O14" t="str">
        <f ca="1">IFERROR(CALC_PredictiveTimeline!$H$10,"—")</f>
        <v>⚪ Neutral</v>
      </c>
      <c r="P14" s="1207">
        <f ca="1">IFERROR(CALC_CompositeVargaScore!$D$10,0)</f>
        <v>-1.5</v>
      </c>
      <c r="Q14" s="1207">
        <f ca="1">IFERROR(CALC_CompositeVargaScore!$E$10,0)</f>
        <v>-2</v>
      </c>
      <c r="R14" s="1206">
        <f ca="1">IFERROR(SCORE_Karakamsha_AllHouses!$F$8,0)</f>
        <v>-0.25</v>
      </c>
      <c r="S14" s="1206">
        <f ca="1">IFERROR(OUTPUT_LifePressureIndex_Full!$O$21,0)</f>
        <v>-1.8</v>
      </c>
      <c r="T14" t="str">
        <f t="shared" ca="1" si="0"/>
        <v>🔴</v>
      </c>
      <c r="U14" t="str">
        <f ca="1">IFERROR(OUTPUT_LifePressureIndex_Full!$Q$21,"—")</f>
        <v xml:space="preserve">H5: Mixed signals. soul-challenged. </v>
      </c>
    </row>
    <row r="15" spans="1:21" ht="25.5" customHeight="1" x14ac:dyDescent="0.2">
      <c r="A15" s="1227">
        <v>6</v>
      </c>
      <c r="B15" s="1228" t="s">
        <v>1873</v>
      </c>
      <c r="C15" s="1210">
        <f ca="1">IFERROR(SCORE_AllHouses!$S$10,0)</f>
        <v>2.25</v>
      </c>
      <c r="D15" s="1229">
        <f>IFERROR(OUTPUT_MultiLagna!$D$11,0)</f>
        <v>3</v>
      </c>
      <c r="E15" s="1230">
        <f>IFERROR(OUTPUT_MultiLagna!$E$11,0)</f>
        <v>3</v>
      </c>
      <c r="F15" s="1213">
        <f ca="1">IFERROR(OUTPUT_MultiLagna!$F$11,0)</f>
        <v>2.75</v>
      </c>
      <c r="G15" s="1213" t="str">
        <f ca="1">IFERROR(OUTPUT_MultiLagna!$G$11,"—")</f>
        <v>★ High</v>
      </c>
      <c r="H15" s="1213">
        <f>IFERROR(CALC_Ashtakavarga!$G$15,0)</f>
        <v>25</v>
      </c>
      <c r="I15" s="1213" t="str">
        <f>IFERROR(INDEX(CALC_Avasthas!$E$5:$E$11,MATCH(CALC_BhaveshMap!$D$10,CALC_Avasthas!$A$5:$A$11,0)),"—")</f>
        <v>Kumar (Child)</v>
      </c>
      <c r="J15" s="1214">
        <f>IFERROR(SCORE_AllHouses!$P$10,0)</f>
        <v>2.5</v>
      </c>
      <c r="K15" s="1215">
        <f ca="1">IFERROR(SCORE_AllHouses!$Q$10,"·")</f>
        <v>0</v>
      </c>
      <c r="L15" s="1216">
        <f ca="1">IFERROR(SCORE_AllHouses!$M$10,0)</f>
        <v>0</v>
      </c>
      <c r="M15" s="1217" t="str">
        <f ca="1">IFERROR(IF(CALC_PredictiveTimeline!$E$11="▶ AD","▶ AD","·"),"·")</f>
        <v>·</v>
      </c>
      <c r="N15" s="1217" t="str">
        <f ca="1">IFERROR(IF(CALC_PredictiveTimeline!$D$11="▶ Maha","▶ ND","·"),"·")</f>
        <v>·</v>
      </c>
      <c r="O15" s="1217" t="str">
        <f ca="1">IFERROR(CALC_PredictiveTimeline!$H$11,"—")</f>
        <v>⚪ Neutral</v>
      </c>
      <c r="P15" s="1218">
        <f ca="1">IFERROR(CALC_CompositeVargaScore!$D$11,0)</f>
        <v>-2</v>
      </c>
      <c r="Q15" s="1218">
        <f ca="1">IFERROR(CALC_CompositeVargaScore!$E$11,0)</f>
        <v>-1.5</v>
      </c>
      <c r="R15" s="1216">
        <f ca="1">IFERROR(SCORE_Karakamsha_AllHouses!$F$9,0)</f>
        <v>0.5</v>
      </c>
      <c r="S15" s="1216">
        <f ca="1">IFERROR(OUTPUT_LifePressureIndex_Full!$O$22,0)</f>
        <v>1.35</v>
      </c>
      <c r="T15" s="1217" t="str">
        <f t="shared" ca="1" si="0"/>
        <v>🟡</v>
      </c>
      <c r="U15" s="1217" t="str">
        <f ca="1">IFERROR(OUTPUT_LifePressureIndex_Full!$Q$22,"—")</f>
        <v xml:space="preserve">H6: Mixed signals. soul-challenged. P2-4 modifiers amplify promise. </v>
      </c>
    </row>
    <row r="16" spans="1:21" ht="25.5" customHeight="1" x14ac:dyDescent="0.2">
      <c r="A16" s="482">
        <v>7</v>
      </c>
      <c r="B16" s="721" t="s">
        <v>1888</v>
      </c>
      <c r="C16" s="1200">
        <f ca="1">IFERROR(SCORE_AllHouses!$S$11,0)</f>
        <v>-4.25</v>
      </c>
      <c r="D16" s="1231">
        <f>IFERROR(OUTPUT_MultiLagna!$D$12,0)</f>
        <v>2.35</v>
      </c>
      <c r="E16" s="1232">
        <f>IFERROR(OUTPUT_MultiLagna!$E$12,0)</f>
        <v>2.25</v>
      </c>
      <c r="F16" s="1203">
        <f ca="1">IFERROR(OUTPUT_MultiLagna!$F$12,0)</f>
        <v>0.1166666666666667</v>
      </c>
      <c r="G16" s="1203" t="str">
        <f ca="1">IFERROR(OUTPUT_MultiLagna!$G$12,"—")</f>
        <v>○ Low</v>
      </c>
      <c r="H16" s="1203">
        <f>IFERROR(CALC_Ashtakavarga!$H$15,0)</f>
        <v>23</v>
      </c>
      <c r="I16" s="1203" t="str">
        <f>IFERROR(INDEX(CALC_Avasthas!$E$5:$E$11,MATCH(CALC_BhaveshMap!$D$11,CALC_Avasthas!$A$5:$A$11,0)),"—")</f>
        <v>Kumar (Child)</v>
      </c>
      <c r="J16" s="1204">
        <f>IFERROR(SCORE_AllHouses!$P$11,0)</f>
        <v>-1.75</v>
      </c>
      <c r="K16" s="1205">
        <f ca="1">IFERROR(SCORE_AllHouses!$Q$11,"·")</f>
        <v>0</v>
      </c>
      <c r="L16" s="1206">
        <f ca="1">IFERROR(SCORE_AllHouses!$M$11,0)</f>
        <v>-2.875</v>
      </c>
      <c r="M16" t="str">
        <f ca="1">IFERROR(IF(CALC_PredictiveTimeline!$E$12="▶ AD","▶ AD","·"),"·")</f>
        <v>·</v>
      </c>
      <c r="N16" t="str">
        <f ca="1">IFERROR(IF(CALC_PredictiveTimeline!$D$12="▶ Maha","▶ ND","·"),"·")</f>
        <v>·</v>
      </c>
      <c r="O16" t="str">
        <f ca="1">IFERROR(CALC_PredictiveTimeline!$H$12,"—")</f>
        <v>🟠 Under pressure</v>
      </c>
      <c r="P16" s="1207">
        <f ca="1">IFERROR(CALC_CompositeVargaScore!$D$12,0)</f>
        <v>-1.35</v>
      </c>
      <c r="Q16" s="1207">
        <f ca="1">IFERROR(CALC_CompositeVargaScore!$E$12,0)</f>
        <v>-2.4</v>
      </c>
      <c r="R16" s="1206">
        <f ca="1">IFERROR(SCORE_Karakamsha_AllHouses!$F$10,0)</f>
        <v>3.5</v>
      </c>
      <c r="S16" s="1206">
        <f ca="1">IFERROR(OUTPUT_LifePressureIndex_Full!$O$23,0)</f>
        <v>-1.84</v>
      </c>
      <c r="T16" t="str">
        <f t="shared" ca="1" si="0"/>
        <v>🔴</v>
      </c>
      <c r="U16" t="str">
        <f ca="1">IFERROR(OUTPUT_LifePressureIndex_Full!$Q$23,"—")</f>
        <v xml:space="preserve">H7: Mixed signals. soul-challenged. P2-4 modifiers reduce promise. </v>
      </c>
    </row>
    <row r="17" spans="1:21" ht="25.5" customHeight="1" x14ac:dyDescent="0.2">
      <c r="A17" s="1233">
        <v>8</v>
      </c>
      <c r="B17" s="1234" t="s">
        <v>1903</v>
      </c>
      <c r="C17" s="1210">
        <f ca="1">IFERROR(SCORE_AllHouses!$S$12,0)</f>
        <v>-2</v>
      </c>
      <c r="D17" s="1235">
        <f>IFERROR(OUTPUT_MultiLagna!$D$13,0)</f>
        <v>1.5</v>
      </c>
      <c r="E17" s="1236">
        <f>IFERROR(OUTPUT_MultiLagna!$E$13,0)</f>
        <v>1.5</v>
      </c>
      <c r="F17" s="1213">
        <f ca="1">IFERROR(OUTPUT_MultiLagna!$F$13,0)</f>
        <v>0.33333333333333331</v>
      </c>
      <c r="G17" s="1213" t="str">
        <f ca="1">IFERROR(OUTPUT_MultiLagna!$G$13,"—")</f>
        <v>◑ Medium</v>
      </c>
      <c r="H17" s="1213">
        <f>IFERROR(CALC_Ashtakavarga!$I$15,0)</f>
        <v>28</v>
      </c>
      <c r="I17" s="1213" t="str">
        <f>IFERROR(INDEX(CALC_Avasthas!$E$5:$E$11,MATCH(CALC_BhaveshMap!$D$12,CALC_Avasthas!$A$5:$A$11,0)),"—")</f>
        <v>Mrita (Dead)</v>
      </c>
      <c r="J17" s="1214">
        <f>IFERROR(SCORE_AllHouses!$P$12,0)</f>
        <v>0</v>
      </c>
      <c r="K17" s="1215">
        <f ca="1">IFERROR(SCORE_AllHouses!$Q$12,"·")</f>
        <v>0</v>
      </c>
      <c r="L17" s="1216">
        <f ca="1">IFERROR(SCORE_AllHouses!$M$12,0)</f>
        <v>-2</v>
      </c>
      <c r="M17" s="1217" t="str">
        <f ca="1">IFERROR(IF(CALC_PredictiveTimeline!$E$13="▶ AD","▶ AD","·"),"·")</f>
        <v>·</v>
      </c>
      <c r="N17" s="1217" t="str">
        <f ca="1">IFERROR(IF(CALC_PredictiveTimeline!$D$13="▶ Maha","▶ ND","·"),"·")</f>
        <v>·</v>
      </c>
      <c r="O17" s="1217" t="str">
        <f ca="1">IFERROR(CALC_PredictiveTimeline!$H$13,"—")</f>
        <v>⚪ Neutral</v>
      </c>
      <c r="P17" s="1218">
        <f ca="1">IFERROR(CALC_CompositeVargaScore!$D$13,0)</f>
        <v>-2.5</v>
      </c>
      <c r="Q17" s="1218">
        <f ca="1">IFERROR(CALC_CompositeVargaScore!$E$13,0)</f>
        <v>-2</v>
      </c>
      <c r="R17" s="1216">
        <f ca="1">IFERROR(SCORE_Karakamsha_AllHouses!$F$11,0)</f>
        <v>2</v>
      </c>
      <c r="S17" s="1216">
        <f ca="1">IFERROR(OUTPUT_LifePressureIndex_Full!$O$24,0)</f>
        <v>-1.03</v>
      </c>
      <c r="T17" s="1217" t="str">
        <f t="shared" ca="1" si="0"/>
        <v>🔴</v>
      </c>
      <c r="U17" s="1217" t="str">
        <f ca="1">IFERROR(OUTPUT_LifePressureIndex_Full!$Q$24,"—")</f>
        <v xml:space="preserve">H8: Mixed signals. soul-challenged. P2-4 modifiers reduce promise. </v>
      </c>
    </row>
    <row r="18" spans="1:21" ht="25.5" customHeight="1" x14ac:dyDescent="0.2">
      <c r="A18" s="194">
        <v>9</v>
      </c>
      <c r="B18" s="449" t="s">
        <v>1917</v>
      </c>
      <c r="C18" s="1200">
        <f ca="1">IFERROR(SCORE_AllHouses!$S$13,0)</f>
        <v>-2.75</v>
      </c>
      <c r="D18" s="1237">
        <f>IFERROR(OUTPUT_MultiLagna!$D$14,0)</f>
        <v>2.5</v>
      </c>
      <c r="E18" s="811">
        <f>IFERROR(OUTPUT_MultiLagna!$E$14,0)</f>
        <v>2.5</v>
      </c>
      <c r="F18" s="1203">
        <f ca="1">IFERROR(OUTPUT_MultiLagna!$F$14,0)</f>
        <v>0.75</v>
      </c>
      <c r="G18" s="1203" t="str">
        <f ca="1">IFERROR(OUTPUT_MultiLagna!$G$14,"—")</f>
        <v>○ Low</v>
      </c>
      <c r="H18" s="1203">
        <f>IFERROR(CALC_Ashtakavarga!$J$15,0)</f>
        <v>20</v>
      </c>
      <c r="I18" s="1203" t="str">
        <f>IFERROR(INDEX(CALC_Avasthas!$E$5:$E$11,MATCH(CALC_BhaveshMap!$D$13,CALC_Avasthas!$A$5:$A$11,0)),"—")</f>
        <v>Kumar (Child)</v>
      </c>
      <c r="J18" s="1204">
        <f>IFERROR(SCORE_AllHouses!$P$13,0)</f>
        <v>0.25</v>
      </c>
      <c r="K18" s="1205">
        <f ca="1">IFERROR(SCORE_AllHouses!$Q$13,"·")</f>
        <v>0</v>
      </c>
      <c r="L18" s="1206">
        <f ca="1">IFERROR(SCORE_AllHouses!$M$13,0)</f>
        <v>-1.75</v>
      </c>
      <c r="M18" t="str">
        <f ca="1">IFERROR(IF(CALC_PredictiveTimeline!$E$14="▶ AD","▶ AD","·"),"·")</f>
        <v>·</v>
      </c>
      <c r="N18" t="str">
        <f ca="1">IFERROR(IF(CALC_PredictiveTimeline!$D$14="▶ Maha","▶ ND","·"),"·")</f>
        <v>·</v>
      </c>
      <c r="O18" t="str">
        <f ca="1">IFERROR(CALC_PredictiveTimeline!$H$14,"—")</f>
        <v>🟠 Under pressure</v>
      </c>
      <c r="P18" s="1207">
        <f ca="1">IFERROR(CALC_CompositeVargaScore!$D$14,0)</f>
        <v>-1.8</v>
      </c>
      <c r="Q18" s="1207">
        <f ca="1">IFERROR(CALC_CompositeVargaScore!$E$14,0)</f>
        <v>-1.4</v>
      </c>
      <c r="R18" s="1206">
        <f ca="1">IFERROR(SCORE_Karakamsha_AllHouses!$F$12,0)</f>
        <v>2.25</v>
      </c>
      <c r="S18" s="1206">
        <f ca="1">IFERROR(OUTPUT_LifePressureIndex_Full!$O$25,0)</f>
        <v>-1.07</v>
      </c>
      <c r="T18" t="str">
        <f t="shared" ca="1" si="0"/>
        <v>🔴</v>
      </c>
      <c r="U18" t="str">
        <f ca="1">IFERROR(OUTPUT_LifePressureIndex_Full!$Q$25,"—")</f>
        <v xml:space="preserve">H9: Mixed signals. soul-challenged. P2-4 modifiers reduce promise. </v>
      </c>
    </row>
    <row r="19" spans="1:21" ht="25.5" customHeight="1" x14ac:dyDescent="0.2">
      <c r="A19" s="1208">
        <v>10</v>
      </c>
      <c r="B19" s="1209" t="s">
        <v>1932</v>
      </c>
      <c r="C19" s="1210">
        <f ca="1">IFERROR(SCORE_AllHouses!$S$14,0)</f>
        <v>-1.5</v>
      </c>
      <c r="D19" s="1211">
        <f>IFERROR(OUTPUT_MultiLagna!$D$15,0)</f>
        <v>-1.75</v>
      </c>
      <c r="E19" s="1212">
        <f>IFERROR(OUTPUT_MultiLagna!$E$15,0)</f>
        <v>-1.5</v>
      </c>
      <c r="F19" s="1213">
        <f ca="1">IFERROR(OUTPUT_MultiLagna!$F$15,0)</f>
        <v>-1.5833333333333333</v>
      </c>
      <c r="G19" s="1213" t="str">
        <f ca="1">IFERROR(OUTPUT_MultiLagna!$G$15,"—")</f>
        <v>★ High</v>
      </c>
      <c r="H19" s="1213">
        <f>IFERROR(CALC_Ashtakavarga!$K$15,0)</f>
        <v>29</v>
      </c>
      <c r="I19" s="1213" t="str">
        <f>IFERROR(INDEX(CALC_Avasthas!$E$5:$E$11,MATCH(CALC_BhaveshMap!$D$14,CALC_Avasthas!$A$5:$A$11,0)),"—")</f>
        <v>Kumar (Child)</v>
      </c>
      <c r="J19" s="1214">
        <f>IFERROR(SCORE_AllHouses!$P$14,0)</f>
        <v>0.25</v>
      </c>
      <c r="K19" s="1215">
        <f ca="1">IFERROR(SCORE_AllHouses!$Q$14,"·")</f>
        <v>0</v>
      </c>
      <c r="L19" s="1216">
        <f ca="1">IFERROR(SCORE_AllHouses!$M$14,0)</f>
        <v>-1</v>
      </c>
      <c r="M19" s="1217" t="str">
        <f ca="1">IFERROR(IF(CALC_PredictiveTimeline!$E$15="▶ AD","▶ AD","·"),"·")</f>
        <v>·</v>
      </c>
      <c r="N19" s="1217" t="str">
        <f ca="1">IFERROR(IF(CALC_PredictiveTimeline!$D$15="▶ Maha","▶ ND","·"),"·")</f>
        <v>·</v>
      </c>
      <c r="O19" s="1217" t="str">
        <f ca="1">IFERROR(CALC_PredictiveTimeline!$H$15,"—")</f>
        <v>🟠 Under pressure</v>
      </c>
      <c r="P19" s="1218">
        <f ca="1">IFERROR(CALC_CompositeVargaScore!$D$15,0)</f>
        <v>-1.5</v>
      </c>
      <c r="Q19" s="1218">
        <f ca="1">IFERROR(CALC_CompositeVargaScore!$E$15,0)</f>
        <v>-2.75</v>
      </c>
      <c r="R19" s="1216">
        <f ca="1">IFERROR(SCORE_Karakamsha_AllHouses!$F$13,0)</f>
        <v>2</v>
      </c>
      <c r="S19" s="1216">
        <f ca="1">IFERROR(OUTPUT_LifePressureIndex_Full!$O$26,0)</f>
        <v>-1.48</v>
      </c>
      <c r="T19" s="1217" t="str">
        <f t="shared" ca="1" si="0"/>
        <v>🔴</v>
      </c>
      <c r="U19" s="1217" t="str">
        <f ca="1">IFERROR(OUTPUT_LifePressureIndex_Full!$Q$26,"—")</f>
        <v xml:space="preserve">H10: Mixed signals. soul-challenged. </v>
      </c>
    </row>
    <row r="20" spans="1:21" ht="25.5" customHeight="1" x14ac:dyDescent="0.2">
      <c r="A20" s="496">
        <v>11</v>
      </c>
      <c r="B20" s="728" t="s">
        <v>1947</v>
      </c>
      <c r="C20" s="1200">
        <f ca="1">IFERROR(SCORE_AllHouses!$S$15,0)</f>
        <v>-1.75</v>
      </c>
      <c r="D20" s="1238">
        <f>IFERROR(OUTPUT_MultiLagna!$D$16,0)</f>
        <v>0.5</v>
      </c>
      <c r="E20" s="1239">
        <f>IFERROR(OUTPUT_MultiLagna!$E$16,0)</f>
        <v>0.5</v>
      </c>
      <c r="F20" s="1203">
        <f ca="1">IFERROR(OUTPUT_MultiLagna!$F$16,0)</f>
        <v>-0.25</v>
      </c>
      <c r="G20" s="1203" t="str">
        <f ca="1">IFERROR(OUTPUT_MultiLagna!$G$16,"—")</f>
        <v>★ High</v>
      </c>
      <c r="H20" s="1203">
        <f>IFERROR(CALC_Ashtakavarga!$L$15,0)</f>
        <v>35</v>
      </c>
      <c r="I20" s="1203" t="str">
        <f>IFERROR(INDEX(CALC_Avasthas!$E$5:$E$11,MATCH(CALC_BhaveshMap!$D$15,CALC_Avasthas!$A$5:$A$11,0)),"—")</f>
        <v>Mrita (Dead)</v>
      </c>
      <c r="J20" s="1204">
        <f>IFERROR(SCORE_AllHouses!$P$15,0)</f>
        <v>0.25</v>
      </c>
      <c r="K20" s="1205">
        <f ca="1">IFERROR(SCORE_AllHouses!$Q$15,"·")</f>
        <v>0</v>
      </c>
      <c r="L20" s="1206">
        <f ca="1">IFERROR(SCORE_AllHouses!$M$15,0)</f>
        <v>-2</v>
      </c>
      <c r="M20" t="str">
        <f ca="1">IFERROR(IF(CALC_PredictiveTimeline!$E$16="▶ AD","▶ AD","·"),"·")</f>
        <v>·</v>
      </c>
      <c r="N20" t="str">
        <f ca="1">IFERROR(IF(CALC_PredictiveTimeline!$D$16="▶ Maha","▶ ND","·"),"·")</f>
        <v>·</v>
      </c>
      <c r="O20" t="str">
        <f ca="1">IFERROR(CALC_PredictiveTimeline!$H$16,"—")</f>
        <v>⚪ Neutral</v>
      </c>
      <c r="P20" s="1207">
        <f ca="1">IFERROR(CALC_CompositeVargaScore!$D$16,0)</f>
        <v>-3</v>
      </c>
      <c r="Q20" s="1207">
        <f ca="1">IFERROR(CALC_CompositeVargaScore!$E$16,0)</f>
        <v>-3</v>
      </c>
      <c r="R20" s="1206">
        <f ca="1">IFERROR(SCORE_Karakamsha_AllHouses!$F$14,0)</f>
        <v>1.5</v>
      </c>
      <c r="S20" s="1206">
        <f ca="1">IFERROR(OUTPUT_LifePressureIndex_Full!$O$27,0)</f>
        <v>-1.28</v>
      </c>
      <c r="T20" t="str">
        <f t="shared" ca="1" si="0"/>
        <v>🔴</v>
      </c>
      <c r="U20" t="str">
        <f ca="1">IFERROR(OUTPUT_LifePressureIndex_Full!$Q$27,"—")</f>
        <v xml:space="preserve">H11: Mixed signals. soul-challenged. </v>
      </c>
    </row>
    <row r="21" spans="1:21" ht="25.5" customHeight="1" x14ac:dyDescent="0.2">
      <c r="A21" s="1240">
        <v>12</v>
      </c>
      <c r="B21" s="1241" t="s">
        <v>1960</v>
      </c>
      <c r="C21" s="1210">
        <f ca="1">IFERROR(SCORE_AllHouses!$S$16,0)</f>
        <v>-1</v>
      </c>
      <c r="D21" s="1242">
        <f>IFERROR(OUTPUT_MultiLagna!$D$17,0)</f>
        <v>1.75</v>
      </c>
      <c r="E21" s="1243">
        <f>IFERROR(OUTPUT_MultiLagna!$E$17,0)</f>
        <v>1.75</v>
      </c>
      <c r="F21" s="1213">
        <f ca="1">IFERROR(OUTPUT_MultiLagna!$F$17,0)</f>
        <v>0.83333333333333337</v>
      </c>
      <c r="G21" s="1213" t="str">
        <f ca="1">IFERROR(OUTPUT_MultiLagna!$G$17,"—")</f>
        <v>★ High</v>
      </c>
      <c r="H21" s="1213">
        <f>IFERROR(CALC_Ashtakavarga!$M$15,0)</f>
        <v>30</v>
      </c>
      <c r="I21" s="1213" t="str">
        <f>IFERROR(INDEX(CALC_Avasthas!$E$5:$E$11,MATCH(CALC_BhaveshMap!$D$16,CALC_Avasthas!$A$5:$A$11,0)),"—")</f>
        <v>Kumar (Child)</v>
      </c>
      <c r="J21" s="1214">
        <f>IFERROR(SCORE_AllHouses!$P$16,0)</f>
        <v>0.25</v>
      </c>
      <c r="K21" s="1215">
        <f ca="1">IFERROR(SCORE_AllHouses!$Q$16,"·")</f>
        <v>0</v>
      </c>
      <c r="L21" s="1216">
        <f ca="1">IFERROR(SCORE_AllHouses!$M$16,0)</f>
        <v>-0.28749999999999998</v>
      </c>
      <c r="M21" s="1217" t="str">
        <f ca="1">IFERROR(IF(CALC_PredictiveTimeline!$E$17="▶ AD","▶ AD","·"),"·")</f>
        <v>·</v>
      </c>
      <c r="N21" s="1217" t="str">
        <f ca="1">IFERROR(IF(CALC_PredictiveTimeline!$D$17="▶ Maha","▶ ND","·"),"·")</f>
        <v>·</v>
      </c>
      <c r="O21" s="1217" t="str">
        <f ca="1">IFERROR(CALC_PredictiveTimeline!$H$17,"—")</f>
        <v>⚪ Neutral</v>
      </c>
      <c r="P21" s="1218">
        <f ca="1">IFERROR(CALC_CompositeVargaScore!$D$17,0)</f>
        <v>-3</v>
      </c>
      <c r="Q21" s="1218">
        <f ca="1">IFERROR(CALC_CompositeVargaScore!$E$17,0)</f>
        <v>-1.5</v>
      </c>
      <c r="R21" s="1216">
        <f ca="1">IFERROR(SCORE_Karakamsha_AllHouses!$F$15,0)</f>
        <v>-0.25</v>
      </c>
      <c r="S21" s="1216">
        <f ca="1">IFERROR(OUTPUT_LifePressureIndex_Full!$O$28,0)</f>
        <v>-0.53</v>
      </c>
      <c r="T21" s="1217" t="str">
        <f t="shared" ca="1" si="0"/>
        <v>🟡</v>
      </c>
      <c r="U21" s="1217" t="str">
        <f ca="1">IFERROR(OUTPUT_LifePressureIndex_Full!$Q$28,"—")</f>
        <v xml:space="preserve">H12: Mixed signals. soul-challenged. </v>
      </c>
    </row>
    <row r="22" spans="1:21" ht="24" customHeight="1" x14ac:dyDescent="0.2">
      <c r="A22" s="1178" t="s">
        <v>4973</v>
      </c>
      <c r="C22">
        <f ca="1">IFERROR(AVERAGE(C10:C21),0)</f>
        <v>-1.1875</v>
      </c>
      <c r="D22" s="1244">
        <f ca="1">IFERROR(SCORE_AllHouses!$S$17,0)</f>
        <v>-1.1875</v>
      </c>
      <c r="F22">
        <f ca="1">IFERROR(AVERAGE(F10:F21),0)</f>
        <v>0.62638888888888877</v>
      </c>
      <c r="S22">
        <f ca="1">IFERROR(AVERAGE(S10:S21),0)</f>
        <v>-0.58583333333333343</v>
      </c>
    </row>
    <row r="24" spans="1:21" ht="15" customHeight="1" x14ac:dyDescent="0.2">
      <c r="A24" s="76" t="s">
        <v>4974</v>
      </c>
    </row>
    <row r="25" spans="1:21" ht="15" customHeight="1" x14ac:dyDescent="0.2">
      <c r="A25" s="1245"/>
      <c r="B25" s="1245" t="s">
        <v>319</v>
      </c>
      <c r="C25" s="1245" t="s">
        <v>3711</v>
      </c>
      <c r="D25" s="1245" t="s">
        <v>3712</v>
      </c>
      <c r="E25" s="1245" t="s">
        <v>262</v>
      </c>
      <c r="F25" s="1245" t="s">
        <v>3713</v>
      </c>
      <c r="G25" s="1245" t="s">
        <v>4975</v>
      </c>
    </row>
    <row r="26" spans="1:21" ht="15" customHeight="1" x14ac:dyDescent="0.2">
      <c r="A26" s="1246" t="str">
        <f>IFERROR(CALC_DashaActive!A4,"")</f>
        <v>1</v>
      </c>
      <c r="B26" s="1246" t="str">
        <f>IFERROR(CALC_DashaActive!B4,"")</f>
        <v>Saturn</v>
      </c>
      <c r="C26" s="1247">
        <f>IFERROR(CALC_DashaActive!C4,"")</f>
        <v>17394</v>
      </c>
      <c r="D26" s="1247">
        <f>IFERROR(CALC_DashaActive!D4,"")</f>
        <v>23994.067500000001</v>
      </c>
      <c r="E26" s="1248">
        <f>IFERROR(CALC_DashaActive!E4,"")</f>
        <v>18.07</v>
      </c>
      <c r="F26" s="1246" t="str">
        <f ca="1">IFERROR(CALC_DashaActive!F4,"")</f>
        <v>·</v>
      </c>
      <c r="G26" s="1246" t="str">
        <f ca="1">IFERROR(CALC_DashaActive!G4,"")</f>
        <v>·</v>
      </c>
      <c r="H26" s="1249" t="str">
        <f ca="1">IFERROR(IF(CALC_DashaActive!F4="YES","&gt;&gt;&gt; ACTIVE &lt;&lt;&lt;",""),"")</f>
        <v/>
      </c>
      <c r="L26" s="1124" t="s">
        <v>4976</v>
      </c>
      <c r="M26" s="1250">
        <f>IFERROR(AVERAGE(D10,D14,D18),0)</f>
        <v>0.3666666666666667</v>
      </c>
    </row>
    <row r="27" spans="1:21" ht="15" customHeight="1" x14ac:dyDescent="0.2">
      <c r="A27" s="1246" t="str">
        <f>IFERROR(CALC_DashaActive!A5,"")</f>
        <v>2</v>
      </c>
      <c r="B27" s="1246" t="str">
        <f>IFERROR(CALC_DashaActive!B5,"")</f>
        <v>Mercury</v>
      </c>
      <c r="C27" s="1247">
        <f>IFERROR(CALC_DashaActive!C5,"")</f>
        <v>23994.067500000001</v>
      </c>
      <c r="D27" s="1247">
        <f>IFERROR(CALC_DashaActive!D5,"")</f>
        <v>30203.317500000001</v>
      </c>
      <c r="E27" s="1248">
        <f>IFERROR(CALC_DashaActive!E5,"")</f>
        <v>17</v>
      </c>
      <c r="F27" s="1246" t="str">
        <f ca="1">IFERROR(CALC_DashaActive!F5,"")</f>
        <v>·</v>
      </c>
      <c r="G27" s="1246" t="str">
        <f ca="1">IFERROR(CALC_DashaActive!G5,"")</f>
        <v>·</v>
      </c>
      <c r="H27" s="1249" t="str">
        <f ca="1">IFERROR(IF(CALC_DashaActive!F5="YES","&gt;&gt;&gt; ACTIVE &lt;&lt;&lt;",""),"")</f>
        <v/>
      </c>
      <c r="L27" s="1124" t="s">
        <v>4977</v>
      </c>
      <c r="M27" s="1250">
        <f>IFERROR(AVERAGE(D11,D15,D19),0)</f>
        <v>1.5833333333333333</v>
      </c>
    </row>
    <row r="28" spans="1:21" ht="15" customHeight="1" x14ac:dyDescent="0.2">
      <c r="A28" s="1246" t="str">
        <f>IFERROR(CALC_DashaActive!A6,"")</f>
        <v>3</v>
      </c>
      <c r="B28" s="1246" t="str">
        <f>IFERROR(CALC_DashaActive!B6,"")</f>
        <v>Ketu</v>
      </c>
      <c r="C28" s="1247">
        <f>IFERROR(CALC_DashaActive!C6,"")</f>
        <v>30203.317500000001</v>
      </c>
      <c r="D28" s="1247">
        <f>IFERROR(CALC_DashaActive!D6,"")</f>
        <v>32760.067500000001</v>
      </c>
      <c r="E28" s="1248">
        <f>IFERROR(CALC_DashaActive!E6,"")</f>
        <v>7</v>
      </c>
      <c r="F28" s="1246" t="str">
        <f ca="1">IFERROR(CALC_DashaActive!F6,"")</f>
        <v>·</v>
      </c>
      <c r="G28" s="1246" t="str">
        <f ca="1">IFERROR(CALC_DashaActive!G6,"")</f>
        <v>·</v>
      </c>
      <c r="H28" s="1249" t="str">
        <f ca="1">IFERROR(IF(CALC_DashaActive!F6="YES","&gt;&gt;&gt; ACTIVE &lt;&lt;&lt;",""),"")</f>
        <v/>
      </c>
      <c r="L28" s="1124" t="s">
        <v>4978</v>
      </c>
      <c r="M28" s="1250">
        <f>IFERROR(AVERAGE(D12,D16,D20),0)</f>
        <v>2.3666666666666667</v>
      </c>
    </row>
    <row r="29" spans="1:21" ht="15" customHeight="1" x14ac:dyDescent="0.2">
      <c r="A29" s="1246" t="str">
        <f>IFERROR(CALC_DashaActive!A7,"")</f>
        <v>4</v>
      </c>
      <c r="B29" s="1246" t="str">
        <f>IFERROR(CALC_DashaActive!B7,"")</f>
        <v>Venus</v>
      </c>
      <c r="C29" s="1247">
        <f>IFERROR(CALC_DashaActive!C7,"")</f>
        <v>32760.067500000001</v>
      </c>
      <c r="D29" s="1247">
        <f>IFERROR(CALC_DashaActive!D7,"")</f>
        <v>40065.067500000005</v>
      </c>
      <c r="E29" s="1248">
        <f>IFERROR(CALC_DashaActive!E7,"")</f>
        <v>20</v>
      </c>
      <c r="F29" s="1246" t="str">
        <f ca="1">IFERROR(CALC_DashaActive!F7,"")</f>
        <v>·</v>
      </c>
      <c r="G29" s="1246" t="str">
        <f ca="1">IFERROR(CALC_DashaActive!G7,"")</f>
        <v>·</v>
      </c>
      <c r="H29" s="1249" t="str">
        <f ca="1">IFERROR(IF(CALC_DashaActive!F7="YES","&gt;&gt;&gt; ACTIVE &lt;&lt;&lt;",""),"")</f>
        <v/>
      </c>
      <c r="L29" s="1124" t="s">
        <v>4979</v>
      </c>
      <c r="M29" s="1250">
        <f>IFERROR(AVERAGE(D13,D17,D21),0)</f>
        <v>1.8333333333333333</v>
      </c>
    </row>
    <row r="30" spans="1:21" ht="15" customHeight="1" x14ac:dyDescent="0.2">
      <c r="A30" s="1246" t="str">
        <f>IFERROR(CALC_DashaActive!A8,"")</f>
        <v>5</v>
      </c>
      <c r="B30" s="1246" t="str">
        <f>IFERROR(CALC_DashaActive!B8,"")</f>
        <v>Sun</v>
      </c>
      <c r="C30" s="1247">
        <f>IFERROR(CALC_DashaActive!C8,"")</f>
        <v>40065.067500000005</v>
      </c>
      <c r="D30" s="1247">
        <f>IFERROR(CALC_DashaActive!D8,"")</f>
        <v>42256.567500000005</v>
      </c>
      <c r="E30" s="1248">
        <f>IFERROR(CALC_DashaActive!E8,"")</f>
        <v>6</v>
      </c>
      <c r="F30" s="1246" t="str">
        <f ca="1">IFERROR(CALC_DashaActive!F8,"")</f>
        <v>·</v>
      </c>
      <c r="G30" s="1246" t="str">
        <f ca="1">IFERROR(CALC_DashaActive!G8,"")</f>
        <v>·</v>
      </c>
      <c r="H30" s="1249" t="str">
        <f ca="1">IFERROR(IF(CALC_DashaActive!F8="YES","&gt;&gt;&gt; ACTIVE &lt;&lt;&lt;",""),"")</f>
        <v/>
      </c>
      <c r="L30" s="1124" t="s">
        <v>4980</v>
      </c>
      <c r="M30" s="1251">
        <f ca="1">IFERROR(D22,0)</f>
        <v>-1.1875</v>
      </c>
    </row>
    <row r="31" spans="1:21" ht="15" customHeight="1" x14ac:dyDescent="0.2">
      <c r="A31" s="1246" t="str">
        <f>IFERROR(CALC_DashaActive!A9,"")</f>
        <v>6</v>
      </c>
      <c r="B31" s="1246" t="str">
        <f>IFERROR(CALC_DashaActive!B9,"")</f>
        <v>Moon</v>
      </c>
      <c r="C31" s="1247">
        <f>IFERROR(CALC_DashaActive!C9,"")</f>
        <v>42256.567500000005</v>
      </c>
      <c r="D31" s="1247">
        <f>IFERROR(CALC_DashaActive!D9,"")</f>
        <v>45909.067500000005</v>
      </c>
      <c r="E31" s="1248">
        <f>IFERROR(CALC_DashaActive!E9,"")</f>
        <v>10</v>
      </c>
      <c r="F31" s="1246" t="str">
        <f ca="1">IFERROR(CALC_DashaActive!F9,"")</f>
        <v>·</v>
      </c>
      <c r="G31" s="1246" t="str">
        <f ca="1">IFERROR(CALC_DashaActive!G9,"")</f>
        <v>·</v>
      </c>
      <c r="H31" s="1249" t="str">
        <f ca="1">IFERROR(IF(CALC_DashaActive!F9="YES","&gt;&gt;&gt; ACTIVE &lt;&lt;&lt;",""),"")</f>
        <v/>
      </c>
    </row>
    <row r="32" spans="1:21" ht="15" customHeight="1" x14ac:dyDescent="0.2">
      <c r="A32" s="1246" t="str">
        <f>IFERROR(CALC_DashaActive!A10,"")</f>
        <v>7</v>
      </c>
      <c r="B32" s="1246" t="str">
        <f>IFERROR(CALC_DashaActive!B10,"")</f>
        <v>Mars</v>
      </c>
      <c r="C32" s="1247">
        <f>IFERROR(CALC_DashaActive!C10,"")</f>
        <v>45909.067500000005</v>
      </c>
      <c r="D32" s="1247">
        <f>IFERROR(CALC_DashaActive!D10,"")</f>
        <v>48465.817500000005</v>
      </c>
      <c r="E32" s="1248">
        <f>IFERROR(CALC_DashaActive!E10,"")</f>
        <v>7</v>
      </c>
      <c r="F32" s="1246" t="str">
        <f ca="1">IFERROR(CALC_DashaActive!F10,"")</f>
        <v>▶ ACTIVE</v>
      </c>
      <c r="G32" s="1248">
        <f ca="1">IFERROR(CALC_DashaActive!G10,"")</f>
        <v>6.5</v>
      </c>
      <c r="H32" s="1249" t="str">
        <f ca="1">IFERROR(IF(CALC_DashaActive!F10="YES","&gt;&gt;&gt; ACTIVE &lt;&lt;&lt;",""),"")</f>
        <v/>
      </c>
    </row>
    <row r="33" spans="1:8" ht="15" customHeight="1" x14ac:dyDescent="0.2">
      <c r="A33" s="1246" t="str">
        <f>IFERROR(CALC_DashaActive!A11,"")</f>
        <v>8</v>
      </c>
      <c r="B33" s="1246" t="str">
        <f>IFERROR(CALC_DashaActive!B11,"")</f>
        <v>Rahu</v>
      </c>
      <c r="C33" s="1247">
        <f>IFERROR(CALC_DashaActive!C11,"")</f>
        <v>48465.817500000005</v>
      </c>
      <c r="D33" s="1247">
        <f>IFERROR(CALC_DashaActive!D11,"")</f>
        <v>55040.317500000005</v>
      </c>
      <c r="E33" s="1248">
        <f>IFERROR(CALC_DashaActive!E11,"")</f>
        <v>18</v>
      </c>
      <c r="F33" s="1246" t="str">
        <f ca="1">IFERROR(CALC_DashaActive!F11,"")</f>
        <v>·</v>
      </c>
      <c r="G33" s="1246" t="str">
        <f ca="1">IFERROR(CALC_DashaActive!G11,"")</f>
        <v>·</v>
      </c>
      <c r="H33" s="1249" t="str">
        <f ca="1">IFERROR(IF(CALC_DashaActive!F11="YES","&gt;&gt;&gt; ACTIVE &lt;&lt;&lt;",""),"")</f>
        <v/>
      </c>
    </row>
    <row r="34" spans="1:8" ht="15" customHeight="1" x14ac:dyDescent="0.2">
      <c r="A34" s="1246" t="str">
        <f>IFERROR(CALC_DashaActive!A12,"")</f>
        <v>9</v>
      </c>
      <c r="B34" s="1246" t="str">
        <f>IFERROR(CALC_DashaActive!B12,"")</f>
        <v>Jupiter</v>
      </c>
      <c r="C34" s="1247">
        <f>IFERROR(CALC_DashaActive!C12,"")</f>
        <v>55040.317500000005</v>
      </c>
      <c r="D34" s="1247">
        <f>IFERROR(CALC_DashaActive!D12,"")</f>
        <v>60884.317500000005</v>
      </c>
      <c r="E34" s="1248">
        <f>IFERROR(CALC_DashaActive!E12,"")</f>
        <v>16</v>
      </c>
      <c r="F34" s="1246" t="str">
        <f ca="1">IFERROR(CALC_DashaActive!F12,"")</f>
        <v>·</v>
      </c>
      <c r="G34" s="1246" t="str">
        <f ca="1">IFERROR(CALC_DashaActive!G12,"")</f>
        <v>·</v>
      </c>
      <c r="H34" s="1249" t="str">
        <f ca="1">IFERROR(IF(CALC_DashaActive!F12="YES","&gt;&gt;&gt; ACTIVE &lt;&lt;&lt;",""),"")</f>
        <v/>
      </c>
    </row>
    <row r="36" spans="1:8" ht="18" customHeight="1" x14ac:dyDescent="0.2">
      <c r="A36" s="1524" t="s">
        <v>4981</v>
      </c>
      <c r="B36" s="1524"/>
      <c r="C36" s="1524"/>
      <c r="D36" s="1524"/>
      <c r="E36" s="1524"/>
      <c r="F36" s="1524"/>
      <c r="G36" s="1524"/>
      <c r="H36" s="1524"/>
    </row>
    <row r="37" spans="1:8" ht="15.75" customHeight="1" x14ac:dyDescent="0.2">
      <c r="A37" s="936" t="s">
        <v>4982</v>
      </c>
      <c r="B37" s="1252" t="s">
        <v>115</v>
      </c>
    </row>
    <row r="38" spans="1:8" ht="15.75" customHeight="1" x14ac:dyDescent="0.2">
      <c r="A38" s="938" t="s">
        <v>4983</v>
      </c>
      <c r="B38" s="1253" t="s">
        <v>125</v>
      </c>
    </row>
    <row r="39" spans="1:8" ht="15.75" customHeight="1" x14ac:dyDescent="0.2">
      <c r="A39" s="936" t="s">
        <v>4984</v>
      </c>
      <c r="B39" s="1252" t="s">
        <v>50</v>
      </c>
    </row>
    <row r="40" spans="1:8" ht="15.75" customHeight="1" x14ac:dyDescent="0.2">
      <c r="A40" s="938" t="s">
        <v>4985</v>
      </c>
      <c r="B40" s="1253" t="s">
        <v>4986</v>
      </c>
    </row>
    <row r="41" spans="1:8" ht="15.75" customHeight="1" x14ac:dyDescent="0.2">
      <c r="A41" s="936" t="s">
        <v>4987</v>
      </c>
      <c r="B41" s="1252" t="s">
        <v>4988</v>
      </c>
    </row>
    <row r="42" spans="1:8" ht="15.75" customHeight="1" x14ac:dyDescent="0.2">
      <c r="A42" s="938" t="s">
        <v>4989</v>
      </c>
      <c r="B42" s="1253" t="s">
        <v>43</v>
      </c>
    </row>
    <row r="43" spans="1:8" ht="15.75" customHeight="1" x14ac:dyDescent="0.2">
      <c r="A43" s="936" t="s">
        <v>4990</v>
      </c>
      <c r="B43" s="1252" t="s">
        <v>4991</v>
      </c>
    </row>
    <row r="44" spans="1:8" ht="15.75" customHeight="1" x14ac:dyDescent="0.2">
      <c r="A44" s="938" t="s">
        <v>4992</v>
      </c>
      <c r="B44" s="1253" t="s">
        <v>4993</v>
      </c>
    </row>
  </sheetData>
  <mergeCells count="4">
    <mergeCell ref="A1:J1"/>
    <mergeCell ref="A2:J2"/>
    <mergeCell ref="A6:J6"/>
    <mergeCell ref="A36:H36"/>
  </mergeCells>
  <pageMargins left="0.75" right="0.75" top="1" bottom="1" header="0.511811023622047" footer="0.511811023622047"/>
  <pageSetup paperSize="9" orientation="portrait" horizontalDpi="300" verticalDpi="300"/>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tabColor rgb="FF00838F"/>
  </sheetPr>
  <dimension ref="A1:L16"/>
  <sheetViews>
    <sheetView zoomScaleNormal="100" workbookViewId="0">
      <pane ySplit="3" topLeftCell="A4" activePane="bottomLeft" state="frozen"/>
      <selection pane="bottomLeft"/>
    </sheetView>
  </sheetViews>
  <sheetFormatPr defaultColWidth="8.609375" defaultRowHeight="15" x14ac:dyDescent="0.2"/>
  <cols>
    <col min="1" max="1" width="9.953125" customWidth="1"/>
    <col min="2" max="2" width="23.9453125" customWidth="1"/>
    <col min="3" max="3" width="36.05078125" customWidth="1"/>
    <col min="4" max="4" width="13.98828125" customWidth="1"/>
    <col min="5" max="5" width="18.0234375" customWidth="1"/>
    <col min="6" max="6" width="20.04296875" customWidth="1"/>
    <col min="7" max="7" width="18.0234375" customWidth="1"/>
    <col min="8" max="8" width="13.98828125" customWidth="1"/>
    <col min="9" max="9" width="48.0234375" customWidth="1"/>
    <col min="10" max="11" width="13.98828125" customWidth="1"/>
  </cols>
  <sheetData>
    <row r="1" spans="1:12" ht="27.75" customHeight="1" x14ac:dyDescent="0.2">
      <c r="A1" s="1507" t="s">
        <v>4994</v>
      </c>
      <c r="B1" s="1507"/>
      <c r="C1" s="1507"/>
      <c r="D1" s="1507"/>
      <c r="E1" s="1507"/>
      <c r="F1" s="1507"/>
      <c r="G1" s="1507"/>
      <c r="H1" s="1507"/>
      <c r="I1" s="1507"/>
      <c r="L1" s="29" t="str">
        <f>HYPERLINK("#'00_INDEX'!A1","&lt;- Index")</f>
        <v>&lt;- Index</v>
      </c>
    </row>
    <row r="2" spans="1:12" ht="19.5" customHeight="1" x14ac:dyDescent="0.2">
      <c r="A2" s="1595" t="str">
        <f>IFERROR("Lagna: "&amp;INPUT_Chart!$C$5&amp;"  ·  Lagnesh: "&amp;CALC_BhaveshMap!$D$5&amp;" (modifier "&amp;TEXT(CALC_LagneshStrength!$I$4,"+0.00;-0.00;0.00")&amp;")","Enter data in INPUT_Chart")</f>
        <v>Lagna: Taurus  ·  Lagnesh: Venus (modifier 0.00)</v>
      </c>
      <c r="B2" s="1595"/>
      <c r="C2" s="1595"/>
      <c r="D2" s="1595"/>
      <c r="E2" s="1595"/>
      <c r="F2" s="1595"/>
      <c r="G2" s="1595"/>
      <c r="H2" s="1595"/>
      <c r="I2" s="1595"/>
    </row>
    <row r="3" spans="1:12" ht="21.75" customHeight="1" x14ac:dyDescent="0.2">
      <c r="A3" s="87" t="s">
        <v>2276</v>
      </c>
      <c r="B3" s="516" t="s">
        <v>4995</v>
      </c>
      <c r="C3" s="516" t="s">
        <v>4996</v>
      </c>
      <c r="D3" s="517" t="s">
        <v>4287</v>
      </c>
      <c r="E3" s="517" t="s">
        <v>4</v>
      </c>
      <c r="F3" s="658" t="s">
        <v>4997</v>
      </c>
      <c r="G3" s="658" t="s">
        <v>4998</v>
      </c>
      <c r="H3" s="89" t="s">
        <v>4664</v>
      </c>
      <c r="I3" s="1254" t="s">
        <v>5589</v>
      </c>
      <c r="J3" s="1255" t="s">
        <v>4999</v>
      </c>
      <c r="K3" s="1256" t="s">
        <v>5000</v>
      </c>
    </row>
    <row r="4" spans="1:12" ht="27.75" customHeight="1" x14ac:dyDescent="0.2">
      <c r="A4" s="732">
        <v>1</v>
      </c>
      <c r="B4" s="303" t="s">
        <v>5001</v>
      </c>
      <c r="C4" s="536" t="s">
        <v>5002</v>
      </c>
      <c r="D4" s="1201">
        <f ca="1">IFERROR(SCORE_AllHouses!$S$5,0)</f>
        <v>1.25</v>
      </c>
      <c r="E4" s="1257" t="str">
        <f t="shared" ref="E4:E15" ca="1" si="0">IFERROR(IF(D4&gt;=6,"★★★★★ Excellent",IF(D4&gt;=3,"★★★★  Strong",IF(D4&gt;=0,"★★★   Moderate",IF(D4&gt;=-3,"★★    Weak","★     Very weak")))),"—")</f>
        <v>★★★   Moderate</v>
      </c>
      <c r="F4" s="1258" t="str">
        <f>IFERROR(CALC_BhaveshMap!$D$5&amp;" in H"&amp;CALC_BhaveshMap!$H$5&amp;" ("&amp;CALC_BhaveshMap!$L$5&amp;")","—")</f>
        <v>Venus in H3 (Neutral sign)</v>
      </c>
      <c r="G4" s="1259" t="str">
        <f>IFERROR("Sun in "&amp;CALC_KarakMap!$E$5&amp;" (H"&amp;CALC_KarakMap!$F$5&amp;")","—")</f>
        <v>Sun in Cancer (H3)</v>
      </c>
      <c r="H4" s="1260">
        <f>IFERROR(SCORE_H1_Self!$C$39,"—")</f>
        <v>0</v>
      </c>
      <c r="I4" s="1261" t="s">
        <v>5589</v>
      </c>
    </row>
    <row r="5" spans="1:12" ht="27.75" customHeight="1" x14ac:dyDescent="0.2">
      <c r="A5" s="736">
        <v>2</v>
      </c>
      <c r="B5" s="302" t="s">
        <v>5003</v>
      </c>
      <c r="C5" s="534" t="s">
        <v>5004</v>
      </c>
      <c r="D5" s="1262">
        <f ca="1">IFERROR(SCORE_AllHouses!$S$6,0)</f>
        <v>-5.25</v>
      </c>
      <c r="E5" s="1263" t="str">
        <f t="shared" ca="1" si="0"/>
        <v>★     Very weak</v>
      </c>
      <c r="F5" s="1264" t="str">
        <f>IFERROR(CALC_BhaveshMap!$D$6&amp;" in H"&amp;CALC_BhaveshMap!$H$6&amp;" ("&amp;CALC_BhaveshMap!$L$6&amp;")","—")</f>
        <v>Mercury in H3 (Enemy sign)</v>
      </c>
      <c r="G5" s="1265" t="str">
        <f>IFERROR("Jupiter in "&amp;CALC_KarakMap!$E$6&amp;" (H"&amp;CALC_KarakMap!$F$6&amp;")","—")</f>
        <v>Jupiter in Libra (H6)</v>
      </c>
      <c r="H5" s="1266">
        <f>IFERROR(SCORE_H2_Wealth!$C$39,"—")</f>
        <v>0</v>
      </c>
      <c r="I5" s="1267" t="s">
        <v>5589</v>
      </c>
    </row>
    <row r="6" spans="1:12" ht="27.75" customHeight="1" x14ac:dyDescent="0.2">
      <c r="A6" s="738">
        <v>3</v>
      </c>
      <c r="B6" s="715" t="s">
        <v>5005</v>
      </c>
      <c r="C6" s="536" t="s">
        <v>5006</v>
      </c>
      <c r="D6" s="1219">
        <f ca="1">IFERROR(SCORE_AllHouses!$S$7,0)</f>
        <v>1</v>
      </c>
      <c r="E6" s="1257" t="str">
        <f t="shared" ca="1" si="0"/>
        <v>★★★   Moderate</v>
      </c>
      <c r="F6" s="1258" t="str">
        <f>IFERROR(CALC_BhaveshMap!$D$7&amp;" in H"&amp;CALC_BhaveshMap!$H$7&amp;" ("&amp;CALC_BhaveshMap!$L$7&amp;")","—")</f>
        <v>Moon in H3 (Own sign)</v>
      </c>
      <c r="G6" s="1259" t="str">
        <f>IFERROR("Mars in "&amp;CALC_KarakMap!$E$7&amp;" (H"&amp;CALC_KarakMap!$F$7&amp;")","—")</f>
        <v>Mars in Gemini (H2)</v>
      </c>
      <c r="H6" s="1260">
        <f>IFERROR(SCORE_H3_Courage!$C$39,"—")</f>
        <v>0</v>
      </c>
      <c r="I6" s="1261" t="s">
        <v>5589</v>
      </c>
    </row>
    <row r="7" spans="1:12" ht="27.75" customHeight="1" x14ac:dyDescent="0.2">
      <c r="A7" s="739">
        <v>4</v>
      </c>
      <c r="B7" s="448" t="s">
        <v>5007</v>
      </c>
      <c r="C7" s="534" t="s">
        <v>5008</v>
      </c>
      <c r="D7" s="1268">
        <f ca="1">IFERROR(SCORE_AllHouses!$S$8,0)</f>
        <v>1.25</v>
      </c>
      <c r="E7" s="1263" t="str">
        <f t="shared" ca="1" si="0"/>
        <v>★★★   Moderate</v>
      </c>
      <c r="F7" s="1264" t="str">
        <f>IFERROR(CALC_BhaveshMap!$D$8&amp;" in H"&amp;CALC_BhaveshMap!$H$8&amp;" ("&amp;CALC_BhaveshMap!$L$8&amp;")","—")</f>
        <v>Sun in H3 (Friendly sign)</v>
      </c>
      <c r="G7" s="1265" t="str">
        <f>IFERROR("Moon in "&amp;CALC_KarakMap!$E$8&amp;" (H"&amp;CALC_KarakMap!$F$8&amp;")","—")</f>
        <v>Moon in Cancer (H3)</v>
      </c>
      <c r="H7" s="1266">
        <f>IFERROR(SCORE_H4_Home!$C$39,"—")</f>
        <v>0</v>
      </c>
      <c r="I7" s="1267" t="s">
        <v>5589</v>
      </c>
    </row>
    <row r="8" spans="1:12" ht="27.75" customHeight="1" x14ac:dyDescent="0.2">
      <c r="A8" s="740">
        <v>5</v>
      </c>
      <c r="B8" s="450" t="s">
        <v>5009</v>
      </c>
      <c r="C8" s="536" t="s">
        <v>5010</v>
      </c>
      <c r="D8" s="1225">
        <f ca="1">IFERROR(SCORE_AllHouses!$S$9,0)</f>
        <v>-1.5</v>
      </c>
      <c r="E8" s="1257" t="str">
        <f t="shared" ca="1" si="0"/>
        <v>★★    Weak</v>
      </c>
      <c r="F8" s="1258" t="str">
        <f>IFERROR(CALC_BhaveshMap!$D$9&amp;" in H"&amp;CALC_BhaveshMap!$H$9&amp;" ("&amp;CALC_BhaveshMap!$L$9&amp;")","—")</f>
        <v>Mercury in H3 (Enemy sign)</v>
      </c>
      <c r="G8" s="1259" t="str">
        <f>IFERROR("Jupiter in "&amp;CALC_KarakMap!$E$9&amp;" (H"&amp;CALC_KarakMap!$F$9&amp;")","—")</f>
        <v>Jupiter in Libra (H6)</v>
      </c>
      <c r="H8" s="1260">
        <f>IFERROR(SCORE_H5_Intellect!$C$39,"—")</f>
        <v>0</v>
      </c>
      <c r="I8" s="1261" t="s">
        <v>5589</v>
      </c>
    </row>
    <row r="9" spans="1:12" ht="27.75" customHeight="1" x14ac:dyDescent="0.2">
      <c r="A9" s="741">
        <v>6</v>
      </c>
      <c r="B9" s="307" t="s">
        <v>1186</v>
      </c>
      <c r="C9" s="534" t="s">
        <v>5011</v>
      </c>
      <c r="D9" s="1269">
        <f ca="1">IFERROR(SCORE_AllHouses!$S$10,0)</f>
        <v>2.25</v>
      </c>
      <c r="E9" s="1263" t="str">
        <f t="shared" ca="1" si="0"/>
        <v>★★★   Moderate</v>
      </c>
      <c r="F9" s="1264" t="str">
        <f>IFERROR(CALC_BhaveshMap!$D$10&amp;" in H"&amp;CALC_BhaveshMap!$H$10&amp;" ("&amp;CALC_BhaveshMap!$L$10&amp;")","—")</f>
        <v>Venus in H3 (Neutral sign)</v>
      </c>
      <c r="G9" s="1265" t="str">
        <f>IFERROR("Mars in "&amp;CALC_KarakMap!$E$10&amp;" (H"&amp;CALC_KarakMap!$F$10&amp;")","—")</f>
        <v>Mars in Gemini (H2)</v>
      </c>
      <c r="H9" s="1266">
        <f>IFERROR(SCORE_H6_Conflicts!$C$39,"—")</f>
        <v>0</v>
      </c>
      <c r="I9" s="1267" t="s">
        <v>5589</v>
      </c>
    </row>
    <row r="10" spans="1:12" ht="27.75" customHeight="1" x14ac:dyDescent="0.2">
      <c r="A10" s="743">
        <v>7</v>
      </c>
      <c r="B10" s="721" t="s">
        <v>807</v>
      </c>
      <c r="C10" s="536" t="s">
        <v>4493</v>
      </c>
      <c r="D10" s="1231">
        <f ca="1">IFERROR(SCORE_AllHouses!$S$11,0)</f>
        <v>-4.25</v>
      </c>
      <c r="E10" s="1257" t="str">
        <f t="shared" ca="1" si="0"/>
        <v>★     Very weak</v>
      </c>
      <c r="F10" s="1258" t="str">
        <f>IFERROR(CALC_BhaveshMap!$D$11&amp;" in H"&amp;CALC_BhaveshMap!$H$11&amp;" ("&amp;CALC_BhaveshMap!$L$11&amp;")","—")</f>
        <v>Mars in H2 (Enemy sign)</v>
      </c>
      <c r="G10" s="1259" t="str">
        <f>IFERROR("Venus in "&amp;CALC_KarakMap!$E$11&amp;" (H"&amp;CALC_KarakMap!$F$11&amp;")","—")</f>
        <v>Venus in Cancer (H3)</v>
      </c>
      <c r="H10" s="1260">
        <f>IFERROR(SCORE_H7_Partnerships!$C$39,"—")</f>
        <v>0</v>
      </c>
      <c r="I10" s="1261" t="s">
        <v>5589</v>
      </c>
    </row>
    <row r="11" spans="1:12" ht="27.75" customHeight="1" x14ac:dyDescent="0.2">
      <c r="A11" s="1270">
        <v>8</v>
      </c>
      <c r="B11" s="453" t="s">
        <v>5012</v>
      </c>
      <c r="C11" s="534" t="s">
        <v>5013</v>
      </c>
      <c r="D11" s="1271">
        <f ca="1">IFERROR(SCORE_AllHouses!$S$12,0)</f>
        <v>-2</v>
      </c>
      <c r="E11" s="1263" t="str">
        <f t="shared" ca="1" si="0"/>
        <v>★★    Weak</v>
      </c>
      <c r="F11" s="1264" t="str">
        <f>IFERROR(CALC_BhaveshMap!$D$12&amp;" in H"&amp;CALC_BhaveshMap!$H$12&amp;" ("&amp;CALC_BhaveshMap!$L$12&amp;")","—")</f>
        <v>Jupiter in H6 (Enemy sign)</v>
      </c>
      <c r="G11" s="1265" t="str">
        <f>IFERROR("Saturn in "&amp;CALC_KarakMap!$E$12&amp;" (H"&amp;CALC_KarakMap!$F$12&amp;")","—")</f>
        <v>Saturn in Cancer (H3)</v>
      </c>
      <c r="H11" s="1266">
        <f>IFERROR(SCORE_H8_Longevity!$C$39,"—")</f>
        <v>0</v>
      </c>
      <c r="I11" s="1267" t="s">
        <v>5589</v>
      </c>
    </row>
    <row r="12" spans="1:12" ht="27.75" customHeight="1" x14ac:dyDescent="0.2">
      <c r="A12" s="745">
        <v>9</v>
      </c>
      <c r="B12" s="449" t="s">
        <v>5014</v>
      </c>
      <c r="C12" s="536" t="s">
        <v>5015</v>
      </c>
      <c r="D12" s="1237">
        <f ca="1">IFERROR(SCORE_AllHouses!$S$13,0)</f>
        <v>-2.75</v>
      </c>
      <c r="E12" s="1257" t="str">
        <f t="shared" ca="1" si="0"/>
        <v>★★    Weak</v>
      </c>
      <c r="F12" s="1258" t="str">
        <f>IFERROR(CALC_BhaveshMap!$D$13&amp;" in H"&amp;CALC_BhaveshMap!$H$13&amp;" ("&amp;CALC_BhaveshMap!$L$13&amp;")","—")</f>
        <v>Saturn in H3 (Enemy sign)</v>
      </c>
      <c r="G12" s="1259" t="str">
        <f>IFERROR("Jupiter in "&amp;CALC_KarakMap!$E$13&amp;" (H"&amp;CALC_KarakMap!$F$13&amp;")","—")</f>
        <v>Jupiter in Libra (H6)</v>
      </c>
      <c r="H12" s="1260">
        <f>IFERROR(SCORE_H9_Fortune!$C$39,"—")</f>
        <v>0</v>
      </c>
      <c r="I12" s="1261" t="s">
        <v>5589</v>
      </c>
    </row>
    <row r="13" spans="1:12" ht="27.75" customHeight="1" x14ac:dyDescent="0.2">
      <c r="A13" s="747">
        <v>10</v>
      </c>
      <c r="B13" s="726" t="s">
        <v>5016</v>
      </c>
      <c r="C13" s="534" t="s">
        <v>5017</v>
      </c>
      <c r="D13" s="1272">
        <f ca="1">IFERROR(SCORE_AllHouses!$S$14,0)</f>
        <v>-1.5</v>
      </c>
      <c r="E13" s="1263" t="str">
        <f t="shared" ca="1" si="0"/>
        <v>★★    Weak</v>
      </c>
      <c r="F13" s="1264" t="str">
        <f>IFERROR(CALC_BhaveshMap!$D$14&amp;" in H"&amp;CALC_BhaveshMap!$H$14&amp;" ("&amp;CALC_BhaveshMap!$L$14&amp;")","—")</f>
        <v>Saturn in H3 (Enemy sign)</v>
      </c>
      <c r="G13" s="1265" t="str">
        <f>IFERROR("Sun in "&amp;CALC_KarakMap!$E$14&amp;" (H"&amp;CALC_KarakMap!$F$14&amp;")","—")</f>
        <v>Sun in Cancer (H3)</v>
      </c>
      <c r="H13" s="1266">
        <f>IFERROR(SCORE_H10_Career!$C$39,"—")</f>
        <v>0</v>
      </c>
      <c r="I13" s="1267" t="s">
        <v>5589</v>
      </c>
    </row>
    <row r="14" spans="1:12" ht="27.75" customHeight="1" x14ac:dyDescent="0.2">
      <c r="A14" s="748">
        <v>11</v>
      </c>
      <c r="B14" s="728" t="s">
        <v>5018</v>
      </c>
      <c r="C14" s="536" t="s">
        <v>5019</v>
      </c>
      <c r="D14" s="1238">
        <f ca="1">IFERROR(SCORE_AllHouses!$S$15,0)</f>
        <v>-1.75</v>
      </c>
      <c r="E14" s="1257" t="str">
        <f t="shared" ca="1" si="0"/>
        <v>★★    Weak</v>
      </c>
      <c r="F14" s="1258" t="str">
        <f>IFERROR(CALC_BhaveshMap!$D$15&amp;" in H"&amp;CALC_BhaveshMap!$H$15&amp;" ("&amp;CALC_BhaveshMap!$L$15&amp;")","—")</f>
        <v>Jupiter in H6 (Enemy sign)</v>
      </c>
      <c r="G14" s="1259" t="str">
        <f>IFERROR("Jupiter in "&amp;CALC_KarakMap!$E$15&amp;" (H"&amp;CALC_KarakMap!$F$15&amp;")","—")</f>
        <v>Jupiter in Libra (H6)</v>
      </c>
      <c r="H14" s="1260">
        <f>IFERROR(SCORE_H11_Gains!$C$39,"—")</f>
        <v>0</v>
      </c>
      <c r="I14" s="1261" t="s">
        <v>5589</v>
      </c>
    </row>
    <row r="15" spans="1:12" ht="27.75" customHeight="1" x14ac:dyDescent="0.2">
      <c r="A15" s="749">
        <v>12</v>
      </c>
      <c r="B15" s="452" t="s">
        <v>5020</v>
      </c>
      <c r="C15" s="534" t="s">
        <v>5021</v>
      </c>
      <c r="D15" s="1273">
        <f ca="1">IFERROR(SCORE_AllHouses!$S$16,0)</f>
        <v>-1</v>
      </c>
      <c r="E15" s="1263" t="str">
        <f t="shared" ca="1" si="0"/>
        <v>★★    Weak</v>
      </c>
      <c r="F15" s="1264" t="str">
        <f>IFERROR(CALC_BhaveshMap!$D$16&amp;" in H"&amp;CALC_BhaveshMap!$H$16&amp;" ("&amp;CALC_BhaveshMap!$L$16&amp;")","—")</f>
        <v>Mars in H2 (Enemy sign)</v>
      </c>
      <c r="G15" s="1265" t="str">
        <f>IFERROR("Saturn in "&amp;CALC_KarakMap!$E$16&amp;" (H"&amp;CALC_KarakMap!$F$16&amp;")","—")</f>
        <v>Saturn in Cancer (H3)</v>
      </c>
      <c r="H15" s="1266">
        <f>IFERROR(SCORE_H12_Liberation!$C$39,"—")</f>
        <v>0</v>
      </c>
      <c r="I15" s="534" t="str">
        <f ca="1">IFERROR(IF(D15&gt;=4,"Strong Liberation &amp; Loss — "&amp;CALC_BhaveshMap!$D$16&amp;" well-placed.",IF(D15&gt;=-2,"Mixed Liberation &amp; Loss — see SCORE_H12 for rule breakdown.","Challenged Liberation &amp; Loss — "&amp;CALC_BhaveshMap!$D$16&amp;" ("&amp;CALC_BhaveshMap!$L$16&amp;") needs focus.")),"—")</f>
        <v>Mixed Liberation &amp; Loss — see SCORE_H12 for rule breakdown.</v>
      </c>
    </row>
    <row r="16" spans="1:12" ht="15.75" customHeight="1" x14ac:dyDescent="0.2">
      <c r="A16" s="1506" t="s">
        <v>5022</v>
      </c>
      <c r="B16" s="1506"/>
      <c r="C16" s="1506"/>
      <c r="D16" s="1506"/>
      <c r="E16" s="1506"/>
      <c r="F16" s="1506"/>
      <c r="G16" s="1506"/>
      <c r="H16" s="1506"/>
      <c r="I16" s="1506"/>
    </row>
  </sheetData>
  <mergeCells count="3">
    <mergeCell ref="A1:I1"/>
    <mergeCell ref="A2:I2"/>
    <mergeCell ref="A16:I16"/>
  </mergeCells>
  <pageMargins left="0.75" right="0.75" top="1" bottom="1" header="0.511811023622047" footer="0.511811023622047"/>
  <pageSetup paperSize="9" orientation="portrait" horizontalDpi="300" verticalDpi="300"/>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tabColor rgb="FF00838F"/>
  </sheetPr>
  <dimension ref="A1:L24"/>
  <sheetViews>
    <sheetView zoomScaleNormal="100" workbookViewId="0">
      <pane ySplit="5" topLeftCell="A6" activePane="bottomLeft" state="frozen"/>
      <selection pane="bottomLeft"/>
    </sheetView>
  </sheetViews>
  <sheetFormatPr defaultColWidth="8.609375" defaultRowHeight="15" x14ac:dyDescent="0.2"/>
  <cols>
    <col min="1" max="1" width="9.953125" customWidth="1"/>
    <col min="2" max="2" width="20.04296875" customWidth="1"/>
    <col min="3" max="3" width="13.046875" customWidth="1"/>
    <col min="4" max="4" width="11.02734375" customWidth="1"/>
    <col min="5" max="6" width="13.046875" customWidth="1"/>
    <col min="7" max="7" width="16.0078125" customWidth="1"/>
    <col min="8" max="8" width="48.0234375" customWidth="1"/>
  </cols>
  <sheetData>
    <row r="1" spans="1:12" ht="27.75" customHeight="1" x14ac:dyDescent="0.2">
      <c r="A1" s="1507" t="s">
        <v>5023</v>
      </c>
      <c r="B1" s="1507"/>
      <c r="C1" s="1507"/>
      <c r="D1" s="1507"/>
      <c r="E1" s="1507"/>
      <c r="F1" s="1507"/>
      <c r="G1" s="1507"/>
      <c r="H1" s="1507"/>
      <c r="L1" s="29" t="str">
        <f>HYPERLINK("#'00_INDEX'!A1","&lt;- Index")</f>
        <v>&lt;- Index</v>
      </c>
    </row>
    <row r="2" spans="1:12" ht="19.5" customHeight="1" x14ac:dyDescent="0.2">
      <c r="A2" s="1595" t="str">
        <f>IFERROR("Lagna: "&amp;INPUT_Chart!$C$5&amp;"  ·  Change B3 to any house number 1-12 to see its full scoring breakdown","Enter Lagna first")</f>
        <v>Lagna: Taurus  ·  Change B3 to any house number 1-12 to see its full scoring breakdown</v>
      </c>
      <c r="B2" s="1595"/>
      <c r="C2" s="1595"/>
      <c r="D2" s="1595"/>
      <c r="E2" s="1595"/>
      <c r="F2" s="1595"/>
      <c r="G2" s="1595"/>
      <c r="H2" s="1595"/>
    </row>
    <row r="3" spans="1:12" ht="31.5" customHeight="1" x14ac:dyDescent="0.2">
      <c r="A3" s="1274" t="s">
        <v>5024</v>
      </c>
      <c r="B3" s="1275">
        <v>1</v>
      </c>
      <c r="C3" s="1610" t="str">
        <f>IFERROR(CHOOSE($B$3,"Self / Lagna — Kendra · Trikon · Karak: Sun","Wealth / Dhana — Neutral · Markesh · Karak: Jupiter","Courage / Parakrama — Upachaya · Karak: Mars","Home / Sukha — Kendra · Karak: Moon","Intellect / Putra — Trikon · Karak: Jupiter","Conflicts / Shatru — Dukshthan · Upachaya · Karak: Mars","Partnerships / Kalatra — Kendra · Markesh · Karak: Venus","Longevity / Ayu — Dukshthan · Karak: Saturn","Fortune / Bhagya — Trikon · Karak: Jupiter","Career / Karma — Kendra · Upachaya · Karak: Sun","Gains / Labha — Upachaya · Karak: Jupiter","Liberation / Vyaya — Dukshthan · Karak: Saturn"),"—")</f>
        <v>Self / Lagna — Kendra · Trikon · Karak: Sun</v>
      </c>
      <c r="D3" s="1610"/>
      <c r="E3" s="1610"/>
      <c r="F3" s="1610"/>
      <c r="G3" s="1610"/>
      <c r="H3" s="1610"/>
    </row>
    <row r="4" spans="1:12" ht="31.5" customHeight="1" x14ac:dyDescent="0.2">
      <c r="A4" s="764" t="s">
        <v>5025</v>
      </c>
      <c r="B4" s="1276">
        <f ca="1">IFERROR(CHOOSE($B$3,SCORE_AllHouses!$S$5,SCORE_AllHouses!$S$6,SCORE_AllHouses!$S$7,SCORE_AllHouses!$S$8,SCORE_AllHouses!$S$9,SCORE_AllHouses!$S$10,SCORE_AllHouses!$S$11,SCORE_AllHouses!$S$12,SCORE_AllHouses!$S$13,SCORE_AllHouses!$S$14,SCORE_AllHouses!$S$15,SCORE_AllHouses!$S$16),"—")</f>
        <v>1.25</v>
      </c>
      <c r="C4" s="1611" t="str">
        <f>IFERROR(CHOOSE($B$3,SCORE_AllHouses!$K$5,SCORE_AllHouses!$K$6,SCORE_AllHouses!$K$7,SCORE_AllHouses!$K$8,SCORE_AllHouses!$K$9,SCORE_AllHouses!$K$10,SCORE_AllHouses!$K$11,SCORE_AllHouses!$K$12,SCORE_AllHouses!$K$13,SCORE_AllHouses!$K$14,SCORE_AllHouses!$K$15,SCORE_AllHouses!$K$16),"—")</f>
        <v>Mixed</v>
      </c>
      <c r="D4" s="1611"/>
      <c r="E4" s="1611"/>
      <c r="F4" s="1611"/>
      <c r="G4" s="1611"/>
      <c r="H4" s="1611"/>
    </row>
    <row r="5" spans="1:12" ht="21.75" customHeight="1" x14ac:dyDescent="0.2">
      <c r="A5" s="87" t="s">
        <v>2393</v>
      </c>
      <c r="B5" s="516" t="s">
        <v>3141</v>
      </c>
      <c r="C5" s="517" t="s">
        <v>4287</v>
      </c>
      <c r="D5" s="658" t="s">
        <v>2043</v>
      </c>
      <c r="E5" s="517" t="s">
        <v>4524</v>
      </c>
      <c r="F5" s="658" t="s">
        <v>3367</v>
      </c>
      <c r="G5" s="658" t="s">
        <v>3242</v>
      </c>
      <c r="H5" s="89" t="s">
        <v>3617</v>
      </c>
    </row>
    <row r="6" spans="1:12" ht="21.75" customHeight="1" x14ac:dyDescent="0.2">
      <c r="A6" s="101" t="s">
        <v>3365</v>
      </c>
      <c r="B6" s="463" t="s">
        <v>3367</v>
      </c>
      <c r="C6" s="1277">
        <f>IFERROR(CHOOSE($B$3,SCORE_H1_Self!$C$5,SCORE_H2_Wealth!$C$5,SCORE_H3_Courage!$C$5,SCORE_H4_Home!$C$5,SCORE_H5_Intellect!$C$5,SCORE_H6_Conflicts!$C$5,SCORE_H7_Partnerships!$C$5,SCORE_H8_Longevity!$C$5,SCORE_H9_Fortune!$C$5,SCORE_H10_Career!$C$5,SCORE_H11_Gains!$C$5,SCORE_H12_Liberation!$C$5),0)</f>
        <v>0.5</v>
      </c>
      <c r="D6" s="1278" t="s">
        <v>1081</v>
      </c>
      <c r="E6" s="1279" t="str">
        <f t="shared" ref="E6:E23" si="0">IFERROR(IF(C6&lt;&gt;0,"✓","·"),"·")</f>
        <v>✓</v>
      </c>
      <c r="F6" s="1280"/>
      <c r="G6" s="1280"/>
      <c r="H6" s="530" t="s">
        <v>3366</v>
      </c>
    </row>
    <row r="7" spans="1:12" ht="21.75" customHeight="1" x14ac:dyDescent="0.2">
      <c r="A7" s="101" t="s">
        <v>3016</v>
      </c>
      <c r="B7" s="463" t="s">
        <v>3367</v>
      </c>
      <c r="C7" s="1281">
        <f>IFERROR(CHOOSE($B$3,SCORE_H1_Self!$C$6,SCORE_H2_Wealth!$C$6,SCORE_H3_Courage!$C$6,SCORE_H4_Home!$C$6,SCORE_H5_Intellect!$C$6,SCORE_H6_Conflicts!$C$6,SCORE_H7_Partnerships!$C$6,SCORE_H8_Longevity!$C$6,SCORE_H9_Fortune!$C$6,SCORE_H10_Career!$C$6,SCORE_H11_Gains!$C$6,SCORE_H12_Liberation!$C$6),0)</f>
        <v>0</v>
      </c>
      <c r="D7" s="1278" t="s">
        <v>1081</v>
      </c>
      <c r="E7" s="1282" t="str">
        <f t="shared" si="0"/>
        <v>·</v>
      </c>
      <c r="F7" s="1188"/>
      <c r="G7" s="1188"/>
      <c r="H7" s="532" t="s">
        <v>5026</v>
      </c>
    </row>
    <row r="8" spans="1:12" ht="21.75" customHeight="1" x14ac:dyDescent="0.2">
      <c r="A8" s="101" t="s">
        <v>3065</v>
      </c>
      <c r="B8" s="463" t="s">
        <v>3367</v>
      </c>
      <c r="C8" s="1277">
        <f>IFERROR(CHOOSE($B$3,SCORE_H1_Self!$C$7,SCORE_H2_Wealth!$C$7,SCORE_H3_Courage!$C$7,SCORE_H4_Home!$C$7,SCORE_H5_Intellect!$C$7,SCORE_H6_Conflicts!$C$7,SCORE_H7_Partnerships!$C$7,SCORE_H8_Longevity!$C$7,SCORE_H9_Fortune!$C$7,SCORE_H10_Career!$C$7,SCORE_H11_Gains!$C$7,SCORE_H12_Liberation!$C$7),0)</f>
        <v>0</v>
      </c>
      <c r="D8" s="1278" t="s">
        <v>5027</v>
      </c>
      <c r="E8" s="1279" t="str">
        <f t="shared" si="0"/>
        <v>·</v>
      </c>
      <c r="F8" s="1280"/>
      <c r="G8" s="1280"/>
      <c r="H8" s="530" t="s">
        <v>3067</v>
      </c>
    </row>
    <row r="9" spans="1:12" ht="21.75" customHeight="1" x14ac:dyDescent="0.2">
      <c r="A9" s="786" t="s">
        <v>3015</v>
      </c>
      <c r="B9" s="1283" t="s">
        <v>3372</v>
      </c>
      <c r="C9" s="1281">
        <f>IFERROR(CHOOSE($B$3,SCORE_H1_Self!$C$9,SCORE_H2_Wealth!$C$9,SCORE_H3_Courage!$C$9,SCORE_H4_Home!$C$9,SCORE_H5_Intellect!$C$9,SCORE_H6_Conflicts!$C$9,SCORE_H7_Partnerships!$C$9,SCORE_H8_Longevity!$C$9,SCORE_H9_Fortune!$C$9,SCORE_H10_Career!$C$9,SCORE_H11_Gains!$C$9,SCORE_H12_Liberation!$C$9),0)</f>
        <v>0</v>
      </c>
      <c r="D9" s="1278" t="s">
        <v>1075</v>
      </c>
      <c r="E9" s="1282" t="str">
        <f t="shared" si="0"/>
        <v>·</v>
      </c>
      <c r="F9" s="1188"/>
      <c r="G9" s="1188"/>
      <c r="H9" s="532" t="s">
        <v>3017</v>
      </c>
    </row>
    <row r="10" spans="1:12" ht="21.75" customHeight="1" x14ac:dyDescent="0.2">
      <c r="A10" s="786" t="s">
        <v>3092</v>
      </c>
      <c r="B10" s="1283" t="s">
        <v>3372</v>
      </c>
      <c r="C10" s="1277">
        <f>IFERROR(CHOOSE($B$3,SCORE_H1_Self!$C$10,SCORE_H2_Wealth!$C$10,SCORE_H3_Courage!$C$10,SCORE_H4_Home!$C$10,SCORE_H5_Intellect!$C$10,SCORE_H6_Conflicts!$C$10,SCORE_H7_Partnerships!$C$10,SCORE_H8_Longevity!$C$10,SCORE_H9_Fortune!$C$10,SCORE_H10_Career!$C$10,SCORE_H11_Gains!$C$10,SCORE_H12_Liberation!$C$10),0)</f>
        <v>0.5</v>
      </c>
      <c r="D10" s="1278" t="s">
        <v>5027</v>
      </c>
      <c r="E10" s="1279" t="str">
        <f t="shared" si="0"/>
        <v>✓</v>
      </c>
      <c r="F10" s="1280"/>
      <c r="G10" s="1280"/>
      <c r="H10" s="530" t="s">
        <v>3374</v>
      </c>
    </row>
    <row r="11" spans="1:12" ht="21.75" customHeight="1" x14ac:dyDescent="0.2">
      <c r="A11" s="786" t="s">
        <v>3028</v>
      </c>
      <c r="B11" s="1283" t="s">
        <v>3372</v>
      </c>
      <c r="C11" s="1281">
        <f>IFERROR(CHOOSE($B$3,SCORE_H1_Self!$C$11,SCORE_H2_Wealth!$C$11,SCORE_H3_Courage!$C$11,SCORE_H4_Home!$C$11,SCORE_H5_Intellect!$C$11,SCORE_H6_Conflicts!$C$11,SCORE_H7_Partnerships!$C$11,SCORE_H8_Longevity!$C$11,SCORE_H9_Fortune!$C$11,SCORE_H10_Career!$C$11,SCORE_H11_Gains!$C$11,SCORE_H12_Liberation!$C$11),0)</f>
        <v>1.5</v>
      </c>
      <c r="D11" s="1278" t="s">
        <v>1081</v>
      </c>
      <c r="E11" s="1282" t="str">
        <f t="shared" si="0"/>
        <v>✓</v>
      </c>
      <c r="F11" s="1188"/>
      <c r="G11" s="1188"/>
      <c r="H11" s="532" t="s">
        <v>3029</v>
      </c>
    </row>
    <row r="12" spans="1:12" ht="21.75" customHeight="1" x14ac:dyDescent="0.2">
      <c r="A12" s="786" t="s">
        <v>3112</v>
      </c>
      <c r="B12" s="1283" t="s">
        <v>3372</v>
      </c>
      <c r="C12" s="1277">
        <f>IFERROR(CHOOSE($B$3,SCORE_H1_Self!$C$12,SCORE_H2_Wealth!$C$12,SCORE_H3_Courage!$C$12,SCORE_H4_Home!$C$12,SCORE_H5_Intellect!$C$12,SCORE_H6_Conflicts!$C$12,SCORE_H7_Partnerships!$C$12,SCORE_H8_Longevity!$C$12,SCORE_H9_Fortune!$C$12,SCORE_H10_Career!$C$12,SCORE_H11_Gains!$C$12,SCORE_H12_Liberation!$C$12),0)</f>
        <v>0</v>
      </c>
      <c r="D12" s="1278" t="s">
        <v>5027</v>
      </c>
      <c r="E12" s="1279" t="str">
        <f t="shared" si="0"/>
        <v>·</v>
      </c>
      <c r="F12" s="1280"/>
      <c r="G12" s="1280"/>
      <c r="H12" s="530" t="s">
        <v>5028</v>
      </c>
    </row>
    <row r="13" spans="1:12" ht="21.75" customHeight="1" x14ac:dyDescent="0.2">
      <c r="A13" s="786" t="s">
        <v>3033</v>
      </c>
      <c r="B13" s="1283" t="s">
        <v>3372</v>
      </c>
      <c r="C13" s="1281">
        <f>IFERROR(CHOOSE($B$3,SCORE_H1_Self!$C$13,SCORE_H2_Wealth!$C$13,SCORE_H3_Courage!$C$13,SCORE_H4_Home!$C$13,SCORE_H5_Intellect!$C$13,SCORE_H6_Conflicts!$C$13,SCORE_H7_Partnerships!$C$13,SCORE_H8_Longevity!$C$13,SCORE_H9_Fortune!$C$13,SCORE_H10_Career!$C$13,SCORE_H11_Gains!$C$13,SCORE_H12_Liberation!$C$13),0)</f>
        <v>0</v>
      </c>
      <c r="D13" s="1278" t="s">
        <v>1081</v>
      </c>
      <c r="E13" s="1282" t="str">
        <f t="shared" si="0"/>
        <v>·</v>
      </c>
      <c r="F13" s="1188"/>
      <c r="G13" s="1188"/>
      <c r="H13" s="532" t="s">
        <v>3034</v>
      </c>
    </row>
    <row r="14" spans="1:12" ht="21.75" customHeight="1" x14ac:dyDescent="0.2">
      <c r="A14" s="99" t="s">
        <v>3050</v>
      </c>
      <c r="B14" s="480" t="s">
        <v>4621</v>
      </c>
      <c r="C14" s="1277">
        <f>IFERROR(CHOOSE($B$3,SCORE_H1_Self!$C$15,SCORE_H2_Wealth!$C$15,SCORE_H3_Courage!$C$15,SCORE_H4_Home!$C$15,SCORE_H5_Intellect!$C$15,SCORE_H6_Conflicts!$C$15,SCORE_H7_Partnerships!$C$15,SCORE_H8_Longevity!$C$15,SCORE_H9_Fortune!$C$15,SCORE_H10_Career!$C$15,SCORE_H11_Gains!$C$15,SCORE_H12_Liberation!$C$15),0)</f>
        <v>-1</v>
      </c>
      <c r="D14" s="1278" t="s">
        <v>5029</v>
      </c>
      <c r="E14" s="1279" t="str">
        <f t="shared" si="0"/>
        <v>✓</v>
      </c>
      <c r="F14" s="1280"/>
      <c r="G14" s="1280"/>
      <c r="H14" s="530" t="s">
        <v>3051</v>
      </c>
    </row>
    <row r="15" spans="1:12" ht="21.75" customHeight="1" x14ac:dyDescent="0.2">
      <c r="A15" s="99" t="s">
        <v>3066</v>
      </c>
      <c r="B15" s="480" t="s">
        <v>4621</v>
      </c>
      <c r="C15" s="1281">
        <f>IFERROR(CHOOSE($B$3,SCORE_H1_Self!$C$16,SCORE_H2_Wealth!$C$16,SCORE_H3_Courage!$C$16,SCORE_H4_Home!$C$16,SCORE_H5_Intellect!$C$16,SCORE_H6_Conflicts!$C$16,SCORE_H7_Partnerships!$C$16,SCORE_H8_Longevity!$C$16,SCORE_H9_Fortune!$C$16,SCORE_H10_Career!$C$16,SCORE_H11_Gains!$C$16,SCORE_H12_Liberation!$C$16),0)</f>
        <v>-1</v>
      </c>
      <c r="D15" s="1278" t="s">
        <v>5029</v>
      </c>
      <c r="E15" s="1282" t="str">
        <f t="shared" si="0"/>
        <v>✓</v>
      </c>
      <c r="F15" s="1188"/>
      <c r="G15" s="1188"/>
      <c r="H15" s="532" t="s">
        <v>3068</v>
      </c>
    </row>
    <row r="16" spans="1:12" ht="21.75" customHeight="1" x14ac:dyDescent="0.2">
      <c r="A16" s="99" t="s">
        <v>3061</v>
      </c>
      <c r="B16" s="480" t="s">
        <v>4621</v>
      </c>
      <c r="C16" s="1277">
        <f>IFERROR(CHOOSE($B$3,SCORE_H1_Self!$C$17,SCORE_H2_Wealth!$C$17,SCORE_H3_Courage!$C$17,SCORE_H4_Home!$C$17,SCORE_H5_Intellect!$C$17,SCORE_H6_Conflicts!$C$17,SCORE_H7_Partnerships!$C$17,SCORE_H8_Longevity!$C$17,SCORE_H9_Fortune!$C$17,SCORE_H10_Career!$C$17,SCORE_H11_Gains!$C$17,SCORE_H12_Liberation!$C$17),0)</f>
        <v>0</v>
      </c>
      <c r="D16" s="1278" t="s">
        <v>5029</v>
      </c>
      <c r="E16" s="1279" t="str">
        <f t="shared" si="0"/>
        <v>·</v>
      </c>
      <c r="F16" s="1280"/>
      <c r="G16" s="1280"/>
      <c r="H16" s="530" t="s">
        <v>3062</v>
      </c>
    </row>
    <row r="17" spans="1:8" ht="21.75" customHeight="1" x14ac:dyDescent="0.2">
      <c r="A17" s="99" t="s">
        <v>3095</v>
      </c>
      <c r="B17" s="480" t="s">
        <v>4621</v>
      </c>
      <c r="C17" s="1281">
        <f>IFERROR(CHOOSE($B$3,SCORE_H1_Self!$C$18,SCORE_H2_Wealth!$C$18,SCORE_H3_Courage!$C$18,SCORE_H4_Home!$C$18,SCORE_H5_Intellect!$C$18,SCORE_H6_Conflicts!$C$18,SCORE_H7_Partnerships!$C$18,SCORE_H8_Longevity!$C$18,SCORE_H9_Fortune!$C$18,SCORE_H10_Career!$C$18,SCORE_H11_Gains!$C$18,SCORE_H12_Liberation!$C$18),0)</f>
        <v>0</v>
      </c>
      <c r="D17" s="1278" t="s">
        <v>5029</v>
      </c>
      <c r="E17" s="1282" t="str">
        <f t="shared" si="0"/>
        <v>·</v>
      </c>
      <c r="F17" s="1188"/>
      <c r="G17" s="1188"/>
      <c r="H17" s="532" t="s">
        <v>5030</v>
      </c>
    </row>
    <row r="18" spans="1:8" ht="21.75" customHeight="1" x14ac:dyDescent="0.2">
      <c r="A18" s="354" t="s">
        <v>3036</v>
      </c>
      <c r="B18" s="1284" t="s">
        <v>3624</v>
      </c>
      <c r="C18" s="1277">
        <f>IFERROR(CHOOSE($B$3,SCORE_H1_Self!$C$20,SCORE_H2_Wealth!$C$20,SCORE_H3_Courage!$C$20,SCORE_H4_Home!$C$20,SCORE_H5_Intellect!$C$20,SCORE_H6_Conflicts!$C$20,SCORE_H7_Partnerships!$C$20,SCORE_H8_Longevity!$C$20,SCORE_H9_Fortune!$C$20,SCORE_H10_Career!$C$20,SCORE_H11_Gains!$C$20,SCORE_H12_Liberation!$C$20),0)</f>
        <v>0</v>
      </c>
      <c r="D18" s="1278" t="s">
        <v>5029</v>
      </c>
      <c r="E18" s="1279" t="str">
        <f t="shared" si="0"/>
        <v>·</v>
      </c>
      <c r="F18" s="1280"/>
      <c r="G18" s="1280"/>
      <c r="H18" s="530" t="s">
        <v>3383</v>
      </c>
    </row>
    <row r="19" spans="1:8" ht="21.75" customHeight="1" x14ac:dyDescent="0.2">
      <c r="A19" s="354" t="s">
        <v>3054</v>
      </c>
      <c r="B19" s="1284" t="s">
        <v>3624</v>
      </c>
      <c r="C19" s="1281">
        <f>IFERROR(CHOOSE($B$3,SCORE_H1_Self!$C$21,SCORE_H2_Wealth!$C$21,SCORE_H3_Courage!$C$21,SCORE_H4_Home!$C$21,SCORE_H5_Intellect!$C$21,SCORE_H6_Conflicts!$C$21,SCORE_H7_Partnerships!$C$21,SCORE_H8_Longevity!$C$21,SCORE_H9_Fortune!$C$21,SCORE_H10_Career!$C$21,SCORE_H11_Gains!$C$21,SCORE_H12_Liberation!$C$21),0)</f>
        <v>-0.5</v>
      </c>
      <c r="D19" s="1278" t="s">
        <v>5031</v>
      </c>
      <c r="E19" s="1282" t="str">
        <f t="shared" si="0"/>
        <v>✓</v>
      </c>
      <c r="F19" s="1188"/>
      <c r="G19" s="1188"/>
      <c r="H19" s="532" t="s">
        <v>3055</v>
      </c>
    </row>
    <row r="20" spans="1:8" ht="21.75" customHeight="1" x14ac:dyDescent="0.2">
      <c r="A20" s="354" t="s">
        <v>3041</v>
      </c>
      <c r="B20" s="1284" t="s">
        <v>3624</v>
      </c>
      <c r="C20" s="1277">
        <f>IFERROR(CHOOSE($B$3,SCORE_H1_Self!$C$22,SCORE_H2_Wealth!$C$22,SCORE_H3_Courage!$C$22,SCORE_H4_Home!$C$22,SCORE_H5_Intellect!$C$22,SCORE_H6_Conflicts!$C$22,SCORE_H7_Partnerships!$C$22,SCORE_H8_Longevity!$C$22,SCORE_H9_Fortune!$C$22,SCORE_H10_Career!$C$22,SCORE_H11_Gains!$C$22,SCORE_H12_Liberation!$C$22),0)</f>
        <v>0</v>
      </c>
      <c r="D20" s="1278" t="s">
        <v>5029</v>
      </c>
      <c r="E20" s="1279" t="str">
        <f t="shared" si="0"/>
        <v>·</v>
      </c>
      <c r="F20" s="1280"/>
      <c r="G20" s="1280"/>
      <c r="H20" s="530" t="s">
        <v>3042</v>
      </c>
    </row>
    <row r="21" spans="1:8" ht="21.75" customHeight="1" x14ac:dyDescent="0.2">
      <c r="A21" s="354" t="s">
        <v>3058</v>
      </c>
      <c r="B21" s="1284" t="s">
        <v>3624</v>
      </c>
      <c r="C21" s="1281">
        <f>IFERROR(CHOOSE($B$3,SCORE_H1_Self!$C$23,SCORE_H2_Wealth!$C$23,SCORE_H3_Courage!$C$23,SCORE_H4_Home!$C$23,SCORE_H5_Intellect!$C$23,SCORE_H6_Conflicts!$C$23,SCORE_H7_Partnerships!$C$23,SCORE_H8_Longevity!$C$23,SCORE_H9_Fortune!$C$23,SCORE_H10_Career!$C$23,SCORE_H11_Gains!$C$23,SCORE_H12_Liberation!$C$23),0)</f>
        <v>0</v>
      </c>
      <c r="D21" s="1278" t="s">
        <v>5029</v>
      </c>
      <c r="E21" s="1282" t="str">
        <f t="shared" si="0"/>
        <v>·</v>
      </c>
      <c r="F21" s="1188"/>
      <c r="G21" s="1188"/>
      <c r="H21" s="532" t="s">
        <v>3059</v>
      </c>
    </row>
    <row r="22" spans="1:8" ht="21.75" customHeight="1" x14ac:dyDescent="0.2">
      <c r="A22" s="470" t="s">
        <v>3083</v>
      </c>
      <c r="B22" s="92" t="s">
        <v>4639</v>
      </c>
      <c r="C22" s="1277">
        <f>IFERROR(CHOOSE($B$3,SCORE_H1_Self!$C$25,SCORE_H2_Wealth!$C$25,SCORE_H3_Courage!$C$25,SCORE_H4_Home!$C$25,SCORE_H5_Intellect!$C$25,SCORE_H6_Conflicts!$C$25,SCORE_H7_Partnerships!$C$25,SCORE_H8_Longevity!$C$25,SCORE_H9_Fortune!$C$25,SCORE_H10_Career!$C$25,SCORE_H11_Gains!$C$25,SCORE_H12_Liberation!$C$25),0)</f>
        <v>0</v>
      </c>
      <c r="D22" s="1278" t="s">
        <v>1089</v>
      </c>
      <c r="E22" s="1279" t="str">
        <f t="shared" si="0"/>
        <v>·</v>
      </c>
      <c r="F22" s="1280"/>
      <c r="G22" s="1280"/>
      <c r="H22" s="530" t="s">
        <v>5032</v>
      </c>
    </row>
    <row r="23" spans="1:8" ht="21.75" customHeight="1" x14ac:dyDescent="0.2">
      <c r="A23" s="470" t="s">
        <v>3390</v>
      </c>
      <c r="B23" s="92" t="s">
        <v>4639</v>
      </c>
      <c r="C23" s="1281">
        <f>IFERROR(CHOOSE($B$3,SCORE_H1_Self!$C$26,SCORE_H2_Wealth!$C$26,SCORE_H3_Courage!$C$26,SCORE_H4_Home!$C$26,SCORE_H5_Intellect!$C$26,SCORE_H6_Conflicts!$C$26,SCORE_H7_Partnerships!$C$26,SCORE_H8_Longevity!$C$26,SCORE_H9_Fortune!$C$26,SCORE_H10_Career!$C$26,SCORE_H11_Gains!$C$26,SCORE_H12_Liberation!$C$26),0)</f>
        <v>0</v>
      </c>
      <c r="D23" s="1278" t="s">
        <v>5033</v>
      </c>
      <c r="E23" s="1282" t="str">
        <f t="shared" si="0"/>
        <v>·</v>
      </c>
      <c r="F23" s="1188"/>
      <c r="G23" s="1188"/>
      <c r="H23" s="532" t="s">
        <v>5034</v>
      </c>
    </row>
    <row r="24" spans="1:8" ht="21.75" customHeight="1" x14ac:dyDescent="0.2">
      <c r="A24" s="1555" t="s">
        <v>5035</v>
      </c>
      <c r="B24" s="1555"/>
      <c r="C24" s="1244">
        <f>IFERROR(SUM(C6:C23),0)</f>
        <v>0</v>
      </c>
      <c r="D24" s="1554" t="s">
        <v>5036</v>
      </c>
      <c r="E24" s="1554"/>
      <c r="F24" s="1554"/>
      <c r="G24" s="1554"/>
      <c r="H24" s="1554"/>
    </row>
  </sheetData>
  <mergeCells count="6">
    <mergeCell ref="A1:H1"/>
    <mergeCell ref="A2:H2"/>
    <mergeCell ref="C3:H3"/>
    <mergeCell ref="C4:H4"/>
    <mergeCell ref="A24:B24"/>
    <mergeCell ref="D24:H24"/>
  </mergeCells>
  <dataValidations count="1">
    <dataValidation type="list" showInputMessage="1" showErrorMessage="1" errorTitle="Invalid house" error="Enter 1 to 12" promptTitle="Select house" prompt="Choose a house number (1-12) to view its rule breakdown" sqref="B3" xr:uid="{00000000-0002-0000-9E00-000000000000}">
      <formula1>"1,2,3,4,5,6,7,8,9,10,11,12"</formula1>
      <formula2>0</formula2>
    </dataValidation>
  </dataValidations>
  <pageMargins left="0.75" right="0.75" top="1" bottom="1" header="0.511811023622047" footer="0.511811023622047"/>
  <pageSetup paperSize="9" orientation="portrait" horizontalDpi="300" verticalDpi="300"/>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tabColor rgb="FF00838F"/>
  </sheetPr>
  <dimension ref="A1:J25"/>
  <sheetViews>
    <sheetView zoomScaleNormal="100" workbookViewId="0"/>
  </sheetViews>
  <sheetFormatPr defaultColWidth="8.609375" defaultRowHeight="15" x14ac:dyDescent="0.2"/>
  <cols>
    <col min="1" max="1" width="6.05078125" customWidth="1"/>
    <col min="2" max="2" width="20.04296875" customWidth="1"/>
    <col min="3" max="6" width="9.953125" customWidth="1"/>
    <col min="7" max="7" width="20.04296875" customWidth="1"/>
    <col min="8" max="8" width="13.98828125" customWidth="1"/>
    <col min="9" max="9" width="39.953125" customWidth="1"/>
  </cols>
  <sheetData>
    <row r="1" spans="1:10" ht="27.75" customHeight="1" x14ac:dyDescent="0.2">
      <c r="A1" s="1612" t="s">
        <v>5037</v>
      </c>
      <c r="B1" s="1612"/>
      <c r="C1" s="1612"/>
      <c r="D1" s="1612"/>
      <c r="E1" s="1612"/>
      <c r="F1" s="1612"/>
      <c r="G1" s="1612"/>
      <c r="H1" s="1612"/>
      <c r="I1" s="1612"/>
      <c r="J1" s="601" t="s">
        <v>2214</v>
      </c>
    </row>
    <row r="2" spans="1:10" ht="24" customHeight="1" x14ac:dyDescent="0.2">
      <c r="A2" s="1523" t="s">
        <v>5038</v>
      </c>
      <c r="B2" s="1523"/>
      <c r="C2" s="1523"/>
      <c r="D2" s="1523"/>
      <c r="E2" s="1523"/>
      <c r="F2" s="1523"/>
      <c r="G2" s="1523"/>
      <c r="H2" s="1523"/>
      <c r="I2" s="1523"/>
    </row>
    <row r="4" spans="1:10" ht="18" customHeight="1" x14ac:dyDescent="0.2">
      <c r="A4" s="1524" t="s">
        <v>5039</v>
      </c>
      <c r="B4" s="1524"/>
      <c r="C4" s="1524"/>
      <c r="D4" s="1524"/>
      <c r="E4" s="1524"/>
      <c r="F4" s="1524"/>
      <c r="G4" s="1524"/>
      <c r="H4" s="1524"/>
      <c r="I4" s="1524"/>
    </row>
    <row r="5" spans="1:10" ht="15.75" customHeight="1" x14ac:dyDescent="0.2">
      <c r="A5" s="815" t="s">
        <v>2276</v>
      </c>
      <c r="B5" s="815" t="s">
        <v>3192</v>
      </c>
      <c r="C5" s="815" t="s">
        <v>4054</v>
      </c>
      <c r="D5" s="815" t="s">
        <v>4959</v>
      </c>
      <c r="E5" s="815" t="s">
        <v>288</v>
      </c>
      <c r="F5" s="815" t="s">
        <v>5040</v>
      </c>
      <c r="G5" s="815" t="s">
        <v>5041</v>
      </c>
      <c r="H5" s="815" t="s">
        <v>5042</v>
      </c>
      <c r="I5" s="815" t="s">
        <v>282</v>
      </c>
    </row>
    <row r="6" spans="1:10" ht="19.5" customHeight="1" x14ac:dyDescent="0.2">
      <c r="A6" s="632">
        <v>1</v>
      </c>
      <c r="B6" s="551" t="s">
        <v>3728</v>
      </c>
      <c r="C6" s="1285">
        <f ca="1">IFERROR(SCORE_AllHouses!$S$5,0)</f>
        <v>1.25</v>
      </c>
      <c r="D6" s="1286">
        <f>IFERROR(SCORE_H1_Chandra!$C$40,0)</f>
        <v>2.6</v>
      </c>
      <c r="E6" s="1164">
        <f>IFERROR(SCORE_H1_Surya!$C$40,0)</f>
        <v>2.6</v>
      </c>
      <c r="F6" s="1163">
        <f t="shared" ref="F6:F17" ca="1" si="0">IFERROR(AVERAGE(C6,D6,E6),0)</f>
        <v>2.15</v>
      </c>
      <c r="G6" s="920" t="str">
        <f t="shared" ref="G6:G17" ca="1" si="1">IFERROR(IF(MAX(C6,D6,E6)-MIN(C6,D6,E6)&lt;=3,"★ High",IF(MAX(C6,D6,E6)-MIN(C6,D6,E6)&lt;=5,"◑ Medium","○ Low")),"—")</f>
        <v>★ High</v>
      </c>
      <c r="H6" s="1287" t="str">
        <f t="shared" ref="H6:H17" ca="1" si="2">IFERROR(IF(F6&gt;=5,"Excellent · all 3 axes agree positively",IF(F6&gt;=2,"Good · majority positive",IF(F6&gt;=-2,"Mixed · nuanced",IF(F6&gt;=-5,"Challenging · majority negative","Severe · all 3 axes negative")))),"—")</f>
        <v>Good · majority positive</v>
      </c>
      <c r="I6" s="554" t="str">
        <f t="shared" ref="I6:I17" ca="1" si="3">IFERROR(IF(G6="★ High","High-confidence signal. Trust this reading.",IF(G6="◑ Medium","Check which axis diverges. Usually Chandra shows inner reality.","Significant divergence — D1 natal promise vs emotional vs career reality differ.")),"—")</f>
        <v>High-confidence signal. Trust this reading.</v>
      </c>
    </row>
    <row r="7" spans="1:10" ht="19.5" customHeight="1" x14ac:dyDescent="0.2">
      <c r="A7" s="627">
        <v>2</v>
      </c>
      <c r="B7" s="546" t="s">
        <v>3729</v>
      </c>
      <c r="C7" s="1288">
        <f ca="1">IFERROR(SCORE_AllHouses!$S$6,0)</f>
        <v>-5.25</v>
      </c>
      <c r="D7" s="1289">
        <f>IFERROR(SCORE_H2_Chandra!$C$40,0)</f>
        <v>3.5</v>
      </c>
      <c r="E7" s="1168">
        <f>IFERROR(SCORE_H2_Surya!$C$40,0)</f>
        <v>3.5</v>
      </c>
      <c r="F7" s="1167">
        <f t="shared" ca="1" si="0"/>
        <v>0.58333333333333337</v>
      </c>
      <c r="G7" s="916" t="str">
        <f t="shared" ca="1" si="1"/>
        <v>○ Low</v>
      </c>
      <c r="H7" s="1290" t="str">
        <f t="shared" ca="1" si="2"/>
        <v>Mixed · nuanced</v>
      </c>
      <c r="I7" s="550" t="str">
        <f t="shared" ca="1" si="3"/>
        <v>Significant divergence — D1 natal promise vs emotional vs career reality differ.</v>
      </c>
    </row>
    <row r="8" spans="1:10" ht="19.5" customHeight="1" x14ac:dyDescent="0.2">
      <c r="A8" s="632">
        <v>3</v>
      </c>
      <c r="B8" s="551" t="s">
        <v>3730</v>
      </c>
      <c r="C8" s="1285">
        <f ca="1">IFERROR(SCORE_AllHouses!$S$7,0)</f>
        <v>1</v>
      </c>
      <c r="D8" s="1286">
        <f>IFERROR(SCORE_H3_Chandra!$C$40,0)</f>
        <v>4.25</v>
      </c>
      <c r="E8" s="1164">
        <f>IFERROR(SCORE_H3_Surya!$C$40,0)</f>
        <v>4.25</v>
      </c>
      <c r="F8" s="1163">
        <f t="shared" ca="1" si="0"/>
        <v>3.1666666666666665</v>
      </c>
      <c r="G8" s="920" t="str">
        <f t="shared" ca="1" si="1"/>
        <v>◑ Medium</v>
      </c>
      <c r="H8" s="1287" t="str">
        <f t="shared" ca="1" si="2"/>
        <v>Good · majority positive</v>
      </c>
      <c r="I8" s="554" t="str">
        <f t="shared" ca="1" si="3"/>
        <v>Check which axis diverges. Usually Chandra shows inner reality.</v>
      </c>
    </row>
    <row r="9" spans="1:10" ht="19.5" customHeight="1" x14ac:dyDescent="0.2">
      <c r="A9" s="627">
        <v>4</v>
      </c>
      <c r="B9" s="546" t="s">
        <v>3731</v>
      </c>
      <c r="C9" s="1288">
        <f ca="1">IFERROR(SCORE_AllHouses!$S$8,0)</f>
        <v>1.25</v>
      </c>
      <c r="D9" s="1289">
        <f>IFERROR(SCORE_H4_Chandra!$C$40,0)</f>
        <v>2.25</v>
      </c>
      <c r="E9" s="1168">
        <f>IFERROR(SCORE_H4_Surya!$C$40,0)</f>
        <v>2</v>
      </c>
      <c r="F9" s="1167">
        <f t="shared" ca="1" si="0"/>
        <v>1.8333333333333333</v>
      </c>
      <c r="G9" s="916" t="str">
        <f t="shared" ca="1" si="1"/>
        <v>★ High</v>
      </c>
      <c r="H9" s="1290" t="str">
        <f t="shared" ca="1" si="2"/>
        <v>Mixed · nuanced</v>
      </c>
      <c r="I9" s="550" t="str">
        <f t="shared" ca="1" si="3"/>
        <v>High-confidence signal. Trust this reading.</v>
      </c>
    </row>
    <row r="10" spans="1:10" ht="19.5" customHeight="1" x14ac:dyDescent="0.2">
      <c r="A10" s="632">
        <v>5</v>
      </c>
      <c r="B10" s="551" t="s">
        <v>3732</v>
      </c>
      <c r="C10" s="1285">
        <f ca="1">IFERROR(SCORE_AllHouses!$S$9,0)</f>
        <v>-1.5</v>
      </c>
      <c r="D10" s="1286">
        <f>IFERROR(SCORE_H5_Chandra!$C$40,0)</f>
        <v>-4</v>
      </c>
      <c r="E10" s="1164">
        <f>IFERROR(SCORE_H5_Surya!$C$40,0)</f>
        <v>-4</v>
      </c>
      <c r="F10" s="1163">
        <f t="shared" ca="1" si="0"/>
        <v>-3.1666666666666665</v>
      </c>
      <c r="G10" s="920" t="str">
        <f t="shared" ca="1" si="1"/>
        <v>★ High</v>
      </c>
      <c r="H10" s="1287" t="str">
        <f t="shared" ca="1" si="2"/>
        <v>Challenging · majority negative</v>
      </c>
      <c r="I10" s="554" t="str">
        <f t="shared" ca="1" si="3"/>
        <v>High-confidence signal. Trust this reading.</v>
      </c>
    </row>
    <row r="11" spans="1:10" ht="19.5" customHeight="1" x14ac:dyDescent="0.2">
      <c r="A11" s="627">
        <v>6</v>
      </c>
      <c r="B11" s="546" t="s">
        <v>3205</v>
      </c>
      <c r="C11" s="1288">
        <f ca="1">IFERROR(SCORE_AllHouses!$S$10,0)</f>
        <v>2.25</v>
      </c>
      <c r="D11" s="1289">
        <f>IFERROR(SCORE_H6_Chandra!$C$40,0)</f>
        <v>3</v>
      </c>
      <c r="E11" s="1168">
        <f>IFERROR(SCORE_H6_Surya!$C$40,0)</f>
        <v>3</v>
      </c>
      <c r="F11" s="1167">
        <f t="shared" ca="1" si="0"/>
        <v>2.75</v>
      </c>
      <c r="G11" s="916" t="str">
        <f t="shared" ca="1" si="1"/>
        <v>★ High</v>
      </c>
      <c r="H11" s="1290" t="str">
        <f t="shared" ca="1" si="2"/>
        <v>Good · majority positive</v>
      </c>
      <c r="I11" s="550" t="str">
        <f t="shared" ca="1" si="3"/>
        <v>High-confidence signal. Trust this reading.</v>
      </c>
    </row>
    <row r="12" spans="1:10" ht="19.5" customHeight="1" x14ac:dyDescent="0.2">
      <c r="A12" s="632">
        <v>7</v>
      </c>
      <c r="B12" s="551" t="s">
        <v>3733</v>
      </c>
      <c r="C12" s="1285">
        <f ca="1">IFERROR(SCORE_AllHouses!$S$11,0)</f>
        <v>-4.25</v>
      </c>
      <c r="D12" s="1286">
        <f>IFERROR(SCORE_H7_Chandra!$C$40,0)</f>
        <v>2.35</v>
      </c>
      <c r="E12" s="1164">
        <f>IFERROR(SCORE_H7_Surya!$C$40,0)</f>
        <v>2.25</v>
      </c>
      <c r="F12" s="1163">
        <f t="shared" ca="1" si="0"/>
        <v>0.1166666666666667</v>
      </c>
      <c r="G12" s="920" t="str">
        <f t="shared" ca="1" si="1"/>
        <v>○ Low</v>
      </c>
      <c r="H12" s="1287" t="str">
        <f t="shared" ca="1" si="2"/>
        <v>Mixed · nuanced</v>
      </c>
      <c r="I12" s="554" t="str">
        <f t="shared" ca="1" si="3"/>
        <v>Significant divergence — D1 natal promise vs emotional vs career reality differ.</v>
      </c>
    </row>
    <row r="13" spans="1:10" ht="19.5" customHeight="1" x14ac:dyDescent="0.2">
      <c r="A13" s="627">
        <v>8</v>
      </c>
      <c r="B13" s="546" t="s">
        <v>3734</v>
      </c>
      <c r="C13" s="1288">
        <f ca="1">IFERROR(SCORE_AllHouses!$S$12,0)</f>
        <v>-2</v>
      </c>
      <c r="D13" s="1289">
        <f>IFERROR(SCORE_H8_Chandra!$C$40,0)</f>
        <v>1.5</v>
      </c>
      <c r="E13" s="1168">
        <f>IFERROR(SCORE_H8_Surya!$C$40,0)</f>
        <v>1.5</v>
      </c>
      <c r="F13" s="1167">
        <f t="shared" ca="1" si="0"/>
        <v>0.33333333333333331</v>
      </c>
      <c r="G13" s="916" t="str">
        <f t="shared" ca="1" si="1"/>
        <v>◑ Medium</v>
      </c>
      <c r="H13" s="1290" t="str">
        <f t="shared" ca="1" si="2"/>
        <v>Mixed · nuanced</v>
      </c>
      <c r="I13" s="550" t="str">
        <f t="shared" ca="1" si="3"/>
        <v>Check which axis diverges. Usually Chandra shows inner reality.</v>
      </c>
    </row>
    <row r="14" spans="1:10" ht="19.5" customHeight="1" x14ac:dyDescent="0.2">
      <c r="A14" s="632">
        <v>9</v>
      </c>
      <c r="B14" s="551" t="s">
        <v>3735</v>
      </c>
      <c r="C14" s="1285">
        <f ca="1">IFERROR(SCORE_AllHouses!$S$13,0)</f>
        <v>-2.75</v>
      </c>
      <c r="D14" s="1286">
        <f>IFERROR(SCORE_H9_Chandra!$C$40,0)</f>
        <v>2.5</v>
      </c>
      <c r="E14" s="1164">
        <f>IFERROR(SCORE_H9_Surya!$C$40,0)</f>
        <v>2.5</v>
      </c>
      <c r="F14" s="1163">
        <f t="shared" ca="1" si="0"/>
        <v>0.75</v>
      </c>
      <c r="G14" s="920" t="str">
        <f t="shared" ca="1" si="1"/>
        <v>○ Low</v>
      </c>
      <c r="H14" s="1287" t="str">
        <f t="shared" ca="1" si="2"/>
        <v>Mixed · nuanced</v>
      </c>
      <c r="I14" s="554" t="str">
        <f t="shared" ca="1" si="3"/>
        <v>Significant divergence — D1 natal promise vs emotional vs career reality differ.</v>
      </c>
    </row>
    <row r="15" spans="1:10" ht="19.5" customHeight="1" x14ac:dyDescent="0.2">
      <c r="A15" s="627">
        <v>10</v>
      </c>
      <c r="B15" s="546" t="s">
        <v>3197</v>
      </c>
      <c r="C15" s="1288">
        <f ca="1">IFERROR(SCORE_AllHouses!$S$14,0)</f>
        <v>-1.5</v>
      </c>
      <c r="D15" s="1289">
        <f>IFERROR(SCORE_H10_Chandra!$C$40,0)</f>
        <v>-1.75</v>
      </c>
      <c r="E15" s="1168">
        <f>IFERROR(SCORE_H10_Surya!$C$40,0)</f>
        <v>-1.5</v>
      </c>
      <c r="F15" s="1167">
        <f t="shared" ca="1" si="0"/>
        <v>-1.5833333333333333</v>
      </c>
      <c r="G15" s="916" t="str">
        <f t="shared" ca="1" si="1"/>
        <v>★ High</v>
      </c>
      <c r="H15" s="1290" t="str">
        <f t="shared" ca="1" si="2"/>
        <v>Mixed · nuanced</v>
      </c>
      <c r="I15" s="550" t="str">
        <f t="shared" ca="1" si="3"/>
        <v>High-confidence signal. Trust this reading.</v>
      </c>
    </row>
    <row r="16" spans="1:10" ht="19.5" customHeight="1" x14ac:dyDescent="0.2">
      <c r="A16" s="632">
        <v>11</v>
      </c>
      <c r="B16" s="551" t="s">
        <v>3736</v>
      </c>
      <c r="C16" s="1285">
        <f ca="1">IFERROR(SCORE_AllHouses!$S$15,0)</f>
        <v>-1.75</v>
      </c>
      <c r="D16" s="1286">
        <f>IFERROR(SCORE_H11_Chandra!$C$40,0)</f>
        <v>0.5</v>
      </c>
      <c r="E16" s="1164">
        <f>IFERROR(SCORE_H11_Surya!$C$40,0)</f>
        <v>0.5</v>
      </c>
      <c r="F16" s="1163">
        <f t="shared" ca="1" si="0"/>
        <v>-0.25</v>
      </c>
      <c r="G16" s="920" t="str">
        <f t="shared" ca="1" si="1"/>
        <v>★ High</v>
      </c>
      <c r="H16" s="1287" t="str">
        <f t="shared" ca="1" si="2"/>
        <v>Mixed · nuanced</v>
      </c>
      <c r="I16" s="554" t="str">
        <f t="shared" ca="1" si="3"/>
        <v>High-confidence signal. Trust this reading.</v>
      </c>
    </row>
    <row r="17" spans="1:9" ht="19.5" customHeight="1" x14ac:dyDescent="0.2">
      <c r="A17" s="627">
        <v>12</v>
      </c>
      <c r="B17" s="546" t="s">
        <v>3737</v>
      </c>
      <c r="C17" s="1288">
        <f ca="1">IFERROR(SCORE_AllHouses!$S$16,0)</f>
        <v>-1</v>
      </c>
      <c r="D17" s="1289">
        <f>IFERROR(SCORE_H12_Chandra!$C$40,0)</f>
        <v>1.75</v>
      </c>
      <c r="E17" s="1168">
        <f>IFERROR(SCORE_H12_Surya!$C$40,0)</f>
        <v>1.75</v>
      </c>
      <c r="F17" s="1167">
        <f t="shared" ca="1" si="0"/>
        <v>0.83333333333333337</v>
      </c>
      <c r="G17" s="916" t="str">
        <f t="shared" ca="1" si="1"/>
        <v>★ High</v>
      </c>
      <c r="H17" s="1290" t="str">
        <f t="shared" ca="1" si="2"/>
        <v>Mixed · nuanced</v>
      </c>
      <c r="I17" s="550" t="str">
        <f t="shared" ca="1" si="3"/>
        <v>High-confidence signal. Trust this reading.</v>
      </c>
    </row>
    <row r="19" spans="1:9" ht="18" customHeight="1" x14ac:dyDescent="0.2">
      <c r="A19" s="1524" t="s">
        <v>5043</v>
      </c>
      <c r="B19" s="1524"/>
      <c r="C19" s="1524"/>
      <c r="D19" s="1524"/>
      <c r="E19" s="1524"/>
      <c r="F19" s="1524"/>
      <c r="G19" s="1524"/>
      <c r="H19" s="1524"/>
      <c r="I19" s="1524"/>
    </row>
    <row r="20" spans="1:9" ht="15.75" customHeight="1" x14ac:dyDescent="0.2">
      <c r="A20" s="815" t="s">
        <v>5044</v>
      </c>
      <c r="B20" s="815" t="s">
        <v>5045</v>
      </c>
      <c r="C20" s="815" t="s">
        <v>5046</v>
      </c>
      <c r="D20" s="815" t="s">
        <v>5047</v>
      </c>
      <c r="E20" s="815" t="s">
        <v>5048</v>
      </c>
      <c r="F20" s="815" t="s">
        <v>5049</v>
      </c>
      <c r="G20" s="815" t="s">
        <v>1565</v>
      </c>
      <c r="H20" s="815"/>
      <c r="I20" s="815"/>
    </row>
    <row r="21" spans="1:9" ht="18" customHeight="1" x14ac:dyDescent="0.2">
      <c r="A21" s="626" t="s">
        <v>1225</v>
      </c>
      <c r="B21" s="605" t="s">
        <v>5050</v>
      </c>
      <c r="C21" s="1288">
        <f t="shared" ref="C21:E24" ca="1" si="4">IFERROR((C6+C10+C14)/3,0)</f>
        <v>-1</v>
      </c>
      <c r="D21" s="1289">
        <f t="shared" si="4"/>
        <v>0.3666666666666667</v>
      </c>
      <c r="E21" s="1168">
        <f t="shared" si="4"/>
        <v>0.3666666666666667</v>
      </c>
      <c r="F21" s="1167">
        <f ca="1">IFERROR(AVERAGE(C21,D21,E21),0)</f>
        <v>-8.8888888888888865E-2</v>
      </c>
      <c r="G21" s="916" t="str">
        <f ca="1">IFERROR(IF(F21&gt;=5,"★★ Strong",IF(F21&gt;=2,"★ Positive",IF(F21&gt;=-2,"◑ Mixed",IF(F21&gt;=-5,"● Challenging","⚠ Afflicted")))),"—")</f>
        <v>◑ Mixed</v>
      </c>
      <c r="H21" s="574"/>
      <c r="I21" s="574"/>
    </row>
    <row r="22" spans="1:9" ht="18" customHeight="1" x14ac:dyDescent="0.2">
      <c r="A22" s="631" t="s">
        <v>1190</v>
      </c>
      <c r="B22" s="607" t="s">
        <v>5051</v>
      </c>
      <c r="C22" s="1285">
        <f t="shared" ca="1" si="4"/>
        <v>-1.5</v>
      </c>
      <c r="D22" s="1286">
        <f t="shared" si="4"/>
        <v>1.5833333333333333</v>
      </c>
      <c r="E22" s="1164">
        <f t="shared" si="4"/>
        <v>1.6666666666666667</v>
      </c>
      <c r="F22" s="1163">
        <f ca="1">IFERROR(AVERAGE(C22,D22,E22),0)</f>
        <v>0.58333333333333337</v>
      </c>
      <c r="G22" s="920" t="str">
        <f ca="1">IFERROR(IF(F22&gt;=5,"★★ Strong",IF(F22&gt;=2,"★ Positive",IF(F22&gt;=-2,"◑ Mixed",IF(F22&gt;=-5,"● Challenging","⚠ Afflicted")))),"—")</f>
        <v>◑ Mixed</v>
      </c>
      <c r="H22" s="576"/>
      <c r="I22" s="576"/>
    </row>
    <row r="23" spans="1:9" ht="18" customHeight="1" x14ac:dyDescent="0.2">
      <c r="A23" s="626" t="s">
        <v>1255</v>
      </c>
      <c r="B23" s="605" t="s">
        <v>5052</v>
      </c>
      <c r="C23" s="1288">
        <f t="shared" ca="1" si="4"/>
        <v>-1.6666666666666667</v>
      </c>
      <c r="D23" s="1289">
        <f t="shared" si="4"/>
        <v>2.3666666666666667</v>
      </c>
      <c r="E23" s="1168">
        <f t="shared" si="4"/>
        <v>2.3333333333333335</v>
      </c>
      <c r="F23" s="1167">
        <f ca="1">IFERROR(AVERAGE(C23,D23,E23),0)</f>
        <v>1.0111111111111111</v>
      </c>
      <c r="G23" s="916" t="str">
        <f ca="1">IFERROR(IF(F23&gt;=5,"★★ Strong",IF(F23&gt;=2,"★ Positive",IF(F23&gt;=-2,"◑ Mixed",IF(F23&gt;=-5,"● Challenging","⚠ Afflicted")))),"—")</f>
        <v>◑ Mixed</v>
      </c>
      <c r="H23" s="574"/>
      <c r="I23" s="574"/>
    </row>
    <row r="24" spans="1:9" ht="18" customHeight="1" x14ac:dyDescent="0.2">
      <c r="A24" s="631" t="s">
        <v>1268</v>
      </c>
      <c r="B24" s="607" t="s">
        <v>5053</v>
      </c>
      <c r="C24" s="1285">
        <f t="shared" ca="1" si="4"/>
        <v>-0.58333333333333337</v>
      </c>
      <c r="D24" s="1286">
        <f t="shared" si="4"/>
        <v>1.8333333333333333</v>
      </c>
      <c r="E24" s="1164">
        <f t="shared" si="4"/>
        <v>1.75</v>
      </c>
      <c r="F24" s="1163">
        <f ca="1">IFERROR(AVERAGE(C24,D24,E24),0)</f>
        <v>1</v>
      </c>
      <c r="G24" s="920" t="str">
        <f ca="1">IFERROR(IF(F24&gt;=5,"★★ Strong",IF(F24&gt;=2,"★ Positive",IF(F24&gt;=-2,"◑ Mixed",IF(F24&gt;=-5,"● Challenging","⚠ Afflicted")))),"—")</f>
        <v>◑ Mixed</v>
      </c>
      <c r="H24" s="576"/>
      <c r="I24" s="576"/>
    </row>
    <row r="25" spans="1:9" ht="18" customHeight="1" x14ac:dyDescent="0.2">
      <c r="A25" s="626" t="s">
        <v>5054</v>
      </c>
      <c r="B25" s="605" t="s">
        <v>5055</v>
      </c>
      <c r="C25" s="1288">
        <f ca="1">IFERROR((C6+C7+C8+C9+C10+C11+C12+C13+C14+C15+C16+C17)/12,0)</f>
        <v>-1.1875</v>
      </c>
      <c r="D25" s="1289">
        <f>IFERROR((D6+D7+D8+D9+D10+D11+D12+D13+D14+D15+D16+D17)/12,0)</f>
        <v>1.5374999999999999</v>
      </c>
      <c r="E25" s="1168">
        <f>IFERROR((E6+E7+E8+E9+E10+E11+E12+E13+E14+E15+E16+E17)/12,0)</f>
        <v>1.5291666666666668</v>
      </c>
      <c r="F25" s="1167">
        <f ca="1">IFERROR(AVERAGE(C25,D25,E25),0)</f>
        <v>0.62638888888888888</v>
      </c>
      <c r="G25" s="916" t="str">
        <f ca="1">IFERROR(IF(F25&gt;=5,"★★ Strong",IF(F25&gt;=2,"★ Positive",IF(F25&gt;=-2,"◑ Mixed",IF(F25&gt;=-5,"● Challenging","⚠ Afflicted")))),"—")</f>
        <v>◑ Mixed</v>
      </c>
      <c r="H25" s="574"/>
      <c r="I25" s="574"/>
    </row>
  </sheetData>
  <mergeCells count="4">
    <mergeCell ref="A1:I1"/>
    <mergeCell ref="A2:I2"/>
    <mergeCell ref="A4:I4"/>
    <mergeCell ref="A19:I19"/>
  </mergeCells>
  <pageMargins left="0.75" right="0.75" top="1" bottom="1" header="0.511811023622047" footer="0.511811023622047"/>
  <pageSetup paperSize="9" orientation="portrait" horizontalDpi="300" verticalDpi="300"/>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tabColor rgb="FF00838F"/>
  </sheetPr>
  <dimension ref="A1:L17"/>
  <sheetViews>
    <sheetView zoomScaleNormal="100" workbookViewId="0"/>
  </sheetViews>
  <sheetFormatPr defaultColWidth="8.609375" defaultRowHeight="15" x14ac:dyDescent="0.2"/>
  <cols>
    <col min="1" max="1" width="7.93359375" customWidth="1"/>
    <col min="2" max="2" width="22.05859375" customWidth="1"/>
    <col min="3" max="8" width="11.97265625" customWidth="1"/>
    <col min="9" max="10" width="13.98828125" customWidth="1"/>
    <col min="11" max="11" width="50.04296875" customWidth="1"/>
  </cols>
  <sheetData>
    <row r="1" spans="1:12" ht="27.75" customHeight="1" x14ac:dyDescent="0.2">
      <c r="A1" s="1612" t="s">
        <v>5056</v>
      </c>
      <c r="B1" s="1612"/>
      <c r="C1" s="1612"/>
      <c r="D1" s="1612"/>
      <c r="E1" s="1612"/>
      <c r="F1" s="1612"/>
      <c r="G1" s="1612"/>
      <c r="H1" s="1612"/>
      <c r="I1" s="1612"/>
      <c r="J1" s="1612"/>
      <c r="K1" s="1612"/>
      <c r="L1" s="601" t="s">
        <v>2214</v>
      </c>
    </row>
    <row r="2" spans="1:12" ht="24" customHeight="1" x14ac:dyDescent="0.2">
      <c r="A2" s="1613" t="s">
        <v>5057</v>
      </c>
      <c r="B2" s="1613"/>
      <c r="C2" s="1613"/>
      <c r="D2" s="1613"/>
      <c r="E2" s="1613"/>
      <c r="F2" s="1613"/>
      <c r="G2" s="1613"/>
      <c r="H2" s="1613"/>
      <c r="I2" s="1613"/>
      <c r="J2" s="1613"/>
      <c r="K2" s="1613"/>
    </row>
    <row r="4" spans="1:12" ht="18" customHeight="1" x14ac:dyDescent="0.2">
      <c r="A4" s="1524" t="s">
        <v>5058</v>
      </c>
      <c r="B4" s="1524"/>
      <c r="C4" s="1524"/>
      <c r="D4" s="1524"/>
      <c r="E4" s="1524"/>
      <c r="F4" s="1524"/>
      <c r="G4" s="1524"/>
      <c r="H4" s="1524"/>
      <c r="I4" s="1524"/>
      <c r="J4" s="1524"/>
      <c r="K4" s="1524"/>
    </row>
    <row r="5" spans="1:12" ht="15.75" customHeight="1" x14ac:dyDescent="0.2">
      <c r="A5" s="815" t="s">
        <v>2276</v>
      </c>
      <c r="B5" s="815" t="s">
        <v>5044</v>
      </c>
      <c r="C5" s="815" t="s">
        <v>2072</v>
      </c>
      <c r="D5" s="815" t="s">
        <v>4959</v>
      </c>
      <c r="E5" s="815" t="s">
        <v>288</v>
      </c>
      <c r="F5" s="815" t="s">
        <v>5059</v>
      </c>
      <c r="G5" s="815" t="s">
        <v>5060</v>
      </c>
      <c r="H5" s="815" t="s">
        <v>4468</v>
      </c>
      <c r="I5" s="815" t="s">
        <v>5042</v>
      </c>
      <c r="J5" s="815" t="s">
        <v>5061</v>
      </c>
      <c r="K5" s="815" t="s">
        <v>2045</v>
      </c>
    </row>
    <row r="6" spans="1:12" ht="21.75" customHeight="1" x14ac:dyDescent="0.2">
      <c r="A6" s="632">
        <v>1</v>
      </c>
      <c r="B6" s="1291" t="s">
        <v>5062</v>
      </c>
      <c r="C6" s="1285">
        <f ca="1">IFERROR(SCORE_AllHouses!$S$5,0)</f>
        <v>1.25</v>
      </c>
      <c r="D6" s="1286">
        <f>IFERROR(SCORE_H1_Chandra!$C$40,0)</f>
        <v>2.6</v>
      </c>
      <c r="E6" s="1164">
        <f>IFERROR(SCORE_H1_Surya!$C$40,0)</f>
        <v>2.6</v>
      </c>
      <c r="F6" s="1292">
        <f ca="1">IFERROR(SCORE_AllHouses!$M$5,0)</f>
        <v>-0.5</v>
      </c>
      <c r="G6" s="1037">
        <f t="shared" ref="G6:G17" ca="1" si="0">IFERROR(ROUND(C6*0.5+D6*0.25+E6*0.25,1),0)</f>
        <v>1.9</v>
      </c>
      <c r="H6" s="953" t="str">
        <f t="shared" ref="H6:H17" ca="1" si="1">IFERROR(IF(G6&gt;=3,"🟢 GREEN",IF(G6&gt;=-2,"🟡 AMBER","🔴 RED")),"—")</f>
        <v>🟡 AMBER</v>
      </c>
      <c r="I6" s="1293" t="str">
        <f t="shared" ref="I6:I17" ca="1" si="2">IFERROR(IF(ABS(C6-D6)&lt;=2,"★ High",IF(ABS(C6-D6)&lt;=4,"◑ Med","○ Low")),"—")</f>
        <v>★ High</v>
      </c>
      <c r="J6" s="889" t="str">
        <f t="shared" ref="J6:J17" ca="1" si="3">IFERROR(IF(F6&gt;G6+0.5,"↑ Dasha boost",IF(F6&lt;G6-0.5,"↓ Dasha drag","→ Neutral")),"—")</f>
        <v>↓ Dasha drag</v>
      </c>
      <c r="K6" s="554" t="str">
        <f t="shared" ref="K6:K17" ca="1" si="4">IFERROR(IF(G6&gt;=5,"Strong · life domain actively supported",IF(G6&gt;=3,"Positive · more strength than challenge",IF(G6&gt;=0,"Mixed · moderate challenges present",IF(G6&gt;=-3,"Challenging · requires attention","Severe · concentrated karmic challenge in this area")))),"—")</f>
        <v>Mixed · moderate challenges present</v>
      </c>
    </row>
    <row r="7" spans="1:12" ht="21.75" customHeight="1" x14ac:dyDescent="0.2">
      <c r="A7" s="627">
        <v>2</v>
      </c>
      <c r="B7" s="1294" t="s">
        <v>5063</v>
      </c>
      <c r="C7" s="1288">
        <f ca="1">IFERROR(SCORE_AllHouses!$S$6,0)</f>
        <v>-5.25</v>
      </c>
      <c r="D7" s="1289">
        <f>IFERROR(SCORE_H2_Chandra!$C$40,0)</f>
        <v>3.5</v>
      </c>
      <c r="E7" s="1168">
        <f>IFERROR(SCORE_H2_Surya!$C$40,0)</f>
        <v>3.5</v>
      </c>
      <c r="F7" s="1295">
        <f ca="1">IFERROR(SCORE_AllHouses!$M$6,0)</f>
        <v>-2.25</v>
      </c>
      <c r="G7" s="1039">
        <f t="shared" ca="1" si="0"/>
        <v>-0.9</v>
      </c>
      <c r="H7" s="954" t="str">
        <f t="shared" ca="1" si="1"/>
        <v>🟡 AMBER</v>
      </c>
      <c r="I7" s="1296" t="str">
        <f t="shared" ca="1" si="2"/>
        <v>○ Low</v>
      </c>
      <c r="J7" s="887" t="str">
        <f t="shared" ca="1" si="3"/>
        <v>↓ Dasha drag</v>
      </c>
      <c r="K7" s="550" t="str">
        <f t="shared" ca="1" si="4"/>
        <v>Challenging · requires attention</v>
      </c>
    </row>
    <row r="8" spans="1:12" ht="21.75" customHeight="1" x14ac:dyDescent="0.2">
      <c r="A8" s="632">
        <v>3</v>
      </c>
      <c r="B8" s="1291" t="s">
        <v>5064</v>
      </c>
      <c r="C8" s="1285">
        <f ca="1">IFERROR(SCORE_AllHouses!$S$7,0)</f>
        <v>1</v>
      </c>
      <c r="D8" s="1286">
        <f>IFERROR(SCORE_H3_Chandra!$C$40,0)</f>
        <v>4.25</v>
      </c>
      <c r="E8" s="1164">
        <f>IFERROR(SCORE_H3_Surya!$C$40,0)</f>
        <v>4.25</v>
      </c>
      <c r="F8" s="1292">
        <f ca="1">IFERROR(SCORE_AllHouses!$M$7,0)</f>
        <v>-0.5</v>
      </c>
      <c r="G8" s="1037">
        <f t="shared" ca="1" si="0"/>
        <v>2.6</v>
      </c>
      <c r="H8" s="953" t="str">
        <f t="shared" ca="1" si="1"/>
        <v>🟡 AMBER</v>
      </c>
      <c r="I8" s="1293" t="str">
        <f t="shared" ca="1" si="2"/>
        <v>◑ Med</v>
      </c>
      <c r="J8" s="889" t="str">
        <f t="shared" ca="1" si="3"/>
        <v>↓ Dasha drag</v>
      </c>
      <c r="K8" s="554" t="str">
        <f t="shared" ca="1" si="4"/>
        <v>Mixed · moderate challenges present</v>
      </c>
    </row>
    <row r="9" spans="1:12" ht="21.75" customHeight="1" x14ac:dyDescent="0.2">
      <c r="A9" s="627">
        <v>4</v>
      </c>
      <c r="B9" s="1294" t="s">
        <v>5065</v>
      </c>
      <c r="C9" s="1288">
        <f ca="1">IFERROR(SCORE_AllHouses!$S$8,0)</f>
        <v>1.25</v>
      </c>
      <c r="D9" s="1289">
        <f>IFERROR(SCORE_H4_Chandra!$C$40,0)</f>
        <v>2.25</v>
      </c>
      <c r="E9" s="1168">
        <f>IFERROR(SCORE_H4_Surya!$C$40,0)</f>
        <v>2</v>
      </c>
      <c r="F9" s="1295">
        <f ca="1">IFERROR(SCORE_AllHouses!$M$8,0)</f>
        <v>1</v>
      </c>
      <c r="G9" s="1039">
        <f t="shared" ca="1" si="0"/>
        <v>1.7</v>
      </c>
      <c r="H9" s="954" t="str">
        <f t="shared" ca="1" si="1"/>
        <v>🟡 AMBER</v>
      </c>
      <c r="I9" s="1296" t="str">
        <f t="shared" ca="1" si="2"/>
        <v>★ High</v>
      </c>
      <c r="J9" s="887" t="str">
        <f t="shared" ca="1" si="3"/>
        <v>↓ Dasha drag</v>
      </c>
      <c r="K9" s="550" t="str">
        <f t="shared" ca="1" si="4"/>
        <v>Mixed · moderate challenges present</v>
      </c>
    </row>
    <row r="10" spans="1:12" ht="21.75" customHeight="1" x14ac:dyDescent="0.2">
      <c r="A10" s="632">
        <v>5</v>
      </c>
      <c r="B10" s="1291" t="s">
        <v>5066</v>
      </c>
      <c r="C10" s="1285">
        <f ca="1">IFERROR(SCORE_AllHouses!$S$9,0)</f>
        <v>-1.5</v>
      </c>
      <c r="D10" s="1286">
        <f>IFERROR(SCORE_H5_Chandra!$C$40,0)</f>
        <v>-4</v>
      </c>
      <c r="E10" s="1164">
        <f>IFERROR(SCORE_H5_Surya!$C$40,0)</f>
        <v>-4</v>
      </c>
      <c r="F10" s="1292">
        <f ca="1">IFERROR(SCORE_AllHouses!$M$9,0)</f>
        <v>1.25</v>
      </c>
      <c r="G10" s="1037">
        <f t="shared" ca="1" si="0"/>
        <v>-2.8</v>
      </c>
      <c r="H10" s="953" t="str">
        <f t="shared" ca="1" si="1"/>
        <v>🔴 RED</v>
      </c>
      <c r="I10" s="1293" t="str">
        <f t="shared" ca="1" si="2"/>
        <v>◑ Med</v>
      </c>
      <c r="J10" s="889" t="str">
        <f t="shared" ca="1" si="3"/>
        <v>↑ Dasha boost</v>
      </c>
      <c r="K10" s="554" t="str">
        <f t="shared" ca="1" si="4"/>
        <v>Challenging · requires attention</v>
      </c>
    </row>
    <row r="11" spans="1:12" ht="21.75" customHeight="1" x14ac:dyDescent="0.2">
      <c r="A11" s="627">
        <v>6</v>
      </c>
      <c r="B11" s="1294" t="s">
        <v>5067</v>
      </c>
      <c r="C11" s="1288">
        <f ca="1">IFERROR(SCORE_AllHouses!$S$10,0)</f>
        <v>2.25</v>
      </c>
      <c r="D11" s="1289">
        <f>IFERROR(SCORE_H6_Chandra!$C$40,0)</f>
        <v>3</v>
      </c>
      <c r="E11" s="1168">
        <f>IFERROR(SCORE_H6_Surya!$C$40,0)</f>
        <v>3</v>
      </c>
      <c r="F11" s="1295">
        <f ca="1">IFERROR(SCORE_AllHouses!$M$10,0)</f>
        <v>0</v>
      </c>
      <c r="G11" s="1039">
        <f t="shared" ca="1" si="0"/>
        <v>2.6</v>
      </c>
      <c r="H11" s="954" t="str">
        <f t="shared" ca="1" si="1"/>
        <v>🟡 AMBER</v>
      </c>
      <c r="I11" s="1296" t="str">
        <f t="shared" ca="1" si="2"/>
        <v>★ High</v>
      </c>
      <c r="J11" s="887" t="str">
        <f t="shared" ca="1" si="3"/>
        <v>↓ Dasha drag</v>
      </c>
      <c r="K11" s="550" t="str">
        <f t="shared" ca="1" si="4"/>
        <v>Mixed · moderate challenges present</v>
      </c>
    </row>
    <row r="12" spans="1:12" ht="21.75" customHeight="1" x14ac:dyDescent="0.2">
      <c r="A12" s="632">
        <v>7</v>
      </c>
      <c r="B12" s="1291" t="s">
        <v>5068</v>
      </c>
      <c r="C12" s="1285">
        <f ca="1">IFERROR(SCORE_AllHouses!$S$11,0)</f>
        <v>-4.25</v>
      </c>
      <c r="D12" s="1286">
        <f>IFERROR(SCORE_H7_Chandra!$C$40,0)</f>
        <v>2.35</v>
      </c>
      <c r="E12" s="1164">
        <f>IFERROR(SCORE_H7_Surya!$C$40,0)</f>
        <v>2.25</v>
      </c>
      <c r="F12" s="1292">
        <f ca="1">IFERROR(SCORE_AllHouses!$M$11,0)</f>
        <v>-2.875</v>
      </c>
      <c r="G12" s="1037">
        <f t="shared" ca="1" si="0"/>
        <v>-1</v>
      </c>
      <c r="H12" s="953" t="str">
        <f t="shared" ca="1" si="1"/>
        <v>🟡 AMBER</v>
      </c>
      <c r="I12" s="1293" t="str">
        <f t="shared" ca="1" si="2"/>
        <v>○ Low</v>
      </c>
      <c r="J12" s="889" t="str">
        <f t="shared" ca="1" si="3"/>
        <v>↓ Dasha drag</v>
      </c>
      <c r="K12" s="554" t="str">
        <f t="shared" ca="1" si="4"/>
        <v>Challenging · requires attention</v>
      </c>
    </row>
    <row r="13" spans="1:12" ht="21.75" customHeight="1" x14ac:dyDescent="0.2">
      <c r="A13" s="627">
        <v>8</v>
      </c>
      <c r="B13" s="1294" t="s">
        <v>5069</v>
      </c>
      <c r="C13" s="1288">
        <f ca="1">IFERROR(SCORE_AllHouses!$S$12,0)</f>
        <v>-2</v>
      </c>
      <c r="D13" s="1289">
        <f>IFERROR(SCORE_H8_Chandra!$C$40,0)</f>
        <v>1.5</v>
      </c>
      <c r="E13" s="1168">
        <f>IFERROR(SCORE_H8_Surya!$C$40,0)</f>
        <v>1.5</v>
      </c>
      <c r="F13" s="1295">
        <f ca="1">IFERROR(SCORE_AllHouses!$M$12,0)</f>
        <v>-2</v>
      </c>
      <c r="G13" s="1039">
        <f t="shared" ca="1" si="0"/>
        <v>-0.3</v>
      </c>
      <c r="H13" s="954" t="str">
        <f t="shared" ca="1" si="1"/>
        <v>🟡 AMBER</v>
      </c>
      <c r="I13" s="1296" t="str">
        <f t="shared" ca="1" si="2"/>
        <v>◑ Med</v>
      </c>
      <c r="J13" s="887" t="str">
        <f t="shared" ca="1" si="3"/>
        <v>↓ Dasha drag</v>
      </c>
      <c r="K13" s="550" t="str">
        <f t="shared" ca="1" si="4"/>
        <v>Challenging · requires attention</v>
      </c>
    </row>
    <row r="14" spans="1:12" ht="21.75" customHeight="1" x14ac:dyDescent="0.2">
      <c r="A14" s="632">
        <v>9</v>
      </c>
      <c r="B14" s="1291" t="s">
        <v>5070</v>
      </c>
      <c r="C14" s="1285">
        <f ca="1">IFERROR(SCORE_AllHouses!$S$13,0)</f>
        <v>-2.75</v>
      </c>
      <c r="D14" s="1286">
        <f>IFERROR(SCORE_H9_Chandra!$C$40,0)</f>
        <v>2.5</v>
      </c>
      <c r="E14" s="1164">
        <f>IFERROR(SCORE_H9_Surya!$C$40,0)</f>
        <v>2.5</v>
      </c>
      <c r="F14" s="1292">
        <f ca="1">IFERROR(SCORE_AllHouses!$M$13,0)</f>
        <v>-1.75</v>
      </c>
      <c r="G14" s="1037">
        <f t="shared" ca="1" si="0"/>
        <v>-0.1</v>
      </c>
      <c r="H14" s="953" t="str">
        <f t="shared" ca="1" si="1"/>
        <v>🟡 AMBER</v>
      </c>
      <c r="I14" s="1293" t="str">
        <f t="shared" ca="1" si="2"/>
        <v>○ Low</v>
      </c>
      <c r="J14" s="889" t="str">
        <f t="shared" ca="1" si="3"/>
        <v>↓ Dasha drag</v>
      </c>
      <c r="K14" s="554" t="str">
        <f t="shared" ca="1" si="4"/>
        <v>Challenging · requires attention</v>
      </c>
    </row>
    <row r="15" spans="1:12" ht="21.75" customHeight="1" x14ac:dyDescent="0.2">
      <c r="A15" s="627">
        <v>10</v>
      </c>
      <c r="B15" s="1294" t="s">
        <v>5071</v>
      </c>
      <c r="C15" s="1288">
        <f ca="1">IFERROR(SCORE_AllHouses!$S$14,0)</f>
        <v>-1.5</v>
      </c>
      <c r="D15" s="1289">
        <f>IFERROR(SCORE_H10_Chandra!$C$40,0)</f>
        <v>-1.75</v>
      </c>
      <c r="E15" s="1168">
        <f>IFERROR(SCORE_H10_Surya!$C$40,0)</f>
        <v>-1.5</v>
      </c>
      <c r="F15" s="1295">
        <f ca="1">IFERROR(SCORE_AllHouses!$M$14,0)</f>
        <v>-1</v>
      </c>
      <c r="G15" s="1039">
        <f t="shared" ca="1" si="0"/>
        <v>-1.6</v>
      </c>
      <c r="H15" s="954" t="str">
        <f t="shared" ca="1" si="1"/>
        <v>🟡 AMBER</v>
      </c>
      <c r="I15" s="1296" t="str">
        <f t="shared" ca="1" si="2"/>
        <v>★ High</v>
      </c>
      <c r="J15" s="887" t="str">
        <f t="shared" ca="1" si="3"/>
        <v>↑ Dasha boost</v>
      </c>
      <c r="K15" s="550" t="str">
        <f t="shared" ca="1" si="4"/>
        <v>Challenging · requires attention</v>
      </c>
    </row>
    <row r="16" spans="1:12" ht="21.75" customHeight="1" x14ac:dyDescent="0.2">
      <c r="A16" s="632">
        <v>11</v>
      </c>
      <c r="B16" s="1291" t="s">
        <v>5072</v>
      </c>
      <c r="C16" s="1285">
        <f ca="1">IFERROR(SCORE_AllHouses!$S$15,0)</f>
        <v>-1.75</v>
      </c>
      <c r="D16" s="1286">
        <f>IFERROR(SCORE_H11_Chandra!$C$40,0)</f>
        <v>0.5</v>
      </c>
      <c r="E16" s="1164">
        <f>IFERROR(SCORE_H11_Surya!$C$40,0)</f>
        <v>0.5</v>
      </c>
      <c r="F16" s="1292">
        <f ca="1">IFERROR(SCORE_AllHouses!$M$15,0)</f>
        <v>-2</v>
      </c>
      <c r="G16" s="1037">
        <f t="shared" ca="1" si="0"/>
        <v>-0.6</v>
      </c>
      <c r="H16" s="953" t="str">
        <f t="shared" ca="1" si="1"/>
        <v>🟡 AMBER</v>
      </c>
      <c r="I16" s="1293" t="str">
        <f t="shared" ca="1" si="2"/>
        <v>◑ Med</v>
      </c>
      <c r="J16" s="889" t="str">
        <f t="shared" ca="1" si="3"/>
        <v>↓ Dasha drag</v>
      </c>
      <c r="K16" s="554" t="str">
        <f t="shared" ca="1" si="4"/>
        <v>Challenging · requires attention</v>
      </c>
    </row>
    <row r="17" spans="1:11" ht="21.75" customHeight="1" x14ac:dyDescent="0.2">
      <c r="A17" s="627">
        <v>12</v>
      </c>
      <c r="B17" s="1294" t="s">
        <v>5073</v>
      </c>
      <c r="C17" s="1288">
        <f ca="1">IFERROR(SCORE_AllHouses!$S$16,0)</f>
        <v>-1</v>
      </c>
      <c r="D17" s="1289">
        <f>IFERROR(SCORE_H12_Chandra!$C$40,0)</f>
        <v>1.75</v>
      </c>
      <c r="E17" s="1168">
        <f>IFERROR(SCORE_H12_Surya!$C$40,0)</f>
        <v>1.75</v>
      </c>
      <c r="F17" s="1295">
        <f ca="1">IFERROR(SCORE_AllHouses!$M$16,0)</f>
        <v>-0.28749999999999998</v>
      </c>
      <c r="G17" s="1039">
        <f t="shared" ca="1" si="0"/>
        <v>0.4</v>
      </c>
      <c r="H17" s="954" t="str">
        <f t="shared" ca="1" si="1"/>
        <v>🟡 AMBER</v>
      </c>
      <c r="I17" s="1296" t="str">
        <f t="shared" ca="1" si="2"/>
        <v>◑ Med</v>
      </c>
      <c r="J17" s="887" t="str">
        <f t="shared" ca="1" si="3"/>
        <v>↓ Dasha drag</v>
      </c>
      <c r="K17" s="550" t="str">
        <f t="shared" ca="1" si="4"/>
        <v>Mixed · moderate challenges present</v>
      </c>
    </row>
  </sheetData>
  <mergeCells count="3">
    <mergeCell ref="A1:K1"/>
    <mergeCell ref="A2:K2"/>
    <mergeCell ref="A4:K4"/>
  </mergeCells>
  <pageMargins left="0.75" right="0.75" top="1" bottom="1" header="0.511811023622047" footer="0.511811023622047"/>
  <pageSetup paperSize="9" orientation="portrait" horizontalDpi="300" verticalDpi="300"/>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tabColor rgb="FF00838F"/>
  </sheetPr>
  <dimension ref="A1:R35"/>
  <sheetViews>
    <sheetView zoomScaleNormal="100" workbookViewId="0"/>
  </sheetViews>
  <sheetFormatPr defaultColWidth="8.609375" defaultRowHeight="15" x14ac:dyDescent="0.2"/>
  <cols>
    <col min="1" max="1" width="6.05078125" customWidth="1"/>
    <col min="2" max="2" width="20.04296875" customWidth="1"/>
    <col min="3" max="10" width="9.953125" customWidth="1"/>
    <col min="11" max="11" width="11.97265625" customWidth="1"/>
    <col min="12" max="12" width="13.98828125" customWidth="1"/>
    <col min="13" max="13" width="16.0078125" customWidth="1"/>
    <col min="14" max="14" width="13.98828125" customWidth="1"/>
    <col min="15" max="15" width="39.953125" customWidth="1"/>
    <col min="18" max="18" width="29.99609375" customWidth="1"/>
  </cols>
  <sheetData>
    <row r="1" spans="1:18" ht="27.75" customHeight="1" x14ac:dyDescent="0.2">
      <c r="A1" s="1612" t="s">
        <v>5074</v>
      </c>
      <c r="B1" s="1612"/>
      <c r="C1" s="1612"/>
      <c r="D1" s="1612"/>
      <c r="E1" s="1612"/>
      <c r="F1" s="1612"/>
      <c r="G1" s="1612"/>
      <c r="H1" s="1612"/>
      <c r="I1" s="1612"/>
      <c r="J1" s="1612"/>
      <c r="K1" s="1612"/>
      <c r="L1" s="1612"/>
      <c r="M1" s="601" t="s">
        <v>2214</v>
      </c>
    </row>
    <row r="2" spans="1:18" ht="24" customHeight="1" x14ac:dyDescent="0.2">
      <c r="A2" s="1523" t="s">
        <v>5075</v>
      </c>
      <c r="B2" s="1523"/>
      <c r="C2" s="1523"/>
      <c r="D2" s="1523"/>
      <c r="E2" s="1523"/>
      <c r="F2" s="1523"/>
      <c r="G2" s="1523"/>
      <c r="H2" s="1523"/>
      <c r="I2" s="1523"/>
      <c r="J2" s="1523"/>
      <c r="K2" s="1523"/>
      <c r="L2" s="1523"/>
    </row>
    <row r="4" spans="1:18" ht="18" customHeight="1" x14ac:dyDescent="0.2">
      <c r="A4" s="1524" t="s">
        <v>5076</v>
      </c>
      <c r="B4" s="1524"/>
      <c r="C4" s="1524"/>
      <c r="D4" s="1524"/>
      <c r="E4" s="1524"/>
      <c r="F4" s="1524"/>
      <c r="G4" s="1524"/>
      <c r="H4" s="1524"/>
      <c r="I4" s="1524"/>
      <c r="J4" s="1524"/>
      <c r="K4" s="1524"/>
      <c r="L4" s="1524"/>
    </row>
    <row r="5" spans="1:18" ht="15.75" customHeight="1" x14ac:dyDescent="0.2">
      <c r="A5" s="882" t="s">
        <v>5077</v>
      </c>
      <c r="B5" s="882" t="s">
        <v>5078</v>
      </c>
      <c r="C5" s="882" t="s">
        <v>5079</v>
      </c>
      <c r="D5" s="882" t="s">
        <v>5080</v>
      </c>
      <c r="E5" s="882" t="s">
        <v>2</v>
      </c>
    </row>
    <row r="6" spans="1:18" ht="15.75" customHeight="1" x14ac:dyDescent="0.2">
      <c r="A6" s="578" t="s">
        <v>4463</v>
      </c>
      <c r="B6" s="916" t="s">
        <v>5081</v>
      </c>
      <c r="C6" s="574" t="s">
        <v>5082</v>
      </c>
      <c r="D6" s="574" t="s">
        <v>5083</v>
      </c>
      <c r="E6" s="574" t="s">
        <v>5084</v>
      </c>
    </row>
    <row r="7" spans="1:18" ht="15.75" customHeight="1" x14ac:dyDescent="0.2">
      <c r="A7" s="580" t="s">
        <v>5085</v>
      </c>
      <c r="B7" s="920" t="s">
        <v>5086</v>
      </c>
      <c r="C7" s="576" t="s">
        <v>5087</v>
      </c>
      <c r="D7" s="576" t="s">
        <v>5088</v>
      </c>
      <c r="E7" s="576" t="s">
        <v>5089</v>
      </c>
    </row>
    <row r="8" spans="1:18" ht="15.75" customHeight="1" x14ac:dyDescent="0.2">
      <c r="A8" s="578" t="s">
        <v>5090</v>
      </c>
      <c r="B8" s="916" t="s">
        <v>5091</v>
      </c>
      <c r="C8" s="574" t="s">
        <v>5092</v>
      </c>
      <c r="D8" s="574" t="s">
        <v>5093</v>
      </c>
      <c r="E8" s="574" t="s">
        <v>5094</v>
      </c>
    </row>
    <row r="9" spans="1:18" ht="15.75" customHeight="1" x14ac:dyDescent="0.2">
      <c r="A9" s="580" t="s">
        <v>4432</v>
      </c>
      <c r="B9" s="920" t="s">
        <v>5086</v>
      </c>
      <c r="C9" s="576" t="s">
        <v>5087</v>
      </c>
      <c r="D9" s="576" t="s">
        <v>5095</v>
      </c>
      <c r="E9" s="576" t="s">
        <v>5096</v>
      </c>
    </row>
    <row r="10" spans="1:18" ht="15.75" customHeight="1" x14ac:dyDescent="0.2">
      <c r="A10" s="578" t="s">
        <v>4433</v>
      </c>
      <c r="B10" s="916" t="s">
        <v>5091</v>
      </c>
      <c r="C10" s="574" t="s">
        <v>5092</v>
      </c>
      <c r="D10" s="574" t="s">
        <v>5097</v>
      </c>
      <c r="E10" s="574" t="s">
        <v>5098</v>
      </c>
    </row>
    <row r="11" spans="1:18" ht="15.75" customHeight="1" x14ac:dyDescent="0.2">
      <c r="A11" s="580" t="s">
        <v>5099</v>
      </c>
      <c r="B11" s="920" t="s">
        <v>5091</v>
      </c>
      <c r="C11" s="576" t="s">
        <v>5092</v>
      </c>
      <c r="D11" s="576" t="s">
        <v>5100</v>
      </c>
      <c r="E11" s="576" t="s">
        <v>5101</v>
      </c>
    </row>
    <row r="12" spans="1:18" ht="15.75" customHeight="1" x14ac:dyDescent="0.2">
      <c r="A12" s="578" t="s">
        <v>5102</v>
      </c>
      <c r="B12" s="916" t="s">
        <v>5103</v>
      </c>
      <c r="C12" s="574" t="s">
        <v>5104</v>
      </c>
      <c r="D12" s="574" t="s">
        <v>5105</v>
      </c>
      <c r="E12" s="574" t="s">
        <v>5106</v>
      </c>
    </row>
    <row r="15" spans="1:18" ht="18" customHeight="1" x14ac:dyDescent="0.2">
      <c r="A15" s="1524" t="s">
        <v>5107</v>
      </c>
      <c r="B15" s="1524"/>
      <c r="C15" s="1524"/>
      <c r="D15" s="1524"/>
      <c r="E15" s="1524"/>
      <c r="F15" s="1524"/>
      <c r="G15" s="1524"/>
      <c r="H15" s="1524"/>
      <c r="I15" s="1524"/>
      <c r="J15" s="1524"/>
      <c r="K15" s="1524"/>
      <c r="L15" s="1524"/>
    </row>
    <row r="16" spans="1:18" ht="15.75" customHeight="1" x14ac:dyDescent="0.2">
      <c r="A16" s="545" t="s">
        <v>2276</v>
      </c>
      <c r="B16" s="545" t="s">
        <v>3192</v>
      </c>
      <c r="C16" s="545" t="s">
        <v>2072</v>
      </c>
      <c r="D16" s="545" t="s">
        <v>4959</v>
      </c>
      <c r="E16" s="545" t="s">
        <v>288</v>
      </c>
      <c r="F16" s="545" t="s">
        <v>5108</v>
      </c>
      <c r="G16" s="545" t="s">
        <v>5109</v>
      </c>
      <c r="H16" s="545" t="s">
        <v>5110</v>
      </c>
      <c r="I16" s="545" t="s">
        <v>5111</v>
      </c>
      <c r="J16" s="545" t="s">
        <v>5112</v>
      </c>
      <c r="K16" s="545" t="s">
        <v>4468</v>
      </c>
      <c r="L16" s="545" t="s">
        <v>5113</v>
      </c>
      <c r="M16" s="1297" t="s">
        <v>3317</v>
      </c>
      <c r="N16" s="1298" t="s">
        <v>5114</v>
      </c>
      <c r="O16" s="816" t="s">
        <v>5115</v>
      </c>
      <c r="P16" s="815" t="s">
        <v>4468</v>
      </c>
      <c r="Q16" s="815" t="s">
        <v>2045</v>
      </c>
      <c r="R16" s="815" t="s">
        <v>5116</v>
      </c>
    </row>
    <row r="17" spans="1:18" ht="21.75" customHeight="1" x14ac:dyDescent="0.2">
      <c r="A17" s="632">
        <v>1</v>
      </c>
      <c r="B17" s="551" t="s">
        <v>3728</v>
      </c>
      <c r="C17" s="950">
        <f ca="1">IFERROR(SCORE_AllHouses!$S$5,0)</f>
        <v>1.25</v>
      </c>
      <c r="D17" s="950">
        <f>IFERROR(SCORE_H1_Chandra!$C$40,0)</f>
        <v>2.6</v>
      </c>
      <c r="E17" s="950">
        <f>IFERROR(SCORE_H1_Surya!$C$40,0)</f>
        <v>2.6</v>
      </c>
      <c r="F17" s="950">
        <f ca="1">IFERROR(CALC_CompositeVargaScore!$D$6,0)</f>
        <v>-1.35</v>
      </c>
      <c r="G17" s="950">
        <f ca="1">IFERROR(CALC_CompositeVargaScore!$E$6,0)</f>
        <v>-1.9</v>
      </c>
      <c r="H17" s="950">
        <f ca="1">IFERROR(CALC_PredictiveTimeline!$G$6,0)</f>
        <v>0.5</v>
      </c>
      <c r="I17" s="950">
        <f>IFERROR(CALC_PredictiveTimeline!$F$6,0)</f>
        <v>0</v>
      </c>
      <c r="J17" s="1299">
        <f t="shared" ref="J17:J28" ca="1" si="0">IFERROR(ROUND(C17*0.35+D17*0.15+E17*0.1+F17*0.15+G17*0.1+H17*0.1+I17*0.05,2),0)</f>
        <v>0.75</v>
      </c>
      <c r="K17" s="1300" t="str">
        <f t="shared" ref="K17:K28" ca="1" si="1">IFERROR(IF(J17&gt;=4,"🟢 Strong",IF(J17&gt;=2,"🟡 Positive",IF(J17&gt;=-2,"⚪ Mixed",IF(J17&gt;=-4,"🟠 Challenged","🔴 Severely challenged")))),"—")</f>
        <v>⚪ Mixed</v>
      </c>
      <c r="L17" s="554" t="str">
        <f ca="1">IFERROR(IF(J17&gt;=4,"H1 Self strongly supported across "&amp;(IF(C17&gt;2,1,0)+IF(D17&gt;2,1,0)+IF(E17&gt;2,1,0)+IF(F17&gt;0,1,0)+IF(G17&gt;0,1,0))&amp;"/5 layers",IF(J17&gt;=2,"H1 Self generally positive — monitor Dasha timing",IF(J17&gt;=-2,"H1 Self mixed — natal promise vs current layer divergence",IF(J17&gt;=-4,"H1 Self challenged across "&amp;(5-(IF(C17&gt;2,1,0)+IF(D17&gt;2,1,0)+IF(E17&gt;2,1,0)+IF(F17&gt;0,1,0)+IF(G17&gt;0,1,0)))&amp;"/5 layers","H1 Self severely challenged — all layers indicate difficulty")))),"—")</f>
        <v>H1 Self mixed — natal promise vs current layer divergence</v>
      </c>
      <c r="M17" s="1301">
        <f>IFERROR(IF(ISNUMBER(MATCH(MOD(MATCH(CALC_BhaveshMap!$C$5,{"Aries","Taurus","Gemini","Cancer","Leo","Virgo","Libra","Scorpio","Sagittarius","Capricorn","Aquarius","Pisces"},0)-(MATCH(CALC_Karakamsha!$B$5,{"Aries","Taurus","Gemini","Cancer","Leo","Virgo","Libra","Scorpio","Sagittarius","Capricorn","Aquarius","Pisces"},0))+12,12)+1,{1,4,7,10},0)),1.5,IF(ISNUMBER(MATCH(MOD(MATCH(CALC_BhaveshMap!$C$5,{"Aries","Taurus","Gemini","Cancer","Leo","Virgo","Libra","Scorpio","Sagittarius","Capricorn","Aquarius","Pisces"},0)-(MATCH(CALC_Karakamsha!$B$5,{"Aries","Taurus","Gemini","Cancer","Leo","Virgo","Libra","Scorpio","Sagittarius","Capricorn","Aquarius","Pisces"},0))+12,12)+1,{1,5,9},0)),1.5,IF(ISNUMBER(MATCH(MOD(MATCH(CALC_BhaveshMap!$C$5,{"Aries","Taurus","Gemini","Cancer","Leo","Virgo","Libra","Scorpio","Sagittarius","Capricorn","Aquarius","Pisces"},0)-(MATCH(CALC_Karakamsha!$B$5,{"Aries","Taurus","Gemini","Cancer","Leo","Virgo","Libra","Scorpio","Sagittarius","Capricorn","Aquarius","Pisces"},0))+12,12)+1,{6,8,12},0)),-1.5,0))),0)</f>
        <v>0</v>
      </c>
      <c r="N17" s="1164">
        <f ca="1">IFERROR(SCORE_AllHouses!$S$5,0)</f>
        <v>1.25</v>
      </c>
      <c r="O17" s="1285">
        <f t="shared" ref="O17:O28" ca="1" si="2">IFERROR(ROUND(C17*0.28+D17*0.12+E17*0.08+F17*0.1+G17*0.07+H17*0.1+I17*0.05+M17*0.05+N17*0.15,2),0)</f>
        <v>0.84</v>
      </c>
      <c r="P17" s="953" t="str">
        <f t="shared" ref="P17:P28" ca="1" si="3">IFERROR(IF(O17&gt;=4,"🟢 Strong",IF(O17&gt;=2,"🟡 Positive",IF(O17&gt;=-2,"⚪ Mixed",IF(O17&gt;=-4,"🟠 Challenged","🔴 Severely challenged")))),"—")</f>
        <v>⚪ Mixed</v>
      </c>
      <c r="Q17" s="613" t="str">
        <f ca="1">IFERROR(CONCATENATE("H1: ",IF(O17&gt;=4,"Strong across 9 layers. ",IF(O17&gt;=2,"Generally supported. ",IF(O17&gt;=-2,"Mixed signals. ","Concentrated challenges. "))),IF(ABS(M17)&gt;0,"Karakamsha ",IF(M17&gt;0,"soul-aligned. ","soul-challenged. ")),IF(N17&gt;J17+1,"P2-4 modifiers amplify promise. ",IF(N17&lt;J17-1,"P2-4 modifiers reduce promise. ",""))),"—")</f>
        <v xml:space="preserve">H1: Mixed signals. soul-challenged. </v>
      </c>
      <c r="R17" s="1302" t="str">
        <f>IFERROR(CONCATENATE("A1(Arudha)=H",CALC_ArudhaPada!$G$5," "&amp;CALC_ArudhaPada!$H$5),"—")</f>
        <v>A1(Arudha)=H5 Virgo</v>
      </c>
    </row>
    <row r="18" spans="1:18" ht="21.75" customHeight="1" x14ac:dyDescent="0.2">
      <c r="A18" s="627">
        <v>2</v>
      </c>
      <c r="B18" s="546" t="s">
        <v>3729</v>
      </c>
      <c r="C18" s="949">
        <f ca="1">IFERROR(SCORE_AllHouses!$S$6,0)</f>
        <v>-5.25</v>
      </c>
      <c r="D18" s="949">
        <f>IFERROR(SCORE_H2_Chandra!$C$40,0)</f>
        <v>3.5</v>
      </c>
      <c r="E18" s="949">
        <f>IFERROR(SCORE_H2_Surya!$C$40,0)</f>
        <v>3.5</v>
      </c>
      <c r="F18" s="949">
        <f ca="1">IFERROR(CALC_CompositeVargaScore!$D$7,0)</f>
        <v>-2</v>
      </c>
      <c r="G18" s="949">
        <f ca="1">IFERROR(CALC_CompositeVargaScore!$E$7,0)</f>
        <v>-2.5</v>
      </c>
      <c r="H18" s="949">
        <f ca="1">IFERROR(CALC_PredictiveTimeline!$G$7,0)</f>
        <v>-0.1</v>
      </c>
      <c r="I18" s="949">
        <f>IFERROR(CALC_PredictiveTimeline!$F$7,0)</f>
        <v>1</v>
      </c>
      <c r="J18" s="1303">
        <f t="shared" ca="1" si="0"/>
        <v>-1.47</v>
      </c>
      <c r="K18" s="1304" t="str">
        <f t="shared" ca="1" si="1"/>
        <v>⚪ Mixed</v>
      </c>
      <c r="L18" s="550" t="str">
        <f ca="1">IFERROR(IF(J18&gt;=4,"H2 Wealth strongly supported across "&amp;(IF(C18&gt;2,1,0)+IF(D18&gt;2,1,0)+IF(E18&gt;2,1,0)+IF(F18&gt;0,1,0)+IF(G18&gt;0,1,0))&amp;"/5 layers",IF(J18&gt;=2,"H2 Wealth generally positive — monitor Dasha timing",IF(J18&gt;=-2,"H2 Wealth mixed — natal promise vs current layer divergence",IF(J18&gt;=-4,"H2 Wealth challenged across "&amp;(5-(IF(C18&gt;2,1,0)+IF(D18&gt;2,1,0)+IF(E18&gt;2,1,0)+IF(F18&gt;0,1,0)+IF(G18&gt;0,1,0)))&amp;"/5 layers","H2 Wealth severely challenged — all layers indicate difficulty")))),"—")</f>
        <v>H2 Wealth mixed — natal promise vs current layer divergence</v>
      </c>
      <c r="M18" s="1305">
        <f>IFERROR(IF(ISNUMBER(MATCH(MOD(MATCH(CALC_BhaveshMap!$C$6,{"Aries","Taurus","Gemini","Cancer","Leo","Virgo","Libra","Scorpio","Sagittarius","Capricorn","Aquarius","Pisces"},0)-(MATCH(CALC_Karakamsha!$B$5,{"Aries","Taurus","Gemini","Cancer","Leo","Virgo","Libra","Scorpio","Sagittarius","Capricorn","Aquarius","Pisces"},0))+12,12)+1,{1,4,7,10},0)),1.5,IF(ISNUMBER(MATCH(MOD(MATCH(CALC_BhaveshMap!$C$6,{"Aries","Taurus","Gemini","Cancer","Leo","Virgo","Libra","Scorpio","Sagittarius","Capricorn","Aquarius","Pisces"},0)-(MATCH(CALC_Karakamsha!$B$5,{"Aries","Taurus","Gemini","Cancer","Leo","Virgo","Libra","Scorpio","Sagittarius","Capricorn","Aquarius","Pisces"},0))+12,12)+1,{1,5,9},0)),1.5,IF(ISNUMBER(MATCH(MOD(MATCH(CALC_BhaveshMap!$C$6,{"Aries","Taurus","Gemini","Cancer","Leo","Virgo","Libra","Scorpio","Sagittarius","Capricorn","Aquarius","Pisces"},0)-(MATCH(CALC_Karakamsha!$B$5,{"Aries","Taurus","Gemini","Cancer","Leo","Virgo","Libra","Scorpio","Sagittarius","Capricorn","Aquarius","Pisces"},0))+12,12)+1,{6,8,12},0)),-1.5,0))),0)</f>
        <v>0</v>
      </c>
      <c r="N18" s="1168">
        <f ca="1">IFERROR(SCORE_AllHouses!$S$6,0)</f>
        <v>-5.25</v>
      </c>
      <c r="O18" s="1288">
        <f t="shared" ca="1" si="2"/>
        <v>-1.89</v>
      </c>
      <c r="P18" s="954" t="str">
        <f t="shared" ca="1" si="3"/>
        <v>⚪ Mixed</v>
      </c>
      <c r="Q18" s="611" t="str">
        <f ca="1">IFERROR(CONCATENATE("H2: ",IF(O18&gt;=4,"Strong across 9 layers. ",IF(O18&gt;=2,"Generally supported. ",IF(O18&gt;=-2,"Mixed signals. ","Concentrated challenges. "))),IF(ABS(M18)&gt;0,"Karakamsha ",IF(M18&gt;0,"soul-aligned. ","soul-challenged. ")),IF(N18&gt;J18+1,"P2-4 modifiers amplify promise. ",IF(N18&lt;J18-1,"P2-4 modifiers reduce promise. ",""))),"—")</f>
        <v xml:space="preserve">H2: Mixed signals. soul-challenged. P2-4 modifiers reduce promise. </v>
      </c>
      <c r="R18" s="1306" t="str">
        <f>IFERROR(CONCATENATE("A2(Arudha)=H",CALC_ArudhaPada!$G$6," "&amp;CALC_ArudhaPada!$H$6),"—")</f>
        <v>A2(Arudha)=H4 Leo</v>
      </c>
    </row>
    <row r="19" spans="1:18" ht="21.75" customHeight="1" x14ac:dyDescent="0.2">
      <c r="A19" s="632">
        <v>3</v>
      </c>
      <c r="B19" s="551" t="s">
        <v>3730</v>
      </c>
      <c r="C19" s="950">
        <f ca="1">IFERROR(SCORE_AllHouses!$S$7,0)</f>
        <v>1</v>
      </c>
      <c r="D19" s="950">
        <f>IFERROR(SCORE_H3_Chandra!$C$40,0)</f>
        <v>4.25</v>
      </c>
      <c r="E19" s="950">
        <f>IFERROR(SCORE_H3_Surya!$C$40,0)</f>
        <v>4.25</v>
      </c>
      <c r="F19" s="950">
        <f ca="1">IFERROR(CALC_CompositeVargaScore!$D$8,0)</f>
        <v>-2.5</v>
      </c>
      <c r="G19" s="950">
        <f ca="1">IFERROR(CALC_CompositeVargaScore!$E$8,0)</f>
        <v>-1.5</v>
      </c>
      <c r="H19" s="950">
        <f ca="1">IFERROR(CALC_PredictiveTimeline!$G$8,0)</f>
        <v>0.4</v>
      </c>
      <c r="I19" s="950">
        <f>IFERROR(CALC_PredictiveTimeline!$F$8,0)</f>
        <v>0</v>
      </c>
      <c r="J19" s="1299">
        <f t="shared" ca="1" si="0"/>
        <v>0.93</v>
      </c>
      <c r="K19" s="1300" t="str">
        <f t="shared" ca="1" si="1"/>
        <v>⚪ Mixed</v>
      </c>
      <c r="L19" s="554" t="str">
        <f ca="1">IFERROR(IF(J19&gt;=4,"H3 Courage strongly supported across "&amp;(IF(C19&gt;2,1,0)+IF(D19&gt;2,1,0)+IF(E19&gt;2,1,0)+IF(F19&gt;0,1,0)+IF(G19&gt;0,1,0))&amp;"/5 layers",IF(J19&gt;=2,"H3 Courage generally positive — monitor Dasha timing",IF(J19&gt;=-2,"H3 Courage mixed — natal promise vs current layer divergence",IF(J19&gt;=-4,"H3 Courage challenged across "&amp;(5-(IF(C19&gt;2,1,0)+IF(D19&gt;2,1,0)+IF(E19&gt;2,1,0)+IF(F19&gt;0,1,0)+IF(G19&gt;0,1,0)))&amp;"/5 layers","H3 Courage severely challenged — all layers indicate difficulty")))),"—")</f>
        <v>H3 Courage mixed — natal promise vs current layer divergence</v>
      </c>
      <c r="M19" s="1301">
        <f>IFERROR(IF(ISNUMBER(MATCH(MOD(MATCH(CALC_BhaveshMap!$C$7,{"Aries","Taurus","Gemini","Cancer","Leo","Virgo","Libra","Scorpio","Sagittarius","Capricorn","Aquarius","Pisces"},0)-(MATCH(CALC_Karakamsha!$B$5,{"Aries","Taurus","Gemini","Cancer","Leo","Virgo","Libra","Scorpio","Sagittarius","Capricorn","Aquarius","Pisces"},0))+12,12)+1,{1,4,7,10},0)),1.5,IF(ISNUMBER(MATCH(MOD(MATCH(CALC_BhaveshMap!$C$7,{"Aries","Taurus","Gemini","Cancer","Leo","Virgo","Libra","Scorpio","Sagittarius","Capricorn","Aquarius","Pisces"},0)-(MATCH(CALC_Karakamsha!$B$5,{"Aries","Taurus","Gemini","Cancer","Leo","Virgo","Libra","Scorpio","Sagittarius","Capricorn","Aquarius","Pisces"},0))+12,12)+1,{1,5,9},0)),1.5,IF(ISNUMBER(MATCH(MOD(MATCH(CALC_BhaveshMap!$C$7,{"Aries","Taurus","Gemini","Cancer","Leo","Virgo","Libra","Scorpio","Sagittarius","Capricorn","Aquarius","Pisces"},0)-(MATCH(CALC_Karakamsha!$B$5,{"Aries","Taurus","Gemini","Cancer","Leo","Virgo","Libra","Scorpio","Sagittarius","Capricorn","Aquarius","Pisces"},0))+12,12)+1,{6,8,12},0)),-1.5,0))),0)</f>
        <v>0</v>
      </c>
      <c r="N19" s="1164">
        <f ca="1">IFERROR(SCORE_AllHouses!$S$7,0)</f>
        <v>1</v>
      </c>
      <c r="O19" s="1285">
        <f t="shared" ca="1" si="2"/>
        <v>0.97</v>
      </c>
      <c r="P19" s="953" t="str">
        <f t="shared" ca="1" si="3"/>
        <v>⚪ Mixed</v>
      </c>
      <c r="Q19" s="613" t="str">
        <f ca="1">IFERROR(CONCATENATE("H3: ",IF(O19&gt;=4,"Strong across 9 layers. ",IF(O19&gt;=2,"Generally supported. ",IF(O19&gt;=-2,"Mixed signals. ","Concentrated challenges. "))),IF(ABS(M19)&gt;0,"Karakamsha ",IF(M19&gt;0,"soul-aligned. ","soul-challenged. ")),IF(N19&gt;J19+1,"P2-4 modifiers amplify promise. ",IF(N19&lt;J19-1,"P2-4 modifiers reduce promise. ",""))),"—")</f>
        <v xml:space="preserve">H3: Mixed signals. soul-challenged. </v>
      </c>
      <c r="R19" s="1302" t="str">
        <f>IFERROR(CONCATENATE("A3(Arudha)=H",CALC_ArudhaPada!$G$7," "&amp;CALC_ArudhaPada!$H$7),"—")</f>
        <v>A3(Arudha)=H3 Cancer</v>
      </c>
    </row>
    <row r="20" spans="1:18" ht="21.75" customHeight="1" x14ac:dyDescent="0.2">
      <c r="A20" s="627">
        <v>4</v>
      </c>
      <c r="B20" s="546" t="s">
        <v>3731</v>
      </c>
      <c r="C20" s="949">
        <f ca="1">IFERROR(SCORE_AllHouses!$S$8,0)</f>
        <v>1.25</v>
      </c>
      <c r="D20" s="949">
        <f>IFERROR(SCORE_H4_Chandra!$C$40,0)</f>
        <v>2.25</v>
      </c>
      <c r="E20" s="949">
        <f>IFERROR(SCORE_H4_Surya!$C$40,0)</f>
        <v>2</v>
      </c>
      <c r="F20" s="949">
        <f ca="1">IFERROR(CALC_CompositeVargaScore!$D$9,0)</f>
        <v>-1.3</v>
      </c>
      <c r="G20" s="949">
        <f ca="1">IFERROR(CALC_CompositeVargaScore!$E$9,0)</f>
        <v>-1.5</v>
      </c>
      <c r="H20" s="949">
        <f ca="1">IFERROR(CALC_PredictiveTimeline!$G$9,0)</f>
        <v>0.25</v>
      </c>
      <c r="I20" s="949">
        <f>IFERROR(CALC_PredictiveTimeline!$F$9,0)</f>
        <v>-0.5</v>
      </c>
      <c r="J20" s="1303">
        <f t="shared" ca="1" si="0"/>
        <v>0.63</v>
      </c>
      <c r="K20" s="1304" t="str">
        <f t="shared" ca="1" si="1"/>
        <v>⚪ Mixed</v>
      </c>
      <c r="L20" s="550" t="str">
        <f ca="1">IFERROR(IF(J20&gt;=4,"H4 Home strongly supported across "&amp;(IF(C20&gt;2,1,0)+IF(D20&gt;2,1,0)+IF(E20&gt;2,1,0)+IF(F20&gt;0,1,0)+IF(G20&gt;0,1,0))&amp;"/5 layers",IF(J20&gt;=2,"H4 Home generally positive — monitor Dasha timing",IF(J20&gt;=-2,"H4 Home mixed — natal promise vs current layer divergence",IF(J20&gt;=-4,"H4 Home challenged across "&amp;(5-(IF(C20&gt;2,1,0)+IF(D20&gt;2,1,0)+IF(E20&gt;2,1,0)+IF(F20&gt;0,1,0)+IF(G20&gt;0,1,0)))&amp;"/5 layers","H4 Home severely challenged — all layers indicate difficulty")))),"—")</f>
        <v>H4 Home mixed — natal promise vs current layer divergence</v>
      </c>
      <c r="M20" s="1305">
        <f>IFERROR(IF(ISNUMBER(MATCH(MOD(MATCH(CALC_BhaveshMap!$C$8,{"Aries","Taurus","Gemini","Cancer","Leo","Virgo","Libra","Scorpio","Sagittarius","Capricorn","Aquarius","Pisces"},0)-(MATCH(CALC_Karakamsha!$B$5,{"Aries","Taurus","Gemini","Cancer","Leo","Virgo","Libra","Scorpio","Sagittarius","Capricorn","Aquarius","Pisces"},0))+12,12)+1,{1,4,7,10},0)),1.5,IF(ISNUMBER(MATCH(MOD(MATCH(CALC_BhaveshMap!$C$8,{"Aries","Taurus","Gemini","Cancer","Leo","Virgo","Libra","Scorpio","Sagittarius","Capricorn","Aquarius","Pisces"},0)-(MATCH(CALC_Karakamsha!$B$5,{"Aries","Taurus","Gemini","Cancer","Leo","Virgo","Libra","Scorpio","Sagittarius","Capricorn","Aquarius","Pisces"},0))+12,12)+1,{1,5,9},0)),1.5,IF(ISNUMBER(MATCH(MOD(MATCH(CALC_BhaveshMap!$C$8,{"Aries","Taurus","Gemini","Cancer","Leo","Virgo","Libra","Scorpio","Sagittarius","Capricorn","Aquarius","Pisces"},0)-(MATCH(CALC_Karakamsha!$B$5,{"Aries","Taurus","Gemini","Cancer","Leo","Virgo","Libra","Scorpio","Sagittarius","Capricorn","Aquarius","Pisces"},0))+12,12)+1,{6,8,12},0)),-1.5,0))),0)</f>
        <v>0</v>
      </c>
      <c r="N20" s="1168">
        <f ca="1">IFERROR(SCORE_AllHouses!$S$8,0)</f>
        <v>1.25</v>
      </c>
      <c r="O20" s="1288">
        <f t="shared" ca="1" si="2"/>
        <v>0.73</v>
      </c>
      <c r="P20" s="954" t="str">
        <f t="shared" ca="1" si="3"/>
        <v>⚪ Mixed</v>
      </c>
      <c r="Q20" s="611" t="str">
        <f ca="1">IFERROR(CONCATENATE("H4: ",IF(O20&gt;=4,"Strong across 9 layers. ",IF(O20&gt;=2,"Generally supported. ",IF(O20&gt;=-2,"Mixed signals. ","Concentrated challenges. "))),IF(ABS(M20)&gt;0,"Karakamsha ",IF(M20&gt;0,"soul-aligned. ","soul-challenged. ")),IF(N20&gt;J20+1,"P2-4 modifiers amplify promise. ",IF(N20&lt;J20-1,"P2-4 modifiers reduce promise. ",""))),"—")</f>
        <v xml:space="preserve">H4: Mixed signals. soul-challenged. </v>
      </c>
      <c r="R20" s="1306" t="str">
        <f>IFERROR(CONCATENATE("A4(Arudha)=H",CALC_ArudhaPada!$G$8," "&amp;CALC_ArudhaPada!$H$8),"—")</f>
        <v>A4(Arudha)=H2 Gemini</v>
      </c>
    </row>
    <row r="21" spans="1:18" ht="21.75" customHeight="1" x14ac:dyDescent="0.2">
      <c r="A21" s="632">
        <v>5</v>
      </c>
      <c r="B21" s="551" t="s">
        <v>3732</v>
      </c>
      <c r="C21" s="950">
        <f ca="1">IFERROR(SCORE_AllHouses!$S$9,0)</f>
        <v>-1.5</v>
      </c>
      <c r="D21" s="950">
        <f>IFERROR(SCORE_H5_Chandra!$C$40,0)</f>
        <v>-4</v>
      </c>
      <c r="E21" s="950">
        <f>IFERROR(SCORE_H5_Surya!$C$40,0)</f>
        <v>-4</v>
      </c>
      <c r="F21" s="950">
        <f ca="1">IFERROR(CALC_CompositeVargaScore!$D$10,0)</f>
        <v>-1.5</v>
      </c>
      <c r="G21" s="950">
        <f ca="1">IFERROR(CALC_CompositeVargaScore!$E$10,0)</f>
        <v>-2</v>
      </c>
      <c r="H21" s="950">
        <f ca="1">IFERROR(CALC_PredictiveTimeline!$G$10,0)</f>
        <v>-0.6</v>
      </c>
      <c r="I21" s="950">
        <f>IFERROR(CALC_PredictiveTimeline!$F$10,0)</f>
        <v>0</v>
      </c>
      <c r="J21" s="1299">
        <f t="shared" ca="1" si="0"/>
        <v>-2.0099999999999998</v>
      </c>
      <c r="K21" s="1300" t="str">
        <f t="shared" ca="1" si="1"/>
        <v>🟠 Challenged</v>
      </c>
      <c r="L21" s="554" t="str">
        <f ca="1">IFERROR(IF(J21&gt;=4,"H5 Intellect strongly supported across "&amp;(IF(C21&gt;2,1,0)+IF(D21&gt;2,1,0)+IF(E21&gt;2,1,0)+IF(F21&gt;0,1,0)+IF(G21&gt;0,1,0))&amp;"/5 layers",IF(J21&gt;=2,"H5 Intellect generally positive — monitor Dasha timing",IF(J21&gt;=-2,"H5 Intellect mixed — natal promise vs current layer divergence",IF(J21&gt;=-4,"H5 Intellect challenged across "&amp;(5-(IF(C21&gt;2,1,0)+IF(D21&gt;2,1,0)+IF(E21&gt;2,1,0)+IF(F21&gt;0,1,0)+IF(G21&gt;0,1,0)))&amp;"/5 layers","H5 Intellect severely challenged — all layers indicate difficulty")))),"—")</f>
        <v>H5 Intellect challenged across 5/5 layers</v>
      </c>
      <c r="M21" s="1301">
        <f>IFERROR(IF(ISNUMBER(MATCH(MOD(MATCH(CALC_BhaveshMap!$C$9,{"Aries","Taurus","Gemini","Cancer","Leo","Virgo","Libra","Scorpio","Sagittarius","Capricorn","Aquarius","Pisces"},0)-(MATCH(CALC_Karakamsha!$B$5,{"Aries","Taurus","Gemini","Cancer","Leo","Virgo","Libra","Scorpio","Sagittarius","Capricorn","Aquarius","Pisces"},0))+12,12)+1,{1,4,7,10},0)),1.5,IF(ISNUMBER(MATCH(MOD(MATCH(CALC_BhaveshMap!$C$9,{"Aries","Taurus","Gemini","Cancer","Leo","Virgo","Libra","Scorpio","Sagittarius","Capricorn","Aquarius","Pisces"},0)-(MATCH(CALC_Karakamsha!$B$5,{"Aries","Taurus","Gemini","Cancer","Leo","Virgo","Libra","Scorpio","Sagittarius","Capricorn","Aquarius","Pisces"},0))+12,12)+1,{1,5,9},0)),1.5,IF(ISNUMBER(MATCH(MOD(MATCH(CALC_BhaveshMap!$C$9,{"Aries","Taurus","Gemini","Cancer","Leo","Virgo","Libra","Scorpio","Sagittarius","Capricorn","Aquarius","Pisces"},0)-(MATCH(CALC_Karakamsha!$B$5,{"Aries","Taurus","Gemini","Cancer","Leo","Virgo","Libra","Scorpio","Sagittarius","Capricorn","Aquarius","Pisces"},0))+12,12)+1,{6,8,12},0)),-1.5,0))),0)</f>
        <v>0</v>
      </c>
      <c r="N21" s="1164">
        <f ca="1">IFERROR(SCORE_AllHouses!$S$9,0)</f>
        <v>-1.5</v>
      </c>
      <c r="O21" s="1285">
        <f t="shared" ca="1" si="2"/>
        <v>-1.8</v>
      </c>
      <c r="P21" s="953" t="str">
        <f t="shared" ca="1" si="3"/>
        <v>⚪ Mixed</v>
      </c>
      <c r="Q21" s="613" t="str">
        <f ca="1">IFERROR(CONCATENATE("H5: ",IF(O21&gt;=4,"Strong across 9 layers. ",IF(O21&gt;=2,"Generally supported. ",IF(O21&gt;=-2,"Mixed signals. ","Concentrated challenges. "))),IF(ABS(M21)&gt;0,"Karakamsha ",IF(M21&gt;0,"soul-aligned. ","soul-challenged. ")),IF(N21&gt;J21+1,"P2-4 modifiers amplify promise. ",IF(N21&lt;J21-1,"P2-4 modifiers reduce promise. ",""))),"—")</f>
        <v xml:space="preserve">H5: Mixed signals. soul-challenged. </v>
      </c>
      <c r="R21" s="1302" t="str">
        <f>IFERROR(CONCATENATE("A5(Arudha)=H",CALC_ArudhaPada!$G$9," "&amp;CALC_ArudhaPada!$H$9),"—")</f>
        <v>A5(Arudha)=H10 Aquarius</v>
      </c>
    </row>
    <row r="22" spans="1:18" ht="21.75" customHeight="1" x14ac:dyDescent="0.2">
      <c r="A22" s="627">
        <v>6</v>
      </c>
      <c r="B22" s="546" t="s">
        <v>3205</v>
      </c>
      <c r="C22" s="949">
        <f ca="1">IFERROR(SCORE_AllHouses!$S$10,0)</f>
        <v>2.25</v>
      </c>
      <c r="D22" s="949">
        <f>IFERROR(SCORE_H6_Chandra!$C$40,0)</f>
        <v>3</v>
      </c>
      <c r="E22" s="949">
        <f>IFERROR(SCORE_H6_Surya!$C$40,0)</f>
        <v>3</v>
      </c>
      <c r="F22" s="949">
        <f ca="1">IFERROR(CALC_CompositeVargaScore!$D$11,0)</f>
        <v>-2</v>
      </c>
      <c r="G22" s="949">
        <f ca="1">IFERROR(CALC_CompositeVargaScore!$E$11,0)</f>
        <v>-1.5</v>
      </c>
      <c r="H22" s="949">
        <f ca="1">IFERROR(CALC_PredictiveTimeline!$G$11,0)</f>
        <v>0.9</v>
      </c>
      <c r="I22" s="949">
        <f>IFERROR(CALC_PredictiveTimeline!$F$11,0)</f>
        <v>0</v>
      </c>
      <c r="J22" s="1303">
        <f t="shared" ca="1" si="0"/>
        <v>1.18</v>
      </c>
      <c r="K22" s="1304" t="str">
        <f t="shared" ca="1" si="1"/>
        <v>⚪ Mixed</v>
      </c>
      <c r="L22" s="550" t="str">
        <f ca="1">IFERROR(IF(J22&gt;=4,"H6 Conflicts strongly supported across "&amp;(IF(C22&gt;2,1,0)+IF(D22&gt;2,1,0)+IF(E22&gt;2,1,0)+IF(F22&gt;0,1,0)+IF(G22&gt;0,1,0))&amp;"/5 layers",IF(J22&gt;=2,"H6 Conflicts generally positive — monitor Dasha timing",IF(J22&gt;=-2,"H6 Conflicts mixed — natal promise vs current layer divergence",IF(J22&gt;=-4,"H6 Conflicts challenged across "&amp;(5-(IF(C22&gt;2,1,0)+IF(D22&gt;2,1,0)+IF(E22&gt;2,1,0)+IF(F22&gt;0,1,0)+IF(G22&gt;0,1,0)))&amp;"/5 layers","H6 Conflicts severely challenged — all layers indicate difficulty")))),"—")</f>
        <v>H6 Conflicts mixed — natal promise vs current layer divergence</v>
      </c>
      <c r="M22" s="1305">
        <f>IFERROR(IF(ISNUMBER(MATCH(MOD(MATCH(CALC_BhaveshMap!$C$10,{"Aries","Taurus","Gemini","Cancer","Leo","Virgo","Libra","Scorpio","Sagittarius","Capricorn","Aquarius","Pisces"},0)-(MATCH(CALC_Karakamsha!$B$5,{"Aries","Taurus","Gemini","Cancer","Leo","Virgo","Libra","Scorpio","Sagittarius","Capricorn","Aquarius","Pisces"},0))+12,12)+1,{1,4,7,10},0)),1.5,IF(ISNUMBER(MATCH(MOD(MATCH(CALC_BhaveshMap!$C$10,{"Aries","Taurus","Gemini","Cancer","Leo","Virgo","Libra","Scorpio","Sagittarius","Capricorn","Aquarius","Pisces"},0)-(MATCH(CALC_Karakamsha!$B$5,{"Aries","Taurus","Gemini","Cancer","Leo","Virgo","Libra","Scorpio","Sagittarius","Capricorn","Aquarius","Pisces"},0))+12,12)+1,{1,5,9},0)),1.5,IF(ISNUMBER(MATCH(MOD(MATCH(CALC_BhaveshMap!$C$10,{"Aries","Taurus","Gemini","Cancer","Leo","Virgo","Libra","Scorpio","Sagittarius","Capricorn","Aquarius","Pisces"},0)-(MATCH(CALC_Karakamsha!$B$5,{"Aries","Taurus","Gemini","Cancer","Leo","Virgo","Libra","Scorpio","Sagittarius","Capricorn","Aquarius","Pisces"},0))+12,12)+1,{6,8,12},0)),-1.5,0))),0)</f>
        <v>0</v>
      </c>
      <c r="N22" s="1168">
        <f ca="1">IFERROR(SCORE_AllHouses!$S$10,0)</f>
        <v>2.25</v>
      </c>
      <c r="O22" s="1288">
        <f t="shared" ca="1" si="2"/>
        <v>1.35</v>
      </c>
      <c r="P22" s="954" t="str">
        <f t="shared" ca="1" si="3"/>
        <v>⚪ Mixed</v>
      </c>
      <c r="Q22" s="611" t="str">
        <f ca="1">IFERROR(CONCATENATE("H6: ",IF(O22&gt;=4,"Strong across 9 layers. ",IF(O22&gt;=2,"Generally supported. ",IF(O22&gt;=-2,"Mixed signals. ","Concentrated challenges. "))),IF(ABS(M22)&gt;0,"Karakamsha ",IF(M22&gt;0,"soul-aligned. ","soul-challenged. ")),IF(N22&gt;J22+1,"P2-4 modifiers amplify promise. ",IF(N22&lt;J22-1,"P2-4 modifiers reduce promise. ",""))),"—")</f>
        <v xml:space="preserve">H6: Mixed signals. soul-challenged. P2-4 modifiers amplify promise. </v>
      </c>
      <c r="R22" s="1306" t="str">
        <f>IFERROR(CONCATENATE("A6(Arudha)=H",CALC_ArudhaPada!$G$10," "&amp;CALC_ArudhaPada!$H$10),"—")</f>
        <v>A6(Arudha)=H12 Aries</v>
      </c>
    </row>
    <row r="23" spans="1:18" ht="21.75" customHeight="1" x14ac:dyDescent="0.2">
      <c r="A23" s="632">
        <v>7</v>
      </c>
      <c r="B23" s="551" t="s">
        <v>3733</v>
      </c>
      <c r="C23" s="950">
        <f ca="1">IFERROR(SCORE_AllHouses!$S$11,0)</f>
        <v>-4.25</v>
      </c>
      <c r="D23" s="950">
        <f>IFERROR(SCORE_H7_Chandra!$C$40,0)</f>
        <v>2.35</v>
      </c>
      <c r="E23" s="950">
        <f>IFERROR(SCORE_H7_Surya!$C$40,0)</f>
        <v>2.25</v>
      </c>
      <c r="F23" s="950">
        <f ca="1">IFERROR(CALC_CompositeVargaScore!$D$12,0)</f>
        <v>-1.35</v>
      </c>
      <c r="G23" s="950">
        <f ca="1">IFERROR(CALC_CompositeVargaScore!$E$12,0)</f>
        <v>-2.4</v>
      </c>
      <c r="H23" s="950">
        <f ca="1">IFERROR(CALC_PredictiveTimeline!$G$12,0)</f>
        <v>-1.7</v>
      </c>
      <c r="I23" s="950">
        <f>IFERROR(CALC_PredictiveTimeline!$F$12,0)</f>
        <v>0</v>
      </c>
      <c r="J23" s="1299">
        <f t="shared" ca="1" si="0"/>
        <v>-1.52</v>
      </c>
      <c r="K23" s="1300" t="str">
        <f t="shared" ca="1" si="1"/>
        <v>⚪ Mixed</v>
      </c>
      <c r="L23" s="554" t="str">
        <f ca="1">IFERROR(IF(J23&gt;=4,"H7 Partnerships strongly supported across "&amp;(IF(C23&gt;2,1,0)+IF(D23&gt;2,1,0)+IF(E23&gt;2,1,0)+IF(F23&gt;0,1,0)+IF(G23&gt;0,1,0))&amp;"/5 layers",IF(J23&gt;=2,"H7 Partnerships generally positive — monitor Dasha timing",IF(J23&gt;=-2,"H7 Partnerships mixed — natal promise vs current layer divergence",IF(J23&gt;=-4,"H7 Partnerships challenged across "&amp;(5-(IF(C23&gt;2,1,0)+IF(D23&gt;2,1,0)+IF(E23&gt;2,1,0)+IF(F23&gt;0,1,0)+IF(G23&gt;0,1,0)))&amp;"/5 layers","H7 Partnerships severely challenged — all layers indicate difficulty")))),"—")</f>
        <v>H7 Partnerships mixed — natal promise vs current layer divergence</v>
      </c>
      <c r="M23" s="1301">
        <f>IFERROR(IF(ISNUMBER(MATCH(MOD(MATCH(CALC_BhaveshMap!$C$11,{"Aries","Taurus","Gemini","Cancer","Leo","Virgo","Libra","Scorpio","Sagittarius","Capricorn","Aquarius","Pisces"},0)-(MATCH(CALC_Karakamsha!$B$5,{"Aries","Taurus","Gemini","Cancer","Leo","Virgo","Libra","Scorpio","Sagittarius","Capricorn","Aquarius","Pisces"},0))+12,12)+1,{1,4,7,10},0)),1.5,IF(ISNUMBER(MATCH(MOD(MATCH(CALC_BhaveshMap!$C$11,{"Aries","Taurus","Gemini","Cancer","Leo","Virgo","Libra","Scorpio","Sagittarius","Capricorn","Aquarius","Pisces"},0)-(MATCH(CALC_Karakamsha!$B$5,{"Aries","Taurus","Gemini","Cancer","Leo","Virgo","Libra","Scorpio","Sagittarius","Capricorn","Aquarius","Pisces"},0))+12,12)+1,{1,5,9},0)),1.5,IF(ISNUMBER(MATCH(MOD(MATCH(CALC_BhaveshMap!$C$11,{"Aries","Taurus","Gemini","Cancer","Leo","Virgo","Libra","Scorpio","Sagittarius","Capricorn","Aquarius","Pisces"},0)-(MATCH(CALC_Karakamsha!$B$5,{"Aries","Taurus","Gemini","Cancer","Leo","Virgo","Libra","Scorpio","Sagittarius","Capricorn","Aquarius","Pisces"},0))+12,12)+1,{6,8,12},0)),-1.5,0))),0)</f>
        <v>0</v>
      </c>
      <c r="N23" s="1164">
        <f ca="1">IFERROR(SCORE_AllHouses!$S$11,0)</f>
        <v>-4.25</v>
      </c>
      <c r="O23" s="1285">
        <f t="shared" ca="1" si="2"/>
        <v>-1.84</v>
      </c>
      <c r="P23" s="953" t="str">
        <f t="shared" ca="1" si="3"/>
        <v>⚪ Mixed</v>
      </c>
      <c r="Q23" s="613" t="str">
        <f ca="1">IFERROR(CONCATENATE("H7: ",IF(O23&gt;=4,"Strong across 9 layers. ",IF(O23&gt;=2,"Generally supported. ",IF(O23&gt;=-2,"Mixed signals. ","Concentrated challenges. "))),IF(ABS(M23)&gt;0,"Karakamsha ",IF(M23&gt;0,"soul-aligned. ","soul-challenged. ")),IF(N23&gt;J23+1,"P2-4 modifiers amplify promise. ",IF(N23&lt;J23-1,"P2-4 modifiers reduce promise. ",""))),"—")</f>
        <v xml:space="preserve">H7: Mixed signals. soul-challenged. P2-4 modifiers reduce promise. </v>
      </c>
      <c r="R23" s="1302" t="str">
        <f>IFERROR(CONCATENATE("A7(Arudha)=H",CALC_ArudhaPada!$G$11," "&amp;CALC_ArudhaPada!$H$11),"—")</f>
        <v>A7(Arudha)=H9 Capricorn</v>
      </c>
    </row>
    <row r="24" spans="1:18" ht="21.75" customHeight="1" x14ac:dyDescent="0.2">
      <c r="A24" s="627">
        <v>8</v>
      </c>
      <c r="B24" s="546" t="s">
        <v>3734</v>
      </c>
      <c r="C24" s="949">
        <f ca="1">IFERROR(SCORE_AllHouses!$S$12,0)</f>
        <v>-2</v>
      </c>
      <c r="D24" s="949">
        <f>IFERROR(SCORE_H8_Chandra!$C$40,0)</f>
        <v>1.5</v>
      </c>
      <c r="E24" s="949">
        <f>IFERROR(SCORE_H8_Surya!$C$40,0)</f>
        <v>1.5</v>
      </c>
      <c r="F24" s="949">
        <f ca="1">IFERROR(CALC_CompositeVargaScore!$D$13,0)</f>
        <v>-2.5</v>
      </c>
      <c r="G24" s="949">
        <f ca="1">IFERROR(CALC_CompositeVargaScore!$E$13,0)</f>
        <v>-2</v>
      </c>
      <c r="H24" s="949">
        <f ca="1">IFERROR(CALC_PredictiveTimeline!$G$13,0)</f>
        <v>-0.8</v>
      </c>
      <c r="I24" s="949">
        <f>IFERROR(CALC_PredictiveTimeline!$F$13,0)</f>
        <v>0</v>
      </c>
      <c r="J24" s="1303">
        <f t="shared" ca="1" si="0"/>
        <v>-0.98</v>
      </c>
      <c r="K24" s="1304" t="str">
        <f t="shared" ca="1" si="1"/>
        <v>⚪ Mixed</v>
      </c>
      <c r="L24" s="550" t="str">
        <f ca="1">IFERROR(IF(J24&gt;=4,"H8 Longevity strongly supported across "&amp;(IF(C24&gt;2,1,0)+IF(D24&gt;2,1,0)+IF(E24&gt;2,1,0)+IF(F24&gt;0,1,0)+IF(G24&gt;0,1,0))&amp;"/5 layers",IF(J24&gt;=2,"H8 Longevity generally positive — monitor Dasha timing",IF(J24&gt;=-2,"H8 Longevity mixed — natal promise vs current layer divergence",IF(J24&gt;=-4,"H8 Longevity challenged across "&amp;(5-(IF(C24&gt;2,1,0)+IF(D24&gt;2,1,0)+IF(E24&gt;2,1,0)+IF(F24&gt;0,1,0)+IF(G24&gt;0,1,0)))&amp;"/5 layers","H8 Longevity severely challenged — all layers indicate difficulty")))),"—")</f>
        <v>H8 Longevity mixed — natal promise vs current layer divergence</v>
      </c>
      <c r="M24" s="1305">
        <f>IFERROR(IF(ISNUMBER(MATCH(MOD(MATCH(CALC_BhaveshMap!$C$12,{"Aries","Taurus","Gemini","Cancer","Leo","Virgo","Libra","Scorpio","Sagittarius","Capricorn","Aquarius","Pisces"},0)-(MATCH(CALC_Karakamsha!$B$5,{"Aries","Taurus","Gemini","Cancer","Leo","Virgo","Libra","Scorpio","Sagittarius","Capricorn","Aquarius","Pisces"},0))+12,12)+1,{1,4,7,10},0)),1.5,IF(ISNUMBER(MATCH(MOD(MATCH(CALC_BhaveshMap!$C$12,{"Aries","Taurus","Gemini","Cancer","Leo","Virgo","Libra","Scorpio","Sagittarius","Capricorn","Aquarius","Pisces"},0)-(MATCH(CALC_Karakamsha!$B$5,{"Aries","Taurus","Gemini","Cancer","Leo","Virgo","Libra","Scorpio","Sagittarius","Capricorn","Aquarius","Pisces"},0))+12,12)+1,{1,5,9},0)),1.5,IF(ISNUMBER(MATCH(MOD(MATCH(CALC_BhaveshMap!$C$12,{"Aries","Taurus","Gemini","Cancer","Leo","Virgo","Libra","Scorpio","Sagittarius","Capricorn","Aquarius","Pisces"},0)-(MATCH(CALC_Karakamsha!$B$5,{"Aries","Taurus","Gemini","Cancer","Leo","Virgo","Libra","Scorpio","Sagittarius","Capricorn","Aquarius","Pisces"},0))+12,12)+1,{6,8,12},0)),-1.5,0))),0)</f>
        <v>0</v>
      </c>
      <c r="N24" s="1168">
        <f ca="1">IFERROR(SCORE_AllHouses!$S$12,0)</f>
        <v>-2</v>
      </c>
      <c r="O24" s="1288">
        <f t="shared" ca="1" si="2"/>
        <v>-1.03</v>
      </c>
      <c r="P24" s="954" t="str">
        <f t="shared" ca="1" si="3"/>
        <v>⚪ Mixed</v>
      </c>
      <c r="Q24" s="611" t="str">
        <f ca="1">IFERROR(CONCATENATE("H8: ",IF(O24&gt;=4,"Strong across 9 layers. ",IF(O24&gt;=2,"Generally supported. ",IF(O24&gt;=-2,"Mixed signals. ","Concentrated challenges. "))),IF(ABS(M24)&gt;0,"Karakamsha ",IF(M24&gt;0,"soul-aligned. ","soul-challenged. ")),IF(N24&gt;J24+1,"P2-4 modifiers amplify promise. ",IF(N24&lt;J24-1,"P2-4 modifiers reduce promise. ",""))),"—")</f>
        <v xml:space="preserve">H8: Mixed signals. soul-challenged. P2-4 modifiers reduce promise. </v>
      </c>
      <c r="R24" s="1306" t="str">
        <f>IFERROR(CONCATENATE("A8(Arudha)=H",CALC_ArudhaPada!$G$12," "&amp;CALC_ArudhaPada!$H$12),"—")</f>
        <v>A8(Arudha)=H4 Leo</v>
      </c>
    </row>
    <row r="25" spans="1:18" ht="21.75" customHeight="1" x14ac:dyDescent="0.2">
      <c r="A25" s="632">
        <v>9</v>
      </c>
      <c r="B25" s="551" t="s">
        <v>3735</v>
      </c>
      <c r="C25" s="950">
        <f ca="1">IFERROR(SCORE_AllHouses!$S$13,0)</f>
        <v>-2.75</v>
      </c>
      <c r="D25" s="950">
        <f>IFERROR(SCORE_H9_Chandra!$C$40,0)</f>
        <v>2.5</v>
      </c>
      <c r="E25" s="950">
        <f>IFERROR(SCORE_H9_Surya!$C$40,0)</f>
        <v>2.5</v>
      </c>
      <c r="F25" s="950">
        <f ca="1">IFERROR(CALC_CompositeVargaScore!$D$14,0)</f>
        <v>-1.8</v>
      </c>
      <c r="G25" s="950">
        <f ca="1">IFERROR(CALC_CompositeVargaScore!$E$14,0)</f>
        <v>-1.4</v>
      </c>
      <c r="H25" s="950">
        <f ca="1">IFERROR(CALC_PredictiveTimeline!$G$14,0)</f>
        <v>-1.1000000000000001</v>
      </c>
      <c r="I25" s="950">
        <f>IFERROR(CALC_PredictiveTimeline!$F$14,0)</f>
        <v>0</v>
      </c>
      <c r="J25" s="1299">
        <f t="shared" ca="1" si="0"/>
        <v>-0.86</v>
      </c>
      <c r="K25" s="1300" t="str">
        <f t="shared" ca="1" si="1"/>
        <v>⚪ Mixed</v>
      </c>
      <c r="L25" s="554" t="str">
        <f ca="1">IFERROR(IF(J25&gt;=4,"H9 Fortune strongly supported across "&amp;(IF(C25&gt;2,1,0)+IF(D25&gt;2,1,0)+IF(E25&gt;2,1,0)+IF(F25&gt;0,1,0)+IF(G25&gt;0,1,0))&amp;"/5 layers",IF(J25&gt;=2,"H9 Fortune generally positive — monitor Dasha timing",IF(J25&gt;=-2,"H9 Fortune mixed — natal promise vs current layer divergence",IF(J25&gt;=-4,"H9 Fortune challenged across "&amp;(5-(IF(C25&gt;2,1,0)+IF(D25&gt;2,1,0)+IF(E25&gt;2,1,0)+IF(F25&gt;0,1,0)+IF(G25&gt;0,1,0)))&amp;"/5 layers","H9 Fortune severely challenged — all layers indicate difficulty")))),"—")</f>
        <v>H9 Fortune mixed — natal promise vs current layer divergence</v>
      </c>
      <c r="M25" s="1301">
        <f>IFERROR(IF(ISNUMBER(MATCH(MOD(MATCH(CALC_BhaveshMap!$C$13,{"Aries","Taurus","Gemini","Cancer","Leo","Virgo","Libra","Scorpio","Sagittarius","Capricorn","Aquarius","Pisces"},0)-(MATCH(CALC_Karakamsha!$B$5,{"Aries","Taurus","Gemini","Cancer","Leo","Virgo","Libra","Scorpio","Sagittarius","Capricorn","Aquarius","Pisces"},0))+12,12)+1,{1,4,7,10},0)),1.5,IF(ISNUMBER(MATCH(MOD(MATCH(CALC_BhaveshMap!$C$13,{"Aries","Taurus","Gemini","Cancer","Leo","Virgo","Libra","Scorpio","Sagittarius","Capricorn","Aquarius","Pisces"},0)-(MATCH(CALC_Karakamsha!$B$5,{"Aries","Taurus","Gemini","Cancer","Leo","Virgo","Libra","Scorpio","Sagittarius","Capricorn","Aquarius","Pisces"},0))+12,12)+1,{1,5,9},0)),1.5,IF(ISNUMBER(MATCH(MOD(MATCH(CALC_BhaveshMap!$C$13,{"Aries","Taurus","Gemini","Cancer","Leo","Virgo","Libra","Scorpio","Sagittarius","Capricorn","Aquarius","Pisces"},0)-(MATCH(CALC_Karakamsha!$B$5,{"Aries","Taurus","Gemini","Cancer","Leo","Virgo","Libra","Scorpio","Sagittarius","Capricorn","Aquarius","Pisces"},0))+12,12)+1,{6,8,12},0)),-1.5,0))),0)</f>
        <v>0</v>
      </c>
      <c r="N25" s="1164">
        <f ca="1">IFERROR(SCORE_AllHouses!$S$13,0)</f>
        <v>-2.75</v>
      </c>
      <c r="O25" s="1285">
        <f t="shared" ca="1" si="2"/>
        <v>-1.07</v>
      </c>
      <c r="P25" s="953" t="str">
        <f t="shared" ca="1" si="3"/>
        <v>⚪ Mixed</v>
      </c>
      <c r="Q25" s="613" t="str">
        <f ca="1">IFERROR(CONCATENATE("H9: ",IF(O25&gt;=4,"Strong across 9 layers. ",IF(O25&gt;=2,"Generally supported. ",IF(O25&gt;=-2,"Mixed signals. ","Concentrated challenges. "))),IF(ABS(M25)&gt;0,"Karakamsha ",IF(M25&gt;0,"soul-aligned. ","soul-challenged. ")),IF(N25&gt;J25+1,"P2-4 modifiers amplify promise. ",IF(N25&lt;J25-1,"P2-4 modifiers reduce promise. ",""))),"—")</f>
        <v xml:space="preserve">H9: Mixed signals. soul-challenged. P2-4 modifiers reduce promise. </v>
      </c>
      <c r="R25" s="1302" t="str">
        <f>IFERROR(CONCATENATE("A9(Arudha)=H",CALC_ArudhaPada!$G$13," "&amp;CALC_ArudhaPada!$H$13),"—")</f>
        <v>A9(Arudha)=H9 Capricorn</v>
      </c>
    </row>
    <row r="26" spans="1:18" ht="21.75" customHeight="1" x14ac:dyDescent="0.2">
      <c r="A26" s="627">
        <v>10</v>
      </c>
      <c r="B26" s="546" t="s">
        <v>3197</v>
      </c>
      <c r="C26" s="949">
        <f ca="1">IFERROR(SCORE_AllHouses!$S$14,0)</f>
        <v>-1.5</v>
      </c>
      <c r="D26" s="949">
        <f>IFERROR(SCORE_H10_Chandra!$C$40,0)</f>
        <v>-1.75</v>
      </c>
      <c r="E26" s="949">
        <f>IFERROR(SCORE_H10_Surya!$C$40,0)</f>
        <v>-1.5</v>
      </c>
      <c r="F26" s="949">
        <f ca="1">IFERROR(CALC_CompositeVargaScore!$D$15,0)</f>
        <v>-1.5</v>
      </c>
      <c r="G26" s="949">
        <f ca="1">IFERROR(CALC_CompositeVargaScore!$E$15,0)</f>
        <v>-2.75</v>
      </c>
      <c r="H26" s="949">
        <f ca="1">IFERROR(CALC_PredictiveTimeline!$G$15,0)</f>
        <v>-1.1000000000000001</v>
      </c>
      <c r="I26" s="949">
        <f>IFERROR(CALC_PredictiveTimeline!$F$15,0)</f>
        <v>-1</v>
      </c>
      <c r="J26" s="1303">
        <f t="shared" ca="1" si="0"/>
        <v>-1.6</v>
      </c>
      <c r="K26" s="1304" t="str">
        <f t="shared" ca="1" si="1"/>
        <v>⚪ Mixed</v>
      </c>
      <c r="L26" s="550" t="str">
        <f ca="1">IFERROR(IF(J26&gt;=4,"H10 Career strongly supported across "&amp;(IF(C26&gt;2,1,0)+IF(D26&gt;2,1,0)+IF(E26&gt;2,1,0)+IF(F26&gt;0,1,0)+IF(G26&gt;0,1,0))&amp;"/5 layers",IF(J26&gt;=2,"H10 Career generally positive — monitor Dasha timing",IF(J26&gt;=-2,"H10 Career mixed — natal promise vs current layer divergence",IF(J26&gt;=-4,"H10 Career challenged across "&amp;(5-(IF(C26&gt;2,1,0)+IF(D26&gt;2,1,0)+IF(E26&gt;2,1,0)+IF(F26&gt;0,1,0)+IF(G26&gt;0,1,0)))&amp;"/5 layers","H10 Career severely challenged — all layers indicate difficulty")))),"—")</f>
        <v>H10 Career mixed — natal promise vs current layer divergence</v>
      </c>
      <c r="M26" s="1305">
        <f>IFERROR(IF(ISNUMBER(MATCH(MOD(MATCH(CALC_BhaveshMap!$C$14,{"Aries","Taurus","Gemini","Cancer","Leo","Virgo","Libra","Scorpio","Sagittarius","Capricorn","Aquarius","Pisces"},0)-(MATCH(CALC_Karakamsha!$B$5,{"Aries","Taurus","Gemini","Cancer","Leo","Virgo","Libra","Scorpio","Sagittarius","Capricorn","Aquarius","Pisces"},0))+12,12)+1,{1,4,7,10},0)),1.5,IF(ISNUMBER(MATCH(MOD(MATCH(CALC_BhaveshMap!$C$14,{"Aries","Taurus","Gemini","Cancer","Leo","Virgo","Libra","Scorpio","Sagittarius","Capricorn","Aquarius","Pisces"},0)-(MATCH(CALC_Karakamsha!$B$5,{"Aries","Taurus","Gemini","Cancer","Leo","Virgo","Libra","Scorpio","Sagittarius","Capricorn","Aquarius","Pisces"},0))+12,12)+1,{1,5,9},0)),1.5,IF(ISNUMBER(MATCH(MOD(MATCH(CALC_BhaveshMap!$C$14,{"Aries","Taurus","Gemini","Cancer","Leo","Virgo","Libra","Scorpio","Sagittarius","Capricorn","Aquarius","Pisces"},0)-(MATCH(CALC_Karakamsha!$B$5,{"Aries","Taurus","Gemini","Cancer","Leo","Virgo","Libra","Scorpio","Sagittarius","Capricorn","Aquarius","Pisces"},0))+12,12)+1,{6,8,12},0)),-1.5,0))),0)</f>
        <v>0</v>
      </c>
      <c r="N26" s="1168">
        <f ca="1">IFERROR(SCORE_AllHouses!$S$14,0)</f>
        <v>-1.5</v>
      </c>
      <c r="O26" s="1288">
        <f t="shared" ca="1" si="2"/>
        <v>-1.48</v>
      </c>
      <c r="P26" s="954" t="str">
        <f t="shared" ca="1" si="3"/>
        <v>⚪ Mixed</v>
      </c>
      <c r="Q26" s="611" t="str">
        <f ca="1">IFERROR(CONCATENATE("H10: ",IF(O26&gt;=4,"Strong across 9 layers. ",IF(O26&gt;=2,"Generally supported. ",IF(O26&gt;=-2,"Mixed signals. ","Concentrated challenges. "))),IF(ABS(M26)&gt;0,"Karakamsha ",IF(M26&gt;0,"soul-aligned. ","soul-challenged. ")),IF(N26&gt;J26+1,"P2-4 modifiers amplify promise. ",IF(N26&lt;J26-1,"P2-4 modifiers reduce promise. ",""))),"—")</f>
        <v xml:space="preserve">H10: Mixed signals. soul-challenged. </v>
      </c>
      <c r="R26" s="1306" t="str">
        <f>IFERROR(CONCATENATE("A10(Arudha)=H",CALC_ArudhaPada!$G$14," "&amp;CALC_ArudhaPada!$H$14),"—")</f>
        <v>A10(Arudha)=H8 Sagittarius</v>
      </c>
    </row>
    <row r="27" spans="1:18" ht="21.75" customHeight="1" x14ac:dyDescent="0.2">
      <c r="A27" s="632">
        <v>11</v>
      </c>
      <c r="B27" s="551" t="s">
        <v>3736</v>
      </c>
      <c r="C27" s="950">
        <f ca="1">IFERROR(SCORE_AllHouses!$S$15,0)</f>
        <v>-1.75</v>
      </c>
      <c r="D27" s="950">
        <f>IFERROR(SCORE_H11_Chandra!$C$40,0)</f>
        <v>0.5</v>
      </c>
      <c r="E27" s="950">
        <f>IFERROR(SCORE_H11_Surya!$C$40,0)</f>
        <v>0.5</v>
      </c>
      <c r="F27" s="950">
        <f ca="1">IFERROR(CALC_CompositeVargaScore!$D$16,0)</f>
        <v>-3</v>
      </c>
      <c r="G27" s="950">
        <f ca="1">IFERROR(CALC_CompositeVargaScore!$E$16,0)</f>
        <v>-3</v>
      </c>
      <c r="H27" s="950">
        <f ca="1">IFERROR(CALC_PredictiveTimeline!$G$16,0)</f>
        <v>-0.95</v>
      </c>
      <c r="I27" s="950">
        <f>IFERROR(CALC_PredictiveTimeline!$F$16,0)</f>
        <v>-0.5</v>
      </c>
      <c r="J27" s="1299">
        <f t="shared" ca="1" si="0"/>
        <v>-1.36</v>
      </c>
      <c r="K27" s="1300" t="str">
        <f t="shared" ca="1" si="1"/>
        <v>⚪ Mixed</v>
      </c>
      <c r="L27" s="554" t="str">
        <f ca="1">IFERROR(IF(J27&gt;=4,"H11 Gains strongly supported across "&amp;(IF(C27&gt;2,1,0)+IF(D27&gt;2,1,0)+IF(E27&gt;2,1,0)+IF(F27&gt;0,1,0)+IF(G27&gt;0,1,0))&amp;"/5 layers",IF(J27&gt;=2,"H11 Gains generally positive — monitor Dasha timing",IF(J27&gt;=-2,"H11 Gains mixed — natal promise vs current layer divergence",IF(J27&gt;=-4,"H11 Gains challenged across "&amp;(5-(IF(C27&gt;2,1,0)+IF(D27&gt;2,1,0)+IF(E27&gt;2,1,0)+IF(F27&gt;0,1,0)+IF(G27&gt;0,1,0)))&amp;"/5 layers","H11 Gains severely challenged — all layers indicate difficulty")))),"—")</f>
        <v>H11 Gains mixed — natal promise vs current layer divergence</v>
      </c>
      <c r="M27" s="1301">
        <f>IFERROR(IF(ISNUMBER(MATCH(MOD(MATCH(CALC_BhaveshMap!$C$15,{"Aries","Taurus","Gemini","Cancer","Leo","Virgo","Libra","Scorpio","Sagittarius","Capricorn","Aquarius","Pisces"},0)-(MATCH(CALC_Karakamsha!$B$5,{"Aries","Taurus","Gemini","Cancer","Leo","Virgo","Libra","Scorpio","Sagittarius","Capricorn","Aquarius","Pisces"},0))+12,12)+1,{1,4,7,10},0)),1.5,IF(ISNUMBER(MATCH(MOD(MATCH(CALC_BhaveshMap!$C$15,{"Aries","Taurus","Gemini","Cancer","Leo","Virgo","Libra","Scorpio","Sagittarius","Capricorn","Aquarius","Pisces"},0)-(MATCH(CALC_Karakamsha!$B$5,{"Aries","Taurus","Gemini","Cancer","Leo","Virgo","Libra","Scorpio","Sagittarius","Capricorn","Aquarius","Pisces"},0))+12,12)+1,{1,5,9},0)),1.5,IF(ISNUMBER(MATCH(MOD(MATCH(CALC_BhaveshMap!$C$15,{"Aries","Taurus","Gemini","Cancer","Leo","Virgo","Libra","Scorpio","Sagittarius","Capricorn","Aquarius","Pisces"},0)-(MATCH(CALC_Karakamsha!$B$5,{"Aries","Taurus","Gemini","Cancer","Leo","Virgo","Libra","Scorpio","Sagittarius","Capricorn","Aquarius","Pisces"},0))+12,12)+1,{6,8,12},0)),-1.5,0))),0)</f>
        <v>0</v>
      </c>
      <c r="N27" s="1164">
        <f ca="1">IFERROR(SCORE_AllHouses!$S$15,0)</f>
        <v>-1.75</v>
      </c>
      <c r="O27" s="1285">
        <f t="shared" ca="1" si="2"/>
        <v>-1.28</v>
      </c>
      <c r="P27" s="953" t="str">
        <f t="shared" ca="1" si="3"/>
        <v>⚪ Mixed</v>
      </c>
      <c r="Q27" s="613" t="str">
        <f ca="1">IFERROR(CONCATENATE("H11: ",IF(O27&gt;=4,"Strong across 9 layers. ",IF(O27&gt;=2,"Generally supported. ",IF(O27&gt;=-2,"Mixed signals. ","Concentrated challenges. "))),IF(ABS(M27)&gt;0,"Karakamsha ",IF(M27&gt;0,"soul-aligned. ","soul-challenged. ")),IF(N27&gt;J27+1,"P2-4 modifiers amplify promise. ",IF(N27&lt;J27-1,"P2-4 modifiers reduce promise. ",""))),"—")</f>
        <v xml:space="preserve">H11: Mixed signals. soul-challenged. </v>
      </c>
      <c r="R27" s="1302" t="str">
        <f>IFERROR(CONCATENATE("A11(Arudha)=H",CALC_ArudhaPada!$G$15," "&amp;CALC_ArudhaPada!$H$15),"—")</f>
        <v>A11(Arudha)=H10 Aquarius</v>
      </c>
    </row>
    <row r="28" spans="1:18" ht="21.75" customHeight="1" x14ac:dyDescent="0.2">
      <c r="A28" s="627">
        <v>12</v>
      </c>
      <c r="B28" s="546" t="s">
        <v>3737</v>
      </c>
      <c r="C28" s="949">
        <f ca="1">IFERROR(SCORE_AllHouses!$S$16,0)</f>
        <v>-1</v>
      </c>
      <c r="D28" s="949">
        <f>IFERROR(SCORE_H12_Chandra!$C$40,0)</f>
        <v>1.75</v>
      </c>
      <c r="E28" s="949">
        <f>IFERROR(SCORE_H12_Surya!$C$40,0)</f>
        <v>1.75</v>
      </c>
      <c r="F28" s="949">
        <f ca="1">IFERROR(CALC_CompositeVargaScore!$D$17,0)</f>
        <v>-3</v>
      </c>
      <c r="G28" s="949">
        <f ca="1">IFERROR(CALC_CompositeVargaScore!$E$17,0)</f>
        <v>-1.5</v>
      </c>
      <c r="H28" s="949">
        <f ca="1">IFERROR(CALC_PredictiveTimeline!$G$17,0)</f>
        <v>-0.4</v>
      </c>
      <c r="I28" s="949">
        <f>IFERROR(CALC_PredictiveTimeline!$F$17,0)</f>
        <v>0</v>
      </c>
      <c r="J28" s="1303">
        <f t="shared" ca="1" si="0"/>
        <v>-0.55000000000000004</v>
      </c>
      <c r="K28" s="1304" t="str">
        <f t="shared" ca="1" si="1"/>
        <v>⚪ Mixed</v>
      </c>
      <c r="L28" s="550" t="str">
        <f ca="1">IFERROR(IF(J28&gt;=4,"H12 Liberation strongly supported across "&amp;(IF(C28&gt;2,1,0)+IF(D28&gt;2,1,0)+IF(E28&gt;2,1,0)+IF(F28&gt;0,1,0)+IF(G28&gt;0,1,0))&amp;"/5 layers",IF(J28&gt;=2,"H12 Liberation generally positive — monitor Dasha timing",IF(J28&gt;=-2,"H12 Liberation mixed — natal promise vs current layer divergence",IF(J28&gt;=-4,"H12 Liberation challenged across "&amp;(5-(IF(C28&gt;2,1,0)+IF(D28&gt;2,1,0)+IF(E28&gt;2,1,0)+IF(F28&gt;0,1,0)+IF(G28&gt;0,1,0)))&amp;"/5 layers","H12 Liberation severely challenged — all layers indicate difficulty")))),"—")</f>
        <v>H12 Liberation mixed — natal promise vs current layer divergence</v>
      </c>
      <c r="M28" s="1305">
        <f>IFERROR(IF(ISNUMBER(MATCH(MOD(MATCH(CALC_BhaveshMap!$C$16,{"Aries","Taurus","Gemini","Cancer","Leo","Virgo","Libra","Scorpio","Sagittarius","Capricorn","Aquarius","Pisces"},0)-(MATCH(CALC_Karakamsha!$B$5,{"Aries","Taurus","Gemini","Cancer","Leo","Virgo","Libra","Scorpio","Sagittarius","Capricorn","Aquarius","Pisces"},0))+12,12)+1,{1,4,7,10},0)),1.5,IF(ISNUMBER(MATCH(MOD(MATCH(CALC_BhaveshMap!$C$16,{"Aries","Taurus","Gemini","Cancer","Leo","Virgo","Libra","Scorpio","Sagittarius","Capricorn","Aquarius","Pisces"},0)-(MATCH(CALC_Karakamsha!$B$5,{"Aries","Taurus","Gemini","Cancer","Leo","Virgo","Libra","Scorpio","Sagittarius","Capricorn","Aquarius","Pisces"},0))+12,12)+1,{1,5,9},0)),1.5,IF(ISNUMBER(MATCH(MOD(MATCH(CALC_BhaveshMap!$C$16,{"Aries","Taurus","Gemini","Cancer","Leo","Virgo","Libra","Scorpio","Sagittarius","Capricorn","Aquarius","Pisces"},0)-(MATCH(CALC_Karakamsha!$B$5,{"Aries","Taurus","Gemini","Cancer","Leo","Virgo","Libra","Scorpio","Sagittarius","Capricorn","Aquarius","Pisces"},0))+12,12)+1,{6,8,12},0)),-1.5,0))),0)</f>
        <v>0</v>
      </c>
      <c r="N28" s="1168">
        <f ca="1">IFERROR(SCORE_AllHouses!$S$16,0)</f>
        <v>-1</v>
      </c>
      <c r="O28" s="1288">
        <f t="shared" ca="1" si="2"/>
        <v>-0.53</v>
      </c>
      <c r="P28" s="954" t="str">
        <f t="shared" ca="1" si="3"/>
        <v>⚪ Mixed</v>
      </c>
      <c r="Q28" s="611" t="str">
        <f ca="1">IFERROR(CONCATENATE("H12: ",IF(O28&gt;=4,"Strong across 9 layers. ",IF(O28&gt;=2,"Generally supported. ",IF(O28&gt;=-2,"Mixed signals. ","Concentrated challenges. "))),IF(ABS(M28)&gt;0,"Karakamsha ",IF(M28&gt;0,"soul-aligned. ","soul-challenged. ")),IF(N28&gt;J28+1,"P2-4 modifiers amplify promise. ",IF(N28&lt;J28-1,"P2-4 modifiers reduce promise. ",""))),"—")</f>
        <v xml:space="preserve">H12: Mixed signals. soul-challenged. </v>
      </c>
      <c r="R28" s="1306" t="str">
        <f>IFERROR(CONCATENATE("A12(Arudha)=H",CALC_ArudhaPada!$G$16," "&amp;CALC_ArudhaPada!$H$16),"—")</f>
        <v>A12(Arudha)=H4 Leo</v>
      </c>
    </row>
    <row r="30" spans="1:18" ht="18" customHeight="1" x14ac:dyDescent="0.2">
      <c r="A30" s="1524" t="s">
        <v>5117</v>
      </c>
      <c r="B30" s="1524"/>
      <c r="C30" s="1524"/>
      <c r="D30" s="1524"/>
      <c r="E30" s="1524"/>
      <c r="F30" s="1524"/>
      <c r="G30" s="1524"/>
      <c r="H30" s="1524"/>
      <c r="I30" s="1524"/>
      <c r="J30" s="1524"/>
      <c r="K30" s="1524"/>
      <c r="L30" s="1524"/>
    </row>
    <row r="31" spans="1:18" ht="15.75" customHeight="1" x14ac:dyDescent="0.2">
      <c r="A31" s="545" t="s">
        <v>5044</v>
      </c>
      <c r="B31" s="545" t="s">
        <v>5045</v>
      </c>
      <c r="C31" s="545" t="s">
        <v>5046</v>
      </c>
      <c r="D31" s="545" t="s">
        <v>5118</v>
      </c>
      <c r="E31" s="545" t="s">
        <v>5119</v>
      </c>
      <c r="F31" s="545" t="s">
        <v>5120</v>
      </c>
      <c r="G31" s="545" t="s">
        <v>5121</v>
      </c>
      <c r="H31" s="545"/>
      <c r="I31" s="545"/>
      <c r="J31" s="545"/>
      <c r="K31" s="545"/>
      <c r="L31" s="545"/>
    </row>
    <row r="32" spans="1:18" ht="19.5" customHeight="1" x14ac:dyDescent="0.2">
      <c r="A32" s="626" t="s">
        <v>1225</v>
      </c>
      <c r="B32" s="574" t="s">
        <v>5050</v>
      </c>
      <c r="C32" s="1307">
        <f ca="1">IFERROR(AVERAGE(C17,C21,C25),0)</f>
        <v>-1</v>
      </c>
      <c r="D32" s="1307">
        <f ca="1">IFERROR(AVERAGE(J17,J21,J25),0)</f>
        <v>-0.70666666666666655</v>
      </c>
      <c r="E32" s="574" t="str">
        <f ca="1">IFERROR("H"&amp;MATCH(MAX(J17,J21,J25),$J$17:$J$28,0),"—")</f>
        <v>H1</v>
      </c>
      <c r="F32" s="574" t="str">
        <f ca="1">IFERROR("H"&amp;MATCH(MIN(J17,J21,J25),$J$17:$J$28,0),"—")</f>
        <v>H5</v>
      </c>
      <c r="G32" s="546" t="str">
        <f ca="1">IFERROR(IF(D32&gt;=3,"🟢 Domain strong",IF(D32&gt;=1,"🟡 Domain positive",IF(D32&gt;=-1,"⚪ Domain mixed","🔴 Domain challenged"))),"—")</f>
        <v>⚪ Domain mixed</v>
      </c>
      <c r="H32" s="574"/>
      <c r="I32" s="574"/>
      <c r="J32" s="574"/>
      <c r="K32" s="574"/>
      <c r="L32" s="574"/>
    </row>
    <row r="33" spans="1:12" ht="19.5" customHeight="1" x14ac:dyDescent="0.2">
      <c r="A33" s="631" t="s">
        <v>1190</v>
      </c>
      <c r="B33" s="576" t="s">
        <v>5051</v>
      </c>
      <c r="C33" s="1308">
        <f ca="1">IFERROR(AVERAGE(C18,C22,C26),0)</f>
        <v>-1.5</v>
      </c>
      <c r="D33" s="1308">
        <f ca="1">IFERROR(AVERAGE(J18,J22,J26),0)</f>
        <v>-0.63</v>
      </c>
      <c r="E33" s="576" t="str">
        <f ca="1">IFERROR("H"&amp;MATCH(MAX(J18,J22,J26),$J$17:$J$28,0),"—")</f>
        <v>H6</v>
      </c>
      <c r="F33" s="576" t="str">
        <f ca="1">IFERROR("H"&amp;MATCH(MIN(J18,J22,J26),$J$17:$J$28,0),"—")</f>
        <v>H10</v>
      </c>
      <c r="G33" s="551" t="str">
        <f ca="1">IFERROR(IF(D33&gt;=3,"🟢 Domain strong",IF(D33&gt;=1,"🟡 Domain positive",IF(D33&gt;=-1,"⚪ Domain mixed","🔴 Domain challenged"))),"—")</f>
        <v>⚪ Domain mixed</v>
      </c>
      <c r="H33" s="576"/>
      <c r="I33" s="576"/>
      <c r="J33" s="576"/>
      <c r="K33" s="576"/>
      <c r="L33" s="576"/>
    </row>
    <row r="34" spans="1:12" ht="19.5" customHeight="1" x14ac:dyDescent="0.2">
      <c r="A34" s="626" t="s">
        <v>1255</v>
      </c>
      <c r="B34" s="574" t="s">
        <v>5052</v>
      </c>
      <c r="C34" s="1307">
        <f ca="1">IFERROR(AVERAGE(C19,C23,C27),0)</f>
        <v>-1.6666666666666667</v>
      </c>
      <c r="D34" s="1307">
        <f ca="1">IFERROR(AVERAGE(J19,J23,J27),0)</f>
        <v>-0.65</v>
      </c>
      <c r="E34" s="574" t="str">
        <f ca="1">IFERROR("H"&amp;MATCH(MAX(J19,J23,J27),$J$17:$J$28,0),"—")</f>
        <v>H3</v>
      </c>
      <c r="F34" s="574" t="str">
        <f ca="1">IFERROR("H"&amp;MATCH(MIN(J19,J23,J27),$J$17:$J$28,0),"—")</f>
        <v>H7</v>
      </c>
      <c r="G34" s="546" t="str">
        <f ca="1">IFERROR(IF(D34&gt;=3,"🟢 Domain strong",IF(D34&gt;=1,"🟡 Domain positive",IF(D34&gt;=-1,"⚪ Domain mixed","🔴 Domain challenged"))),"—")</f>
        <v>⚪ Domain mixed</v>
      </c>
      <c r="H34" s="574"/>
      <c r="I34" s="574"/>
      <c r="J34" s="574"/>
      <c r="K34" s="574"/>
      <c r="L34" s="574"/>
    </row>
    <row r="35" spans="1:12" ht="19.5" customHeight="1" x14ac:dyDescent="0.2">
      <c r="A35" s="631" t="s">
        <v>1268</v>
      </c>
      <c r="B35" s="576" t="s">
        <v>5053</v>
      </c>
      <c r="C35" s="1308">
        <f ca="1">IFERROR(AVERAGE(C20,C24,C28),0)</f>
        <v>-0.58333333333333337</v>
      </c>
      <c r="D35" s="1308">
        <f ca="1">IFERROR(AVERAGE(J20,J24,J28),0)</f>
        <v>-0.3</v>
      </c>
      <c r="E35" s="576" t="str">
        <f ca="1">IFERROR("H"&amp;MATCH(MAX(J20,J24,J28),$J$17:$J$28,0),"—")</f>
        <v>H4</v>
      </c>
      <c r="F35" s="576" t="str">
        <f ca="1">IFERROR("H"&amp;MATCH(MIN(J20,J24,J28),$J$17:$J$28,0),"—")</f>
        <v>H8</v>
      </c>
      <c r="G35" s="551" t="str">
        <f ca="1">IFERROR(IF(D35&gt;=3,"🟢 Domain strong",IF(D35&gt;=1,"🟡 Domain positive",IF(D35&gt;=-1,"⚪ Domain mixed","🔴 Domain challenged"))),"—")</f>
        <v>⚪ Domain mixed</v>
      </c>
      <c r="H35" s="576"/>
      <c r="I35" s="576"/>
      <c r="J35" s="576"/>
      <c r="K35" s="576"/>
      <c r="L35" s="576"/>
    </row>
  </sheetData>
  <mergeCells count="5">
    <mergeCell ref="A1:L1"/>
    <mergeCell ref="A2:L2"/>
    <mergeCell ref="A4:L4"/>
    <mergeCell ref="A15:L15"/>
    <mergeCell ref="A30:L30"/>
  </mergeCells>
  <pageMargins left="0.75" right="0.75" top="1" bottom="1" header="0.511811023622047" footer="0.511811023622047"/>
  <pageSetup paperSize="9" orientation="portrait" horizontalDpi="300" verticalDpi="300"/>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tabColor rgb="FF00838F"/>
  </sheetPr>
  <dimension ref="A1:M37"/>
  <sheetViews>
    <sheetView zoomScaleNormal="100" workbookViewId="0"/>
  </sheetViews>
  <sheetFormatPr defaultColWidth="8.609375" defaultRowHeight="15" x14ac:dyDescent="0.2"/>
  <cols>
    <col min="1" max="1" width="6.05078125" customWidth="1"/>
    <col min="2" max="2" width="16.0078125" customWidth="1"/>
    <col min="3" max="4" width="13.98828125" customWidth="1"/>
    <col min="5" max="6" width="9.953125" customWidth="1"/>
    <col min="7" max="7" width="16.0078125" customWidth="1"/>
    <col min="8" max="9" width="13.98828125" customWidth="1"/>
    <col min="10" max="11" width="9.953125" customWidth="1"/>
    <col min="12" max="12" width="39.953125" customWidth="1"/>
  </cols>
  <sheetData>
    <row r="1" spans="1:13" ht="27.75" customHeight="1" x14ac:dyDescent="0.2">
      <c r="A1" s="1612" t="s">
        <v>5122</v>
      </c>
      <c r="B1" s="1612"/>
      <c r="C1" s="1612"/>
      <c r="D1" s="1612"/>
      <c r="E1" s="1612"/>
      <c r="F1" s="1612"/>
      <c r="G1" s="1612"/>
      <c r="H1" s="1612"/>
      <c r="I1" s="1612"/>
      <c r="J1" s="1612"/>
      <c r="K1" s="1612"/>
      <c r="L1" s="1612"/>
      <c r="M1" s="601" t="s">
        <v>2214</v>
      </c>
    </row>
    <row r="2" spans="1:13" ht="24" customHeight="1" x14ac:dyDescent="0.2">
      <c r="A2" s="1523" t="s">
        <v>5123</v>
      </c>
      <c r="B2" s="1523"/>
      <c r="C2" s="1523"/>
      <c r="D2" s="1523"/>
      <c r="E2" s="1523"/>
      <c r="F2" s="1523"/>
      <c r="G2" s="1523"/>
      <c r="H2" s="1523"/>
      <c r="I2" s="1523"/>
      <c r="J2" s="1523"/>
      <c r="K2" s="1523"/>
      <c r="L2" s="1523"/>
    </row>
    <row r="4" spans="1:13" ht="18" customHeight="1" x14ac:dyDescent="0.2">
      <c r="A4" s="1524" t="s">
        <v>5124</v>
      </c>
      <c r="B4" s="1524"/>
      <c r="C4" s="1524"/>
      <c r="D4" s="1524"/>
      <c r="E4" s="1524"/>
      <c r="F4" s="1524"/>
      <c r="G4" s="1524"/>
      <c r="H4" s="1524"/>
      <c r="I4" s="1524"/>
      <c r="J4" s="1524"/>
      <c r="K4" s="1524"/>
      <c r="L4" s="1524"/>
    </row>
    <row r="5" spans="1:13" ht="15.75" customHeight="1" x14ac:dyDescent="0.2">
      <c r="A5" s="545" t="s">
        <v>2475</v>
      </c>
      <c r="B5" s="545" t="s">
        <v>319</v>
      </c>
      <c r="C5" s="545" t="s">
        <v>3711</v>
      </c>
      <c r="D5" s="545" t="s">
        <v>3712</v>
      </c>
      <c r="E5" s="545" t="s">
        <v>5125</v>
      </c>
      <c r="F5" s="545" t="s">
        <v>3713</v>
      </c>
      <c r="G5" s="545" t="s">
        <v>4234</v>
      </c>
      <c r="H5" s="545" t="s">
        <v>5126</v>
      </c>
      <c r="I5" s="545" t="s">
        <v>5127</v>
      </c>
      <c r="J5" s="545" t="s">
        <v>5128</v>
      </c>
      <c r="K5" s="545" t="s">
        <v>5129</v>
      </c>
      <c r="L5" s="545" t="s">
        <v>4237</v>
      </c>
    </row>
    <row r="6" spans="1:13" ht="19.5" customHeight="1" x14ac:dyDescent="0.2">
      <c r="A6" s="627">
        <v>1</v>
      </c>
      <c r="B6" s="578" t="str">
        <f>IFERROR(CALC_DashaActive!$B$4,"—")</f>
        <v>Saturn</v>
      </c>
      <c r="C6" s="1309">
        <f>IFERROR(CALC_DashaActive!$C$4,"—")</f>
        <v>17394</v>
      </c>
      <c r="D6" s="1309">
        <f>IFERROR(CALC_DashaActive!$D$4,"—")</f>
        <v>23994.067500000001</v>
      </c>
      <c r="E6" s="949">
        <f>IFERROR(CALC_DashaActive!$E$4,"—")</f>
        <v>18.07</v>
      </c>
      <c r="F6" s="915" t="str">
        <f ca="1">IFERROR(IF(CALC_DashaActive!$F$4="▶ ACTIVE","▶ ACTIVE","·"),"·")</f>
        <v>·</v>
      </c>
      <c r="G6" s="610" t="str">
        <f ca="1">IFERROR(IF(F6="▶ ACTIVE",INDEX(CALC_AntarDasha!$B$14:$B$22,MATCH("▶ ACTIVE",CALC_AntarDasha!$F$14:$F$22,0)),"—"),"—")</f>
        <v>—</v>
      </c>
      <c r="H6" s="1309" t="str">
        <f ca="1">IFERROR(IF(F6="▶ ACTIVE",INDEX(CALC_AntarDasha!$D$14:$D$22,MATCH("▶ ACTIVE",CALC_AntarDasha!$F$14:$F$22,0)),"—"),"—")</f>
        <v>—</v>
      </c>
      <c r="I6" s="1309" t="str">
        <f ca="1">IFERROR(IF(F6="▶ ACTIVE",INDEX(CALC_AntarDasha!$E$14:$E$22,MATCH("▶ ACTIVE",CALC_AntarDasha!$F$14:$F$22,0)),"—"),"—")</f>
        <v>—</v>
      </c>
      <c r="J6" s="887" t="str">
        <f ca="1">IFERROR(IF(F6="▶ ACTIVE",INDEX(CALC_AntarDasha!$C$14:$C$22,MATCH("▶ ACTIVE",CALC_AntarDasha!$F$14:$F$22,0)),"—"),"—")</f>
        <v>—</v>
      </c>
      <c r="K6" s="915" t="str">
        <f ca="1">IFERROR(IF(F6="▶ ACTIVE",INDEX(CALC_AntarDasha!$F$14:$F$22,MATCH("▶ ACTIVE",CALC_AntarDasha!$F$14:$F$22,0)),"—"),"—")</f>
        <v>—</v>
      </c>
      <c r="L6" s="550" t="str">
        <f ca="1">IFERROR(_xludf.switch(CALC_DashaActive!$B$4,"Sun","Authority·vitality·government","Moon","Mind·emotions·public","Mars","Action·property·siblings","Mercury","Business·intellect·communication","Jupiter","Wisdom·dharma·children·expansion","Venus","Love·luxury·arts","Saturn","Karma·discipline·delays","Rahu","Ambition·foreign·technology","Ketu","Spirituality·detachment·past karma","—"),"—")</f>
        <v>—</v>
      </c>
    </row>
    <row r="7" spans="1:13" ht="19.5" customHeight="1" x14ac:dyDescent="0.2">
      <c r="A7" s="632">
        <v>2</v>
      </c>
      <c r="B7" s="580" t="str">
        <f>IFERROR(CALC_DashaActive!$B$5,"—")</f>
        <v>Mercury</v>
      </c>
      <c r="C7" s="1310">
        <f>IFERROR(CALC_DashaActive!$C$5,"—")</f>
        <v>23994.067500000001</v>
      </c>
      <c r="D7" s="1310">
        <f>IFERROR(CALC_DashaActive!$D$5,"—")</f>
        <v>30203.317500000001</v>
      </c>
      <c r="E7" s="950">
        <f>IFERROR(CALC_DashaActive!$E$5,"—")</f>
        <v>17</v>
      </c>
      <c r="F7" s="919" t="str">
        <f ca="1">IFERROR(IF(CALC_DashaActive!$F$5="▶ ACTIVE","▶ ACTIVE","·"),"·")</f>
        <v>·</v>
      </c>
      <c r="G7" s="612" t="str">
        <f ca="1">IFERROR(IF(F7="▶ ACTIVE",INDEX(CALC_AntarDasha!$B$14:$B$22,MATCH("▶ ACTIVE",CALC_AntarDasha!$F$14:$F$22,0)),"—"),"—")</f>
        <v>—</v>
      </c>
      <c r="H7" s="1310" t="str">
        <f ca="1">IFERROR(IF(F7="▶ ACTIVE",INDEX(CALC_AntarDasha!$D$14:$D$22,MATCH("▶ ACTIVE",CALC_AntarDasha!$F$14:$F$22,0)),"—"),"—")</f>
        <v>—</v>
      </c>
      <c r="I7" s="1310" t="str">
        <f ca="1">IFERROR(IF(F7="▶ ACTIVE",INDEX(CALC_AntarDasha!$E$14:$E$22,MATCH("▶ ACTIVE",CALC_AntarDasha!$F$14:$F$22,0)),"—"),"—")</f>
        <v>—</v>
      </c>
      <c r="J7" s="889" t="str">
        <f ca="1">IFERROR(IF(F7="▶ ACTIVE",INDEX(CALC_AntarDasha!$C$14:$C$22,MATCH("▶ ACTIVE",CALC_AntarDasha!$F$14:$F$22,0)),"—"),"—")</f>
        <v>—</v>
      </c>
      <c r="K7" s="919" t="str">
        <f ca="1">IFERROR(IF(F7="▶ ACTIVE",INDEX(CALC_AntarDasha!$F$14:$F$22,MATCH("▶ ACTIVE",CALC_AntarDasha!$F$14:$F$22,0)),"—"),"—")</f>
        <v>—</v>
      </c>
      <c r="L7" s="554" t="str">
        <f ca="1">IFERROR(_xludf.switch(CALC_DashaActive!$B$5,"Sun","Authority·vitality·government","Moon","Mind·emotions·public","Mars","Action·property·siblings","Mercury","Business·intellect·communication","Jupiter","Wisdom·dharma·children·expansion","Venus","Love·luxury·arts","Saturn","Karma·discipline·delays","Rahu","Ambition·foreign·technology","Ketu","Spirituality·detachment·past karma","—"),"—")</f>
        <v>—</v>
      </c>
    </row>
    <row r="8" spans="1:13" ht="19.5" customHeight="1" x14ac:dyDescent="0.2">
      <c r="A8" s="627">
        <v>3</v>
      </c>
      <c r="B8" s="578" t="str">
        <f>IFERROR(CALC_DashaActive!$B$6,"—")</f>
        <v>Ketu</v>
      </c>
      <c r="C8" s="1309">
        <f>IFERROR(CALC_DashaActive!$C$6,"—")</f>
        <v>30203.317500000001</v>
      </c>
      <c r="D8" s="1309">
        <f>IFERROR(CALC_DashaActive!$D$6,"—")</f>
        <v>32760.067500000001</v>
      </c>
      <c r="E8" s="949">
        <f>IFERROR(CALC_DashaActive!$E$6,"—")</f>
        <v>7</v>
      </c>
      <c r="F8" s="915" t="str">
        <f ca="1">IFERROR(IF(CALC_DashaActive!$F$6="▶ ACTIVE","▶ ACTIVE","·"),"·")</f>
        <v>·</v>
      </c>
      <c r="G8" s="610" t="str">
        <f ca="1">IFERROR(IF(F8="▶ ACTIVE",INDEX(CALC_AntarDasha!$B$14:$B$22,MATCH("▶ ACTIVE",CALC_AntarDasha!$F$14:$F$22,0)),"—"),"—")</f>
        <v>—</v>
      </c>
      <c r="H8" s="1309" t="str">
        <f ca="1">IFERROR(IF(F8="▶ ACTIVE",INDEX(CALC_AntarDasha!$D$14:$D$22,MATCH("▶ ACTIVE",CALC_AntarDasha!$F$14:$F$22,0)),"—"),"—")</f>
        <v>—</v>
      </c>
      <c r="I8" s="1309" t="str">
        <f ca="1">IFERROR(IF(F8="▶ ACTIVE",INDEX(CALC_AntarDasha!$E$14:$E$22,MATCH("▶ ACTIVE",CALC_AntarDasha!$F$14:$F$22,0)),"—"),"—")</f>
        <v>—</v>
      </c>
      <c r="J8" s="887" t="str">
        <f ca="1">IFERROR(IF(F8="▶ ACTIVE",INDEX(CALC_AntarDasha!$C$14:$C$22,MATCH("▶ ACTIVE",CALC_AntarDasha!$F$14:$F$22,0)),"—"),"—")</f>
        <v>—</v>
      </c>
      <c r="K8" s="915" t="str">
        <f ca="1">IFERROR(IF(F8="▶ ACTIVE",INDEX(CALC_AntarDasha!$F$14:$F$22,MATCH("▶ ACTIVE",CALC_AntarDasha!$F$14:$F$22,0)),"—"),"—")</f>
        <v>—</v>
      </c>
      <c r="L8" s="550" t="str">
        <f ca="1">IFERROR(_xludf.switch(CALC_DashaActive!$B$6,"Sun","Authority·vitality·government","Moon","Mind·emotions·public","Mars","Action·property·siblings","Mercury","Business·intellect·communication","Jupiter","Wisdom·dharma·children·expansion","Venus","Love·luxury·arts","Saturn","Karma·discipline·delays","Rahu","Ambition·foreign·technology","Ketu","Spirituality·detachment·past karma","—"),"—")</f>
        <v>—</v>
      </c>
    </row>
    <row r="9" spans="1:13" ht="19.5" customHeight="1" x14ac:dyDescent="0.2">
      <c r="A9" s="632">
        <v>4</v>
      </c>
      <c r="B9" s="580" t="str">
        <f>IFERROR(CALC_DashaActive!$B$7,"—")</f>
        <v>Venus</v>
      </c>
      <c r="C9" s="1310">
        <f>IFERROR(CALC_DashaActive!$C$7,"—")</f>
        <v>32760.067500000001</v>
      </c>
      <c r="D9" s="1310">
        <f>IFERROR(CALC_DashaActive!$D$7,"—")</f>
        <v>40065.067500000005</v>
      </c>
      <c r="E9" s="950">
        <f>IFERROR(CALC_DashaActive!$E$7,"—")</f>
        <v>20</v>
      </c>
      <c r="F9" s="919" t="str">
        <f ca="1">IFERROR(IF(CALC_DashaActive!$F$7="▶ ACTIVE","▶ ACTIVE","·"),"·")</f>
        <v>·</v>
      </c>
      <c r="G9" s="612" t="str">
        <f ca="1">IFERROR(IF(F9="▶ ACTIVE",INDEX(CALC_AntarDasha!$B$14:$B$22,MATCH("▶ ACTIVE",CALC_AntarDasha!$F$14:$F$22,0)),"—"),"—")</f>
        <v>—</v>
      </c>
      <c r="H9" s="1310" t="str">
        <f ca="1">IFERROR(IF(F9="▶ ACTIVE",INDEX(CALC_AntarDasha!$D$14:$D$22,MATCH("▶ ACTIVE",CALC_AntarDasha!$F$14:$F$22,0)),"—"),"—")</f>
        <v>—</v>
      </c>
      <c r="I9" s="1310" t="str">
        <f ca="1">IFERROR(IF(F9="▶ ACTIVE",INDEX(CALC_AntarDasha!$E$14:$E$22,MATCH("▶ ACTIVE",CALC_AntarDasha!$F$14:$F$22,0)),"—"),"—")</f>
        <v>—</v>
      </c>
      <c r="J9" s="889" t="str">
        <f ca="1">IFERROR(IF(F9="▶ ACTIVE",INDEX(CALC_AntarDasha!$C$14:$C$22,MATCH("▶ ACTIVE",CALC_AntarDasha!$F$14:$F$22,0)),"—"),"—")</f>
        <v>—</v>
      </c>
      <c r="K9" s="919" t="str">
        <f ca="1">IFERROR(IF(F9="▶ ACTIVE",INDEX(CALC_AntarDasha!$F$14:$F$22,MATCH("▶ ACTIVE",CALC_AntarDasha!$F$14:$F$22,0)),"—"),"—")</f>
        <v>—</v>
      </c>
      <c r="L9" s="554" t="str">
        <f ca="1">IFERROR(_xludf.switch(CALC_DashaActive!$B$7,"Sun","Authority·vitality·government","Moon","Mind·emotions·public","Mars","Action·property·siblings","Mercury","Business·intellect·communication","Jupiter","Wisdom·dharma·children·expansion","Venus","Love·luxury·arts","Saturn","Karma·discipline·delays","Rahu","Ambition·foreign·technology","Ketu","Spirituality·detachment·past karma","—"),"—")</f>
        <v>—</v>
      </c>
    </row>
    <row r="10" spans="1:13" ht="19.5" customHeight="1" x14ac:dyDescent="0.2">
      <c r="A10" s="627">
        <v>5</v>
      </c>
      <c r="B10" s="578" t="str">
        <f>IFERROR(CALC_DashaActive!$B$8,"—")</f>
        <v>Sun</v>
      </c>
      <c r="C10" s="1309">
        <f>IFERROR(CALC_DashaActive!$C$8,"—")</f>
        <v>40065.067500000005</v>
      </c>
      <c r="D10" s="1309">
        <f>IFERROR(CALC_DashaActive!$D$8,"—")</f>
        <v>42256.567500000005</v>
      </c>
      <c r="E10" s="949">
        <f>IFERROR(CALC_DashaActive!$E$8,"—")</f>
        <v>6</v>
      </c>
      <c r="F10" s="915" t="str">
        <f ca="1">IFERROR(IF(CALC_DashaActive!$F$8="▶ ACTIVE","▶ ACTIVE","·"),"·")</f>
        <v>·</v>
      </c>
      <c r="G10" s="610" t="str">
        <f ca="1">IFERROR(IF(F10="▶ ACTIVE",INDEX(CALC_AntarDasha!$B$14:$B$22,MATCH("▶ ACTIVE",CALC_AntarDasha!$F$14:$F$22,0)),"—"),"—")</f>
        <v>—</v>
      </c>
      <c r="H10" s="1309" t="str">
        <f ca="1">IFERROR(IF(F10="▶ ACTIVE",INDEX(CALC_AntarDasha!$D$14:$D$22,MATCH("▶ ACTIVE",CALC_AntarDasha!$F$14:$F$22,0)),"—"),"—")</f>
        <v>—</v>
      </c>
      <c r="I10" s="1309" t="str">
        <f ca="1">IFERROR(IF(F10="▶ ACTIVE",INDEX(CALC_AntarDasha!$E$14:$E$22,MATCH("▶ ACTIVE",CALC_AntarDasha!$F$14:$F$22,0)),"—"),"—")</f>
        <v>—</v>
      </c>
      <c r="J10" s="887" t="str">
        <f ca="1">IFERROR(IF(F10="▶ ACTIVE",INDEX(CALC_AntarDasha!$C$14:$C$22,MATCH("▶ ACTIVE",CALC_AntarDasha!$F$14:$F$22,0)),"—"),"—")</f>
        <v>—</v>
      </c>
      <c r="K10" s="915" t="str">
        <f ca="1">IFERROR(IF(F10="▶ ACTIVE",INDEX(CALC_AntarDasha!$F$14:$F$22,MATCH("▶ ACTIVE",CALC_AntarDasha!$F$14:$F$22,0)),"—"),"—")</f>
        <v>—</v>
      </c>
      <c r="L10" s="550" t="str">
        <f ca="1">IFERROR(_xludf.switch(CALC_DashaActive!$B$8,"Sun","Authority·vitality·government","Moon","Mind·emotions·public","Mars","Action·property·siblings","Mercury","Business·intellect·communication","Jupiter","Wisdom·dharma·children·expansion","Venus","Love·luxury·arts","Saturn","Karma·discipline·delays","Rahu","Ambition·foreign·technology","Ketu","Spirituality·detachment·past karma","—"),"—")</f>
        <v>—</v>
      </c>
    </row>
    <row r="11" spans="1:13" ht="19.5" customHeight="1" x14ac:dyDescent="0.2">
      <c r="A11" s="632">
        <v>6</v>
      </c>
      <c r="B11" s="580" t="str">
        <f>IFERROR(CALC_DashaActive!$B$9,"—")</f>
        <v>Moon</v>
      </c>
      <c r="C11" s="1310">
        <f>IFERROR(CALC_DashaActive!$C$9,"—")</f>
        <v>42256.567500000005</v>
      </c>
      <c r="D11" s="1310">
        <f>IFERROR(CALC_DashaActive!$D$9,"—")</f>
        <v>45909.067500000005</v>
      </c>
      <c r="E11" s="950">
        <f>IFERROR(CALC_DashaActive!$E$9,"—")</f>
        <v>10</v>
      </c>
      <c r="F11" s="919" t="str">
        <f ca="1">IFERROR(IF(CALC_DashaActive!$F$9="▶ ACTIVE","▶ ACTIVE","·"),"·")</f>
        <v>·</v>
      </c>
      <c r="G11" s="612" t="str">
        <f ca="1">IFERROR(IF(F11="▶ ACTIVE",INDEX(CALC_AntarDasha!$B$14:$B$22,MATCH("▶ ACTIVE",CALC_AntarDasha!$F$14:$F$22,0)),"—"),"—")</f>
        <v>—</v>
      </c>
      <c r="H11" s="1310" t="str">
        <f ca="1">IFERROR(IF(F11="▶ ACTIVE",INDEX(CALC_AntarDasha!$D$14:$D$22,MATCH("▶ ACTIVE",CALC_AntarDasha!$F$14:$F$22,0)),"—"),"—")</f>
        <v>—</v>
      </c>
      <c r="I11" s="1310" t="str">
        <f ca="1">IFERROR(IF(F11="▶ ACTIVE",INDEX(CALC_AntarDasha!$E$14:$E$22,MATCH("▶ ACTIVE",CALC_AntarDasha!$F$14:$F$22,0)),"—"),"—")</f>
        <v>—</v>
      </c>
      <c r="J11" s="889" t="str">
        <f ca="1">IFERROR(IF(F11="▶ ACTIVE",INDEX(CALC_AntarDasha!$C$14:$C$22,MATCH("▶ ACTIVE",CALC_AntarDasha!$F$14:$F$22,0)),"—"),"—")</f>
        <v>—</v>
      </c>
      <c r="K11" s="919" t="str">
        <f ca="1">IFERROR(IF(F11="▶ ACTIVE",INDEX(CALC_AntarDasha!$F$14:$F$22,MATCH("▶ ACTIVE",CALC_AntarDasha!$F$14:$F$22,0)),"—"),"—")</f>
        <v>—</v>
      </c>
      <c r="L11" s="554" t="str">
        <f ca="1">IFERROR(_xludf.switch(CALC_DashaActive!$B$9,"Sun","Authority·vitality·government","Moon","Mind·emotions·public","Mars","Action·property·siblings","Mercury","Business·intellect·communication","Jupiter","Wisdom·dharma·children·expansion","Venus","Love·luxury·arts","Saturn","Karma·discipline·delays","Rahu","Ambition·foreign·technology","Ketu","Spirituality·detachment·past karma","—"),"—")</f>
        <v>—</v>
      </c>
    </row>
    <row r="12" spans="1:13" ht="19.5" customHeight="1" x14ac:dyDescent="0.2">
      <c r="A12" s="627">
        <v>7</v>
      </c>
      <c r="B12" s="578" t="str">
        <f>IFERROR(CALC_DashaActive!$B$10,"—")</f>
        <v>Mars</v>
      </c>
      <c r="C12" s="1309">
        <f>IFERROR(CALC_DashaActive!$C$10,"—")</f>
        <v>45909.067500000005</v>
      </c>
      <c r="D12" s="1309">
        <f>IFERROR(CALC_DashaActive!$D$10,"—")</f>
        <v>48465.817500000005</v>
      </c>
      <c r="E12" s="949">
        <f>IFERROR(CALC_DashaActive!$E$10,"—")</f>
        <v>7</v>
      </c>
      <c r="F12" s="915" t="str">
        <f ca="1">IFERROR(IF(CALC_DashaActive!$F$10="▶ ACTIVE","▶ ACTIVE","·"),"·")</f>
        <v>▶ ACTIVE</v>
      </c>
      <c r="G12" s="610" t="str">
        <f ca="1">IFERROR(IF(F12="▶ ACTIVE",INDEX(CALC_AntarDasha!$B$14:$B$22,MATCH("▶ ACTIVE",CALC_AntarDasha!$F$14:$F$22,0)),"—"),"—")</f>
        <v>—</v>
      </c>
      <c r="H12" s="1309" t="str">
        <f ca="1">IFERROR(IF(F12="▶ ACTIVE",INDEX(CALC_AntarDasha!$D$14:$D$22,MATCH("▶ ACTIVE",CALC_AntarDasha!$F$14:$F$22,0)),"—"),"—")</f>
        <v>—</v>
      </c>
      <c r="I12" s="1309" t="str">
        <f ca="1">IFERROR(IF(F12="▶ ACTIVE",INDEX(CALC_AntarDasha!$E$14:$E$22,MATCH("▶ ACTIVE",CALC_AntarDasha!$F$14:$F$22,0)),"—"),"—")</f>
        <v>—</v>
      </c>
      <c r="J12" s="887" t="str">
        <f ca="1">IFERROR(IF(F12="▶ ACTIVE",INDEX(CALC_AntarDasha!$C$14:$C$22,MATCH("▶ ACTIVE",CALC_AntarDasha!$F$14:$F$22,0)),"—"),"—")</f>
        <v>—</v>
      </c>
      <c r="K12" s="915" t="str">
        <f ca="1">IFERROR(IF(F12="▶ ACTIVE",INDEX(CALC_AntarDasha!$F$14:$F$22,MATCH("▶ ACTIVE",CALC_AntarDasha!$F$14:$F$22,0)),"—"),"—")</f>
        <v>—</v>
      </c>
      <c r="L12" s="550" t="str">
        <f ca="1">IFERROR(_xludf.switch(CALC_DashaActive!$B$10,"Sun","Authority·vitality·government","Moon","Mind·emotions·public","Mars","Action·property·siblings","Mercury","Business·intellect·communication","Jupiter","Wisdom·dharma·children·expansion","Venus","Love·luxury·arts","Saturn","Karma·discipline·delays","Rahu","Ambition·foreign·technology","Ketu","Spirituality·detachment·past karma","—"),"—")</f>
        <v>—</v>
      </c>
    </row>
    <row r="13" spans="1:13" ht="19.5" customHeight="1" x14ac:dyDescent="0.2">
      <c r="A13" s="632">
        <v>8</v>
      </c>
      <c r="B13" s="580" t="str">
        <f>IFERROR(CALC_DashaActive!$B$11,"—")</f>
        <v>Rahu</v>
      </c>
      <c r="C13" s="1310">
        <f>IFERROR(CALC_DashaActive!$C$11,"—")</f>
        <v>48465.817500000005</v>
      </c>
      <c r="D13" s="1310">
        <f>IFERROR(CALC_DashaActive!$D$11,"—")</f>
        <v>55040.317500000005</v>
      </c>
      <c r="E13" s="950">
        <f>IFERROR(CALC_DashaActive!$E$11,"—")</f>
        <v>18</v>
      </c>
      <c r="F13" s="919" t="str">
        <f ca="1">IFERROR(IF(CALC_DashaActive!$F$11="▶ ACTIVE","▶ ACTIVE","·"),"·")</f>
        <v>·</v>
      </c>
      <c r="G13" s="612" t="str">
        <f ca="1">IFERROR(IF(F13="▶ ACTIVE",INDEX(CALC_AntarDasha!$B$14:$B$22,MATCH("▶ ACTIVE",CALC_AntarDasha!$F$14:$F$22,0)),"—"),"—")</f>
        <v>—</v>
      </c>
      <c r="H13" s="1310" t="str">
        <f ca="1">IFERROR(IF(F13="▶ ACTIVE",INDEX(CALC_AntarDasha!$D$14:$D$22,MATCH("▶ ACTIVE",CALC_AntarDasha!$F$14:$F$22,0)),"—"),"—")</f>
        <v>—</v>
      </c>
      <c r="I13" s="1310" t="str">
        <f ca="1">IFERROR(IF(F13="▶ ACTIVE",INDEX(CALC_AntarDasha!$E$14:$E$22,MATCH("▶ ACTIVE",CALC_AntarDasha!$F$14:$F$22,0)),"—"),"—")</f>
        <v>—</v>
      </c>
      <c r="J13" s="889" t="str">
        <f ca="1">IFERROR(IF(F13="▶ ACTIVE",INDEX(CALC_AntarDasha!$C$14:$C$22,MATCH("▶ ACTIVE",CALC_AntarDasha!$F$14:$F$22,0)),"—"),"—")</f>
        <v>—</v>
      </c>
      <c r="K13" s="919" t="str">
        <f ca="1">IFERROR(IF(F13="▶ ACTIVE",INDEX(CALC_AntarDasha!$F$14:$F$22,MATCH("▶ ACTIVE",CALC_AntarDasha!$F$14:$F$22,0)),"—"),"—")</f>
        <v>—</v>
      </c>
      <c r="L13" s="554" t="str">
        <f ca="1">IFERROR(_xludf.switch(CALC_DashaActive!$B$11,"Sun","Authority·vitality·government","Moon","Mind·emotions·public","Mars","Action·property·siblings","Mercury","Business·intellect·communication","Jupiter","Wisdom·dharma·children·expansion","Venus","Love·luxury·arts","Saturn","Karma·discipline·delays","Rahu","Ambition·foreign·technology","Ketu","Spirituality·detachment·past karma","—"),"—")</f>
        <v>—</v>
      </c>
    </row>
    <row r="14" spans="1:13" ht="19.5" customHeight="1" x14ac:dyDescent="0.2">
      <c r="A14" s="627">
        <v>9</v>
      </c>
      <c r="B14" s="578" t="str">
        <f>IFERROR(CALC_DashaActive!$B$12,"—")</f>
        <v>Jupiter</v>
      </c>
      <c r="C14" s="1309">
        <f>IFERROR(CALC_DashaActive!$C$12,"—")</f>
        <v>55040.317500000005</v>
      </c>
      <c r="D14" s="1309">
        <f>IFERROR(CALC_DashaActive!$D$12,"—")</f>
        <v>60884.317500000005</v>
      </c>
      <c r="E14" s="949">
        <f>IFERROR(CALC_DashaActive!$E$12,"—")</f>
        <v>16</v>
      </c>
      <c r="F14" s="915" t="str">
        <f ca="1">IFERROR(IF(CALC_DashaActive!$F$12="▶ ACTIVE","▶ ACTIVE","·"),"·")</f>
        <v>·</v>
      </c>
      <c r="G14" s="610" t="str">
        <f ca="1">IFERROR(IF(F14="▶ ACTIVE",INDEX(CALC_AntarDasha!$B$14:$B$22,MATCH("▶ ACTIVE",CALC_AntarDasha!$F$14:$F$22,0)),"—"),"—")</f>
        <v>—</v>
      </c>
      <c r="H14" s="1309" t="str">
        <f ca="1">IFERROR(IF(F14="▶ ACTIVE",INDEX(CALC_AntarDasha!$D$14:$D$22,MATCH("▶ ACTIVE",CALC_AntarDasha!$F$14:$F$22,0)),"—"),"—")</f>
        <v>—</v>
      </c>
      <c r="I14" s="1309" t="str">
        <f ca="1">IFERROR(IF(F14="▶ ACTIVE",INDEX(CALC_AntarDasha!$E$14:$E$22,MATCH("▶ ACTIVE",CALC_AntarDasha!$F$14:$F$22,0)),"—"),"—")</f>
        <v>—</v>
      </c>
      <c r="J14" s="887" t="str">
        <f ca="1">IFERROR(IF(F14="▶ ACTIVE",INDEX(CALC_AntarDasha!$C$14:$C$22,MATCH("▶ ACTIVE",CALC_AntarDasha!$F$14:$F$22,0)),"—"),"—")</f>
        <v>—</v>
      </c>
      <c r="K14" s="915" t="str">
        <f ca="1">IFERROR(IF(F14="▶ ACTIVE",INDEX(CALC_AntarDasha!$F$14:$F$22,MATCH("▶ ACTIVE",CALC_AntarDasha!$F$14:$F$22,0)),"—"),"—")</f>
        <v>—</v>
      </c>
      <c r="L14" s="550" t="str">
        <f ca="1">IFERROR(_xludf.switch(CALC_DashaActive!$B$12,"Sun","Authority·vitality·government","Moon","Mind·emotions·public","Mars","Action·property·siblings","Mercury","Business·intellect·communication","Jupiter","Wisdom·dharma·children·expansion","Venus","Love·luxury·arts","Saturn","Karma·discipline·delays","Rahu","Ambition·foreign·technology","Ketu","Spirituality·detachment·past karma","—"),"—")</f>
        <v>—</v>
      </c>
    </row>
    <row r="17" spans="1:12" ht="18" customHeight="1" x14ac:dyDescent="0.2">
      <c r="A17" s="1524" t="s">
        <v>5130</v>
      </c>
      <c r="B17" s="1524"/>
      <c r="C17" s="1524"/>
      <c r="D17" s="1524"/>
      <c r="E17" s="1524"/>
      <c r="F17" s="1524"/>
      <c r="G17" s="1524"/>
      <c r="H17" s="1524"/>
      <c r="I17" s="1524"/>
      <c r="J17" s="1524"/>
      <c r="K17" s="1524"/>
      <c r="L17" s="1524"/>
    </row>
    <row r="18" spans="1:12" ht="15.75" customHeight="1" x14ac:dyDescent="0.2">
      <c r="A18" s="545" t="s">
        <v>2475</v>
      </c>
      <c r="B18" s="545" t="s">
        <v>1121</v>
      </c>
      <c r="C18" s="545" t="s">
        <v>3788</v>
      </c>
      <c r="D18" s="545" t="s">
        <v>3711</v>
      </c>
      <c r="E18" s="545" t="s">
        <v>3712</v>
      </c>
      <c r="F18" s="545" t="s">
        <v>5125</v>
      </c>
      <c r="G18" s="545" t="s">
        <v>3713</v>
      </c>
      <c r="H18" s="545" t="s">
        <v>4975</v>
      </c>
      <c r="I18" s="545" t="s">
        <v>2334</v>
      </c>
      <c r="J18" s="545"/>
      <c r="K18" s="545"/>
      <c r="L18" s="545"/>
    </row>
    <row r="19" spans="1:12" ht="18" customHeight="1" x14ac:dyDescent="0.2">
      <c r="A19" s="627">
        <v>1</v>
      </c>
      <c r="B19" s="578" t="str">
        <f>IFERROR(CALC_NarayanaDasa!$B$14,"—")</f>
        <v>Taurus</v>
      </c>
      <c r="C19" s="1311" t="str">
        <f>IFERROR(INDEX(REF_Zodiac!$D$7:$O$7,MATCH(B19,REF_Zodiac!$D$3:$O$3,0)),"—")</f>
        <v>Venus</v>
      </c>
      <c r="D19" s="1309">
        <f>IFERROR(CALC_NarayanaDasa!$D$14,"—")</f>
        <v>17394</v>
      </c>
      <c r="E19" s="1309">
        <f>IFERROR(CALC_NarayanaDasa!$E$14,"—")</f>
        <v>18855</v>
      </c>
      <c r="F19" s="887">
        <f>IFERROR(CALC_NarayanaDasa!$C$14,0)</f>
        <v>4</v>
      </c>
      <c r="G19" s="915" t="str">
        <f ca="1">IFERROR(CALC_NarayanaDasa!$F$14,"·")</f>
        <v>·</v>
      </c>
      <c r="H19" s="574" t="str">
        <f ca="1">IFERROR(CALC_NarayanaDasa!$G$14,"—")</f>
        <v>—</v>
      </c>
      <c r="I19" s="550" t="str">
        <f ca="1">IFERROR(CALC_NarayanaDasa!$H$14,"—")</f>
        <v>—</v>
      </c>
    </row>
    <row r="20" spans="1:12" ht="18" customHeight="1" x14ac:dyDescent="0.2">
      <c r="A20" s="632">
        <v>2</v>
      </c>
      <c r="B20" s="580" t="str">
        <f>IFERROR(CALC_NarayanaDasa!$B$15,"—")</f>
        <v>Aries</v>
      </c>
      <c r="C20" s="1312" t="str">
        <f>IFERROR(INDEX(REF_Zodiac!$D$7:$O$7,MATCH(B20,REF_Zodiac!$D$3:$O$3,0)),"—")</f>
        <v>Mars</v>
      </c>
      <c r="D20" s="1310">
        <f>IFERROR(CALC_NarayanaDasa!$D$15,"—")</f>
        <v>18855</v>
      </c>
      <c r="E20" s="1310">
        <f>IFERROR(CALC_NarayanaDasa!$E$15,"—")</f>
        <v>21046.5</v>
      </c>
      <c r="F20" s="889">
        <f>IFERROR(CALC_NarayanaDasa!$C$15,0)</f>
        <v>6</v>
      </c>
      <c r="G20" s="919" t="str">
        <f ca="1">IFERROR(CALC_NarayanaDasa!$F$15,"·")</f>
        <v>·</v>
      </c>
      <c r="H20" s="576" t="str">
        <f ca="1">IFERROR(CALC_NarayanaDasa!$G$15,"—")</f>
        <v>—</v>
      </c>
      <c r="I20" s="554" t="str">
        <f ca="1">IFERROR(CALC_NarayanaDasa!$H$15,"—")</f>
        <v>—</v>
      </c>
    </row>
    <row r="21" spans="1:12" ht="18" customHeight="1" x14ac:dyDescent="0.2">
      <c r="A21" s="627">
        <v>3</v>
      </c>
      <c r="B21" s="578" t="str">
        <f>IFERROR(CALC_NarayanaDasa!$B$16,"—")</f>
        <v>Pisces</v>
      </c>
      <c r="C21" s="1311" t="str">
        <f>IFERROR(INDEX(REF_Zodiac!$D$7:$O$7,MATCH(B21,REF_Zodiac!$D$3:$O$3,0)),"—")</f>
        <v>Jupiter</v>
      </c>
      <c r="D21" s="1309">
        <f>IFERROR(CALC_NarayanaDasa!$D$16,"—")</f>
        <v>21046.5</v>
      </c>
      <c r="E21" s="1309">
        <f>IFERROR(CALC_NarayanaDasa!$E$16,"—")</f>
        <v>22142.25</v>
      </c>
      <c r="F21" s="887">
        <f>IFERROR(CALC_NarayanaDasa!$C$16,0)</f>
        <v>3</v>
      </c>
      <c r="G21" s="915" t="str">
        <f ca="1">IFERROR(CALC_NarayanaDasa!$F$16,"·")</f>
        <v>·</v>
      </c>
      <c r="H21" s="574" t="str">
        <f ca="1">IFERROR(CALC_NarayanaDasa!$G$16,"—")</f>
        <v>—</v>
      </c>
      <c r="I21" s="550" t="str">
        <f ca="1">IFERROR(CALC_NarayanaDasa!$H$16,"—")</f>
        <v>—</v>
      </c>
    </row>
    <row r="22" spans="1:12" ht="18" customHeight="1" x14ac:dyDescent="0.2">
      <c r="A22" s="632">
        <v>4</v>
      </c>
      <c r="B22" s="580" t="str">
        <f>IFERROR(CALC_NarayanaDasa!$B$17,"—")</f>
        <v>Aquarius</v>
      </c>
      <c r="C22" s="1312" t="str">
        <f>IFERROR(INDEX(REF_Zodiac!$D$7:$O$7,MATCH(B22,REF_Zodiac!$D$3:$O$3,0)),"—")</f>
        <v>Saturn</v>
      </c>
      <c r="D22" s="1310">
        <f>IFERROR(CALC_NarayanaDasa!$D$17,"—")</f>
        <v>22142.25</v>
      </c>
      <c r="E22" s="1310">
        <f>IFERROR(CALC_NarayanaDasa!$E$17,"—")</f>
        <v>26525.25</v>
      </c>
      <c r="F22" s="889">
        <f>IFERROR(CALC_NarayanaDasa!$C$17,0)</f>
        <v>12</v>
      </c>
      <c r="G22" s="919" t="str">
        <f ca="1">IFERROR(CALC_NarayanaDasa!$F$17,"·")</f>
        <v>·</v>
      </c>
      <c r="H22" s="576" t="str">
        <f ca="1">IFERROR(CALC_NarayanaDasa!$G$17,"—")</f>
        <v>—</v>
      </c>
      <c r="I22" s="554" t="str">
        <f ca="1">IFERROR(CALC_NarayanaDasa!$H$17,"—")</f>
        <v>—</v>
      </c>
    </row>
    <row r="23" spans="1:12" ht="18" customHeight="1" x14ac:dyDescent="0.2">
      <c r="A23" s="627">
        <v>5</v>
      </c>
      <c r="B23" s="578" t="str">
        <f>IFERROR(CALC_NarayanaDasa!$B$18,"—")</f>
        <v>Capricorn</v>
      </c>
      <c r="C23" s="1311" t="str">
        <f>IFERROR(INDEX(REF_Zodiac!$D$7:$O$7,MATCH(B23,REF_Zodiac!$D$3:$O$3,0)),"—")</f>
        <v>Saturn</v>
      </c>
      <c r="D23" s="1309">
        <f>IFERROR(CALC_NarayanaDasa!$D$18,"—")</f>
        <v>26525.25</v>
      </c>
      <c r="E23" s="1309">
        <f>IFERROR(CALC_NarayanaDasa!$E$18,"—")</f>
        <v>29082</v>
      </c>
      <c r="F23" s="887">
        <f>IFERROR(CALC_NarayanaDasa!$C$18,0)</f>
        <v>7</v>
      </c>
      <c r="G23" s="915" t="str">
        <f ca="1">IFERROR(CALC_NarayanaDasa!$F$18,"·")</f>
        <v>·</v>
      </c>
      <c r="H23" s="574" t="str">
        <f ca="1">IFERROR(CALC_NarayanaDasa!$G$18,"—")</f>
        <v>—</v>
      </c>
      <c r="I23" s="550" t="str">
        <f ca="1">IFERROR(CALC_NarayanaDasa!$H$18,"—")</f>
        <v>—</v>
      </c>
    </row>
    <row r="24" spans="1:12" ht="18" customHeight="1" x14ac:dyDescent="0.2">
      <c r="A24" s="632">
        <v>6</v>
      </c>
      <c r="B24" s="580" t="str">
        <f>IFERROR(CALC_NarayanaDasa!$B$19,"—")</f>
        <v>Sagittarius</v>
      </c>
      <c r="C24" s="1312" t="str">
        <f>IFERROR(INDEX(REF_Zodiac!$D$7:$O$7,MATCH(B24,REF_Zodiac!$D$3:$O$3,0)),"—")</f>
        <v>Jupiter</v>
      </c>
      <c r="D24" s="1310">
        <f>IFERROR(CALC_NarayanaDasa!$D$19,"—")</f>
        <v>29082</v>
      </c>
      <c r="E24" s="1310">
        <f>IFERROR(CALC_NarayanaDasa!$E$19,"—")</f>
        <v>30908.25</v>
      </c>
      <c r="F24" s="889">
        <f>IFERROR(CALC_NarayanaDasa!$C$19,0)</f>
        <v>5</v>
      </c>
      <c r="G24" s="919" t="str">
        <f ca="1">IFERROR(CALC_NarayanaDasa!$F$19,"·")</f>
        <v>·</v>
      </c>
      <c r="H24" s="576" t="str">
        <f ca="1">IFERROR(CALC_NarayanaDasa!$G$19,"—")</f>
        <v>—</v>
      </c>
      <c r="I24" s="554" t="str">
        <f ca="1">IFERROR(CALC_NarayanaDasa!$H$19,"—")</f>
        <v>—</v>
      </c>
    </row>
    <row r="25" spans="1:12" ht="18" customHeight="1" x14ac:dyDescent="0.2">
      <c r="A25" s="627">
        <v>7</v>
      </c>
      <c r="B25" s="578" t="str">
        <f>IFERROR(CALC_NarayanaDasa!$B$20,"—")</f>
        <v>Scorpio</v>
      </c>
      <c r="C25" s="1311" t="str">
        <f>IFERROR(INDEX(REF_Zodiac!$D$7:$O$7,MATCH(B25,REF_Zodiac!$D$3:$O$3,0)),"—")</f>
        <v>Mars</v>
      </c>
      <c r="D25" s="1309">
        <f>IFERROR(CALC_NarayanaDasa!$D$20,"—")</f>
        <v>30908.25</v>
      </c>
      <c r="E25" s="1309">
        <f>IFERROR(CALC_NarayanaDasa!$E$20,"—")</f>
        <v>34926</v>
      </c>
      <c r="F25" s="887">
        <f>IFERROR(CALC_NarayanaDasa!$C$20,0)</f>
        <v>11</v>
      </c>
      <c r="G25" s="915" t="str">
        <f ca="1">IFERROR(CALC_NarayanaDasa!$F$20,"·")</f>
        <v>·</v>
      </c>
      <c r="H25" s="574" t="str">
        <f ca="1">IFERROR(CALC_NarayanaDasa!$G$20,"—")</f>
        <v>—</v>
      </c>
      <c r="I25" s="550" t="str">
        <f ca="1">IFERROR(CALC_NarayanaDasa!$H$20,"—")</f>
        <v>—</v>
      </c>
    </row>
    <row r="26" spans="1:12" ht="18" customHeight="1" x14ac:dyDescent="0.2">
      <c r="A26" s="632">
        <v>8</v>
      </c>
      <c r="B26" s="580" t="str">
        <f>IFERROR(CALC_NarayanaDasa!$B$21,"—")</f>
        <v>Libra</v>
      </c>
      <c r="C26" s="1312" t="str">
        <f>IFERROR(INDEX(REF_Zodiac!$D$7:$O$7,MATCH(B26,REF_Zodiac!$D$3:$O$3,0)),"—")</f>
        <v>Venus</v>
      </c>
      <c r="D26" s="1310">
        <f>IFERROR(CALC_NarayanaDasa!$D$21,"—")</f>
        <v>34926</v>
      </c>
      <c r="E26" s="1310">
        <f>IFERROR(CALC_NarayanaDasa!$E$21,"—")</f>
        <v>35291.25</v>
      </c>
      <c r="F26" s="889">
        <f>IFERROR(CALC_NarayanaDasa!$C$21,0)</f>
        <v>1</v>
      </c>
      <c r="G26" s="919" t="str">
        <f ca="1">IFERROR(CALC_NarayanaDasa!$F$21,"·")</f>
        <v>·</v>
      </c>
      <c r="H26" s="576" t="str">
        <f ca="1">IFERROR(CALC_NarayanaDasa!$G$21,"—")</f>
        <v>—</v>
      </c>
      <c r="I26" s="554" t="str">
        <f ca="1">IFERROR(CALC_NarayanaDasa!$H$21,"—")</f>
        <v>—</v>
      </c>
    </row>
    <row r="27" spans="1:12" ht="18" customHeight="1" x14ac:dyDescent="0.2">
      <c r="A27" s="627">
        <v>9</v>
      </c>
      <c r="B27" s="578" t="str">
        <f>IFERROR(CALC_NarayanaDasa!$B$22,"—")</f>
        <v>Virgo</v>
      </c>
      <c r="C27" s="1311" t="str">
        <f>IFERROR(INDEX(REF_Zodiac!$D$7:$O$7,MATCH(B27,REF_Zodiac!$D$3:$O$3,0)),"—")</f>
        <v>Mercury</v>
      </c>
      <c r="D27" s="1309">
        <f>IFERROR(CALC_NarayanaDasa!$D$22,"—")</f>
        <v>35291.25</v>
      </c>
      <c r="E27" s="1309">
        <f>IFERROR(CALC_NarayanaDasa!$E$22,"—")</f>
        <v>38213.25</v>
      </c>
      <c r="F27" s="887">
        <f>IFERROR(CALC_NarayanaDasa!$C$22,0)</f>
        <v>8</v>
      </c>
      <c r="G27" s="915" t="str">
        <f ca="1">IFERROR(CALC_NarayanaDasa!$F$22,"·")</f>
        <v>·</v>
      </c>
      <c r="H27" s="574" t="str">
        <f ca="1">IFERROR(CALC_NarayanaDasa!$G$22,"—")</f>
        <v>—</v>
      </c>
      <c r="I27" s="550" t="str">
        <f ca="1">IFERROR(CALC_NarayanaDasa!$H$22,"—")</f>
        <v>—</v>
      </c>
    </row>
    <row r="28" spans="1:12" ht="18" customHeight="1" x14ac:dyDescent="0.2">
      <c r="A28" s="632">
        <v>10</v>
      </c>
      <c r="B28" s="580" t="str">
        <f>IFERROR(CALC_NarayanaDasa!$B$23,"—")</f>
        <v>Leo</v>
      </c>
      <c r="C28" s="1312" t="str">
        <f>IFERROR(INDEX(REF_Zodiac!$D$7:$O$7,MATCH(B28,REF_Zodiac!$D$3:$O$3,0)),"—")</f>
        <v>Sun</v>
      </c>
      <c r="D28" s="1310">
        <f>IFERROR(CALC_NarayanaDasa!$D$23,"—")</f>
        <v>38213.25</v>
      </c>
      <c r="E28" s="1310">
        <f>IFERROR(CALC_NarayanaDasa!$E$23,"—")</f>
        <v>41500.5</v>
      </c>
      <c r="F28" s="889">
        <f>IFERROR(CALC_NarayanaDasa!$C$23,0)</f>
        <v>9</v>
      </c>
      <c r="G28" s="919" t="str">
        <f ca="1">IFERROR(CALC_NarayanaDasa!$F$23,"·")</f>
        <v>·</v>
      </c>
      <c r="H28" s="576" t="str">
        <f ca="1">IFERROR(CALC_NarayanaDasa!$G$23,"—")</f>
        <v>—</v>
      </c>
      <c r="I28" s="554" t="str">
        <f ca="1">IFERROR(CALC_NarayanaDasa!$H$23,"—")</f>
        <v>—</v>
      </c>
    </row>
    <row r="29" spans="1:12" ht="18" customHeight="1" x14ac:dyDescent="0.2">
      <c r="A29" s="627">
        <v>11</v>
      </c>
      <c r="B29" s="578" t="str">
        <f>IFERROR(CALC_NarayanaDasa!$B$24,"—")</f>
        <v>Cancer</v>
      </c>
      <c r="C29" s="1311" t="str">
        <f>IFERROR(INDEX(REF_Zodiac!$D$7:$O$7,MATCH(B29,REF_Zodiac!$D$3:$O$3,0)),"—")</f>
        <v>Moon</v>
      </c>
      <c r="D29" s="1309">
        <f>IFERROR(CALC_NarayanaDasa!$D$24,"—")</f>
        <v>41500.5</v>
      </c>
      <c r="E29" s="1309">
        <f>IFERROR(CALC_NarayanaDasa!$E$24,"—")</f>
        <v>45153</v>
      </c>
      <c r="F29" s="887">
        <f>IFERROR(CALC_NarayanaDasa!$C$24,0)</f>
        <v>10</v>
      </c>
      <c r="G29" s="915" t="str">
        <f ca="1">IFERROR(CALC_NarayanaDasa!$F$24,"·")</f>
        <v>·</v>
      </c>
      <c r="H29" s="574" t="str">
        <f ca="1">IFERROR(CALC_NarayanaDasa!$G$24,"—")</f>
        <v>—</v>
      </c>
      <c r="I29" s="550" t="str">
        <f ca="1">IFERROR(CALC_NarayanaDasa!$H$24,"—")</f>
        <v>—</v>
      </c>
    </row>
    <row r="30" spans="1:12" ht="18" customHeight="1" x14ac:dyDescent="0.2">
      <c r="A30" s="632">
        <v>12</v>
      </c>
      <c r="B30" s="580" t="str">
        <f>IFERROR(CALC_NarayanaDasa!$B$25,"—")</f>
        <v>Gemini</v>
      </c>
      <c r="C30" s="1312" t="str">
        <f>IFERROR(INDEX(REF_Zodiac!$D$7:$O$7,MATCH(B30,REF_Zodiac!$D$3:$O$3,0)),"—")</f>
        <v>Mercury</v>
      </c>
      <c r="D30" s="1310">
        <f>IFERROR(CALC_NarayanaDasa!$D$25,"—")</f>
        <v>45153</v>
      </c>
      <c r="E30" s="1310">
        <f>IFERROR(CALC_NarayanaDasa!$E$25,"—")</f>
        <v>45883.5</v>
      </c>
      <c r="F30" s="889">
        <f>IFERROR(CALC_NarayanaDasa!$C$25,0)</f>
        <v>2</v>
      </c>
      <c r="G30" s="919" t="str">
        <f ca="1">IFERROR(CALC_NarayanaDasa!$F$25,"·")</f>
        <v>·</v>
      </c>
      <c r="H30" s="576" t="str">
        <f ca="1">IFERROR(CALC_NarayanaDasa!$G$25,"—")</f>
        <v>—</v>
      </c>
      <c r="I30" s="554" t="str">
        <f ca="1">IFERROR(CALC_NarayanaDasa!$H$25,"—")</f>
        <v>—</v>
      </c>
    </row>
    <row r="33" spans="1:12" ht="18" customHeight="1" x14ac:dyDescent="0.2">
      <c r="A33" s="1524" t="s">
        <v>5131</v>
      </c>
      <c r="B33" s="1524"/>
      <c r="C33" s="1524"/>
      <c r="D33" s="1524"/>
      <c r="E33" s="1524"/>
      <c r="F33" s="1524"/>
      <c r="G33" s="1524"/>
      <c r="H33" s="1524"/>
      <c r="I33" s="1524"/>
      <c r="J33" s="1524"/>
      <c r="K33" s="1524"/>
      <c r="L33" s="1524"/>
    </row>
    <row r="34" spans="1:12" ht="15.75" customHeight="1" x14ac:dyDescent="0.2">
      <c r="A34" s="545" t="s">
        <v>2537</v>
      </c>
      <c r="B34" s="545" t="s">
        <v>5132</v>
      </c>
      <c r="C34" s="545" t="s">
        <v>5133</v>
      </c>
      <c r="D34" s="545" t="s">
        <v>5134</v>
      </c>
      <c r="E34" s="545" t="s">
        <v>3453</v>
      </c>
      <c r="F34" s="545" t="s">
        <v>3943</v>
      </c>
      <c r="G34" s="545" t="s">
        <v>4468</v>
      </c>
      <c r="H34" s="545"/>
      <c r="I34" s="545"/>
      <c r="J34" s="545"/>
      <c r="K34" s="545"/>
      <c r="L34" s="545"/>
    </row>
    <row r="35" spans="1:12" ht="24" customHeight="1" x14ac:dyDescent="0.2">
      <c r="A35" s="578" t="s">
        <v>5135</v>
      </c>
      <c r="B35" s="575" t="str">
        <f ca="1">IFERROR(TEXT(CALC_DashaActive!$C$14,"DD-MMM-YY")&amp;" → "&amp;TEXT(INDEX(CALC_DashaActive!$D$4:$D$12,MATCH(CALC_DashaActive!$B$14,CALC_DashaActive!$B$4:$B$12,0)),"DD-MMM-YY"),"—")</f>
        <v>00-Jan-00 → 08-Sep-32</v>
      </c>
      <c r="C35" s="574" t="str">
        <f ca="1">IFERROR(CALC_DashaActive!$B$14,"—")</f>
        <v>Mars</v>
      </c>
      <c r="D35" s="574" t="str">
        <f ca="1">IFERROR(CALC_DashaActive!$B$17,"—")</f>
        <v>H67.4562</v>
      </c>
      <c r="E35" s="574" t="str">
        <f ca="1">IFERROR(CALC_DashaActive!$B$18,"—")</f>
        <v>Enemy sign</v>
      </c>
      <c r="F35" s="575" t="str">
        <f ca="1">IFERROR(_xludf.switch(CALC_DashaActive!$B$14,"Sun","Authority expansion","Moon","Emotional public","Mars","Action property","Mercury","Business intellect","Jupiter","Wisdom dharma","Venus","Love luxury","Saturn","Karma delays","Rahu","Ambition foreign","Ketu","Detachment karma","—"),"—")</f>
        <v>—</v>
      </c>
      <c r="G35" s="1038" t="str">
        <f ca="1">IFERROR(IF(ISNUMBER(MATCH(CALC_DashaActive!$B$14,{"Jupiter","Venus","Mercury"},0)),"🟢 Benefic lord","🟡 Mixed / Malefic lord"),"—")</f>
        <v>🟡 Mixed / Malefic lord</v>
      </c>
      <c r="H35" s="574"/>
      <c r="I35" s="574"/>
      <c r="J35" s="574"/>
      <c r="K35" s="574"/>
      <c r="L35" s="574"/>
    </row>
    <row r="36" spans="1:12" ht="24" customHeight="1" x14ac:dyDescent="0.2">
      <c r="A36" s="580" t="s">
        <v>5136</v>
      </c>
      <c r="B36" s="577" t="str">
        <f ca="1">IFERROR(TEXT(INDEX(CALC_AntarDasha!$D$14:$D$22,MATCH("▶ ACTIVE",CALC_AntarDasha!$F$14:$F$22,0)),"DD-MMM-YY")&amp;" → "&amp;TEXT(INDEX(CALC_AntarDasha!$E$14:$E$22,MATCH("▶ ACTIVE",CALC_AntarDasha!$F$14:$F$22,0)),"DD-MMM-YY"),"—")</f>
        <v>—</v>
      </c>
      <c r="C36" s="576" t="str">
        <f ca="1">IFERROR(INDEX(CALC_AntarDasha!$B$14:$B$22,MATCH("▶ ACTIVE",CALC_AntarDasha!$F$14:$F$22,0)),"—")</f>
        <v>—</v>
      </c>
      <c r="D36" s="576" t="str">
        <f ca="1">IFERROR(INDEX(CALC_AntarDasha!$H$14:$H$22,MATCH("▶ ACTIVE",CALC_AntarDasha!$F$14:$F$22,0)),"—")</f>
        <v>—</v>
      </c>
      <c r="E36" s="576"/>
      <c r="F36" s="577" t="s">
        <v>3277</v>
      </c>
      <c r="G36" s="1036"/>
      <c r="H36" s="576"/>
      <c r="I36" s="576"/>
      <c r="J36" s="576"/>
      <c r="K36" s="576"/>
      <c r="L36" s="576"/>
    </row>
    <row r="37" spans="1:12" ht="24" customHeight="1" x14ac:dyDescent="0.2">
      <c r="A37" s="578" t="s">
        <v>5137</v>
      </c>
      <c r="B37" s="575" t="str">
        <f ca="1">IFERROR(TEXT(INDEX(CALC_NarayanaDasa!$D$14:$D$25,MATCH("▶ ACTIVE",CALC_NarayanaDasa!$F$14:$F$25,0)),"DD-MMM-YY")&amp;" → "&amp;TEXT(INDEX(CALC_NarayanaDasa!$E$14:$E$25,MATCH("▶ ACTIVE",CALC_NarayanaDasa!$F$14:$F$25,0)),"DD-MMM-YY"),"—")</f>
        <v>—</v>
      </c>
      <c r="C37" s="574" t="str">
        <f ca="1">IFERROR(INDEX(CALC_NarayanaDasa!$B$14:$B$25,MATCH("▶ ACTIVE",CALC_NarayanaDasa!$F$14:$F$25,0)),"—")</f>
        <v>—</v>
      </c>
      <c r="D37" s="574" t="str">
        <f ca="1">IFERROR("H"&amp;MOD(MATCH(INDEX(CALC_NarayanaDasa!$B$14:$B$25,MATCH("▶ ACTIVE",CALC_NarayanaDasa!$F$14:$F$25,0)),{"Aries","Taurus","Gemini","Cancer","Leo","Virgo","Libra","Scorpio","Sagittarius","Capricorn","Aquarius","Pisces"},0)-MATCH(INPUT_Chart!$C$5,{"Aries","Taurus","Gemini","Cancer","Leo","Virgo","Libra","Scorpio","Sagittarius","Capricorn","Aquarius","Pisces"},0),12)+1,"—")</f>
        <v>—</v>
      </c>
      <c r="E37" s="574"/>
      <c r="F37" s="575" t="s">
        <v>5138</v>
      </c>
      <c r="G37" s="1038"/>
      <c r="H37" s="574"/>
      <c r="I37" s="574"/>
      <c r="J37" s="574"/>
      <c r="K37" s="574"/>
      <c r="L37" s="574"/>
    </row>
  </sheetData>
  <mergeCells count="5">
    <mergeCell ref="A1:L1"/>
    <mergeCell ref="A2:L2"/>
    <mergeCell ref="A4:L4"/>
    <mergeCell ref="A17:L17"/>
    <mergeCell ref="A33:L33"/>
  </mergeCells>
  <pageMargins left="0.75" right="0.75" top="1" bottom="1" header="0.511811023622047" footer="0.511811023622047"/>
  <pageSetup paperSize="9" orientation="portrait" horizontalDpi="300" verticalDpi="300"/>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tabColor rgb="FF00838F"/>
  </sheetPr>
  <dimension ref="A1:K21"/>
  <sheetViews>
    <sheetView zoomScaleNormal="100" workbookViewId="0"/>
  </sheetViews>
  <sheetFormatPr defaultColWidth="8.609375" defaultRowHeight="15" x14ac:dyDescent="0.2"/>
  <cols>
    <col min="1" max="2" width="11.97265625" customWidth="1"/>
    <col min="3" max="9" width="9.953125" customWidth="1"/>
    <col min="10" max="10" width="39.953125" customWidth="1"/>
  </cols>
  <sheetData>
    <row r="1" spans="1:11" ht="27.75" customHeight="1" x14ac:dyDescent="0.2">
      <c r="A1" s="1612" t="s">
        <v>5139</v>
      </c>
      <c r="B1" s="1612"/>
      <c r="C1" s="1612"/>
      <c r="D1" s="1612"/>
      <c r="E1" s="1612"/>
      <c r="F1" s="1612"/>
      <c r="G1" s="1612"/>
      <c r="H1" s="1612"/>
      <c r="I1" s="1612"/>
      <c r="J1" s="1612"/>
      <c r="K1" s="601" t="s">
        <v>2214</v>
      </c>
    </row>
    <row r="2" spans="1:11" ht="24" customHeight="1" x14ac:dyDescent="0.2">
      <c r="A2" s="1523" t="s">
        <v>5140</v>
      </c>
      <c r="B2" s="1523"/>
      <c r="C2" s="1523"/>
      <c r="D2" s="1523"/>
      <c r="E2" s="1523"/>
      <c r="F2" s="1523"/>
      <c r="G2" s="1523"/>
      <c r="H2" s="1523"/>
      <c r="I2" s="1523"/>
      <c r="J2" s="1523"/>
    </row>
    <row r="4" spans="1:11" ht="18" customHeight="1" x14ac:dyDescent="0.2">
      <c r="A4" s="1524" t="s">
        <v>5141</v>
      </c>
      <c r="B4" s="1524"/>
      <c r="C4" s="1524"/>
      <c r="D4" s="1524"/>
      <c r="E4" s="1524"/>
      <c r="F4" s="1524"/>
      <c r="G4" s="1524"/>
      <c r="H4" s="1524"/>
      <c r="I4" s="1524"/>
      <c r="J4" s="1524"/>
    </row>
    <row r="5" spans="1:11" ht="15.75" customHeight="1" x14ac:dyDescent="0.2">
      <c r="A5" s="545" t="s">
        <v>319</v>
      </c>
      <c r="B5" s="545" t="s">
        <v>3874</v>
      </c>
      <c r="C5" s="545" t="s">
        <v>5142</v>
      </c>
      <c r="D5" s="545" t="s">
        <v>3876</v>
      </c>
      <c r="E5" s="545" t="s">
        <v>3877</v>
      </c>
      <c r="F5" s="545" t="s">
        <v>3878</v>
      </c>
      <c r="G5" s="545" t="s">
        <v>3879</v>
      </c>
      <c r="H5" s="545" t="s">
        <v>5143</v>
      </c>
      <c r="I5" s="545" t="s">
        <v>5144</v>
      </c>
      <c r="J5" s="545" t="s">
        <v>5145</v>
      </c>
    </row>
    <row r="6" spans="1:11" ht="21.75" customHeight="1" x14ac:dyDescent="0.2">
      <c r="A6" s="578" t="s">
        <v>266</v>
      </c>
      <c r="B6" s="574" t="s">
        <v>323</v>
      </c>
      <c r="C6" s="887">
        <f>IFERROR(INPUT_Gochar!$C$4,0)</f>
        <v>2.4176000000000002</v>
      </c>
      <c r="D6" s="627">
        <f>IFERROR(MOD(MATCH(B6,{"Aries","Taurus","Gemini","Cancer","Leo","Virgo","Libra","Scorpio","Sagittarius","Capricorn","Aquarius","Pisces"},0)-MATCH(INPUT_Chart!$C$5,{"Aries","Taurus","Gemini","Cancer","Leo","Virgo","Libra","Scorpio","Sagittarius","Capricorn","Aquarius","Pisces"},0),12)+1,"—")</f>
        <v>11</v>
      </c>
      <c r="E6" s="627">
        <f>IFERROR(MOD(MATCH(B6,{"Aries","Taurus","Gemini","Cancer","Leo","Virgo","Libra","Scorpio","Sagittarius","Capricorn","Aquarius","Pisces"},0)-MATCH(INPUT_Chart!$C$7,{"Aries","Taurus","Gemini","Cancer","Leo","Virgo","Libra","Scorpio","Sagittarius","Capricorn","Aquarius","Pisces"},0),12)+1,"—")</f>
        <v>9</v>
      </c>
      <c r="F6" s="627">
        <f>IFERROR(MOD(MATCH(B6,{"Aries","Taurus","Gemini","Cancer","Leo","Virgo","Libra","Scorpio","Sagittarius","Capricorn","Aquarius","Pisces"},0)-MATCH(INPUT_Chart!$C$6,{"Aries","Taurus","Gemini","Cancer","Leo","Virgo","Libra","Scorpio","Sagittarius","Capricorn","Aquarius","Pisces"},0),12)+1,"—")</f>
        <v>9</v>
      </c>
      <c r="G6" s="574" t="s">
        <v>185</v>
      </c>
      <c r="H6" s="574" t="s">
        <v>185</v>
      </c>
      <c r="I6" s="546" t="str">
        <f>IFERROR(IF(ISNUMBER(MATCH("Sun",{"Jupiter","Venus","Mercury"},0)),IF(ISNUMBER(MATCH(D6,{1,4,5,7,9,10},0)),"🟢 Beneficial","🟡 Neutral"),IF(ISNUMBER(MATCH(D6,{6,8,12},0)),"🔴 Challenging","🟡 Neutral")),"🟡")</f>
        <v>🟡 Neutral</v>
      </c>
      <c r="J6" s="575" t="str">
        <f ca="1">IFERROR(_xludf.switch("Sun","Jupiter",IF(ISNUMBER(MATCH(D6,{1,5,9},0)),"Jupiter in Dharma trikon — expansion &amp; blessings",IF(D6=4,"Jupiter in H4 — property/home blessings",IF(D6=7,"H7 partnerships",IF(D6=10,"H10 career","H"&amp;D6&amp;" transit")))),"Saturn",IF(ISNUMBER(MATCH(E6,{1,2,12},0)),"⚠ Sade Sati — emotional pressure &amp; lessons",IF(D6=10,"Saturn in H10 — karmic career test",IF(D6=4,"H4 home pressure","H"&amp;D6&amp;" Saturn transit"))),"Rahu",IF(ISNUMBER(MATCH(D6,{1,4,7,10},0)),"Rahu in Kendra — disruption &amp; ambition","H"&amp;D6&amp;" Rahu transit"),"Mars",IF(ISNUMBER(MATCH(D6,{6,8,12},0)),"Mars in Dukshthan — caution with aggression","H"&amp;D6&amp;" Mars transit"),"Sun in H"&amp;D6),"—")</f>
        <v>—</v>
      </c>
    </row>
    <row r="7" spans="1:11" ht="21.75" customHeight="1" x14ac:dyDescent="0.2">
      <c r="A7" s="580" t="s">
        <v>267</v>
      </c>
      <c r="B7" s="576" t="s">
        <v>325</v>
      </c>
      <c r="C7" s="889">
        <f>IFERROR(INPUT_Gochar!$C$5,0)</f>
        <v>9.3650000000000002</v>
      </c>
      <c r="D7" s="632">
        <f>IFERROR(MOD(MATCH(B7,{"Aries","Taurus","Gemini","Cancer","Leo","Virgo","Libra","Scorpio","Sagittarius","Capricorn","Aquarius","Pisces"},0)-MATCH(INPUT_Chart!$C$5,{"Aries","Taurus","Gemini","Cancer","Leo","Virgo","Libra","Scorpio","Sagittarius","Capricorn","Aquarius","Pisces"},0),12)+1,"—")</f>
        <v>10</v>
      </c>
      <c r="E7" s="632">
        <f>IFERROR(MOD(MATCH(B7,{"Aries","Taurus","Gemini","Cancer","Leo","Virgo","Libra","Scorpio","Sagittarius","Capricorn","Aquarius","Pisces"},0)-MATCH(INPUT_Chart!$C$7,{"Aries","Taurus","Gemini","Cancer","Leo","Virgo","Libra","Scorpio","Sagittarius","Capricorn","Aquarius","Pisces"},0),12)+1,"—")</f>
        <v>8</v>
      </c>
      <c r="F7" s="632">
        <f>IFERROR(MOD(MATCH(B7,{"Aries","Taurus","Gemini","Cancer","Leo","Virgo","Libra","Scorpio","Sagittarius","Capricorn","Aquarius","Pisces"},0)-MATCH(INPUT_Chart!$C$6,{"Aries","Taurus","Gemini","Cancer","Leo","Virgo","Libra","Scorpio","Sagittarius","Capricorn","Aquarius","Pisces"},0),12)+1,"—")</f>
        <v>8</v>
      </c>
      <c r="G7" s="576" t="s">
        <v>185</v>
      </c>
      <c r="H7" s="576" t="s">
        <v>185</v>
      </c>
      <c r="I7" s="551" t="str">
        <f>IFERROR(IF(ISNUMBER(MATCH("Moon",{"Jupiter","Venus","Mercury"},0)),IF(ISNUMBER(MATCH(D7,{1,4,5,7,9,10},0)),"🟢 Beneficial","🟡 Neutral"),IF(ISNUMBER(MATCH(D7,{6,8,12},0)),"🔴 Challenging","🟡 Neutral")),"🟡")</f>
        <v>🟡 Neutral</v>
      </c>
      <c r="J7" s="577" t="str">
        <f ca="1">IFERROR(_xludf.switch("Moon","Jupiter",IF(ISNUMBER(MATCH(D7,{1,5,9},0)),"Jupiter in Dharma trikon — expansion &amp; blessings",IF(D7=4,"Jupiter in H4 — property/home blessings",IF(D7=7,"H7 partnerships",IF(D7=10,"H10 career","H"&amp;D7&amp;" transit")))),"Saturn",IF(ISNUMBER(MATCH(E7,{1,2,12},0)),"⚠ Sade Sati — emotional pressure &amp; lessons",IF(D7=10,"Saturn in H10 — karmic career test",IF(D7=4,"H4 home pressure","H"&amp;D7&amp;" Saturn transit"))),"Rahu",IF(ISNUMBER(MATCH(D7,{1,4,7,10},0)),"Rahu in Kendra — disruption &amp; ambition","H"&amp;D7&amp;" Rahu transit"),"Mars",IF(ISNUMBER(MATCH(D7,{6,8,12},0)),"Mars in Dukshthan — caution with aggression","H"&amp;D7&amp;" Mars transit"),"Moon in H"&amp;D7),"—")</f>
        <v>—</v>
      </c>
    </row>
    <row r="8" spans="1:11" ht="21.75" customHeight="1" x14ac:dyDescent="0.2">
      <c r="A8" s="578" t="s">
        <v>268</v>
      </c>
      <c r="B8" s="574" t="s">
        <v>325</v>
      </c>
      <c r="C8" s="887">
        <f>IFERROR(INPUT_Gochar!$C$6,0)</f>
        <v>17.310700000000001</v>
      </c>
      <c r="D8" s="627">
        <f>IFERROR(MOD(MATCH(B8,{"Aries","Taurus","Gemini","Cancer","Leo","Virgo","Libra","Scorpio","Sagittarius","Capricorn","Aquarius","Pisces"},0)-MATCH(INPUT_Chart!$C$5,{"Aries","Taurus","Gemini","Cancer","Leo","Virgo","Libra","Scorpio","Sagittarius","Capricorn","Aquarius","Pisces"},0),12)+1,"—")</f>
        <v>10</v>
      </c>
      <c r="E8" s="627">
        <f>IFERROR(MOD(MATCH(B8,{"Aries","Taurus","Gemini","Cancer","Leo","Virgo","Libra","Scorpio","Sagittarius","Capricorn","Aquarius","Pisces"},0)-MATCH(INPUT_Chart!$C$7,{"Aries","Taurus","Gemini","Cancer","Leo","Virgo","Libra","Scorpio","Sagittarius","Capricorn","Aquarius","Pisces"},0),12)+1,"—")</f>
        <v>8</v>
      </c>
      <c r="F8" s="627">
        <f>IFERROR(MOD(MATCH(B8,{"Aries","Taurus","Gemini","Cancer","Leo","Virgo","Libra","Scorpio","Sagittarius","Capricorn","Aquarius","Pisces"},0)-MATCH(INPUT_Chart!$C$6,{"Aries","Taurus","Gemini","Cancer","Leo","Virgo","Libra","Scorpio","Sagittarius","Capricorn","Aquarius","Pisces"},0),12)+1,"—")</f>
        <v>8</v>
      </c>
      <c r="G8" s="574" t="s">
        <v>185</v>
      </c>
      <c r="H8" s="574" t="s">
        <v>185</v>
      </c>
      <c r="I8" s="546" t="str">
        <f>IFERROR(IF(ISNUMBER(MATCH("Mars",{"Jupiter","Venus","Mercury"},0)),IF(ISNUMBER(MATCH(D8,{1,4,5,7,9,10},0)),"🟢 Beneficial","🟡 Neutral"),IF(ISNUMBER(MATCH(D8,{6,8,12},0)),"🔴 Challenging","🟡 Neutral")),"🟡")</f>
        <v>🟡 Neutral</v>
      </c>
      <c r="J8" s="575" t="str">
        <f ca="1">IFERROR(_xludf.switch("Mars","Jupiter",IF(ISNUMBER(MATCH(D8,{1,5,9},0)),"Jupiter in Dharma trikon — expansion &amp; blessings",IF(D8=4,"Jupiter in H4 — property/home blessings",IF(D8=7,"H7 partnerships",IF(D8=10,"H10 career","H"&amp;D8&amp;" transit")))),"Saturn",IF(ISNUMBER(MATCH(E8,{1,2,12},0)),"⚠ Sade Sati — emotional pressure &amp; lessons",IF(D8=10,"Saturn in H10 — karmic career test",IF(D8=4,"H4 home pressure","H"&amp;D8&amp;" Saturn transit"))),"Rahu",IF(ISNUMBER(MATCH(D8,{1,4,7,10},0)),"Rahu in Kendra — disruption &amp; ambition","H"&amp;D8&amp;" Rahu transit"),"Mars",IF(ISNUMBER(MATCH(D8,{6,8,12},0)),"Mars in Dukshthan — caution with aggression","H"&amp;D8&amp;" Mars transit"),"Mars in H"&amp;D8),"—")</f>
        <v>—</v>
      </c>
    </row>
    <row r="9" spans="1:11" ht="21.75" customHeight="1" x14ac:dyDescent="0.2">
      <c r="A9" s="580" t="s">
        <v>269</v>
      </c>
      <c r="B9" s="576" t="s">
        <v>325</v>
      </c>
      <c r="C9" s="889">
        <f>IFERROR(INPUT_Gochar!$C$7,0)</f>
        <v>14.921900000000001</v>
      </c>
      <c r="D9" s="632">
        <f>IFERROR(MOD(MATCH(B9,{"Aries","Taurus","Gemini","Cancer","Leo","Virgo","Libra","Scorpio","Sagittarius","Capricorn","Aquarius","Pisces"},0)-MATCH(INPUT_Chart!$C$5,{"Aries","Taurus","Gemini","Cancer","Leo","Virgo","Libra","Scorpio","Sagittarius","Capricorn","Aquarius","Pisces"},0),12)+1,"—")</f>
        <v>10</v>
      </c>
      <c r="E9" s="632">
        <f>IFERROR(MOD(MATCH(B9,{"Aries","Taurus","Gemini","Cancer","Leo","Virgo","Libra","Scorpio","Sagittarius","Capricorn","Aquarius","Pisces"},0)-MATCH(INPUT_Chart!$C$7,{"Aries","Taurus","Gemini","Cancer","Leo","Virgo","Libra","Scorpio","Sagittarius","Capricorn","Aquarius","Pisces"},0),12)+1,"—")</f>
        <v>8</v>
      </c>
      <c r="F9" s="632">
        <f>IFERROR(MOD(MATCH(B9,{"Aries","Taurus","Gemini","Cancer","Leo","Virgo","Libra","Scorpio","Sagittarius","Capricorn","Aquarius","Pisces"},0)-MATCH(INPUT_Chart!$C$6,{"Aries","Taurus","Gemini","Cancer","Leo","Virgo","Libra","Scorpio","Sagittarius","Capricorn","Aquarius","Pisces"},0),12)+1,"—")</f>
        <v>8</v>
      </c>
      <c r="G9" s="576" t="s">
        <v>185</v>
      </c>
      <c r="H9" s="576" t="s">
        <v>185</v>
      </c>
      <c r="I9" s="551" t="str">
        <f>IFERROR(IF(ISNUMBER(MATCH("Mercury",{"Jupiter","Venus","Mercury"},0)),IF(ISNUMBER(MATCH(D9,{1,4,5,7,9,10},0)),"🟢 Beneficial","🟡 Neutral"),IF(ISNUMBER(MATCH(D9,{6,8,12},0)),"🔴 Challenging","🟡 Neutral")),"🟡")</f>
        <v>🟢 Beneficial</v>
      </c>
      <c r="J9" s="577" t="str">
        <f ca="1">IFERROR(_xludf.switch("Mercury","Jupiter",IF(ISNUMBER(MATCH(D9,{1,5,9},0)),"Jupiter in Dharma trikon — expansion &amp; blessings",IF(D9=4,"Jupiter in H4 — property/home blessings",IF(D9=7,"H7 partnerships",IF(D9=10,"H10 career","H"&amp;D9&amp;" transit")))),"Saturn",IF(ISNUMBER(MATCH(E9,{1,2,12},0)),"⚠ Sade Sati — emotional pressure &amp; lessons",IF(D9=10,"Saturn in H10 — karmic career test",IF(D9=4,"H4 home pressure","H"&amp;D9&amp;" Saturn transit"))),"Rahu",IF(ISNUMBER(MATCH(D9,{1,4,7,10},0)),"Rahu in Kendra — disruption &amp; ambition","H"&amp;D9&amp;" Rahu transit"),"Mars",IF(ISNUMBER(MATCH(D9,{6,8,12},0)),"Mars in Dukshthan — caution with aggression","H"&amp;D9&amp;" Mars transit"),"Mercury in H"&amp;D9),"—")</f>
        <v>—</v>
      </c>
    </row>
    <row r="10" spans="1:11" ht="21.75" customHeight="1" x14ac:dyDescent="0.2">
      <c r="A10" s="578" t="s">
        <v>270</v>
      </c>
      <c r="B10" s="574" t="s">
        <v>329</v>
      </c>
      <c r="C10" s="887">
        <f>IFERROR(INPUT_Gochar!$C$8,0)</f>
        <v>20.924399999999999</v>
      </c>
      <c r="D10" s="627">
        <f>IFERROR(MOD(MATCH(B10,{"Aries","Taurus","Gemini","Cancer","Leo","Virgo","Libra","Scorpio","Sagittarius","Capricorn","Aquarius","Pisces"},0)-MATCH(INPUT_Chart!$C$5,{"Aries","Taurus","Gemini","Cancer","Leo","Virgo","Libra","Scorpio","Sagittarius","Capricorn","Aquarius","Pisces"},0),12)+1,"—")</f>
        <v>2</v>
      </c>
      <c r="E10" s="627">
        <f>IFERROR(MOD(MATCH(B10,{"Aries","Taurus","Gemini","Cancer","Leo","Virgo","Libra","Scorpio","Sagittarius","Capricorn","Aquarius","Pisces"},0)-MATCH(INPUT_Chart!$C$7,{"Aries","Taurus","Gemini","Cancer","Leo","Virgo","Libra","Scorpio","Sagittarius","Capricorn","Aquarius","Pisces"},0),12)+1,"—")</f>
        <v>12</v>
      </c>
      <c r="F10" s="627">
        <f>IFERROR(MOD(MATCH(B10,{"Aries","Taurus","Gemini","Cancer","Leo","Virgo","Libra","Scorpio","Sagittarius","Capricorn","Aquarius","Pisces"},0)-MATCH(INPUT_Chart!$C$6,{"Aries","Taurus","Gemini","Cancer","Leo","Virgo","Libra","Scorpio","Sagittarius","Capricorn","Aquarius","Pisces"},0),12)+1,"—")</f>
        <v>12</v>
      </c>
      <c r="G10" s="574" t="s">
        <v>185</v>
      </c>
      <c r="H10" s="610" t="str">
        <f>IFERROR(IF(ISNUMBER(MATCH(D10,{1,5,9},0)),"★ Trikona","·"),"·")</f>
        <v>·</v>
      </c>
      <c r="I10" s="546" t="str">
        <f>IFERROR(IF(ISNUMBER(MATCH("Jupiter",{"Jupiter","Venus","Mercury"},0)),IF(ISNUMBER(MATCH(D10,{1,4,5,7,9,10},0)),"🟢 Beneficial","🟡 Neutral"),IF(ISNUMBER(MATCH(D10,{6,8,12},0)),"🔴 Challenging","🟡 Neutral")),"🟡")</f>
        <v>🟡 Neutral</v>
      </c>
      <c r="J10" s="575" t="str">
        <f ca="1">IFERROR(_xludf.switch("Jupiter","Jupiter",IF(ISNUMBER(MATCH(D10,{1,5,9},0)),"Jupiter in Dharma trikon — expansion &amp; blessings",IF(D10=4,"Jupiter in H4 — property/home blessings",IF(D10=7,"H7 partnerships",IF(D10=10,"H10 career","H"&amp;D10&amp;" transit")))),"Saturn",IF(ISNUMBER(MATCH(E10,{1,2,12},0)),"⚠ Sade Sati — emotional pressure &amp; lessons",IF(D10=10,"Saturn in H10 — karmic career test",IF(D10=4,"H4 home pressure","H"&amp;D10&amp;" Saturn transit"))),"Rahu",IF(ISNUMBER(MATCH(D10,{1,4,7,10},0)),"Rahu in Kendra — disruption &amp; ambition","H"&amp;D10&amp;" Rahu transit"),"Mars",IF(ISNUMBER(MATCH(D10,{6,8,12},0)),"Mars in Dukshthan — caution with aggression","H"&amp;D10&amp;" Mars transit"),"Jupiter in H"&amp;D10),"—")</f>
        <v>—</v>
      </c>
    </row>
    <row r="11" spans="1:11" ht="21.75" customHeight="1" x14ac:dyDescent="0.2">
      <c r="A11" s="580" t="s">
        <v>271</v>
      </c>
      <c r="B11" s="576" t="s">
        <v>323</v>
      </c>
      <c r="C11" s="889">
        <f>IFERROR(INPUT_Gochar!$C$9,0)</f>
        <v>19.178999999999998</v>
      </c>
      <c r="D11" s="632">
        <f>IFERROR(MOD(MATCH(B11,{"Aries","Taurus","Gemini","Cancer","Leo","Virgo","Libra","Scorpio","Sagittarius","Capricorn","Aquarius","Pisces"},0)-MATCH(INPUT_Chart!$C$5,{"Aries","Taurus","Gemini","Cancer","Leo","Virgo","Libra","Scorpio","Sagittarius","Capricorn","Aquarius","Pisces"},0),12)+1,"—")</f>
        <v>11</v>
      </c>
      <c r="E11" s="632">
        <f>IFERROR(MOD(MATCH(B11,{"Aries","Taurus","Gemini","Cancer","Leo","Virgo","Libra","Scorpio","Sagittarius","Capricorn","Aquarius","Pisces"},0)-MATCH(INPUT_Chart!$C$7,{"Aries","Taurus","Gemini","Cancer","Leo","Virgo","Libra","Scorpio","Sagittarius","Capricorn","Aquarius","Pisces"},0),12)+1,"—")</f>
        <v>9</v>
      </c>
      <c r="F11" s="632">
        <f>IFERROR(MOD(MATCH(B11,{"Aries","Taurus","Gemini","Cancer","Leo","Virgo","Libra","Scorpio","Sagittarius","Capricorn","Aquarius","Pisces"},0)-MATCH(INPUT_Chart!$C$6,{"Aries","Taurus","Gemini","Cancer","Leo","Virgo","Libra","Scorpio","Sagittarius","Capricorn","Aquarius","Pisces"},0),12)+1,"—")</f>
        <v>9</v>
      </c>
      <c r="G11" s="576" t="s">
        <v>185</v>
      </c>
      <c r="H11" s="576" t="s">
        <v>185</v>
      </c>
      <c r="I11" s="551" t="str">
        <f>IFERROR(IF(ISNUMBER(MATCH("Venus",{"Jupiter","Venus","Mercury"},0)),IF(ISNUMBER(MATCH(D11,{1,4,5,7,9,10},0)),"🟢 Beneficial","🟡 Neutral"),IF(ISNUMBER(MATCH(D11,{6,8,12},0)),"🔴 Challenging","🟡 Neutral")),"🟡")</f>
        <v>🟡 Neutral</v>
      </c>
      <c r="J11" s="577" t="str">
        <f ca="1">IFERROR(_xludf.switch("Venus","Jupiter",IF(ISNUMBER(MATCH(D11,{1,5,9},0)),"Jupiter in Dharma trikon — expansion &amp; blessings",IF(D11=4,"Jupiter in H4 — property/home blessings",IF(D11=7,"H7 partnerships",IF(D11=10,"H10 career","H"&amp;D11&amp;" transit")))),"Saturn",IF(ISNUMBER(MATCH(E11,{1,2,12},0)),"⚠ Sade Sati — emotional pressure &amp; lessons",IF(D11=10,"Saturn in H10 — karmic career test",IF(D11=4,"H4 home pressure","H"&amp;D11&amp;" Saturn transit"))),"Rahu",IF(ISNUMBER(MATCH(D11,{1,4,7,10},0)),"Rahu in Kendra — disruption &amp; ambition","H"&amp;D11&amp;" Rahu transit"),"Mars",IF(ISNUMBER(MATCH(D11,{6,8,12},0)),"Mars in Dukshthan — caution with aggression","H"&amp;D11&amp;" Mars transit"),"Venus in H"&amp;D11),"—")</f>
        <v>—</v>
      </c>
    </row>
    <row r="12" spans="1:11" ht="21.75" customHeight="1" x14ac:dyDescent="0.2">
      <c r="A12" s="578" t="s">
        <v>272</v>
      </c>
      <c r="B12" s="574" t="s">
        <v>323</v>
      </c>
      <c r="C12" s="887">
        <f>IFERROR(INPUT_Gochar!$C$10,0)</f>
        <v>9.484</v>
      </c>
      <c r="D12" s="627">
        <f>IFERROR(MOD(MATCH(B12,{"Aries","Taurus","Gemini","Cancer","Leo","Virgo","Libra","Scorpio","Sagittarius","Capricorn","Aquarius","Pisces"},0)-MATCH(INPUT_Chart!$C$5,{"Aries","Taurus","Gemini","Cancer","Leo","Virgo","Libra","Scorpio","Sagittarius","Capricorn","Aquarius","Pisces"},0),12)+1,"—")</f>
        <v>11</v>
      </c>
      <c r="E12" s="627">
        <f>IFERROR(MOD(MATCH(B12,{"Aries","Taurus","Gemini","Cancer","Leo","Virgo","Libra","Scorpio","Sagittarius","Capricorn","Aquarius","Pisces"},0)-MATCH(INPUT_Chart!$C$7,{"Aries","Taurus","Gemini","Cancer","Leo","Virgo","Libra","Scorpio","Sagittarius","Capricorn","Aquarius","Pisces"},0),12)+1,"—")</f>
        <v>9</v>
      </c>
      <c r="F12" s="627">
        <f>IFERROR(MOD(MATCH(B12,{"Aries","Taurus","Gemini","Cancer","Leo","Virgo","Libra","Scorpio","Sagittarius","Capricorn","Aquarius","Pisces"},0)-MATCH(INPUT_Chart!$C$6,{"Aries","Taurus","Gemini","Cancer","Leo","Virgo","Libra","Scorpio","Sagittarius","Capricorn","Aquarius","Pisces"},0),12)+1,"—")</f>
        <v>9</v>
      </c>
      <c r="G12" s="1038" t="str">
        <f>IFERROR(IF(ISNUMBER(MATCH(E12,{1,2,12},0)),"⚠ SADE SATI","·"),"·")</f>
        <v>·</v>
      </c>
      <c r="H12" s="574" t="s">
        <v>185</v>
      </c>
      <c r="I12" s="546" t="str">
        <f>IFERROR(IF(ISNUMBER(MATCH("Saturn",{"Jupiter","Venus","Mercury"},0)),IF(ISNUMBER(MATCH(D12,{1,4,5,7,9,10},0)),"🟢 Beneficial","🟡 Neutral"),IF(ISNUMBER(MATCH(D12,{6,8,12},0)),"🔴 Challenging","🟡 Neutral")),"🟡")</f>
        <v>🟡 Neutral</v>
      </c>
      <c r="J12" s="575" t="str">
        <f ca="1">IFERROR(_xludf.switch("Saturn","Jupiter",IF(ISNUMBER(MATCH(D12,{1,5,9},0)),"Jupiter in Dharma trikon — expansion &amp; blessings",IF(D12=4,"Jupiter in H4 — property/home blessings",IF(D12=7,"H7 partnerships",IF(D12=10,"H10 career","H"&amp;D12&amp;" transit")))),"Saturn",IF(ISNUMBER(MATCH(E12,{1,2,12},0)),"⚠ Sade Sati — emotional pressure &amp; lessons",IF(D12=10,"Saturn in H10 — karmic career test",IF(D12=4,"H4 home pressure","H"&amp;D12&amp;" Saturn transit"))),"Rahu",IF(ISNUMBER(MATCH(D12,{1,4,7,10},0)),"Rahu in Kendra — disruption &amp; ambition","H"&amp;D12&amp;" Rahu transit"),"Mars",IF(ISNUMBER(MATCH(D12,{6,8,12},0)),"Mars in Dukshthan — caution with aggression","H"&amp;D12&amp;" Mars transit"),"Saturn in H"&amp;D12),"—")</f>
        <v>—</v>
      </c>
    </row>
    <row r="13" spans="1:11" ht="21.75" customHeight="1" x14ac:dyDescent="0.2">
      <c r="A13" s="580" t="s">
        <v>273</v>
      </c>
      <c r="B13" s="576" t="s">
        <v>325</v>
      </c>
      <c r="C13" s="889">
        <f>IFERROR(INPUT_Gochar!$C$11,0)</f>
        <v>13.963699999999999</v>
      </c>
      <c r="D13" s="632">
        <f>IFERROR(MOD(MATCH(B13,{"Aries","Taurus","Gemini","Cancer","Leo","Virgo","Libra","Scorpio","Sagittarius","Capricorn","Aquarius","Pisces"},0)-MATCH(INPUT_Chart!$C$5,{"Aries","Taurus","Gemini","Cancer","Leo","Virgo","Libra","Scorpio","Sagittarius","Capricorn","Aquarius","Pisces"},0),12)+1,"—")</f>
        <v>10</v>
      </c>
      <c r="E13" s="632">
        <f>IFERROR(MOD(MATCH(B13,{"Aries","Taurus","Gemini","Cancer","Leo","Virgo","Libra","Scorpio","Sagittarius","Capricorn","Aquarius","Pisces"},0)-MATCH(INPUT_Chart!$C$7,{"Aries","Taurus","Gemini","Cancer","Leo","Virgo","Libra","Scorpio","Sagittarius","Capricorn","Aquarius","Pisces"},0),12)+1,"—")</f>
        <v>8</v>
      </c>
      <c r="F13" s="632">
        <f>IFERROR(MOD(MATCH(B13,{"Aries","Taurus","Gemini","Cancer","Leo","Virgo","Libra","Scorpio","Sagittarius","Capricorn","Aquarius","Pisces"},0)-MATCH(INPUT_Chart!$C$6,{"Aries","Taurus","Gemini","Cancer","Leo","Virgo","Libra","Scorpio","Sagittarius","Capricorn","Aquarius","Pisces"},0),12)+1,"—")</f>
        <v>8</v>
      </c>
      <c r="G13" s="576" t="s">
        <v>185</v>
      </c>
      <c r="H13" s="576" t="s">
        <v>185</v>
      </c>
      <c r="I13" s="551" t="str">
        <f>IFERROR(IF(ISNUMBER(MATCH("Rahu",{"Jupiter","Venus","Mercury"},0)),IF(ISNUMBER(MATCH(D13,{1,4,5,7,9,10},0)),"🟢 Beneficial","🟡 Neutral"),IF(ISNUMBER(MATCH(D13,{6,8,12},0)),"🔴 Challenging","🟡 Neutral")),"🟡")</f>
        <v>🟡 Neutral</v>
      </c>
      <c r="J13" s="577" t="str">
        <f ca="1">IFERROR(_xludf.switch("Rahu","Jupiter",IF(ISNUMBER(MATCH(D13,{1,5,9},0)),"Jupiter in Dharma trikon — expansion &amp; blessings",IF(D13=4,"Jupiter in H4 — property/home blessings",IF(D13=7,"H7 partnerships",IF(D13=10,"H10 career","H"&amp;D13&amp;" transit")))),"Saturn",IF(ISNUMBER(MATCH(E13,{1,2,12},0)),"⚠ Sade Sati — emotional pressure &amp; lessons",IF(D13=10,"Saturn in H10 — karmic career test",IF(D13=4,"H4 home pressure","H"&amp;D13&amp;" Saturn transit"))),"Rahu",IF(ISNUMBER(MATCH(D13,{1,4,7,10},0)),"Rahu in Kendra — disruption &amp; ambition","H"&amp;D13&amp;" Rahu transit"),"Mars",IF(ISNUMBER(MATCH(D13,{6,8,12},0)),"Mars in Dukshthan — caution with aggression","H"&amp;D13&amp;" Mars transit"),"Rahu in H"&amp;D13),"—")</f>
        <v>—</v>
      </c>
    </row>
    <row r="14" spans="1:11" ht="21.75" customHeight="1" x14ac:dyDescent="0.2">
      <c r="A14" s="578" t="s">
        <v>274</v>
      </c>
      <c r="B14" s="574" t="s">
        <v>334</v>
      </c>
      <c r="C14" s="887">
        <f>IFERROR(INPUT_Gochar!$C$12,0)</f>
        <v>13.963699999999999</v>
      </c>
      <c r="D14" s="627">
        <f>IFERROR(MOD(MATCH(B14,{"Aries","Taurus","Gemini","Cancer","Leo","Virgo","Libra","Scorpio","Sagittarius","Capricorn","Aquarius","Pisces"},0)-MATCH(INPUT_Chart!$C$5,{"Aries","Taurus","Gemini","Cancer","Leo","Virgo","Libra","Scorpio","Sagittarius","Capricorn","Aquarius","Pisces"},0),12)+1,"—")</f>
        <v>4</v>
      </c>
      <c r="E14" s="627">
        <f>IFERROR(MOD(MATCH(B14,{"Aries","Taurus","Gemini","Cancer","Leo","Virgo","Libra","Scorpio","Sagittarius","Capricorn","Aquarius","Pisces"},0)-MATCH(INPUT_Chart!$C$7,{"Aries","Taurus","Gemini","Cancer","Leo","Virgo","Libra","Scorpio","Sagittarius","Capricorn","Aquarius","Pisces"},0),12)+1,"—")</f>
        <v>2</v>
      </c>
      <c r="F14" s="627">
        <f>IFERROR(MOD(MATCH(B14,{"Aries","Taurus","Gemini","Cancer","Leo","Virgo","Libra","Scorpio","Sagittarius","Capricorn","Aquarius","Pisces"},0)-MATCH(INPUT_Chart!$C$6,{"Aries","Taurus","Gemini","Cancer","Leo","Virgo","Libra","Scorpio","Sagittarius","Capricorn","Aquarius","Pisces"},0),12)+1,"—")</f>
        <v>2</v>
      </c>
      <c r="G14" s="574" t="s">
        <v>185</v>
      </c>
      <c r="H14" s="574" t="s">
        <v>185</v>
      </c>
      <c r="I14" s="546" t="str">
        <f>IFERROR(IF(ISNUMBER(MATCH("Ketu",{"Jupiter","Venus","Mercury"},0)),IF(ISNUMBER(MATCH(D14,{1,4,5,7,9,10},0)),"🟢 Beneficial","🟡 Neutral"),IF(ISNUMBER(MATCH(D14,{6,8,12},0)),"🔴 Challenging","🟡 Neutral")),"🟡")</f>
        <v>🟡 Neutral</v>
      </c>
      <c r="J14" s="575" t="str">
        <f ca="1">IFERROR(_xludf.switch("Ketu","Jupiter",IF(ISNUMBER(MATCH(D14,{1,5,9},0)),"Jupiter in Dharma trikon — expansion &amp; blessings",IF(D14=4,"Jupiter in H4 — property/home blessings",IF(D14=7,"H7 partnerships",IF(D14=10,"H10 career","H"&amp;D14&amp;" transit")))),"Saturn",IF(ISNUMBER(MATCH(E14,{1,2,12},0)),"⚠ Sade Sati — emotional pressure &amp; lessons",IF(D14=10,"Saturn in H10 — karmic career test",IF(D14=4,"H4 home pressure","H"&amp;D14&amp;" Saturn transit"))),"Rahu",IF(ISNUMBER(MATCH(D14,{1,4,7,10},0)),"Rahu in Kendra — disruption &amp; ambition","H"&amp;D14&amp;" Rahu transit"),"Mars",IF(ISNUMBER(MATCH(D14,{6,8,12},0)),"Mars in Dukshthan — caution with aggression","H"&amp;D14&amp;" Mars transit"),"Ketu in H"&amp;D14),"—")</f>
        <v>—</v>
      </c>
    </row>
    <row r="17" spans="1:10" ht="18" customHeight="1" x14ac:dyDescent="0.2">
      <c r="A17" s="1524" t="s">
        <v>5146</v>
      </c>
      <c r="B17" s="1524"/>
      <c r="C17" s="1524"/>
      <c r="D17" s="1524"/>
      <c r="E17" s="1524"/>
      <c r="F17" s="1524"/>
      <c r="G17" s="1524"/>
      <c r="H17" s="1524"/>
      <c r="I17" s="1524"/>
      <c r="J17" s="1524"/>
    </row>
    <row r="18" spans="1:10" ht="15.75" customHeight="1" x14ac:dyDescent="0.2">
      <c r="A18" s="545" t="s">
        <v>5147</v>
      </c>
      <c r="B18" s="545" t="s">
        <v>319</v>
      </c>
      <c r="C18" s="545" t="s">
        <v>5148</v>
      </c>
      <c r="D18" s="545" t="s">
        <v>5149</v>
      </c>
      <c r="E18" s="545" t="s">
        <v>5150</v>
      </c>
      <c r="F18" s="545" t="s">
        <v>5151</v>
      </c>
      <c r="G18" s="545"/>
      <c r="H18" s="545"/>
      <c r="I18" s="545"/>
      <c r="J18" s="545"/>
    </row>
    <row r="19" spans="1:10" ht="24" customHeight="1" x14ac:dyDescent="0.2">
      <c r="A19" s="578" t="s">
        <v>5152</v>
      </c>
      <c r="B19" s="563" t="s">
        <v>272</v>
      </c>
      <c r="C19" s="574" t="str">
        <f>IFERROR("H"&amp;(MOD(MATCH(INPUT_Gochar!$B$10,{"Aries","Taurus","Gemini","Cancer","Leo","Virgo","Libra","Scorpio","Sagittarius","Capricorn","Aquarius","Pisces"},0)-MATCH(INPUT_Chart!$C$7,{"Aries","Taurus","Gemini","Cancer","Leo","Virgo","Libra","Scorpio","Sagittarius","Capricorn","Aquarius","Pisces"},0),12)+1)&amp;" from Moon","—")</f>
        <v>H9 from Moon</v>
      </c>
      <c r="D19" s="1038" t="str">
        <f>IFERROR(IF(ISNUMBER(MATCH(MOD(MATCH(INPUT_Gochar!$B$10,{"Aries","Taurus","Gemini","Cancer","Leo","Virgo","Libra","Scorpio","Sagittarius","Capricorn","Aquarius","Pisces"},0)-MATCH(INPUT_Chart!$C$7,{"Aries","Taurus","Gemini","Cancer","Leo","Virgo","Libra","Scorpio","Sagittarius","Capricorn","Aquarius","Pisces"},0),12)+1,{1,2,12},0)),"⚠ HIGH — Sade Sati active","✓ Clear"),"—")</f>
        <v>✓ Clear</v>
      </c>
      <c r="E19" s="550" t="s">
        <v>5153</v>
      </c>
      <c r="F19" s="1313" t="s">
        <v>5154</v>
      </c>
      <c r="G19" s="574"/>
      <c r="H19" s="574"/>
      <c r="I19" s="574"/>
      <c r="J19" s="574"/>
    </row>
    <row r="20" spans="1:10" ht="24" customHeight="1" x14ac:dyDescent="0.2">
      <c r="A20" s="580" t="s">
        <v>5155</v>
      </c>
      <c r="B20" s="567" t="s">
        <v>270</v>
      </c>
      <c r="C20" s="576" t="str">
        <f>IFERROR("H"&amp;(MOD(MATCH(INPUT_Gochar!$B$8,{"Aries","Taurus","Gemini","Cancer","Leo","Virgo","Libra","Scorpio","Sagittarius","Capricorn","Aquarius","Pisces"},0)-MATCH(INPUT_Chart!$C$5,{"Aries","Taurus","Gemini","Cancer","Leo","Virgo","Libra","Scorpio","Sagittarius","Capricorn","Aquarius","Pisces"},0),12)+1)&amp;" from Lagna","—")</f>
        <v>H2 from Lagna</v>
      </c>
      <c r="D20" s="1036" t="str">
        <f>IFERROR(IF(ISNUMBER(MATCH(MOD(MATCH(INPUT_Gochar!$B$8,{"Aries","Taurus","Gemini","Cancer","Leo","Virgo","Libra","Scorpio","Sagittarius","Capricorn","Aquarius","Pisces"},0)-MATCH(INPUT_Chart!$C$5,{"Aries","Taurus","Gemini","Cancer","Leo","Virgo","Libra","Scorpio","Sagittarius","Capricorn","Aquarius","Pisces"},0),12)+1,{1,5,9},0)),"🟢 Excellent — Trikona","🟡 Moderate"),"—")</f>
        <v>🟡 Moderate</v>
      </c>
      <c r="E20" s="554" t="s">
        <v>5156</v>
      </c>
      <c r="F20" s="1314" t="s">
        <v>5157</v>
      </c>
      <c r="G20" s="576"/>
      <c r="H20" s="576"/>
      <c r="I20" s="576"/>
      <c r="J20" s="576"/>
    </row>
    <row r="21" spans="1:10" ht="24" customHeight="1" x14ac:dyDescent="0.2">
      <c r="A21" s="578" t="s">
        <v>5158</v>
      </c>
      <c r="B21" s="563" t="s">
        <v>273</v>
      </c>
      <c r="C21" s="574" t="str">
        <f>IFERROR("H"&amp;(MOD(MATCH(INPUT_Gochar!$B$11,{"Aries","Taurus","Gemini","Cancer","Leo","Virgo","Libra","Scorpio","Sagittarius","Capricorn","Aquarius","Pisces"},0)-MATCH(INPUT_Chart!$C$5,{"Aries","Taurus","Gemini","Cancer","Leo","Virgo","Libra","Scorpio","Sagittarius","Capricorn","Aquarius","Pisces"},0),12)+1)&amp;" from Lagna","—")</f>
        <v>H10 from Lagna</v>
      </c>
      <c r="D21" s="1038" t="str">
        <f>IFERROR(IF(ISNUMBER(MATCH(MOD(MATCH(INPUT_Gochar!$B$11,{"Aries","Taurus","Gemini","Cancer","Leo","Virgo","Libra","Scorpio","Sagittarius","Capricorn","Aquarius","Pisces"},0)-MATCH(INPUT_Chart!$C$5,{"Aries","Taurus","Gemini","Cancer","Leo","Virgo","Libra","Scorpio","Sagittarius","Capricorn","Aquarius","Pisces"},0),12)+1,{1,4,7,10},0)),"⚠ Kendra — disrupt","◑ Non-kendra"),"—")</f>
        <v>⚠ Kendra — disrupt</v>
      </c>
      <c r="E21" s="550" t="s">
        <v>5159</v>
      </c>
      <c r="F21" s="1313" t="s">
        <v>5160</v>
      </c>
      <c r="G21" s="574"/>
      <c r="H21" s="574"/>
      <c r="I21" s="574"/>
      <c r="J21" s="574"/>
    </row>
  </sheetData>
  <mergeCells count="4">
    <mergeCell ref="A1:J1"/>
    <mergeCell ref="A2:J2"/>
    <mergeCell ref="A4:J4"/>
    <mergeCell ref="A17:J17"/>
  </mergeCells>
  <pageMargins left="0.75" right="0.75" top="1" bottom="1" header="0.511811023622047" footer="0.511811023622047"/>
  <pageSetup paperSize="9" orientation="portrait" horizontalDpi="300" verticalDpi="300"/>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tabColor rgb="FF00838F"/>
  </sheetPr>
  <dimension ref="A1:J27"/>
  <sheetViews>
    <sheetView zoomScaleNormal="100" workbookViewId="0"/>
  </sheetViews>
  <sheetFormatPr defaultColWidth="8.609375" defaultRowHeight="15" x14ac:dyDescent="0.2"/>
  <cols>
    <col min="1" max="7" width="13.98828125" customWidth="1"/>
    <col min="8" max="8" width="39.953125" customWidth="1"/>
  </cols>
  <sheetData>
    <row r="1" spans="1:10" ht="27.75" customHeight="1" x14ac:dyDescent="0.2">
      <c r="A1" s="1612" t="s">
        <v>5161</v>
      </c>
      <c r="B1" s="1612"/>
      <c r="C1" s="1612"/>
      <c r="D1" s="1612"/>
      <c r="E1" s="1612"/>
      <c r="F1" s="1612"/>
      <c r="G1" s="1612"/>
      <c r="H1" s="1612"/>
      <c r="J1" s="601" t="s">
        <v>2214</v>
      </c>
    </row>
    <row r="2" spans="1:10" ht="24" customHeight="1" x14ac:dyDescent="0.2">
      <c r="A2" s="1523" t="s">
        <v>5162</v>
      </c>
      <c r="B2" s="1523"/>
      <c r="C2" s="1523"/>
      <c r="D2" s="1523"/>
      <c r="E2" s="1523"/>
      <c r="F2" s="1523"/>
      <c r="G2" s="1523"/>
      <c r="H2" s="1523"/>
    </row>
    <row r="4" spans="1:10" ht="18" customHeight="1" x14ac:dyDescent="0.2">
      <c r="A4" s="1524" t="s">
        <v>5163</v>
      </c>
      <c r="B4" s="1524"/>
      <c r="C4" s="1524"/>
      <c r="D4" s="1524"/>
      <c r="E4" s="1524"/>
      <c r="F4" s="1524"/>
      <c r="G4" s="1524"/>
      <c r="H4" s="1524"/>
    </row>
    <row r="5" spans="1:10" ht="15.75" customHeight="1" x14ac:dyDescent="0.2">
      <c r="A5" s="545" t="s">
        <v>319</v>
      </c>
      <c r="B5" s="545" t="s">
        <v>4336</v>
      </c>
      <c r="C5" s="545" t="s">
        <v>3923</v>
      </c>
      <c r="D5" s="545" t="s">
        <v>5164</v>
      </c>
      <c r="E5" s="545" t="s">
        <v>3910</v>
      </c>
      <c r="F5" s="545" t="s">
        <v>3909</v>
      </c>
      <c r="G5" s="545" t="s">
        <v>5165</v>
      </c>
      <c r="H5" s="545" t="s">
        <v>2045</v>
      </c>
    </row>
    <row r="6" spans="1:10" ht="21.75" customHeight="1" x14ac:dyDescent="0.2">
      <c r="A6" s="578" t="s">
        <v>265</v>
      </c>
      <c r="B6" s="574" t="str">
        <f>IFERROR(INPUT_Chart!$C$5,"—")</f>
        <v>Taurus</v>
      </c>
      <c r="C6" s="949">
        <f>IFERROR(INPUT_Chart!$D$5,0)</f>
        <v>7.7286000000000001</v>
      </c>
      <c r="D6" s="610" t="str">
        <f>IFERROR(CALC_D9_Navamsha!$D$4,"—")</f>
        <v>Pisces</v>
      </c>
      <c r="E6" s="887" t="str">
        <f>IFERROR(CALC_D9_Navamsha!$F$4,"—")</f>
        <v>—</v>
      </c>
      <c r="F6" s="1038" t="str">
        <f>IFERROR(CALC_D9_Navamsha!$E$4,"—")</f>
        <v>·</v>
      </c>
      <c r="G6" s="1315" t="s">
        <v>36</v>
      </c>
      <c r="H6" s="550" t="s">
        <v>5166</v>
      </c>
    </row>
    <row r="7" spans="1:10" ht="21.75" customHeight="1" x14ac:dyDescent="0.2">
      <c r="A7" s="580" t="s">
        <v>266</v>
      </c>
      <c r="B7" s="576" t="str">
        <f>IFERROR(CALC_PlanetPositions!$B$7,"—")</f>
        <v>Cancer</v>
      </c>
      <c r="C7" s="950">
        <f>IFERROR(CALC_PlanetPositions!$C$7,0)</f>
        <v>27.989000000000004</v>
      </c>
      <c r="D7" s="612" t="str">
        <f>IFERROR(CALC_D9_Navamsha!$D$5,"—")</f>
        <v>Leo</v>
      </c>
      <c r="E7" s="889" t="str">
        <f>IFERROR(CALC_D9_Navamsha!$F$5,"—")</f>
        <v>—</v>
      </c>
      <c r="F7" s="1036" t="str">
        <f>IFERROR(CALC_D9_Navamsha!$E$5,"—")</f>
        <v>·</v>
      </c>
      <c r="G7" s="1316" t="s">
        <v>36</v>
      </c>
      <c r="H7" s="554" t="s">
        <v>5167</v>
      </c>
    </row>
    <row r="8" spans="1:10" ht="21.75" customHeight="1" x14ac:dyDescent="0.2">
      <c r="A8" s="578" t="s">
        <v>267</v>
      </c>
      <c r="B8" s="574" t="str">
        <f>IFERROR(CALC_PlanetPositions!$B$8,"—")</f>
        <v>Cancer</v>
      </c>
      <c r="C8" s="949">
        <f>IFERROR(CALC_PlanetPositions!$C$8,0)</f>
        <v>3.9835000000000065</v>
      </c>
      <c r="D8" s="610" t="str">
        <f>IFERROR(CALC_D9_Navamsha!$D$6,"—")</f>
        <v>Sagittarius</v>
      </c>
      <c r="E8" s="887" t="str">
        <f>IFERROR(CALC_D9_Navamsha!$F$6,"—")</f>
        <v>—</v>
      </c>
      <c r="F8" s="1038" t="str">
        <f>IFERROR(CALC_D9_Navamsha!$E$6,"—")</f>
        <v>·</v>
      </c>
      <c r="G8" s="1315" t="s">
        <v>36</v>
      </c>
      <c r="H8" s="550" t="s">
        <v>5168</v>
      </c>
    </row>
    <row r="9" spans="1:10" ht="21.75" customHeight="1" x14ac:dyDescent="0.2">
      <c r="A9" s="580" t="s">
        <v>268</v>
      </c>
      <c r="B9" s="576" t="str">
        <f>IFERROR(CALC_PlanetPositions!$B$9,"—")</f>
        <v>Gemini</v>
      </c>
      <c r="C9" s="950">
        <f>IFERROR(CALC_PlanetPositions!$C$9,0)</f>
        <v>7.4561999999999955</v>
      </c>
      <c r="D9" s="612" t="str">
        <f>IFERROR(CALC_D9_Navamsha!$D$7,"—")</f>
        <v>Scorpio</v>
      </c>
      <c r="E9" s="889" t="str">
        <f>IFERROR(CALC_D9_Navamsha!$F$7,"—")</f>
        <v>—</v>
      </c>
      <c r="F9" s="1036" t="str">
        <f>IFERROR(CALC_D9_Navamsha!$E$7,"—")</f>
        <v>·</v>
      </c>
      <c r="G9" s="1316" t="s">
        <v>36</v>
      </c>
      <c r="H9" s="554" t="s">
        <v>5169</v>
      </c>
    </row>
    <row r="10" spans="1:10" ht="21.75" customHeight="1" x14ac:dyDescent="0.2">
      <c r="A10" s="578" t="s">
        <v>269</v>
      </c>
      <c r="B10" s="574" t="str">
        <f>IFERROR(CALC_PlanetPositions!$B$10,"—")</f>
        <v>Cancer</v>
      </c>
      <c r="C10" s="949">
        <f>IFERROR(CALC_PlanetPositions!$C$10,0)</f>
        <v>13.674300000000002</v>
      </c>
      <c r="D10" s="610" t="str">
        <f>IFERROR(CALC_D9_Navamsha!$D$8,"—")</f>
        <v>Taurus</v>
      </c>
      <c r="E10" s="887" t="str">
        <f>IFERROR(CALC_D9_Navamsha!$F$8,"—")</f>
        <v>—</v>
      </c>
      <c r="F10" s="1038" t="str">
        <f>IFERROR(CALC_D9_Navamsha!$E$8,"—")</f>
        <v>·</v>
      </c>
      <c r="G10" s="1315" t="s">
        <v>36</v>
      </c>
      <c r="H10" s="550" t="s">
        <v>5170</v>
      </c>
    </row>
    <row r="11" spans="1:10" ht="21.75" customHeight="1" x14ac:dyDescent="0.2">
      <c r="A11" s="580" t="s">
        <v>270</v>
      </c>
      <c r="B11" s="576" t="str">
        <f>IFERROR(CALC_PlanetPositions!$B$11,"—")</f>
        <v>Libra</v>
      </c>
      <c r="C11" s="950">
        <f>IFERROR(CALC_PlanetPositions!$C$11,0)</f>
        <v>25.877700000000004</v>
      </c>
      <c r="D11" s="612" t="str">
        <f>IFERROR(CALC_D9_Navamsha!$D$9,"—")</f>
        <v>Capricorn</v>
      </c>
      <c r="E11" s="889" t="str">
        <f>IFERROR(CALC_D9_Navamsha!$F$9,"—")</f>
        <v>—</v>
      </c>
      <c r="F11" s="1036" t="str">
        <f>IFERROR(CALC_D9_Navamsha!$E$9,"—")</f>
        <v>·</v>
      </c>
      <c r="G11" s="1316" t="s">
        <v>36</v>
      </c>
      <c r="H11" s="554" t="s">
        <v>5171</v>
      </c>
    </row>
    <row r="12" spans="1:10" ht="21.75" customHeight="1" x14ac:dyDescent="0.2">
      <c r="A12" s="578" t="s">
        <v>271</v>
      </c>
      <c r="B12" s="574" t="str">
        <f>IFERROR(CALC_PlanetPositions!$B$12,"—")</f>
        <v>Cancer</v>
      </c>
      <c r="C12" s="949">
        <f>IFERROR(CALC_PlanetPositions!$C$12,0)</f>
        <v>22.561199999999999</v>
      </c>
      <c r="D12" s="610" t="str">
        <f>IFERROR(CALC_D9_Navamsha!$D$10,"—")</f>
        <v>Capricorn</v>
      </c>
      <c r="E12" s="887" t="str">
        <f>IFERROR(CALC_D9_Navamsha!$F$10,"—")</f>
        <v>—</v>
      </c>
      <c r="F12" s="1038" t="str">
        <f>IFERROR(CALC_D9_Navamsha!$E$10,"—")</f>
        <v>·</v>
      </c>
      <c r="G12" s="1315" t="s">
        <v>36</v>
      </c>
      <c r="H12" s="550" t="s">
        <v>5172</v>
      </c>
    </row>
    <row r="13" spans="1:10" ht="21.75" customHeight="1" x14ac:dyDescent="0.2">
      <c r="A13" s="580" t="s">
        <v>272</v>
      </c>
      <c r="B13" s="576" t="str">
        <f>IFERROR(CALC_PlanetPositions!$B$13,"—")</f>
        <v>Cancer</v>
      </c>
      <c r="C13" s="950">
        <f>IFERROR(CALC_PlanetPositions!$C$13,0)</f>
        <v>20.472999999999999</v>
      </c>
      <c r="D13" s="612" t="str">
        <f>IFERROR(CALC_D9_Navamsha!$D$11,"—")</f>
        <v>Aquarius</v>
      </c>
      <c r="E13" s="889" t="str">
        <f>IFERROR(CALC_D9_Navamsha!$F$11,"—")</f>
        <v>—</v>
      </c>
      <c r="F13" s="1036" t="str">
        <f>IFERROR(CALC_D9_Navamsha!$E$11,"—")</f>
        <v>·</v>
      </c>
      <c r="G13" s="1316" t="s">
        <v>36</v>
      </c>
      <c r="H13" s="554" t="s">
        <v>5173</v>
      </c>
    </row>
    <row r="14" spans="1:10" ht="21.75" customHeight="1" x14ac:dyDescent="0.2">
      <c r="A14" s="578" t="s">
        <v>273</v>
      </c>
      <c r="B14" s="574" t="str">
        <f>IFERROR(CALC_PlanetPositions!$B$14,"—")</f>
        <v>Taurus</v>
      </c>
      <c r="C14" s="949">
        <f>IFERROR(CALC_PlanetPositions!$C$14,0)</f>
        <v>5.0696999999999974</v>
      </c>
      <c r="D14" s="610" t="str">
        <f>IFERROR(CALC_D9_Navamsha!$D$12,"—")</f>
        <v>Leo</v>
      </c>
      <c r="E14" s="887" t="str">
        <f>IFERROR(CALC_D9_Navamsha!$F$12,"—")</f>
        <v>—</v>
      </c>
      <c r="F14" s="1038" t="str">
        <f>IFERROR(CALC_D9_Navamsha!$E$12,"—")</f>
        <v>·</v>
      </c>
      <c r="G14" s="1315" t="s">
        <v>36</v>
      </c>
      <c r="H14" s="550" t="s">
        <v>5174</v>
      </c>
    </row>
    <row r="15" spans="1:10" ht="21.75" customHeight="1" x14ac:dyDescent="0.2">
      <c r="A15" s="580" t="s">
        <v>274</v>
      </c>
      <c r="B15" s="576" t="str">
        <f>IFERROR(CALC_PlanetPositions!$B$15,"—")</f>
        <v>Scorpio</v>
      </c>
      <c r="C15" s="950">
        <f>IFERROR(CALC_PlanetPositions!$C$15,0)</f>
        <v>5.0697000000000116</v>
      </c>
      <c r="D15" s="612" t="str">
        <f>IFERROR(CALC_D9_Navamsha!$D$13,"—")</f>
        <v>—</v>
      </c>
      <c r="E15" s="889" t="str">
        <f>IFERROR(CALC_D9_Navamsha!$F$13,"—")</f>
        <v>—</v>
      </c>
      <c r="F15" s="1036" t="str">
        <f>IFERROR(CALC_D9_Navamsha!$E$13,"—")</f>
        <v>·</v>
      </c>
      <c r="G15" s="1316" t="s">
        <v>36</v>
      </c>
      <c r="H15" s="554" t="s">
        <v>5175</v>
      </c>
    </row>
    <row r="18" spans="1:8" ht="18" customHeight="1" x14ac:dyDescent="0.2">
      <c r="A18" s="1524" t="s">
        <v>5176</v>
      </c>
      <c r="B18" s="1524"/>
      <c r="C18" s="1524"/>
      <c r="D18" s="1524"/>
      <c r="E18" s="1524"/>
      <c r="F18" s="1524"/>
      <c r="G18" s="1524"/>
      <c r="H18" s="1524"/>
    </row>
    <row r="19" spans="1:8" ht="15.75" customHeight="1" x14ac:dyDescent="0.2">
      <c r="A19" s="545" t="s">
        <v>5177</v>
      </c>
      <c r="B19" s="545" t="s">
        <v>4146</v>
      </c>
      <c r="C19" s="545" t="s">
        <v>5178</v>
      </c>
      <c r="D19" s="545" t="s">
        <v>1565</v>
      </c>
      <c r="E19" s="545"/>
      <c r="F19" s="545"/>
      <c r="G19" s="545"/>
      <c r="H19" s="545"/>
    </row>
    <row r="20" spans="1:8" ht="27.75" customHeight="1" x14ac:dyDescent="0.2">
      <c r="A20" s="572" t="s">
        <v>5179</v>
      </c>
      <c r="B20" s="566" t="str">
        <f>IFERROR(CALC_D9_Navamsha!$D$4,"—")</f>
        <v>Pisces</v>
      </c>
      <c r="C20" s="550" t="s">
        <v>5180</v>
      </c>
      <c r="D20" s="638"/>
      <c r="E20" s="638"/>
      <c r="F20" s="638"/>
      <c r="G20" s="638"/>
      <c r="H20" s="638"/>
    </row>
    <row r="21" spans="1:8" ht="27.75" customHeight="1" x14ac:dyDescent="0.2">
      <c r="A21" s="593" t="s">
        <v>5181</v>
      </c>
      <c r="B21" s="570" t="str">
        <f>IFERROR(INDEX(REF_Zodiac!$D$7:$O$7,MATCH(CALC_D9_Navamsha!$D$4,REF_Zodiac!$D$3:$O$3,0)),"—")</f>
        <v>Jupiter</v>
      </c>
      <c r="C21" s="554" t="s">
        <v>5182</v>
      </c>
      <c r="D21" s="636"/>
      <c r="E21" s="636"/>
      <c r="F21" s="636"/>
      <c r="G21" s="636"/>
      <c r="H21" s="636"/>
    </row>
    <row r="22" spans="1:8" ht="27.75" customHeight="1" x14ac:dyDescent="0.2">
      <c r="A22" s="572" t="s">
        <v>5183</v>
      </c>
      <c r="B22" s="566" t="str">
        <f ca="1">IFERROR(CALC_Karakamsha!$B$8,"—")</f>
        <v>—</v>
      </c>
      <c r="C22" s="550" t="s">
        <v>5184</v>
      </c>
      <c r="D22" s="638"/>
      <c r="E22" s="638"/>
      <c r="F22" s="638"/>
      <c r="G22" s="638"/>
      <c r="H22" s="638"/>
    </row>
    <row r="23" spans="1:8" ht="27.75" customHeight="1" x14ac:dyDescent="0.2">
      <c r="A23" s="593" t="s">
        <v>5185</v>
      </c>
      <c r="B23" s="570">
        <f>IFERROR(COUNTIF(CALC_D9_Navamsha!$E$4:$E$16,"Vargottama ✓"),"0")</f>
        <v>0</v>
      </c>
      <c r="C23" s="554" t="s">
        <v>5186</v>
      </c>
      <c r="D23" s="636"/>
      <c r="E23" s="636"/>
      <c r="F23" s="636"/>
      <c r="G23" s="636"/>
      <c r="H23" s="636"/>
    </row>
    <row r="24" spans="1:8" ht="27.75" customHeight="1" x14ac:dyDescent="0.2">
      <c r="A24" s="572" t="s">
        <v>5187</v>
      </c>
      <c r="B24" s="566" t="str">
        <f>IFERROR(INDEX(REF_Zodiac!$D$7:$O$7,MATCH(INDEX({"Aries","Taurus","Gemini","Cancer","Leo","Virgo","Libra","Scorpio","Sagittarius","Capricorn","Aquarius","Pisces"},MOD(MATCH(CALC_D9_Navamsha!$D$4,{"Aries","Taurus","Gemini","Cancer","Leo","Virgo","Libra","Scorpio","Sagittarius","Capricorn","Aquarius","Pisces"},0)+5,12)+1),REF_Zodiac!$D$3:$O$3,0)),"—")</f>
        <v>Mercury</v>
      </c>
      <c r="C24" s="550" t="s">
        <v>5188</v>
      </c>
      <c r="D24" s="638"/>
      <c r="E24" s="638"/>
      <c r="F24" s="638"/>
      <c r="G24" s="638"/>
      <c r="H24" s="638"/>
    </row>
    <row r="26" spans="1:8" ht="18" customHeight="1" x14ac:dyDescent="0.2">
      <c r="A26" s="1524" t="s">
        <v>5189</v>
      </c>
      <c r="B26" s="1524"/>
      <c r="C26" s="1524"/>
      <c r="D26" s="1524"/>
      <c r="E26" s="1524"/>
      <c r="F26" s="1524"/>
      <c r="G26" s="1524"/>
      <c r="H26" s="1524"/>
    </row>
    <row r="27" spans="1:8" ht="24" customHeight="1" x14ac:dyDescent="0.2">
      <c r="A27" s="580" t="s">
        <v>5190</v>
      </c>
      <c r="B27" s="1308">
        <f ca="1">IFERROR(SCORE_Karakamsha!$C$40,0)</f>
        <v>1</v>
      </c>
      <c r="C27" s="1302" t="s">
        <v>5191</v>
      </c>
      <c r="D27" s="613" t="s">
        <v>5192</v>
      </c>
    </row>
  </sheetData>
  <mergeCells count="5">
    <mergeCell ref="A1:H1"/>
    <mergeCell ref="A2:H2"/>
    <mergeCell ref="A4:H4"/>
    <mergeCell ref="A18:H18"/>
    <mergeCell ref="A26:H26"/>
  </mergeCells>
  <pageMargins left="0.75" right="0.75" top="1" bottom="1" header="0.511811023622047" footer="0.511811023622047"/>
  <pageSetup paperSize="9" orientation="portrait" horizontalDpi="300" verticalDpi="300"/>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tabColor rgb="FF00838F"/>
  </sheetPr>
  <dimension ref="A1:K12"/>
  <sheetViews>
    <sheetView zoomScaleNormal="100" workbookViewId="0"/>
  </sheetViews>
  <sheetFormatPr defaultColWidth="8.609375" defaultRowHeight="15" x14ac:dyDescent="0.2"/>
  <cols>
    <col min="1" max="1" width="11.97265625" customWidth="1"/>
    <col min="2" max="9" width="9.953125" customWidth="1"/>
    <col min="10" max="10" width="39.953125" customWidth="1"/>
    <col min="11" max="11" width="20.04296875" customWidth="1"/>
  </cols>
  <sheetData>
    <row r="1" spans="1:11" ht="27.75" customHeight="1" x14ac:dyDescent="0.2">
      <c r="A1" s="1612" t="s">
        <v>5193</v>
      </c>
      <c r="B1" s="1612"/>
      <c r="C1" s="1612"/>
      <c r="D1" s="1612"/>
      <c r="E1" s="1612"/>
      <c r="F1" s="1612"/>
      <c r="G1" s="1612"/>
      <c r="H1" s="1612"/>
      <c r="I1" s="1612"/>
      <c r="J1" s="1612"/>
      <c r="K1" s="601" t="s">
        <v>2214</v>
      </c>
    </row>
    <row r="2" spans="1:11" ht="36" customHeight="1" x14ac:dyDescent="0.2">
      <c r="A2" s="1580" t="s">
        <v>5194</v>
      </c>
      <c r="B2" s="1580"/>
      <c r="C2" s="1580"/>
      <c r="D2" s="1580"/>
      <c r="E2" s="1580"/>
      <c r="F2" s="1580"/>
      <c r="G2" s="1580"/>
      <c r="H2" s="1580"/>
      <c r="I2" s="1580"/>
      <c r="J2" s="1580"/>
    </row>
    <row r="4" spans="1:11" ht="18" customHeight="1" x14ac:dyDescent="0.2">
      <c r="A4" s="1524" t="s">
        <v>5195</v>
      </c>
      <c r="B4" s="1524"/>
      <c r="C4" s="1524"/>
      <c r="D4" s="1524"/>
      <c r="E4" s="1524"/>
      <c r="F4" s="1524"/>
      <c r="G4" s="1524"/>
      <c r="H4" s="1524"/>
      <c r="I4" s="1524"/>
      <c r="J4" s="1524"/>
    </row>
    <row r="5" spans="1:11" ht="15.75" customHeight="1" x14ac:dyDescent="0.2">
      <c r="A5" s="545" t="s">
        <v>319</v>
      </c>
      <c r="B5" s="545" t="s">
        <v>5196</v>
      </c>
      <c r="C5" s="545" t="s">
        <v>5197</v>
      </c>
      <c r="D5" s="545" t="s">
        <v>5198</v>
      </c>
      <c r="E5" s="545" t="s">
        <v>4139</v>
      </c>
      <c r="F5" s="545" t="s">
        <v>4140</v>
      </c>
      <c r="G5" s="545" t="s">
        <v>4141</v>
      </c>
      <c r="H5" s="545" t="s">
        <v>5199</v>
      </c>
      <c r="I5" s="545" t="s">
        <v>5054</v>
      </c>
      <c r="J5" s="545" t="s">
        <v>5200</v>
      </c>
      <c r="K5" s="815" t="s">
        <v>5201</v>
      </c>
    </row>
    <row r="6" spans="1:11" ht="21.75" customHeight="1" x14ac:dyDescent="0.2">
      <c r="A6" s="578" t="s">
        <v>266</v>
      </c>
      <c r="B6" s="1008">
        <f>IFERROR(CALC_Shadbala!$T$6,"—")</f>
        <v>84.9</v>
      </c>
      <c r="C6" s="861" t="str">
        <f>IFERROR(CALC_Shadbala!$U$6,"—")</f>
        <v>⚠ Weak</v>
      </c>
      <c r="D6" s="916">
        <f>IFERROR(INDEX(CALC_Ashtakavarga!$B$15:$M$15,MOD(MATCH(CALC_PlanetPositions!$B$7,{"Aries","Taurus","Gemini","Cancer","Leo","Virgo","Libra","Scorpio","Sagittarius","Capricorn","Aquarius","Pisces"},0)-MATCH(INPUT_Chart!$C$5,{"Aries","Taurus","Gemini","Cancer","Leo","Virgo","Libra","Scorpio","Sagittarius","Capricorn","Aquarius","Pisces"},0),12)+1),0)</f>
        <v>27</v>
      </c>
      <c r="E6" s="574" t="str">
        <f>IFERROR(CALC_Avasthas!$E$5,"—")</f>
        <v>Bala (Infant)</v>
      </c>
      <c r="F6" s="915">
        <f ca="1">IFERROR(CALC_Avasthas!$F$5,"—")</f>
        <v>100</v>
      </c>
      <c r="G6" s="574" t="str">
        <f>IFERROR(CALC_Avasthas!$G$5,"—")</f>
        <v>Mudita (Joyful)</v>
      </c>
      <c r="H6" s="887">
        <f ca="1">IFERROR(CALC_Avasthas!$H$5,"—")</f>
        <v>0</v>
      </c>
      <c r="I6" s="1317">
        <f ca="1">IFERROR((IF(ISNUMBER(CALC_Shadbala!$N$6),IF(CALC_Shadbala!$N$6&gt;=100,2,IF(CALC_Shadbala!$N$6&gt;=75,1,0)),0))+(IF(ISNUMBER(IFERROR(INDEX(CALC_Ashtakavarga!$B$15:$M$15,MOD(MATCH(CALC_PlanetPositions!$B$7,{"Aries","Taurus","Gemini","Cancer","Leo","Virgo","Libra","Scorpio","Sagittarius","Capricorn","Aquarius","Pisces"},0)-MATCH(INPUT_Chart!$C$5,{"Aries","Taurus","Gemini","Cancer","Leo","Virgo","Libra","Scorpio","Sagittarius","Capricorn","Aquarius","Pisces"},0),12)+1),0)),IF(IFERROR(INDEX(CALC_Ashtakavarga!$B$15:$M$15,MOD(MATCH(CALC_PlanetPositions!$B$7,{"Aries","Taurus","Gemini","Cancer","Leo","Virgo","Libra","Scorpio","Sagittarius","Capricorn","Aquarius","Pisces"},0)-MATCH(INPUT_Chart!$C$5,{"Aries","Taurus","Gemini","Cancer","Leo","Virgo","Libra","Scorpio","Sagittarius","Capricorn","Aquarius","Pisces"},0),12)+1),0)&gt;=28,2,IF(IFERROR(INDEX(CALC_Ashtakavarga!$B$15:$M$15,MOD(MATCH(CALC_PlanetPositions!$B$7,{"Aries","Taurus","Gemini","Cancer","Leo","Virgo","Libra","Scorpio","Sagittarius","Capricorn","Aquarius","Pisces"},0)-MATCH(INPUT_Chart!$C$5,{"Aries","Taurus","Gemini","Cancer","Leo","Virgo","Libra","Scorpio","Sagittarius","Capricorn","Aquarius","Pisces"},0),12)+1),0)&gt;=22,1,0)),0))+(IF(ISNUMBER(CALC_Avasthas!$F$5),IF(CALC_Avasthas!$F$5&gt;=100,2,IF(CALC_Avasthas!$F$5&gt;=50,1,0)),0)),0)</f>
        <v>3</v>
      </c>
      <c r="J6" s="548" t="str">
        <f t="shared" ref="J6:J12" ca="1" si="0">IFERROR(IF(I6&gt;=5,"★★ Strongly effective",IF(I6&gt;=3,"★ Generally effective",IF(I6&gt;=2,"~ Mixed effectiveness","⚠ Weakened — limited delivery"))),"—")</f>
        <v>★ Generally effective</v>
      </c>
      <c r="K6" s="611" t="str">
        <f>IFERROR(CONCATENATE(CALC_D60_Shastiamsha!$F$5," (",CALC_D60_Shastiamsha!$G$5,")"),"—")</f>
        <v>Yaksha (Neutral)</v>
      </c>
    </row>
    <row r="7" spans="1:11" ht="21.75" customHeight="1" x14ac:dyDescent="0.2">
      <c r="A7" s="580" t="s">
        <v>267</v>
      </c>
      <c r="B7" s="1006">
        <f>IFERROR(CALC_Shadbala!$T$7,"—")</f>
        <v>92.6</v>
      </c>
      <c r="C7" s="867" t="str">
        <f>IFERROR(CALC_Shadbala!$U$7,"—")</f>
        <v>~ Adequate</v>
      </c>
      <c r="D7" s="920">
        <f>IFERROR(INDEX(CALC_Ashtakavarga!$B$15:$M$15,MOD(MATCH(CALC_PlanetPositions!$B$8,{"Aries","Taurus","Gemini","Cancer","Leo","Virgo","Libra","Scorpio","Sagittarius","Capricorn","Aquarius","Pisces"},0)-MATCH(INPUT_Chart!$C$5,{"Aries","Taurus","Gemini","Cancer","Leo","Virgo","Libra","Scorpio","Sagittarius","Capricorn","Aquarius","Pisces"},0),12)+1),0)</f>
        <v>27</v>
      </c>
      <c r="E7" s="576" t="str">
        <f>IFERROR(CALC_Avasthas!$E$6,"—")</f>
        <v>Mrita (Dead)</v>
      </c>
      <c r="F7" s="919">
        <f ca="1">IFERROR(CALC_Avasthas!$F$6,"—")</f>
        <v>100</v>
      </c>
      <c r="G7" s="576" t="str">
        <f>IFERROR(CALC_Avasthas!$G$6,"—")</f>
        <v>Sthira (Content)</v>
      </c>
      <c r="H7" s="889">
        <f ca="1">IFERROR(CALC_Avasthas!$H$6,"—")</f>
        <v>0</v>
      </c>
      <c r="I7" s="1318">
        <f ca="1">IFERROR((IF(ISNUMBER(CALC_Shadbala!$N$7),IF(CALC_Shadbala!$N$7&gt;=100,2,IF(CALC_Shadbala!$N$7&gt;=75,1,0)),0))+(IF(ISNUMBER(IFERROR(INDEX(CALC_Ashtakavarga!$B$15:$M$15,MOD(MATCH(CALC_PlanetPositions!$B$8,{"Aries","Taurus","Gemini","Cancer","Leo","Virgo","Libra","Scorpio","Sagittarius","Capricorn","Aquarius","Pisces"},0)-MATCH(INPUT_Chart!$C$5,{"Aries","Taurus","Gemini","Cancer","Leo","Virgo","Libra","Scorpio","Sagittarius","Capricorn","Aquarius","Pisces"},0),12)+1),0)),IF(IFERROR(INDEX(CALC_Ashtakavarga!$B$15:$M$15,MOD(MATCH(CALC_PlanetPositions!$B$8,{"Aries","Taurus","Gemini","Cancer","Leo","Virgo","Libra","Scorpio","Sagittarius","Capricorn","Aquarius","Pisces"},0)-MATCH(INPUT_Chart!$C$5,{"Aries","Taurus","Gemini","Cancer","Leo","Virgo","Libra","Scorpio","Sagittarius","Capricorn","Aquarius","Pisces"},0),12)+1),0)&gt;=28,2,IF(IFERROR(INDEX(CALC_Ashtakavarga!$B$15:$M$15,MOD(MATCH(CALC_PlanetPositions!$B$8,{"Aries","Taurus","Gemini","Cancer","Leo","Virgo","Libra","Scorpio","Sagittarius","Capricorn","Aquarius","Pisces"},0)-MATCH(INPUT_Chart!$C$5,{"Aries","Taurus","Gemini","Cancer","Leo","Virgo","Libra","Scorpio","Sagittarius","Capricorn","Aquarius","Pisces"},0),12)+1),0)&gt;=22,1,0)),0))+(IF(ISNUMBER(CALC_Avasthas!$F$6),IF(CALC_Avasthas!$F$6&gt;=100,2,IF(CALC_Avasthas!$F$6&gt;=50,1,0)),0)),0)</f>
        <v>3</v>
      </c>
      <c r="J7" s="552" t="str">
        <f t="shared" ca="1" si="0"/>
        <v>★ Generally effective</v>
      </c>
      <c r="K7" s="613" t="str">
        <f>IFERROR(CONCATENATE(CALC_D60_Shastiamsha!$F$6," (",CALC_D60_Shastiamsha!$G$6,")"),"—")</f>
        <v>Sarpa (Malefic)</v>
      </c>
    </row>
    <row r="8" spans="1:11" ht="21.75" customHeight="1" x14ac:dyDescent="0.2">
      <c r="A8" s="578" t="s">
        <v>268</v>
      </c>
      <c r="B8" s="1008">
        <f>IFERROR(CALC_Shadbala!$T$8,"—")</f>
        <v>114.9</v>
      </c>
      <c r="C8" s="861" t="str">
        <f>IFERROR(CALC_Shadbala!$U$8,"—")</f>
        <v>✓ Strong</v>
      </c>
      <c r="D8" s="916">
        <f>IFERROR(INDEX(CALC_Ashtakavarga!$B$15:$M$15,MOD(MATCH(CALC_PlanetPositions!$B$9,{"Aries","Taurus","Gemini","Cancer","Leo","Virgo","Libra","Scorpio","Sagittarius","Capricorn","Aquarius","Pisces"},0)-MATCH(INPUT_Chart!$C$5,{"Aries","Taurus","Gemini","Cancer","Leo","Virgo","Libra","Scorpio","Sagittarius","Capricorn","Aquarius","Pisces"},0),12)+1),0)</f>
        <v>19</v>
      </c>
      <c r="E8" s="574" t="str">
        <f>IFERROR(CALC_Avasthas!$E$7,"—")</f>
        <v>Kumar (Child)</v>
      </c>
      <c r="F8" s="915">
        <f ca="1">IFERROR(CALC_Avasthas!$F$7,"—")</f>
        <v>100</v>
      </c>
      <c r="G8" s="574" t="str">
        <f>IFERROR(CALC_Avasthas!$G$7,"—")</f>
        <v>Kshuditha (Enemy sign)</v>
      </c>
      <c r="H8" s="887">
        <f ca="1">IFERROR(CALC_Avasthas!$H$7,"—")</f>
        <v>0</v>
      </c>
      <c r="I8" s="1317">
        <f ca="1">IFERROR((IF(ISNUMBER(CALC_Shadbala!$N$8),IF(CALC_Shadbala!$N$8&gt;=100,2,IF(CALC_Shadbala!$N$8&gt;=75,1,0)),0))+(IF(ISNUMBER(IFERROR(INDEX(CALC_Ashtakavarga!$B$15:$M$15,MOD(MATCH(CALC_PlanetPositions!$B$9,{"Aries","Taurus","Gemini","Cancer","Leo","Virgo","Libra","Scorpio","Sagittarius","Capricorn","Aquarius","Pisces"},0)-MATCH(INPUT_Chart!$C$5,{"Aries","Taurus","Gemini","Cancer","Leo","Virgo","Libra","Scorpio","Sagittarius","Capricorn","Aquarius","Pisces"},0),12)+1),0)),IF(IFERROR(INDEX(CALC_Ashtakavarga!$B$15:$M$15,MOD(MATCH(CALC_PlanetPositions!$B$9,{"Aries","Taurus","Gemini","Cancer","Leo","Virgo","Libra","Scorpio","Sagittarius","Capricorn","Aquarius","Pisces"},0)-MATCH(INPUT_Chart!$C$5,{"Aries","Taurus","Gemini","Cancer","Leo","Virgo","Libra","Scorpio","Sagittarius","Capricorn","Aquarius","Pisces"},0),12)+1),0)&gt;=28,2,IF(IFERROR(INDEX(CALC_Ashtakavarga!$B$15:$M$15,MOD(MATCH(CALC_PlanetPositions!$B$9,{"Aries","Taurus","Gemini","Cancer","Leo","Virgo","Libra","Scorpio","Sagittarius","Capricorn","Aquarius","Pisces"},0)-MATCH(INPUT_Chart!$C$5,{"Aries","Taurus","Gemini","Cancer","Leo","Virgo","Libra","Scorpio","Sagittarius","Capricorn","Aquarius","Pisces"},0),12)+1),0)&gt;=22,1,0)),0))+(IF(ISNUMBER(CALC_Avasthas!$F$7),IF(CALC_Avasthas!$F$7&gt;=100,2,IF(CALC_Avasthas!$F$7&gt;=50,1,0)),0)),0)</f>
        <v>2</v>
      </c>
      <c r="J8" s="548" t="str">
        <f t="shared" ca="1" si="0"/>
        <v>~ Mixed effectiveness</v>
      </c>
      <c r="K8" s="611" t="str">
        <f>IFERROR(CONCATENATE(CALC_D60_Shastiamsha!$F$7," (",CALC_D60_Shastiamsha!$G$7,")"),"—")</f>
        <v>Kaala (Malefic)</v>
      </c>
    </row>
    <row r="9" spans="1:11" ht="21.75" customHeight="1" x14ac:dyDescent="0.2">
      <c r="A9" s="580" t="s">
        <v>269</v>
      </c>
      <c r="B9" s="1006">
        <f>IFERROR(CALC_Shadbala!$T$9,"—")</f>
        <v>91.5</v>
      </c>
      <c r="C9" s="867" t="str">
        <f>IFERROR(CALC_Shadbala!$U$9,"—")</f>
        <v>~ Adequate</v>
      </c>
      <c r="D9" s="920">
        <f>IFERROR(INDEX(CALC_Ashtakavarga!$B$15:$M$15,MOD(MATCH(CALC_PlanetPositions!$B$10,{"Aries","Taurus","Gemini","Cancer","Leo","Virgo","Libra","Scorpio","Sagittarius","Capricorn","Aquarius","Pisces"},0)-MATCH(INPUT_Chart!$C$5,{"Aries","Taurus","Gemini","Cancer","Leo","Virgo","Libra","Scorpio","Sagittarius","Capricorn","Aquarius","Pisces"},0),12)+1),0)</f>
        <v>27</v>
      </c>
      <c r="E9" s="576" t="str">
        <f>IFERROR(CALC_Avasthas!$E$8,"—")</f>
        <v>Yuva (Prime)</v>
      </c>
      <c r="F9" s="919">
        <f ca="1">IFERROR(CALC_Avasthas!$F$8,"—")</f>
        <v>100</v>
      </c>
      <c r="G9" s="576" t="str">
        <f>IFERROR(CALC_Avasthas!$G$8,"—")</f>
        <v>Kshuditha (Enemy sign)</v>
      </c>
      <c r="H9" s="889">
        <f ca="1">IFERROR(CALC_Avasthas!$H$8,"—")</f>
        <v>0</v>
      </c>
      <c r="I9" s="1318">
        <f ca="1">IFERROR((IF(ISNUMBER(CALC_Shadbala!$N$9),IF(CALC_Shadbala!$N$9&gt;=100,2,IF(CALC_Shadbala!$N$9&gt;=75,1,0)),0))+(IF(ISNUMBER(IFERROR(INDEX(CALC_Ashtakavarga!$B$15:$M$15,MOD(MATCH(CALC_PlanetPositions!$B$10,{"Aries","Taurus","Gemini","Cancer","Leo","Virgo","Libra","Scorpio","Sagittarius","Capricorn","Aquarius","Pisces"},0)-MATCH(INPUT_Chart!$C$5,{"Aries","Taurus","Gemini","Cancer","Leo","Virgo","Libra","Scorpio","Sagittarius","Capricorn","Aquarius","Pisces"},0),12)+1),0)),IF(IFERROR(INDEX(CALC_Ashtakavarga!$B$15:$M$15,MOD(MATCH(CALC_PlanetPositions!$B$10,{"Aries","Taurus","Gemini","Cancer","Leo","Virgo","Libra","Scorpio","Sagittarius","Capricorn","Aquarius","Pisces"},0)-MATCH(INPUT_Chart!$C$5,{"Aries","Taurus","Gemini","Cancer","Leo","Virgo","Libra","Scorpio","Sagittarius","Capricorn","Aquarius","Pisces"},0),12)+1),0)&gt;=28,2,IF(IFERROR(INDEX(CALC_Ashtakavarga!$B$15:$M$15,MOD(MATCH(CALC_PlanetPositions!$B$10,{"Aries","Taurus","Gemini","Cancer","Leo","Virgo","Libra","Scorpio","Sagittarius","Capricorn","Aquarius","Pisces"},0)-MATCH(INPUT_Chart!$C$5,{"Aries","Taurus","Gemini","Cancer","Leo","Virgo","Libra","Scorpio","Sagittarius","Capricorn","Aquarius","Pisces"},0),12)+1),0)&gt;=22,1,0)),0))+(IF(ISNUMBER(CALC_Avasthas!$F$8),IF(CALC_Avasthas!$F$8&gt;=100,2,IF(CALC_Avasthas!$F$8&gt;=50,1,0)),0)),0)</f>
        <v>3</v>
      </c>
      <c r="J9" s="552" t="str">
        <f t="shared" ca="1" si="0"/>
        <v>★ Generally effective</v>
      </c>
      <c r="K9" s="613" t="str">
        <f>IFERROR(CONCATENATE(CALC_D60_Shastiamsha!$F$8," (",CALC_D60_Shastiamsha!$G$8,")"),"—")</f>
        <v>Kantaka (Malefic)</v>
      </c>
    </row>
    <row r="10" spans="1:11" ht="21.75" customHeight="1" x14ac:dyDescent="0.2">
      <c r="A10" s="578" t="s">
        <v>270</v>
      </c>
      <c r="B10" s="1008">
        <f>IFERROR(CALC_Shadbala!$T$10,"—")</f>
        <v>69.3</v>
      </c>
      <c r="C10" s="861" t="str">
        <f>IFERROR(CALC_Shadbala!$U$10,"—")</f>
        <v>⚠ Weak</v>
      </c>
      <c r="D10" s="916">
        <f>IFERROR(INDEX(CALC_Ashtakavarga!$B$15:$M$15,MOD(MATCH(CALC_PlanetPositions!$B$11,{"Aries","Taurus","Gemini","Cancer","Leo","Virgo","Libra","Scorpio","Sagittarius","Capricorn","Aquarius","Pisces"},0)-MATCH(INPUT_Chart!$C$5,{"Aries","Taurus","Gemini","Cancer","Leo","Virgo","Libra","Scorpio","Sagittarius","Capricorn","Aquarius","Pisces"},0),12)+1),0)</f>
        <v>25</v>
      </c>
      <c r="E10" s="574" t="str">
        <f>IFERROR(CALC_Avasthas!$E$9,"—")</f>
        <v>Mrita (Dead)</v>
      </c>
      <c r="F10" s="915">
        <f ca="1">IFERROR(CALC_Avasthas!$F$9,"—")</f>
        <v>100</v>
      </c>
      <c r="G10" s="574" t="str">
        <f>IFERROR(CALC_Avasthas!$G$9,"—")</f>
        <v>Kopa (Combust)</v>
      </c>
      <c r="H10" s="887">
        <f ca="1">IFERROR(CALC_Avasthas!$H$9,"—")</f>
        <v>0</v>
      </c>
      <c r="I10" s="1317">
        <f ca="1">IFERROR((IF(ISNUMBER(CALC_Shadbala!$N$10),IF(CALC_Shadbala!$N$10&gt;=100,2,IF(CALC_Shadbala!$N$10&gt;=75,1,0)),0))+(IF(ISNUMBER(IFERROR(INDEX(CALC_Ashtakavarga!$B$15:$M$15,MOD(MATCH(CALC_PlanetPositions!$B$11,{"Aries","Taurus","Gemini","Cancer","Leo","Virgo","Libra","Scorpio","Sagittarius","Capricorn","Aquarius","Pisces"},0)-MATCH(INPUT_Chart!$C$5,{"Aries","Taurus","Gemini","Cancer","Leo","Virgo","Libra","Scorpio","Sagittarius","Capricorn","Aquarius","Pisces"},0),12)+1),0)),IF(IFERROR(INDEX(CALC_Ashtakavarga!$B$15:$M$15,MOD(MATCH(CALC_PlanetPositions!$B$11,{"Aries","Taurus","Gemini","Cancer","Leo","Virgo","Libra","Scorpio","Sagittarius","Capricorn","Aquarius","Pisces"},0)-MATCH(INPUT_Chart!$C$5,{"Aries","Taurus","Gemini","Cancer","Leo","Virgo","Libra","Scorpio","Sagittarius","Capricorn","Aquarius","Pisces"},0),12)+1),0)&gt;=28,2,IF(IFERROR(INDEX(CALC_Ashtakavarga!$B$15:$M$15,MOD(MATCH(CALC_PlanetPositions!$B$11,{"Aries","Taurus","Gemini","Cancer","Leo","Virgo","Libra","Scorpio","Sagittarius","Capricorn","Aquarius","Pisces"},0)-MATCH(INPUT_Chart!$C$5,{"Aries","Taurus","Gemini","Cancer","Leo","Virgo","Libra","Scorpio","Sagittarius","Capricorn","Aquarius","Pisces"},0),12)+1),0)&gt;=22,1,0)),0))+(IF(ISNUMBER(CALC_Avasthas!$F$9),IF(CALC_Avasthas!$F$9&gt;=100,2,IF(CALC_Avasthas!$F$9&gt;=50,1,0)),0)),0)</f>
        <v>3</v>
      </c>
      <c r="J10" s="548" t="str">
        <f t="shared" ca="1" si="0"/>
        <v>★ Generally effective</v>
      </c>
      <c r="K10" s="611" t="str">
        <f>IFERROR(CONCATENATE(CALC_D60_Shastiamsha!$F$9," (",CALC_D60_Shastiamsha!$G$9,")"),"—")</f>
        <v>Kalinasa (Malefic)</v>
      </c>
    </row>
    <row r="11" spans="1:11" ht="21.75" customHeight="1" x14ac:dyDescent="0.2">
      <c r="A11" s="580" t="s">
        <v>271</v>
      </c>
      <c r="B11" s="1006">
        <f>IFERROR(CALC_Shadbala!$T$11,"—")</f>
        <v>114.6</v>
      </c>
      <c r="C11" s="867" t="str">
        <f>IFERROR(CALC_Shadbala!$U$11,"—")</f>
        <v>✓ Strong</v>
      </c>
      <c r="D11" s="920">
        <f>IFERROR(INDEX(CALC_Ashtakavarga!$B$15:$M$15,MOD(MATCH(CALC_PlanetPositions!$B$12,{"Aries","Taurus","Gemini","Cancer","Leo","Virgo","Libra","Scorpio","Sagittarius","Capricorn","Aquarius","Pisces"},0)-MATCH(INPUT_Chart!$C$5,{"Aries","Taurus","Gemini","Cancer","Leo","Virgo","Libra","Scorpio","Sagittarius","Capricorn","Aquarius","Pisces"},0),12)+1),0)</f>
        <v>27</v>
      </c>
      <c r="E11" s="576" t="str">
        <f>IFERROR(CALC_Avasthas!$E$10,"—")</f>
        <v>Kumar (Child)</v>
      </c>
      <c r="F11" s="919">
        <f ca="1">IFERROR(CALC_Avasthas!$F$10,"—")</f>
        <v>100</v>
      </c>
      <c r="G11" s="576" t="str">
        <f>IFERROR(CALC_Avasthas!$G$10,"—")</f>
        <v>Kopa (Combust)</v>
      </c>
      <c r="H11" s="889">
        <f ca="1">IFERROR(CALC_Avasthas!$H$10,"—")</f>
        <v>0</v>
      </c>
      <c r="I11" s="1318">
        <f ca="1">IFERROR((IF(ISNUMBER(CALC_Shadbala!$N$11),IF(CALC_Shadbala!$N$11&gt;=100,2,IF(CALC_Shadbala!$N$11&gt;=75,1,0)),0))+(IF(ISNUMBER(IFERROR(INDEX(CALC_Ashtakavarga!$B$15:$M$15,MOD(MATCH(CALC_PlanetPositions!$B$12,{"Aries","Taurus","Gemini","Cancer","Leo","Virgo","Libra","Scorpio","Sagittarius","Capricorn","Aquarius","Pisces"},0)-MATCH(INPUT_Chart!$C$5,{"Aries","Taurus","Gemini","Cancer","Leo","Virgo","Libra","Scorpio","Sagittarius","Capricorn","Aquarius","Pisces"},0),12)+1),0)),IF(IFERROR(INDEX(CALC_Ashtakavarga!$B$15:$M$15,MOD(MATCH(CALC_PlanetPositions!$B$12,{"Aries","Taurus","Gemini","Cancer","Leo","Virgo","Libra","Scorpio","Sagittarius","Capricorn","Aquarius","Pisces"},0)-MATCH(INPUT_Chart!$C$5,{"Aries","Taurus","Gemini","Cancer","Leo","Virgo","Libra","Scorpio","Sagittarius","Capricorn","Aquarius","Pisces"},0),12)+1),0)&gt;=28,2,IF(IFERROR(INDEX(CALC_Ashtakavarga!$B$15:$M$15,MOD(MATCH(CALC_PlanetPositions!$B$12,{"Aries","Taurus","Gemini","Cancer","Leo","Virgo","Libra","Scorpio","Sagittarius","Capricorn","Aquarius","Pisces"},0)-MATCH(INPUT_Chart!$C$5,{"Aries","Taurus","Gemini","Cancer","Leo","Virgo","Libra","Scorpio","Sagittarius","Capricorn","Aquarius","Pisces"},0),12)+1),0)&gt;=22,1,0)),0))+(IF(ISNUMBER(CALC_Avasthas!$F$10),IF(CALC_Avasthas!$F$10&gt;=100,2,IF(CALC_Avasthas!$F$10&gt;=50,1,0)),0)),0)</f>
        <v>3</v>
      </c>
      <c r="J11" s="552" t="str">
        <f t="shared" ca="1" si="0"/>
        <v>★ Generally effective</v>
      </c>
      <c r="K11" s="613" t="str">
        <f>IFERROR(CONCATENATE(CALC_D60_Shastiamsha!$F$10," (",CALC_D60_Shastiamsha!$G$10,")"),"—")</f>
        <v>Kaala (Malefic)</v>
      </c>
    </row>
    <row r="12" spans="1:11" ht="21.75" customHeight="1" x14ac:dyDescent="0.2">
      <c r="A12" s="578" t="s">
        <v>272</v>
      </c>
      <c r="B12" s="1008">
        <f>IFERROR(CALC_Shadbala!$T$12,"—")</f>
        <v>86.2</v>
      </c>
      <c r="C12" s="861" t="str">
        <f>IFERROR(CALC_Shadbala!$U$12,"—")</f>
        <v>⚠ Weak</v>
      </c>
      <c r="D12" s="916">
        <f>IFERROR(INDEX(CALC_Ashtakavarga!$B$15:$M$15,MOD(MATCH(CALC_PlanetPositions!$B$13,{"Aries","Taurus","Gemini","Cancer","Leo","Virgo","Libra","Scorpio","Sagittarius","Capricorn","Aquarius","Pisces"},0)-MATCH(INPUT_Chart!$C$5,{"Aries","Taurus","Gemini","Cancer","Leo","Virgo","Libra","Scorpio","Sagittarius","Capricorn","Aquarius","Pisces"},0),12)+1),0)</f>
        <v>27</v>
      </c>
      <c r="E12" s="574" t="str">
        <f>IFERROR(CALC_Avasthas!$E$11,"—")</f>
        <v>Kumar (Child)</v>
      </c>
      <c r="F12" s="915">
        <f ca="1">IFERROR(CALC_Avasthas!$F$11,"—")</f>
        <v>100</v>
      </c>
      <c r="G12" s="574" t="str">
        <f>IFERROR(CALC_Avasthas!$G$11,"—")</f>
        <v>Kshuditha (Enemy sign)</v>
      </c>
      <c r="H12" s="887">
        <f ca="1">IFERROR(CALC_Avasthas!$H$11,"—")</f>
        <v>0</v>
      </c>
      <c r="I12" s="1317">
        <f ca="1">IFERROR((IF(ISNUMBER(CALC_Shadbala!$N$12),IF(CALC_Shadbala!$N$12&gt;=100,2,IF(CALC_Shadbala!$N$12&gt;=75,1,0)),0))+(IF(ISNUMBER(IFERROR(INDEX(CALC_Ashtakavarga!$B$15:$M$15,MOD(MATCH(CALC_PlanetPositions!$B$13,{"Aries","Taurus","Gemini","Cancer","Leo","Virgo","Libra","Scorpio","Sagittarius","Capricorn","Aquarius","Pisces"},0)-MATCH(INPUT_Chart!$C$5,{"Aries","Taurus","Gemini","Cancer","Leo","Virgo","Libra","Scorpio","Sagittarius","Capricorn","Aquarius","Pisces"},0),12)+1),0)),IF(IFERROR(INDEX(CALC_Ashtakavarga!$B$15:$M$15,MOD(MATCH(CALC_PlanetPositions!$B$13,{"Aries","Taurus","Gemini","Cancer","Leo","Virgo","Libra","Scorpio","Sagittarius","Capricorn","Aquarius","Pisces"},0)-MATCH(INPUT_Chart!$C$5,{"Aries","Taurus","Gemini","Cancer","Leo","Virgo","Libra","Scorpio","Sagittarius","Capricorn","Aquarius","Pisces"},0),12)+1),0)&gt;=28,2,IF(IFERROR(INDEX(CALC_Ashtakavarga!$B$15:$M$15,MOD(MATCH(CALC_PlanetPositions!$B$13,{"Aries","Taurus","Gemini","Cancer","Leo","Virgo","Libra","Scorpio","Sagittarius","Capricorn","Aquarius","Pisces"},0)-MATCH(INPUT_Chart!$C$5,{"Aries","Taurus","Gemini","Cancer","Leo","Virgo","Libra","Scorpio","Sagittarius","Capricorn","Aquarius","Pisces"},0),12)+1),0)&gt;=22,1,0)),0))+(IF(ISNUMBER(CALC_Avasthas!$F$11),IF(CALC_Avasthas!$F$11&gt;=100,2,IF(CALC_Avasthas!$F$11&gt;=50,1,0)),0)),0)</f>
        <v>3</v>
      </c>
      <c r="J12" s="548" t="str">
        <f t="shared" ca="1" si="0"/>
        <v>★ Generally effective</v>
      </c>
      <c r="K12" s="611" t="str">
        <f>IFERROR(CONCATENATE(CALC_D60_Shastiamsha!$F$11," (",CALC_D60_Shastiamsha!$G$11,")"),"—")</f>
        <v>Komal (Benefic)</v>
      </c>
    </row>
  </sheetData>
  <mergeCells count="3">
    <mergeCell ref="A1:J1"/>
    <mergeCell ref="A2:J2"/>
    <mergeCell ref="A4:J4"/>
  </mergeCells>
  <pageMargins left="0.75" right="0.75" top="1" bottom="1" header="0.511811023622047" footer="0.511811023622047"/>
  <pageSetup paperSize="9" orientation="portrait" horizontalDpi="300" verticalDpi="300"/>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tabColor rgb="FF00838F"/>
  </sheetPr>
  <dimension ref="A1:G21"/>
  <sheetViews>
    <sheetView zoomScaleNormal="100" workbookViewId="0"/>
  </sheetViews>
  <sheetFormatPr defaultColWidth="8.609375" defaultRowHeight="15" x14ac:dyDescent="0.2"/>
  <cols>
    <col min="1" max="1" width="22.05859375" customWidth="1"/>
    <col min="2" max="5" width="16.0078125" customWidth="1"/>
    <col min="6" max="6" width="50.04296875" customWidth="1"/>
  </cols>
  <sheetData>
    <row r="1" spans="1:7" ht="27.75" customHeight="1" x14ac:dyDescent="0.2">
      <c r="A1" s="1612" t="s">
        <v>5202</v>
      </c>
      <c r="B1" s="1612"/>
      <c r="C1" s="1612"/>
      <c r="D1" s="1612"/>
      <c r="E1" s="1612"/>
      <c r="F1" s="1612"/>
      <c r="G1" s="601" t="s">
        <v>2214</v>
      </c>
    </row>
    <row r="2" spans="1:7" ht="24" customHeight="1" x14ac:dyDescent="0.2">
      <c r="A2" s="1580" t="s">
        <v>5203</v>
      </c>
      <c r="B2" s="1580"/>
      <c r="C2" s="1580"/>
      <c r="D2" s="1580"/>
      <c r="E2" s="1580"/>
      <c r="F2" s="1580"/>
    </row>
    <row r="4" spans="1:7" ht="18" customHeight="1" x14ac:dyDescent="0.2">
      <c r="A4" s="1524" t="s">
        <v>5204</v>
      </c>
      <c r="B4" s="1524"/>
      <c r="C4" s="1524"/>
      <c r="D4" s="1524"/>
      <c r="E4" s="1524"/>
      <c r="F4" s="1524"/>
    </row>
    <row r="5" spans="1:7" ht="21.75" customHeight="1" x14ac:dyDescent="0.2">
      <c r="A5" s="909" t="s">
        <v>5205</v>
      </c>
      <c r="B5" s="1319" t="str">
        <f>IFERROR(CALC_Compatibility!B6,"—")</f>
        <v>Pushya</v>
      </c>
      <c r="C5" s="904" t="s">
        <v>5206</v>
      </c>
    </row>
    <row r="6" spans="1:7" ht="21.75" customHeight="1" x14ac:dyDescent="0.2">
      <c r="A6" s="906" t="s">
        <v>4288</v>
      </c>
      <c r="B6" s="1320" t="str">
        <f>IFERROR(CALC_Compatibility!C6,"—")</f>
        <v>← Enter</v>
      </c>
      <c r="C6" s="907" t="s">
        <v>5207</v>
      </c>
    </row>
    <row r="7" spans="1:7" ht="21.75" customHeight="1" x14ac:dyDescent="0.2">
      <c r="A7" s="909" t="s">
        <v>5208</v>
      </c>
      <c r="B7" s="1319">
        <f>IFERROR(CALC_Compatibility!F22,0)</f>
        <v>8</v>
      </c>
      <c r="C7" s="904" t="s">
        <v>5209</v>
      </c>
    </row>
    <row r="8" spans="1:7" ht="21.75" customHeight="1" x14ac:dyDescent="0.2">
      <c r="A8" s="906" t="s">
        <v>5210</v>
      </c>
      <c r="B8" s="1320" t="str">
        <f>IFERROR(IF(CALC_Compatibility!F22&gt;=32,"★★ Excellent",IF(CALC_Compatibility!F22&gt;=24,"★ Good",IF(CALC_Compatibility!F22&gt;=18,"~ Acceptable","⚠ Challenging"))),"—")</f>
        <v>⚠ Challenging</v>
      </c>
      <c r="C8" s="907" t="s">
        <v>5211</v>
      </c>
    </row>
    <row r="9" spans="1:7" ht="21.75" customHeight="1" x14ac:dyDescent="0.2">
      <c r="A9" s="909" t="s">
        <v>5212</v>
      </c>
      <c r="B9" s="1319" t="str">
        <f>IFERROR(IF(CALC_Compatibility!F21=0,"⚠ NADI DOSHA — same Nadi detected","✓ Nadi clear — different Nadis"),"Enter partner Nakshatra")</f>
        <v>✓ Nadi clear — different Nadis</v>
      </c>
      <c r="C9" s="904" t="s">
        <v>5213</v>
      </c>
    </row>
    <row r="10" spans="1:7" ht="21.75" customHeight="1" x14ac:dyDescent="0.2">
      <c r="A10" s="906" t="s">
        <v>5214</v>
      </c>
      <c r="B10" s="1320" t="str">
        <f>IFERROR(IF(CALC_Compatibility!F22&gt;=24,"Proceed — favourable match. Perform detailed chart study for both partners.",IF(CALC_Compatibility!F22&gt;=18,"Acceptable match. Dosha remedies if required.","Consult qualified Jyotishi before proceeding. Significant compatibility concerns.")),"—")</f>
        <v>Consult qualified Jyotishi before proceeding. Significant compatibility concerns.</v>
      </c>
      <c r="C10" s="907"/>
    </row>
    <row r="12" spans="1:7" ht="18" customHeight="1" x14ac:dyDescent="0.2">
      <c r="A12" s="1524" t="s">
        <v>5215</v>
      </c>
      <c r="B12" s="1524"/>
      <c r="C12" s="1524"/>
      <c r="D12" s="1524"/>
      <c r="E12" s="1524"/>
      <c r="F12" s="1524"/>
    </row>
    <row r="13" spans="1:7" ht="15.75" customHeight="1" x14ac:dyDescent="0.2">
      <c r="A13" s="882" t="s">
        <v>4298</v>
      </c>
      <c r="B13" s="882" t="s">
        <v>4300</v>
      </c>
      <c r="C13" s="882" t="s">
        <v>4301</v>
      </c>
      <c r="D13" s="882" t="s">
        <v>5216</v>
      </c>
      <c r="E13" s="882" t="s">
        <v>4287</v>
      </c>
      <c r="F13" s="882" t="s">
        <v>2045</v>
      </c>
    </row>
    <row r="14" spans="1:7" ht="18" customHeight="1" x14ac:dyDescent="0.2">
      <c r="A14" s="909" t="str">
        <f>IFERROR(CALC_Compatibility!A14,"—")</f>
        <v>1. Varna Kuta</v>
      </c>
      <c r="B14" s="978" t="str">
        <f>IFERROR(CALC_Compatibility!C14,"—")</f>
        <v>Kshatriya</v>
      </c>
      <c r="C14" s="979" t="str">
        <f>IFERROR(CALC_Compatibility!D14,"—")</f>
        <v>—</v>
      </c>
      <c r="D14" s="1321">
        <f>IFERROR(CALC_Compatibility!E14,0)</f>
        <v>1</v>
      </c>
      <c r="E14" s="980">
        <f>IFERROR(CALC_Compatibility!F14,0)</f>
        <v>1</v>
      </c>
      <c r="F14" s="904" t="str">
        <f>IFERROR(IF(CALC_Compatibility!F14=CALC_Compatibility!E14,"Full score","Score "&amp;CALC_Compatibility!F14&amp;" of "&amp;CALC_Compatibility!E14),"—")</f>
        <v>Full score</v>
      </c>
    </row>
    <row r="15" spans="1:7" ht="18" customHeight="1" x14ac:dyDescent="0.2">
      <c r="A15" s="906" t="str">
        <f>IFERROR(CALC_Compatibility!A15,"—")</f>
        <v>2. Vashya Kuta</v>
      </c>
      <c r="B15" s="981" t="str">
        <f>IFERROR(CALC_Compatibility!C15,"—")</f>
        <v>Cancer</v>
      </c>
      <c r="C15" s="982" t="str">
        <f>IFERROR(CALC_Compatibility!D15,"—")</f>
        <v>← Enter</v>
      </c>
      <c r="D15" s="1322">
        <f>IFERROR(CALC_Compatibility!E15,0)</f>
        <v>2</v>
      </c>
      <c r="E15" s="983">
        <f>IFERROR(CALC_Compatibility!F15,0)</f>
        <v>1</v>
      </c>
      <c r="F15" s="907" t="str">
        <f>IFERROR(IF(CALC_Compatibility!F15=CALC_Compatibility!E15,"Full score","Score "&amp;CALC_Compatibility!F15&amp;" of "&amp;CALC_Compatibility!E15),"—")</f>
        <v>Score 1 of 2</v>
      </c>
    </row>
    <row r="16" spans="1:7" ht="18" customHeight="1" x14ac:dyDescent="0.2">
      <c r="A16" s="909" t="str">
        <f>IFERROR(CALC_Compatibility!A16,"—")</f>
        <v>3. Tara Kuta</v>
      </c>
      <c r="B16" s="978" t="str">
        <f>IFERROR(CALC_Compatibility!C16,"—")</f>
        <v>Pushya</v>
      </c>
      <c r="C16" s="979" t="str">
        <f>IFERROR(CALC_Compatibility!D16,"—")</f>
        <v>← Enter</v>
      </c>
      <c r="D16" s="1321">
        <f>IFERROR(CALC_Compatibility!E16,0)</f>
        <v>3</v>
      </c>
      <c r="E16" s="980">
        <f>IFERROR(CALC_Compatibility!F16,0)</f>
        <v>1</v>
      </c>
      <c r="F16" s="904" t="str">
        <f>IFERROR(IF(CALC_Compatibility!F16=CALC_Compatibility!E16,"Full score","Score "&amp;CALC_Compatibility!F16&amp;" of "&amp;CALC_Compatibility!E16),"—")</f>
        <v>Score 1 of 3</v>
      </c>
    </row>
    <row r="17" spans="1:6" ht="18" customHeight="1" x14ac:dyDescent="0.2">
      <c r="A17" s="906" t="str">
        <f>IFERROR(CALC_Compatibility!A17,"—")</f>
        <v>4. Yoni Kuta</v>
      </c>
      <c r="B17" s="981" t="str">
        <f>IFERROR(CALC_Compatibility!C17,"—")</f>
        <v>Sheep</v>
      </c>
      <c r="C17" s="982" t="str">
        <f>IFERROR(CALC_Compatibility!D17,"—")</f>
        <v>—</v>
      </c>
      <c r="D17" s="1322">
        <f>IFERROR(CALC_Compatibility!E17,0)</f>
        <v>4</v>
      </c>
      <c r="E17" s="983">
        <f>IFERROR(CALC_Compatibility!F17,0)</f>
        <v>1</v>
      </c>
      <c r="F17" s="907" t="str">
        <f>IFERROR(IF(CALC_Compatibility!F17=CALC_Compatibility!E17,"Full score","Score "&amp;CALC_Compatibility!F17&amp;" of "&amp;CALC_Compatibility!E17),"—")</f>
        <v>Score 1 of 4</v>
      </c>
    </row>
    <row r="18" spans="1:6" ht="18" customHeight="1" x14ac:dyDescent="0.2">
      <c r="A18" s="909" t="str">
        <f>IFERROR(CALC_Compatibility!A18,"—")</f>
        <v>5. Graha Maitri</v>
      </c>
      <c r="B18" s="978" t="str">
        <f>IFERROR(CALC_Compatibility!C18,"—")</f>
        <v>Moon</v>
      </c>
      <c r="C18" s="979" t="str">
        <f>IFERROR(CALC_Compatibility!D18,"—")</f>
        <v>—</v>
      </c>
      <c r="D18" s="1321">
        <f>IFERROR(CALC_Compatibility!E18,0)</f>
        <v>5</v>
      </c>
      <c r="E18" s="980">
        <f>IFERROR(CALC_Compatibility!F18,0)</f>
        <v>1</v>
      </c>
      <c r="F18" s="904" t="str">
        <f>IFERROR(IF(CALC_Compatibility!F18=CALC_Compatibility!E18,"Full score","Score "&amp;CALC_Compatibility!F18&amp;" of "&amp;CALC_Compatibility!E18),"—")</f>
        <v>Score 1 of 5</v>
      </c>
    </row>
    <row r="19" spans="1:6" ht="18" customHeight="1" x14ac:dyDescent="0.2">
      <c r="A19" s="906" t="str">
        <f>IFERROR(CALC_Compatibility!A19,"—")</f>
        <v>6. Gana Kuta</v>
      </c>
      <c r="B19" s="981" t="str">
        <f>IFERROR(CALC_Compatibility!C19,"—")</f>
        <v>Deva</v>
      </c>
      <c r="C19" s="982" t="str">
        <f>IFERROR(CALC_Compatibility!D19,"—")</f>
        <v>—</v>
      </c>
      <c r="D19" s="1322">
        <f>IFERROR(CALC_Compatibility!E19,0)</f>
        <v>6</v>
      </c>
      <c r="E19" s="983">
        <f>IFERROR(CALC_Compatibility!F19,0)</f>
        <v>1</v>
      </c>
      <c r="F19" s="907" t="str">
        <f>IFERROR(IF(CALC_Compatibility!F19=CALC_Compatibility!E19,"Full score","Score "&amp;CALC_Compatibility!F19&amp;" of "&amp;CALC_Compatibility!E19),"—")</f>
        <v>Score 1 of 6</v>
      </c>
    </row>
    <row r="20" spans="1:6" ht="18" customHeight="1" x14ac:dyDescent="0.2">
      <c r="A20" s="909" t="str">
        <f>IFERROR(CALC_Compatibility!A20,"—")</f>
        <v>7. Bhakut Kuta</v>
      </c>
      <c r="B20" s="978" t="str">
        <f>IFERROR(CALC_Compatibility!C20,"—")</f>
        <v>Cancer</v>
      </c>
      <c r="C20" s="979" t="str">
        <f>IFERROR(CALC_Compatibility!D20,"—")</f>
        <v>← Enter</v>
      </c>
      <c r="D20" s="1321">
        <f>IFERROR(CALC_Compatibility!E20,0)</f>
        <v>7</v>
      </c>
      <c r="E20" s="980">
        <f>IFERROR(CALC_Compatibility!F20,0)</f>
        <v>1</v>
      </c>
      <c r="F20" s="904" t="str">
        <f>IFERROR(IF(CALC_Compatibility!F20=CALC_Compatibility!E20,"Full score","Score "&amp;CALC_Compatibility!F20&amp;" of "&amp;CALC_Compatibility!E20),"—")</f>
        <v>Score 1 of 7</v>
      </c>
    </row>
    <row r="21" spans="1:6" ht="18" customHeight="1" x14ac:dyDescent="0.2">
      <c r="A21" s="906" t="str">
        <f>IFERROR(CALC_Compatibility!A21,"—")</f>
        <v>8. Nadi Kuta</v>
      </c>
      <c r="B21" s="981" t="str">
        <f>IFERROR(CALC_Compatibility!C21,"—")</f>
        <v>Pushya</v>
      </c>
      <c r="C21" s="982" t="str">
        <f>IFERROR(CALC_Compatibility!D21,"—")</f>
        <v>← Enter</v>
      </c>
      <c r="D21" s="1322">
        <f>IFERROR(CALC_Compatibility!E21,0)</f>
        <v>8</v>
      </c>
      <c r="E21" s="908">
        <f>IFERROR(CALC_Compatibility!F21,0)</f>
        <v>1</v>
      </c>
      <c r="F21" s="907" t="str">
        <f>IFERROR(IF(CALC_Compatibility!F21=CALC_Compatibility!E21,"Full score","Score "&amp;CALC_Compatibility!F21&amp;" of "&amp;CALC_Compatibility!E21),"—")</f>
        <v>Score 1 of 8</v>
      </c>
    </row>
  </sheetData>
  <mergeCells count="4">
    <mergeCell ref="A1:F1"/>
    <mergeCell ref="A2:F2"/>
    <mergeCell ref="A4:F4"/>
    <mergeCell ref="A12:F12"/>
  </mergeCells>
  <pageMargins left="0.75" right="0.75" top="1" bottom="1" header="0.511811023622047" footer="0.511811023622047"/>
  <pageSetup paperSize="9" orientation="portrait" horizontalDpi="300" verticalDpi="300"/>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tabColor rgb="FF00838F"/>
  </sheetPr>
  <dimension ref="A1:H20"/>
  <sheetViews>
    <sheetView zoomScaleNormal="100" workbookViewId="0"/>
  </sheetViews>
  <sheetFormatPr defaultColWidth="8.609375" defaultRowHeight="15" x14ac:dyDescent="0.2"/>
  <cols>
    <col min="1" max="1" width="18.0234375" customWidth="1"/>
    <col min="2" max="2" width="9.953125" customWidth="1"/>
    <col min="3" max="3" width="11.97265625" customWidth="1"/>
    <col min="4" max="4" width="22.05859375" customWidth="1"/>
    <col min="5" max="5" width="27.98046875" customWidth="1"/>
    <col min="6" max="6" width="55.01953125" customWidth="1"/>
  </cols>
  <sheetData>
    <row r="1" spans="1:8" ht="27.75" customHeight="1" x14ac:dyDescent="0.2">
      <c r="A1" s="1612" t="s">
        <v>5217</v>
      </c>
      <c r="B1" s="1612"/>
      <c r="C1" s="1612"/>
      <c r="D1" s="1612"/>
      <c r="E1" s="1612"/>
      <c r="F1" s="1612"/>
      <c r="H1" s="601" t="s">
        <v>2214</v>
      </c>
    </row>
    <row r="2" spans="1:8" ht="24" customHeight="1" x14ac:dyDescent="0.2">
      <c r="A2" s="1523" t="s">
        <v>5218</v>
      </c>
      <c r="B2" s="1523"/>
      <c r="C2" s="1523"/>
      <c r="D2" s="1523"/>
      <c r="E2" s="1523"/>
      <c r="F2" s="1523"/>
    </row>
    <row r="4" spans="1:8" ht="15" customHeight="1" x14ac:dyDescent="0.2">
      <c r="A4" s="545" t="s">
        <v>3192</v>
      </c>
      <c r="B4" s="545" t="s">
        <v>5219</v>
      </c>
      <c r="C4" s="545" t="s">
        <v>5220</v>
      </c>
      <c r="D4" s="545" t="s">
        <v>5221</v>
      </c>
      <c r="E4" s="545" t="s">
        <v>5222</v>
      </c>
      <c r="F4" s="545" t="s">
        <v>5223</v>
      </c>
      <c r="G4" s="545"/>
      <c r="H4" s="545"/>
    </row>
    <row r="5" spans="1:8" ht="13.5" customHeight="1" x14ac:dyDescent="0.2">
      <c r="A5" s="1614" t="s">
        <v>5224</v>
      </c>
      <c r="B5" s="1614"/>
      <c r="C5" s="1614"/>
      <c r="D5" s="1614"/>
      <c r="E5" s="1614"/>
      <c r="F5" s="1614"/>
      <c r="G5" s="1614"/>
      <c r="H5" s="1614"/>
    </row>
    <row r="6" spans="1:8" ht="79.5" customHeight="1" x14ac:dyDescent="0.2">
      <c r="A6" s="1324" t="s">
        <v>5225</v>
      </c>
      <c r="B6" s="1325">
        <f ca="1">SCORE_AllHouses!$S$5</f>
        <v>1.25</v>
      </c>
      <c r="C6" s="1326">
        <f ca="1">OUTPUT_LifePressureIndex_Full!$O$17</f>
        <v>0.84</v>
      </c>
      <c r="D6" s="1327" t="str">
        <f ca="1">IFERROR(CALC_DashaActive!$B$14&amp;" MD active","—")</f>
        <v>Mars MD active</v>
      </c>
      <c r="E6" s="1328" t="str">
        <f>IFERROR(IF(LEN(IF(SCORE_H1_Self!$C$9&gt;0,"R04+2.0"&amp;", ","")&amp;IF(SCORE_H1_Self!$C$5&gt;0,"R01+0.5"&amp;", ","")&amp;IF(SCORE_H1_Self!$C$6&gt;0,"R02+1.0"&amp;", ","")&amp;IF(SCORE_H1_Self!$C$22&lt;0,"R15-2.0"&amp;", ","")&amp;IF(SCORE_H1_Self!$C$15&lt;0,"R09-1.0"&amp;", ","")&amp;IF(SCORE_H1_Self!$C$18&lt;0,"R12-0.75"&amp;", ",""))&gt;2,LEFT(IF(SCORE_H1_Self!$C$9&gt;0,"R04+2.0"&amp;", ","")&amp;IF(SCORE_H1_Self!$C$5&gt;0,"R01+0.5"&amp;", ","")&amp;IF(SCORE_H1_Self!$C$6&gt;0,"R02+1.0"&amp;", ","")&amp;IF(SCORE_H1_Self!$C$22&lt;0,"R15-2.0"&amp;", ","")&amp;IF(SCORE_H1_Self!$C$15&lt;0,"R09-1.0"&amp;", ","")&amp;IF(SCORE_H1_Self!$C$18&lt;0,"R12-0.75"&amp;", ",""),LEN(IF(SCORE_H1_Self!$C$9&gt;0,"R04+2.0"&amp;", ","")&amp;IF(SCORE_H1_Self!$C$5&gt;0,"R01+0.5"&amp;", ","")&amp;IF(SCORE_H1_Self!$C$6&gt;0,"R02+1.0"&amp;", ","")&amp;IF(SCORE_H1_Self!$C$22&lt;0,"R15-2.0"&amp;", ","")&amp;IF(SCORE_H1_Self!$C$15&lt;0,"R09-1.0"&amp;", ","")&amp;IF(SCORE_H1_Self!$C$18&lt;0,"R12-0.75"&amp;", ",""))-2),"—"),"—")</f>
        <v>R01+0.5, R09-1.0</v>
      </c>
      <c r="F6" s="1329" t="str">
        <f ca="1">IFERROR(CONCATENATE("H1 — Self: Self · identity · body · vitality · personality · Lagnesh",CHAR(10),"Score: ",IF(SCORE_AllHouses!$S$5&gt;=6,"⬆ Strongly supported (+6 to +10) — multiple beneficial factors converge. ",IF(SCORE_AllHouses!$S$5&gt;=3,"↑ Generally positive (+3 to +5) — more strength than weakness. ",IF(SCORE_AllHouses!$S$5&gt;=1,"→ Moderately placed (+1 to +2) — some support with minor challenges. ",IF(SCORE_AllHouses!$S$5&gt;=-1,"↔ Neutral (0 to -1) — balanced or contested forces. ",IF(SCORE_AllHouses!$S$5&gt;=-4,"↓ Under pressure (-2 to -4) — challenges outweigh strength. ","⬇ Severely stressed (-5 to -10) — multiple concurrent afflictions. "))))),CHAR(10),"LPI index: ",IF(OUTPUT_LifePressureIndex_Full!$O$17&gt;=3,"Active — 9-layer composite confirms activation. ",IF(OUTPUT_LifePressureIndex_Full!$O$17&lt;=-2,"Suppressed — multi-layer index shows inhibition. ","Neutral — 9-layer index balanced. ")),CHAR(10),"Dasha: "&amp;CALC_DashaActive!$B$14&amp;" Mahadasha active. "),"—")</f>
        <v xml:space="preserve">H1 — Self: Self · identity · body · vitality · personality · Lagnesh
Score: → Moderately placed (+1 to +2) — some support with minor challenges. 
LPI index: Neutral — 9-layer index balanced. 
Dasha: Mars Mahadasha active. </v>
      </c>
      <c r="G6" s="1615"/>
      <c r="H6" s="1615"/>
    </row>
    <row r="7" spans="1:8" ht="79.5" customHeight="1" x14ac:dyDescent="0.2">
      <c r="A7" s="559" t="s">
        <v>5226</v>
      </c>
      <c r="B7" s="1330">
        <f ca="1">SCORE_AllHouses!$S$9</f>
        <v>-1.5</v>
      </c>
      <c r="C7" s="1331">
        <f ca="1">OUTPUT_LifePressureIndex_Full!$O$21</f>
        <v>-1.8</v>
      </c>
      <c r="D7" s="1332" t="str">
        <f ca="1">IFERROR(CALC_DashaActive!$B$14&amp;" MD active","—")</f>
        <v>Mars MD active</v>
      </c>
      <c r="E7" s="1333" t="str">
        <f>IFERROR(IF(LEN(IF(SCORE_H5_Intellect!$C$9&gt;0,"R04+2.0"&amp;", ","")&amp;IF(SCORE_H5_Intellect!$C$5&gt;0,"R01+0.5"&amp;", ","")&amp;IF(SCORE_H5_Intellect!$C$6&gt;0,"R02+1.0"&amp;", ","")&amp;IF(SCORE_H5_Intellect!$C$22&lt;0,"R15-2.0"&amp;", ","")&amp;IF(SCORE_H5_Intellect!$C$15&lt;0,"R09-1.0"&amp;", ","")&amp;IF(SCORE_H5_Intellect!$C$18&lt;0,"R12-0.75"&amp;", ",""))&gt;2,LEFT(IF(SCORE_H5_Intellect!$C$9&gt;0,"R04+2.0"&amp;", ","")&amp;IF(SCORE_H5_Intellect!$C$5&gt;0,"R01+0.5"&amp;", ","")&amp;IF(SCORE_H5_Intellect!$C$6&gt;0,"R02+1.0"&amp;", ","")&amp;IF(SCORE_H5_Intellect!$C$22&lt;0,"R15-2.0"&amp;", ","")&amp;IF(SCORE_H5_Intellect!$C$15&lt;0,"R09-1.0"&amp;", ","")&amp;IF(SCORE_H5_Intellect!$C$18&lt;0,"R12-0.75"&amp;", ",""),LEN(IF(SCORE_H5_Intellect!$C$9&gt;0,"R04+2.0"&amp;", ","")&amp;IF(SCORE_H5_Intellect!$C$5&gt;0,"R01+0.5"&amp;", ","")&amp;IF(SCORE_H5_Intellect!$C$6&gt;0,"R02+1.0"&amp;", ","")&amp;IF(SCORE_H5_Intellect!$C$22&lt;0,"R15-2.0"&amp;", ","")&amp;IF(SCORE_H5_Intellect!$C$15&lt;0,"R09-1.0"&amp;", ","")&amp;IF(SCORE_H5_Intellect!$C$18&lt;0,"R12-0.75"&amp;", ",""))-2),"—"),"—")</f>
        <v>R01+0.5</v>
      </c>
      <c r="F7" s="1334" t="str">
        <f ca="1">IFERROR(CONCATENATE("H5 — Intellect: Intellect · creativity · children · speculation · Purva Punya",CHAR(10),"Score: ",IF(SCORE_AllHouses!$S$9&gt;=6,"⬆ Strongly supported (+6 to +10) — multiple beneficial factors converge. ",IF(SCORE_AllHouses!$S$9&gt;=3,"↑ Generally positive (+3 to +5) — more strength than weakness. ",IF(SCORE_AllHouses!$S$9&gt;=1,"→ Moderately placed (+1 to +2) — some support with minor challenges. ",IF(SCORE_AllHouses!$S$9&gt;=-1,"↔ Neutral (0 to -1) — balanced or contested forces. ",IF(SCORE_AllHouses!$S$9&gt;=-4,"↓ Under pressure (-2 to -4) — challenges outweigh strength. ","⬇ Severely stressed (-5 to -10) — multiple concurrent afflictions. "))))),CHAR(10),"LPI index: ",IF(OUTPUT_LifePressureIndex_Full!$O$21&gt;=3,"Active — 9-layer composite confirms activation. ",IF(OUTPUT_LifePressureIndex_Full!$O$21&lt;=-2,"Suppressed — multi-layer index shows inhibition. ","Neutral — 9-layer index balanced. ")),CHAR(10),"Dasha: "&amp;CALC_DashaActive!$B$14&amp;" Mahadasha active. "),"—")</f>
        <v xml:space="preserve">H5 — Intellect: Intellect · creativity · children · speculation · Purva Punya
Score: ↓ Under pressure (-2 to -4) — challenges outweigh strength. 
LPI index: Neutral — 9-layer index balanced. 
Dasha: Mars Mahadasha active. </v>
      </c>
      <c r="G7" s="1616"/>
      <c r="H7" s="1616"/>
    </row>
    <row r="8" spans="1:8" ht="79.5" customHeight="1" x14ac:dyDescent="0.2">
      <c r="A8" s="1324" t="s">
        <v>5227</v>
      </c>
      <c r="B8" s="1325">
        <f ca="1">SCORE_AllHouses!$S$13</f>
        <v>-2.75</v>
      </c>
      <c r="C8" s="1326">
        <f ca="1">OUTPUT_LifePressureIndex_Full!$O$25</f>
        <v>-1.07</v>
      </c>
      <c r="D8" s="1327" t="str">
        <f ca="1">IFERROR(CALC_DashaActive!$B$14&amp;" MD active","—")</f>
        <v>Mars MD active</v>
      </c>
      <c r="E8" s="1328" t="str">
        <f>IFERROR(IF(LEN(IF(SCORE_H9_Fortune!$C$9&gt;0,"R04+2.0"&amp;", ","")&amp;IF(SCORE_H9_Fortune!$C$5&gt;0,"R01+0.5"&amp;", ","")&amp;IF(SCORE_H9_Fortune!$C$6&gt;0,"R02+1.0"&amp;", ","")&amp;IF(SCORE_H9_Fortune!$C$22&lt;0,"R15-2.0"&amp;", ","")&amp;IF(SCORE_H9_Fortune!$C$15&lt;0,"R09-1.0"&amp;", ","")&amp;IF(SCORE_H9_Fortune!$C$18&lt;0,"R12-0.75"&amp;", ",""))&gt;2,LEFT(IF(SCORE_H9_Fortune!$C$9&gt;0,"R04+2.0"&amp;", ","")&amp;IF(SCORE_H9_Fortune!$C$5&gt;0,"R01+0.5"&amp;", ","")&amp;IF(SCORE_H9_Fortune!$C$6&gt;0,"R02+1.0"&amp;", ","")&amp;IF(SCORE_H9_Fortune!$C$22&lt;0,"R15-2.0"&amp;", ","")&amp;IF(SCORE_H9_Fortune!$C$15&lt;0,"R09-1.0"&amp;", ","")&amp;IF(SCORE_H9_Fortune!$C$18&lt;0,"R12-0.75"&amp;", ",""),LEN(IF(SCORE_H9_Fortune!$C$9&gt;0,"R04+2.0"&amp;", ","")&amp;IF(SCORE_H9_Fortune!$C$5&gt;0,"R01+0.5"&amp;", ","")&amp;IF(SCORE_H9_Fortune!$C$6&gt;0,"R02+1.0"&amp;", ","")&amp;IF(SCORE_H9_Fortune!$C$22&lt;0,"R15-2.0"&amp;", ","")&amp;IF(SCORE_H9_Fortune!$C$15&lt;0,"R09-1.0"&amp;", ","")&amp;IF(SCORE_H9_Fortune!$C$18&lt;0,"R12-0.75"&amp;", ",""))-2),"—"),"—")</f>
        <v>—</v>
      </c>
      <c r="F8" s="1329" t="str">
        <f ca="1">IFERROR(CONCATENATE("H9 — Fortune: Dharma · father · higher learning · fortune · long journeys · guru",CHAR(10),"Score: ",IF(SCORE_AllHouses!$S$13&gt;=6,"⬆ Strongly supported (+6 to +10) — multiple beneficial factors converge. ",IF(SCORE_AllHouses!$S$13&gt;=3,"↑ Generally positive (+3 to +5) — more strength than weakness. ",IF(SCORE_AllHouses!$S$13&gt;=1,"→ Moderately placed (+1 to +2) — some support with minor challenges. ",IF(SCORE_AllHouses!$S$13&gt;=-1,"↔ Neutral (0 to -1) — balanced or contested forces. ",IF(SCORE_AllHouses!$S$13&gt;=-4,"↓ Under pressure (-2 to -4) — challenges outweigh strength. ","⬇ Severely stressed (-5 to -10) — multiple concurrent afflictions. "))))),CHAR(10),"LPI index: ",IF(OUTPUT_LifePressureIndex_Full!$O$25&gt;=3,"Active — 9-layer composite confirms activation. ",IF(OUTPUT_LifePressureIndex_Full!$O$25&lt;=-2,"Suppressed — multi-layer index shows inhibition. ","Neutral — 9-layer index balanced. ")),CHAR(10),"Dasha: "&amp;CALC_DashaActive!$B$14&amp;" Mahadasha active. "),"—")</f>
        <v xml:space="preserve">H9 — Fortune: Dharma · father · higher learning · fortune · long journeys · guru
Score: ↓ Under pressure (-2 to -4) — challenges outweigh strength. 
LPI index: Neutral — 9-layer index balanced. 
Dasha: Mars Mahadasha active. </v>
      </c>
      <c r="G8" s="1615"/>
      <c r="H8" s="1615"/>
    </row>
    <row r="9" spans="1:8" ht="13.5" customHeight="1" x14ac:dyDescent="0.2">
      <c r="A9" s="1614" t="s">
        <v>5228</v>
      </c>
      <c r="B9" s="1614"/>
      <c r="C9" s="1614"/>
      <c r="D9" s="1614"/>
      <c r="E9" s="1614"/>
      <c r="F9" s="1614"/>
      <c r="G9" s="1323"/>
      <c r="H9" s="1323"/>
    </row>
    <row r="10" spans="1:8" ht="79.5" customHeight="1" x14ac:dyDescent="0.2">
      <c r="A10" s="1324" t="s">
        <v>5229</v>
      </c>
      <c r="B10" s="1325">
        <f ca="1">SCORE_AllHouses!$S$6</f>
        <v>-5.25</v>
      </c>
      <c r="C10" s="1326">
        <f ca="1">OUTPUT_LifePressureIndex_Full!$O$18</f>
        <v>-1.89</v>
      </c>
      <c r="D10" s="1327" t="str">
        <f ca="1">IFERROR(CALC_DashaActive!$B$14&amp;" MD active","—")</f>
        <v>Mars MD active</v>
      </c>
      <c r="E10" s="1328" t="str">
        <f>IFERROR(IF(LEN(IF(SCORE_H2_Wealth!$C$9&gt;0,"R04+2.0"&amp;", ","")&amp;IF(SCORE_H2_Wealth!$C$5&gt;0,"R01+0.5"&amp;", ","")&amp;IF(SCORE_H2_Wealth!$C$6&gt;0,"R02+1.0"&amp;", ","")&amp;IF(SCORE_H2_Wealth!$C$22&lt;0,"R15-2.0"&amp;", ","")&amp;IF(SCORE_H2_Wealth!$C$15&lt;0,"R09-1.0"&amp;", ","")&amp;IF(SCORE_H2_Wealth!$C$18&lt;0,"R12-0.75"&amp;", ",""))&gt;2,LEFT(IF(SCORE_H2_Wealth!$C$9&gt;0,"R04+2.0"&amp;", ","")&amp;IF(SCORE_H2_Wealth!$C$5&gt;0,"R01+0.5"&amp;", ","")&amp;IF(SCORE_H2_Wealth!$C$6&gt;0,"R02+1.0"&amp;", ","")&amp;IF(SCORE_H2_Wealth!$C$22&lt;0,"R15-2.0"&amp;", ","")&amp;IF(SCORE_H2_Wealth!$C$15&lt;0,"R09-1.0"&amp;", ","")&amp;IF(SCORE_H2_Wealth!$C$18&lt;0,"R12-0.75"&amp;", ",""),LEN(IF(SCORE_H2_Wealth!$C$9&gt;0,"R04+2.0"&amp;", ","")&amp;IF(SCORE_H2_Wealth!$C$5&gt;0,"R01+0.5"&amp;", ","")&amp;IF(SCORE_H2_Wealth!$C$6&gt;0,"R02+1.0"&amp;", ","")&amp;IF(SCORE_H2_Wealth!$C$22&lt;0,"R15-2.0"&amp;", ","")&amp;IF(SCORE_H2_Wealth!$C$15&lt;0,"R09-1.0"&amp;", ","")&amp;IF(SCORE_H2_Wealth!$C$18&lt;0,"R12-0.75"&amp;", ",""))-2),"—"),"—")</f>
        <v>R01+0.5, R09-1.0, R12-0.75</v>
      </c>
      <c r="F10" s="1329" t="str">
        <f ca="1">IFERROR(CONCATENATE("H2 — Wealth: Wealth · family · speech · values · accumulated assets · eyes",CHAR(10),"Score: ",IF(SCORE_AllHouses!$S$6&gt;=6,"⬆ Strongly supported (+6 to +10) — multiple beneficial factors converge. ",IF(SCORE_AllHouses!$S$6&gt;=3,"↑ Generally positive (+3 to +5) — more strength than weakness. ",IF(SCORE_AllHouses!$S$6&gt;=1,"→ Moderately placed (+1 to +2) — some support with minor challenges. ",IF(SCORE_AllHouses!$S$6&gt;=-1,"↔ Neutral (0 to -1) — balanced or contested forces. ",IF(SCORE_AllHouses!$S$6&gt;=-4,"↓ Under pressure (-2 to -4) — challenges outweigh strength. ","⬇ Severely stressed (-5 to -10) — multiple concurrent afflictions. "))))),CHAR(10),"LPI index: ",IF(OUTPUT_LifePressureIndex_Full!$O$18&gt;=3,"Active — 9-layer composite confirms activation. ",IF(OUTPUT_LifePressureIndex_Full!$O$18&lt;=-2,"Suppressed — multi-layer index shows inhibition. ","Neutral — 9-layer index balanced. ")),CHAR(10),"Dasha: "&amp;CALC_DashaActive!$B$14&amp;" Mahadasha active. "),"—")</f>
        <v xml:space="preserve">H2 — Wealth: Wealth · family · speech · values · accumulated assets · eyes
Score: ⬇ Severely stressed (-5 to -10) — multiple concurrent afflictions. 
LPI index: Neutral — 9-layer index balanced. 
Dasha: Mars Mahadasha active. </v>
      </c>
      <c r="G10" s="1615"/>
      <c r="H10" s="1615"/>
    </row>
    <row r="11" spans="1:8" ht="79.5" customHeight="1" x14ac:dyDescent="0.2">
      <c r="A11" s="559" t="s">
        <v>5230</v>
      </c>
      <c r="B11" s="1330">
        <f ca="1">SCORE_AllHouses!$S$10</f>
        <v>2.25</v>
      </c>
      <c r="C11" s="1331">
        <f ca="1">OUTPUT_LifePressureIndex_Full!$O$22</f>
        <v>1.35</v>
      </c>
      <c r="D11" s="1332" t="str">
        <f ca="1">IFERROR(CALC_DashaActive!$B$14&amp;" MD active","—")</f>
        <v>Mars MD active</v>
      </c>
      <c r="E11" s="1333" t="str">
        <f>IFERROR(IF(LEN(IF(SCORE_H6_Conflicts!$C$9&gt;0,"R04+2.0"&amp;", ","")&amp;IF(SCORE_H6_Conflicts!$C$5&gt;0,"R01+0.5"&amp;", ","")&amp;IF(SCORE_H6_Conflicts!$C$6&gt;0,"R02+1.0"&amp;", ","")&amp;IF(SCORE_H6_Conflicts!$C$22&lt;0,"R15-2.0"&amp;", ","")&amp;IF(SCORE_H6_Conflicts!$C$15&lt;0,"R09-1.0"&amp;", ","")&amp;IF(SCORE_H6_Conflicts!$C$18&lt;0,"R12-0.75"&amp;", ",""))&gt;2,LEFT(IF(SCORE_H6_Conflicts!$C$9&gt;0,"R04+2.0"&amp;", ","")&amp;IF(SCORE_H6_Conflicts!$C$5&gt;0,"R01+0.5"&amp;", ","")&amp;IF(SCORE_H6_Conflicts!$C$6&gt;0,"R02+1.0"&amp;", ","")&amp;IF(SCORE_H6_Conflicts!$C$22&lt;0,"R15-2.0"&amp;", ","")&amp;IF(SCORE_H6_Conflicts!$C$15&lt;0,"R09-1.0"&amp;", ","")&amp;IF(SCORE_H6_Conflicts!$C$18&lt;0,"R12-0.75"&amp;", ",""),LEN(IF(SCORE_H6_Conflicts!$C$9&gt;0,"R04+2.0"&amp;", ","")&amp;IF(SCORE_H6_Conflicts!$C$5&gt;0,"R01+0.5"&amp;", ","")&amp;IF(SCORE_H6_Conflicts!$C$6&gt;0,"R02+1.0"&amp;", ","")&amp;IF(SCORE_H6_Conflicts!$C$22&lt;0,"R15-2.0"&amp;", ","")&amp;IF(SCORE_H6_Conflicts!$C$15&lt;0,"R09-1.0"&amp;", ","")&amp;IF(SCORE_H6_Conflicts!$C$18&lt;0,"R12-0.75"&amp;", ",""))-2),"—"),"—")</f>
        <v>R01+0.5, R09-1.0</v>
      </c>
      <c r="F11" s="1334" t="str">
        <f ca="1">IFERROR(CONCATENATE("H6 — Conflicts: Health · debt · enemies · service · litigation · healing · competition",CHAR(10),"Score: ",IF(SCORE_AllHouses!$S$10&gt;=6,"⬆ Strongly supported (+6 to +10) — multiple beneficial factors converge. ",IF(SCORE_AllHouses!$S$10&gt;=3,"↑ Generally positive (+3 to +5) — more strength than weakness. ",IF(SCORE_AllHouses!$S$10&gt;=1,"→ Moderately placed (+1 to +2) — some support with minor challenges. ",IF(SCORE_AllHouses!$S$10&gt;=-1,"↔ Neutral (0 to -1) — balanced or contested forces. ",IF(SCORE_AllHouses!$S$10&gt;=-4,"↓ Under pressure (-2 to -4) — challenges outweigh strength. ","⬇ Severely stressed (-5 to -10) — multiple concurrent afflictions. "))))),CHAR(10),"LPI index: ",IF(OUTPUT_LifePressureIndex_Full!$O$22&gt;=3,"Active — 9-layer composite confirms activation. ",IF(OUTPUT_LifePressureIndex_Full!$O$22&lt;=-2,"Suppressed — multi-layer index shows inhibition. ","Neutral — 9-layer index balanced. ")),CHAR(10),"Dasha: "&amp;CALC_DashaActive!$B$14&amp;" Mahadasha active. "),"—")</f>
        <v xml:space="preserve">H6 — Conflicts: Health · debt · enemies · service · litigation · healing · competition
Score: → Moderately placed (+1 to +2) — some support with minor challenges. 
LPI index: Neutral — 9-layer index balanced. 
Dasha: Mars Mahadasha active. </v>
      </c>
      <c r="G11" s="1616"/>
      <c r="H11" s="1616"/>
    </row>
    <row r="12" spans="1:8" ht="79.5" customHeight="1" x14ac:dyDescent="0.2">
      <c r="A12" s="1324" t="s">
        <v>5231</v>
      </c>
      <c r="B12" s="1325">
        <f ca="1">SCORE_AllHouses!$S$14</f>
        <v>-1.5</v>
      </c>
      <c r="C12" s="1326">
        <f ca="1">OUTPUT_LifePressureIndex_Full!$O$26</f>
        <v>-1.48</v>
      </c>
      <c r="D12" s="1327" t="str">
        <f ca="1">IFERROR(CALC_DashaActive!$B$14&amp;" MD active","—")</f>
        <v>Mars MD active</v>
      </c>
      <c r="E12" s="1328" t="str">
        <f>IFERROR(IF(LEN(IF(SCORE_H10_Career!$C$9&gt;0,"R04+2.0"&amp;", ","")&amp;IF(SCORE_H10_Career!$C$5&gt;0,"R01+0.5"&amp;", ","")&amp;IF(SCORE_H10_Career!$C$6&gt;0,"R02+1.0"&amp;", ","")&amp;IF(SCORE_H10_Career!$C$22&lt;0,"R15-2.0"&amp;", ","")&amp;IF(SCORE_H10_Career!$C$15&lt;0,"R09-1.0"&amp;", ","")&amp;IF(SCORE_H10_Career!$C$18&lt;0,"R12-0.75"&amp;", ",""))&gt;2,LEFT(IF(SCORE_H10_Career!$C$9&gt;0,"R04+2.0"&amp;", ","")&amp;IF(SCORE_H10_Career!$C$5&gt;0,"R01+0.5"&amp;", ","")&amp;IF(SCORE_H10_Career!$C$6&gt;0,"R02+1.0"&amp;", ","")&amp;IF(SCORE_H10_Career!$C$22&lt;0,"R15-2.0"&amp;", ","")&amp;IF(SCORE_H10_Career!$C$15&lt;0,"R09-1.0"&amp;", ","")&amp;IF(SCORE_H10_Career!$C$18&lt;0,"R12-0.75"&amp;", ",""),LEN(IF(SCORE_H10_Career!$C$9&gt;0,"R04+2.0"&amp;", ","")&amp;IF(SCORE_H10_Career!$C$5&gt;0,"R01+0.5"&amp;", ","")&amp;IF(SCORE_H10_Career!$C$6&gt;0,"R02+1.0"&amp;", ","")&amp;IF(SCORE_H10_Career!$C$22&lt;0,"R15-2.0"&amp;", ","")&amp;IF(SCORE_H10_Career!$C$15&lt;0,"R09-1.0"&amp;", ","")&amp;IF(SCORE_H10_Career!$C$18&lt;0,"R12-0.75"&amp;", ",""))-2),"—"),"—")</f>
        <v>—</v>
      </c>
      <c r="F12" s="1329" t="str">
        <f ca="1">IFERROR(CONCATENATE("H10 — Career: Career · status · authority · public life · Karma Bhava · reputation",CHAR(10),"Score: ",IF(SCORE_AllHouses!$S$14&gt;=6,"⬆ Strongly supported (+6 to +10) — multiple beneficial factors converge. ",IF(SCORE_AllHouses!$S$14&gt;=3,"↑ Generally positive (+3 to +5) — more strength than weakness. ",IF(SCORE_AllHouses!$S$14&gt;=1,"→ Moderately placed (+1 to +2) — some support with minor challenges. ",IF(SCORE_AllHouses!$S$14&gt;=-1,"↔ Neutral (0 to -1) — balanced or contested forces. ",IF(SCORE_AllHouses!$S$14&gt;=-4,"↓ Under pressure (-2 to -4) — challenges outweigh strength. ","⬇ Severely stressed (-5 to -10) — multiple concurrent afflictions. "))))),CHAR(10),"LPI index: ",IF(OUTPUT_LifePressureIndex_Full!$O$26&gt;=3,"Active — 9-layer composite confirms activation. ",IF(OUTPUT_LifePressureIndex_Full!$O$26&lt;=-2,"Suppressed — multi-layer index shows inhibition. ","Neutral — 9-layer index balanced. ")),CHAR(10),"Dasha: "&amp;CALC_DashaActive!$B$14&amp;" Mahadasha active. "),"—")</f>
        <v xml:space="preserve">H10 — Career: Career · status · authority · public life · Karma Bhava · reputation
Score: ↓ Under pressure (-2 to -4) — challenges outweigh strength. 
LPI index: Neutral — 9-layer index balanced. 
Dasha: Mars Mahadasha active. </v>
      </c>
      <c r="G12" s="1615"/>
      <c r="H12" s="1615"/>
    </row>
    <row r="13" spans="1:8" ht="13.5" customHeight="1" x14ac:dyDescent="0.2">
      <c r="A13" s="1614" t="s">
        <v>5232</v>
      </c>
      <c r="B13" s="1614"/>
      <c r="C13" s="1614"/>
      <c r="D13" s="1614"/>
      <c r="E13" s="1614"/>
      <c r="F13" s="1614"/>
      <c r="G13" s="1614"/>
      <c r="H13" s="1614"/>
    </row>
    <row r="14" spans="1:8" ht="79.5" customHeight="1" x14ac:dyDescent="0.2">
      <c r="A14" s="1324" t="s">
        <v>5233</v>
      </c>
      <c r="B14" s="1325">
        <f ca="1">SCORE_AllHouses!$S$7</f>
        <v>1</v>
      </c>
      <c r="C14" s="1326">
        <f ca="1">OUTPUT_LifePressureIndex_Full!$O$19</f>
        <v>0.97</v>
      </c>
      <c r="D14" s="1327" t="str">
        <f ca="1">IFERROR(CALC_DashaActive!$B$14&amp;" MD active","—")</f>
        <v>Mars MD active</v>
      </c>
      <c r="E14" s="1328" t="str">
        <f>IFERROR(IF(LEN(IF(SCORE_H3_Courage!$C$9&gt;0,"R04+2.0"&amp;", ","")&amp;IF(SCORE_H3_Courage!$C$5&gt;0,"R01+0.5"&amp;", ","")&amp;IF(SCORE_H3_Courage!$C$6&gt;0,"R02+1.0"&amp;", ","")&amp;IF(SCORE_H3_Courage!$C$22&lt;0,"R15-2.0"&amp;", ","")&amp;IF(SCORE_H3_Courage!$C$15&lt;0,"R09-1.0"&amp;", ","")&amp;IF(SCORE_H3_Courage!$C$18&lt;0,"R12-0.75"&amp;", ",""))&gt;2,LEFT(IF(SCORE_H3_Courage!$C$9&gt;0,"R04+2.0"&amp;", ","")&amp;IF(SCORE_H3_Courage!$C$5&gt;0,"R01+0.5"&amp;", ","")&amp;IF(SCORE_H3_Courage!$C$6&gt;0,"R02+1.0"&amp;", ","")&amp;IF(SCORE_H3_Courage!$C$22&lt;0,"R15-2.0"&amp;", ","")&amp;IF(SCORE_H3_Courage!$C$15&lt;0,"R09-1.0"&amp;", ","")&amp;IF(SCORE_H3_Courage!$C$18&lt;0,"R12-0.75"&amp;", ",""),LEN(IF(SCORE_H3_Courage!$C$9&gt;0,"R04+2.0"&amp;", ","")&amp;IF(SCORE_H3_Courage!$C$5&gt;0,"R01+0.5"&amp;", ","")&amp;IF(SCORE_H3_Courage!$C$6&gt;0,"R02+1.0"&amp;", ","")&amp;IF(SCORE_H3_Courage!$C$22&lt;0,"R15-2.0"&amp;", ","")&amp;IF(SCORE_H3_Courage!$C$15&lt;0,"R09-1.0"&amp;", ","")&amp;IF(SCORE_H3_Courage!$C$18&lt;0,"R12-0.75"&amp;", ",""))-2),"—"),"—")</f>
        <v>R01+0.5, R09-1.0</v>
      </c>
      <c r="F14" s="1329" t="str">
        <f ca="1">IFERROR(CONCATENATE("H3 — Courage: Courage · siblings · short journeys · communication · efforts · hobbies",CHAR(10),"Score: ",IF(SCORE_AllHouses!$S$7&gt;=6,"⬆ Strongly supported (+6 to +10) — multiple beneficial factors converge. ",IF(SCORE_AllHouses!$S$7&gt;=3,"↑ Generally positive (+3 to +5) — more strength than weakness. ",IF(SCORE_AllHouses!$S$7&gt;=1,"→ Moderately placed (+1 to +2) — some support with minor challenges. ",IF(SCORE_AllHouses!$S$7&gt;=-1,"↔ Neutral (0 to -1) — balanced or contested forces. ",IF(SCORE_AllHouses!$S$7&gt;=-4,"↓ Under pressure (-2 to -4) — challenges outweigh strength. ","⬇ Severely stressed (-5 to -10) — multiple concurrent afflictions. "))))),CHAR(10),"LPI index: ",IF(OUTPUT_LifePressureIndex_Full!$O$19&gt;=3,"Active — 9-layer composite confirms activation. ",IF(OUTPUT_LifePressureIndex_Full!$O$19&lt;=-2,"Suppressed — multi-layer index shows inhibition. ","Neutral — 9-layer index balanced. ")),CHAR(10),"Dasha: "&amp;CALC_DashaActive!$B$14&amp;" Mahadasha active. "),"—")</f>
        <v xml:space="preserve">H3 — Courage: Courage · siblings · short journeys · communication · efforts · hobbies
Score: → Moderately placed (+1 to +2) — some support with minor challenges. 
LPI index: Neutral — 9-layer index balanced. 
Dasha: Mars Mahadasha active. </v>
      </c>
      <c r="G14" s="1615"/>
      <c r="H14" s="1615"/>
    </row>
    <row r="15" spans="1:8" ht="79.5" customHeight="1" x14ac:dyDescent="0.2">
      <c r="A15" s="559" t="s">
        <v>5234</v>
      </c>
      <c r="B15" s="1330">
        <f ca="1">SCORE_AllHouses!$S$11</f>
        <v>-4.25</v>
      </c>
      <c r="C15" s="1331">
        <f ca="1">OUTPUT_LifePressureIndex_Full!$O$23</f>
        <v>-1.84</v>
      </c>
      <c r="D15" s="1332" t="str">
        <f ca="1">IFERROR(CALC_DashaActive!$B$14&amp;" MD active","—")</f>
        <v>Mars MD active</v>
      </c>
      <c r="E15" s="1333" t="str">
        <f>IFERROR(IF(LEN(IF(SCORE_H7_Partnerships!$C$9&gt;0,"R04+2.0"&amp;", ","")&amp;IF(SCORE_H7_Partnerships!$C$5&gt;0,"R01+0.5"&amp;", ","")&amp;IF(SCORE_H7_Partnerships!$C$6&gt;0,"R02+1.0"&amp;", ","")&amp;IF(SCORE_H7_Partnerships!$C$22&lt;0,"R15-2.0"&amp;", ","")&amp;IF(SCORE_H7_Partnerships!$C$15&lt;0,"R09-1.0"&amp;", ","")&amp;IF(SCORE_H7_Partnerships!$C$18&lt;0,"R12-0.75"&amp;", ",""))&gt;2,LEFT(IF(SCORE_H7_Partnerships!$C$9&gt;0,"R04+2.0"&amp;", ","")&amp;IF(SCORE_H7_Partnerships!$C$5&gt;0,"R01+0.5"&amp;", ","")&amp;IF(SCORE_H7_Partnerships!$C$6&gt;0,"R02+1.0"&amp;", ","")&amp;IF(SCORE_H7_Partnerships!$C$22&lt;0,"R15-2.0"&amp;", ","")&amp;IF(SCORE_H7_Partnerships!$C$15&lt;0,"R09-1.0"&amp;", ","")&amp;IF(SCORE_H7_Partnerships!$C$18&lt;0,"R12-0.75"&amp;", ",""),LEN(IF(SCORE_H7_Partnerships!$C$9&gt;0,"R04+2.0"&amp;", ","")&amp;IF(SCORE_H7_Partnerships!$C$5&gt;0,"R01+0.5"&amp;", ","")&amp;IF(SCORE_H7_Partnerships!$C$6&gt;0,"R02+1.0"&amp;", ","")&amp;IF(SCORE_H7_Partnerships!$C$22&lt;0,"R15-2.0"&amp;", ","")&amp;IF(SCORE_H7_Partnerships!$C$15&lt;0,"R09-1.0"&amp;", ","")&amp;IF(SCORE_H7_Partnerships!$C$18&lt;0,"R12-0.75"&amp;", ",""))-2),"—"),"—")</f>
        <v>R09-1.0</v>
      </c>
      <c r="F15" s="1334" t="str">
        <f ca="1">IFERROR(CONCATENATE("H7 — Partnerships: Marriage · business partners · open enemies · trade · foreign lands",CHAR(10),"Score: ",IF(SCORE_AllHouses!$S$11&gt;=6,"⬆ Strongly supported (+6 to +10) — multiple beneficial factors converge. ",IF(SCORE_AllHouses!$S$11&gt;=3,"↑ Generally positive (+3 to +5) — more strength than weakness. ",IF(SCORE_AllHouses!$S$11&gt;=1,"→ Moderately placed (+1 to +2) — some support with minor challenges. ",IF(SCORE_AllHouses!$S$11&gt;=-1,"↔ Neutral (0 to -1) — balanced or contested forces. ",IF(SCORE_AllHouses!$S$11&gt;=-4,"↓ Under pressure (-2 to -4) — challenges outweigh strength. ","⬇ Severely stressed (-5 to -10) — multiple concurrent afflictions. "))))),CHAR(10),"LPI index: ",IF(OUTPUT_LifePressureIndex_Full!$O$23&gt;=3,"Active — 9-layer composite confirms activation. ",IF(OUTPUT_LifePressureIndex_Full!$O$23&lt;=-2,"Suppressed — multi-layer index shows inhibition. ","Neutral — 9-layer index balanced. ")),CHAR(10),"Dasha: "&amp;CALC_DashaActive!$B$14&amp;" Mahadasha active. "),"—")</f>
        <v xml:space="preserve">H7 — Partnerships: Marriage · business partners · open enemies · trade · foreign lands
Score: ⬇ Severely stressed (-5 to -10) — multiple concurrent afflictions. 
LPI index: Neutral — 9-layer index balanced. 
Dasha: Mars Mahadasha active. </v>
      </c>
      <c r="G15" s="1616"/>
      <c r="H15" s="1616"/>
    </row>
    <row r="16" spans="1:8" ht="79.5" customHeight="1" x14ac:dyDescent="0.2">
      <c r="A16" s="1324" t="s">
        <v>5235</v>
      </c>
      <c r="B16" s="1325">
        <f ca="1">SCORE_AllHouses!$S$15</f>
        <v>-1.75</v>
      </c>
      <c r="C16" s="1326">
        <f ca="1">OUTPUT_LifePressureIndex_Full!$O$27</f>
        <v>-1.28</v>
      </c>
      <c r="D16" s="1327" t="str">
        <f ca="1">IFERROR(CALC_DashaActive!$B$14&amp;" MD active","—")</f>
        <v>Mars MD active</v>
      </c>
      <c r="E16" s="1328" t="str">
        <f>IFERROR(IF(LEN(IF(SCORE_H11_Gains!$C$9&gt;0,"R04+2.0"&amp;", ","")&amp;IF(SCORE_H11_Gains!$C$5&gt;0,"R01+0.5"&amp;", ","")&amp;IF(SCORE_H11_Gains!$C$6&gt;0,"R02+1.0"&amp;", ","")&amp;IF(SCORE_H11_Gains!$C$22&lt;0,"R15-2.0"&amp;", ","")&amp;IF(SCORE_H11_Gains!$C$15&lt;0,"R09-1.0"&amp;", ","")&amp;IF(SCORE_H11_Gains!$C$18&lt;0,"R12-0.75"&amp;", ",""))&gt;2,LEFT(IF(SCORE_H11_Gains!$C$9&gt;0,"R04+2.0"&amp;", ","")&amp;IF(SCORE_H11_Gains!$C$5&gt;0,"R01+0.5"&amp;", ","")&amp;IF(SCORE_H11_Gains!$C$6&gt;0,"R02+1.0"&amp;", ","")&amp;IF(SCORE_H11_Gains!$C$22&lt;0,"R15-2.0"&amp;", ","")&amp;IF(SCORE_H11_Gains!$C$15&lt;0,"R09-1.0"&amp;", ","")&amp;IF(SCORE_H11_Gains!$C$18&lt;0,"R12-0.75"&amp;", ",""),LEN(IF(SCORE_H11_Gains!$C$9&gt;0,"R04+2.0"&amp;", ","")&amp;IF(SCORE_H11_Gains!$C$5&gt;0,"R01+0.5"&amp;", ","")&amp;IF(SCORE_H11_Gains!$C$6&gt;0,"R02+1.0"&amp;", ","")&amp;IF(SCORE_H11_Gains!$C$22&lt;0,"R15-2.0"&amp;", ","")&amp;IF(SCORE_H11_Gains!$C$15&lt;0,"R09-1.0"&amp;", ","")&amp;IF(SCORE_H11_Gains!$C$18&lt;0,"R12-0.75"&amp;", ",""))-2),"—"),"—")</f>
        <v>R01+0.5, R15-2.0</v>
      </c>
      <c r="F16" s="1329" t="str">
        <f ca="1">IFERROR(CONCATENATE("H11 — Gains: Aspirations · networks · elder siblings · income · social circle · gains",CHAR(10),"Score: ",IF(SCORE_AllHouses!$S$15&gt;=6,"⬆ Strongly supported (+6 to +10) — multiple beneficial factors converge. ",IF(SCORE_AllHouses!$S$15&gt;=3,"↑ Generally positive (+3 to +5) — more strength than weakness. ",IF(SCORE_AllHouses!$S$15&gt;=1,"→ Moderately placed (+1 to +2) — some support with minor challenges. ",IF(SCORE_AllHouses!$S$15&gt;=-1,"↔ Neutral (0 to -1) — balanced or contested forces. ",IF(SCORE_AllHouses!$S$15&gt;=-4,"↓ Under pressure (-2 to -4) — challenges outweigh strength. ","⬇ Severely stressed (-5 to -10) — multiple concurrent afflictions. "))))),CHAR(10),"LPI index: ",IF(OUTPUT_LifePressureIndex_Full!$O$27&gt;=3,"Active — 9-layer composite confirms activation. ",IF(OUTPUT_LifePressureIndex_Full!$O$27&lt;=-2,"Suppressed — multi-layer index shows inhibition. ","Neutral — 9-layer index balanced. ")),CHAR(10),"Dasha: "&amp;CALC_DashaActive!$B$14&amp;" Mahadasha active. "),"—")</f>
        <v xml:space="preserve">H11 — Gains: Aspirations · networks · elder siblings · income · social circle · gains
Score: ↓ Under pressure (-2 to -4) — challenges outweigh strength. 
LPI index: Neutral — 9-layer index balanced. 
Dasha: Mars Mahadasha active. </v>
      </c>
      <c r="G16" s="1615"/>
      <c r="H16" s="1615"/>
    </row>
    <row r="17" spans="1:8" ht="13.5" customHeight="1" x14ac:dyDescent="0.2">
      <c r="A17" s="1614" t="s">
        <v>5236</v>
      </c>
      <c r="B17" s="1614"/>
      <c r="C17" s="1614"/>
      <c r="D17" s="1614"/>
      <c r="E17" s="1614"/>
      <c r="F17" s="1614"/>
      <c r="G17" s="1614"/>
      <c r="H17" s="1614"/>
    </row>
    <row r="18" spans="1:8" ht="79.5" customHeight="1" x14ac:dyDescent="0.2">
      <c r="A18" s="1324" t="s">
        <v>5237</v>
      </c>
      <c r="B18" s="1325">
        <f ca="1">SCORE_AllHouses!$S$8</f>
        <v>1.25</v>
      </c>
      <c r="C18" s="1326">
        <f ca="1">OUTPUT_LifePressureIndex_Full!$O$20</f>
        <v>0.73</v>
      </c>
      <c r="D18" s="1327" t="str">
        <f ca="1">IFERROR(CALC_DashaActive!$B$14&amp;" MD active","—")</f>
        <v>Mars MD active</v>
      </c>
      <c r="E18" s="1328" t="str">
        <f>IFERROR(IF(LEN(IF(SCORE_H4_Home!$C$9&gt;0,"R04+2.0"&amp;", ","")&amp;IF(SCORE_H4_Home!$C$5&gt;0,"R01+0.5"&amp;", ","")&amp;IF(SCORE_H4_Home!$C$6&gt;0,"R02+1.0"&amp;", ","")&amp;IF(SCORE_H4_Home!$C$22&lt;0,"R15-2.0"&amp;", ","")&amp;IF(SCORE_H4_Home!$C$15&lt;0,"R09-1.0"&amp;", ","")&amp;IF(SCORE_H4_Home!$C$18&lt;0,"R12-0.75"&amp;", ",""))&gt;2,LEFT(IF(SCORE_H4_Home!$C$9&gt;0,"R04+2.0"&amp;", ","")&amp;IF(SCORE_H4_Home!$C$5&gt;0,"R01+0.5"&amp;", ","")&amp;IF(SCORE_H4_Home!$C$6&gt;0,"R02+1.0"&amp;", ","")&amp;IF(SCORE_H4_Home!$C$22&lt;0,"R15-2.0"&amp;", ","")&amp;IF(SCORE_H4_Home!$C$15&lt;0,"R09-1.0"&amp;", ","")&amp;IF(SCORE_H4_Home!$C$18&lt;0,"R12-0.75"&amp;", ",""),LEN(IF(SCORE_H4_Home!$C$9&gt;0,"R04+2.0"&amp;", ","")&amp;IF(SCORE_H4_Home!$C$5&gt;0,"R01+0.5"&amp;", ","")&amp;IF(SCORE_H4_Home!$C$6&gt;0,"R02+1.0"&amp;", ","")&amp;IF(SCORE_H4_Home!$C$22&lt;0,"R15-2.0"&amp;", ","")&amp;IF(SCORE_H4_Home!$C$15&lt;0,"R09-1.0"&amp;", ","")&amp;IF(SCORE_H4_Home!$C$18&lt;0,"R12-0.75"&amp;", ",""))-2),"—"),"—")</f>
        <v>—</v>
      </c>
      <c r="F18" s="1329" t="str">
        <f ca="1">IFERROR(CONCATENATE("H4 — Home: Home · mother · happiness · property · vehicles · emotional foundation",CHAR(10),"Score: ",IF(SCORE_AllHouses!$S$8&gt;=6,"⬆ Strongly supported (+6 to +10) — multiple beneficial factors converge. ",IF(SCORE_AllHouses!$S$8&gt;=3,"↑ Generally positive (+3 to +5) — more strength than weakness. ",IF(SCORE_AllHouses!$S$8&gt;=1,"→ Moderately placed (+1 to +2) — some support with minor challenges. ",IF(SCORE_AllHouses!$S$8&gt;=-1,"↔ Neutral (0 to -1) — balanced or contested forces. ",IF(SCORE_AllHouses!$S$8&gt;=-4,"↓ Under pressure (-2 to -4) — challenges outweigh strength. ","⬇ Severely stressed (-5 to -10) — multiple concurrent afflictions. "))))),CHAR(10),"LPI index: ",IF(OUTPUT_LifePressureIndex_Full!$O$20&gt;=3,"Active — 9-layer composite confirms activation. ",IF(OUTPUT_LifePressureIndex_Full!$O$20&lt;=-2,"Suppressed — multi-layer index shows inhibition. ","Neutral — 9-layer index balanced. ")),CHAR(10),"Dasha: "&amp;CALC_DashaActive!$B$14&amp;" Mahadasha active. "),"—")</f>
        <v xml:space="preserve">H4 — Home: Home · mother · happiness · property · vehicles · emotional foundation
Score: → Moderately placed (+1 to +2) — some support with minor challenges. 
LPI index: Neutral — 9-layer index balanced. 
Dasha: Mars Mahadasha active. </v>
      </c>
      <c r="G18" s="1615"/>
      <c r="H18" s="1615"/>
    </row>
    <row r="19" spans="1:8" ht="79.5" customHeight="1" x14ac:dyDescent="0.2">
      <c r="A19" s="559" t="s">
        <v>5238</v>
      </c>
      <c r="B19" s="1330">
        <f ca="1">SCORE_AllHouses!$S$12</f>
        <v>-2</v>
      </c>
      <c r="C19" s="1331">
        <f ca="1">OUTPUT_LifePressureIndex_Full!$O$24</f>
        <v>-1.03</v>
      </c>
      <c r="D19" s="1332" t="str">
        <f ca="1">IFERROR(CALC_DashaActive!$B$14&amp;" MD active","—")</f>
        <v>Mars MD active</v>
      </c>
      <c r="E19" s="1333" t="str">
        <f>IFERROR(IF(LEN(IF(SCORE_H8_Longevity!$C$9&gt;0,"R04+2.0"&amp;", ","")&amp;IF(SCORE_H8_Longevity!$C$5&gt;0,"R01+0.5"&amp;", ","")&amp;IF(SCORE_H8_Longevity!$C$6&gt;0,"R02+1.0"&amp;", ","")&amp;IF(SCORE_H8_Longevity!$C$22&lt;0,"R15-2.0"&amp;", ","")&amp;IF(SCORE_H8_Longevity!$C$15&lt;0,"R09-1.0"&amp;", ","")&amp;IF(SCORE_H8_Longevity!$C$18&lt;0,"R12-0.75"&amp;", ",""))&gt;2,LEFT(IF(SCORE_H8_Longevity!$C$9&gt;0,"R04+2.0"&amp;", ","")&amp;IF(SCORE_H8_Longevity!$C$5&gt;0,"R01+0.5"&amp;", ","")&amp;IF(SCORE_H8_Longevity!$C$6&gt;0,"R02+1.0"&amp;", ","")&amp;IF(SCORE_H8_Longevity!$C$22&lt;0,"R15-2.0"&amp;", ","")&amp;IF(SCORE_H8_Longevity!$C$15&lt;0,"R09-1.0"&amp;", ","")&amp;IF(SCORE_H8_Longevity!$C$18&lt;0,"R12-0.75"&amp;", ",""),LEN(IF(SCORE_H8_Longevity!$C$9&gt;0,"R04+2.0"&amp;", ","")&amp;IF(SCORE_H8_Longevity!$C$5&gt;0,"R01+0.5"&amp;", ","")&amp;IF(SCORE_H8_Longevity!$C$6&gt;0,"R02+1.0"&amp;", ","")&amp;IF(SCORE_H8_Longevity!$C$22&lt;0,"R15-2.0"&amp;", ","")&amp;IF(SCORE_H8_Longevity!$C$15&lt;0,"R09-1.0"&amp;", ","")&amp;IF(SCORE_H8_Longevity!$C$18&lt;0,"R12-0.75"&amp;", ",""))-2),"—"),"—")</f>
        <v>R01+0.5, R15-2.0</v>
      </c>
      <c r="F19" s="1334" t="str">
        <f ca="1">IFERROR(CONCATENATE("H8 — Longevity: Longevity · transformation · inheritance · secrets · research · occult",CHAR(10),"Score: ",IF(SCORE_AllHouses!$S$12&gt;=6,"⬆ Strongly supported (+6 to +10) — multiple beneficial factors converge. ",IF(SCORE_AllHouses!$S$12&gt;=3,"↑ Generally positive (+3 to +5) — more strength than weakness. ",IF(SCORE_AllHouses!$S$12&gt;=1,"→ Moderately placed (+1 to +2) — some support with minor challenges. ",IF(SCORE_AllHouses!$S$12&gt;=-1,"↔ Neutral (0 to -1) — balanced or contested forces. ",IF(SCORE_AllHouses!$S$12&gt;=-4,"↓ Under pressure (-2 to -4) — challenges outweigh strength. ","⬇ Severely stressed (-5 to -10) — multiple concurrent afflictions. "))))),CHAR(10),"LPI index: ",IF(OUTPUT_LifePressureIndex_Full!$O$24&gt;=3,"Active — 9-layer composite confirms activation. ",IF(OUTPUT_LifePressureIndex_Full!$O$24&lt;=-2,"Suppressed — multi-layer index shows inhibition. ","Neutral — 9-layer index balanced. ")),CHAR(10),"Dasha: "&amp;CALC_DashaActive!$B$14&amp;" Mahadasha active. "),"—")</f>
        <v xml:space="preserve">H8 — Longevity: Longevity · transformation · inheritance · secrets · research · occult
Score: ↓ Under pressure (-2 to -4) — challenges outweigh strength. 
LPI index: Neutral — 9-layer index balanced. 
Dasha: Mars Mahadasha active. </v>
      </c>
      <c r="G19" s="1616"/>
      <c r="H19" s="1616"/>
    </row>
    <row r="20" spans="1:8" ht="79.5" customHeight="1" x14ac:dyDescent="0.2">
      <c r="A20" s="1324" t="s">
        <v>5239</v>
      </c>
      <c r="B20" s="1325">
        <f ca="1">SCORE_AllHouses!$S$16</f>
        <v>-1</v>
      </c>
      <c r="C20" s="1326">
        <f ca="1">OUTPUT_LifePressureIndex_Full!$O$28</f>
        <v>-0.53</v>
      </c>
      <c r="D20" s="1327" t="str">
        <f ca="1">IFERROR(CALC_DashaActive!$B$14&amp;" MD active","—")</f>
        <v>Mars MD active</v>
      </c>
      <c r="E20" s="1328" t="str">
        <f>IFERROR(IF(LEN(IF(SCORE_H12_Liberation!$C$9&gt;0,"R04+2.0"&amp;", ","")&amp;IF(SCORE_H12_Liberation!$C$5&gt;0,"R01+0.5"&amp;", ","")&amp;IF(SCORE_H12_Liberation!$C$6&gt;0,"R02+1.0"&amp;", ","")&amp;IF(SCORE_H12_Liberation!$C$22&lt;0,"R15-2.0"&amp;", ","")&amp;IF(SCORE_H12_Liberation!$C$15&lt;0,"R09-1.0"&amp;", ","")&amp;IF(SCORE_H12_Liberation!$C$18&lt;0,"R12-0.75"&amp;", ",""))&gt;2,LEFT(IF(SCORE_H12_Liberation!$C$9&gt;0,"R04+2.0"&amp;", ","")&amp;IF(SCORE_H12_Liberation!$C$5&gt;0,"R01+0.5"&amp;", ","")&amp;IF(SCORE_H12_Liberation!$C$6&gt;0,"R02+1.0"&amp;", ","")&amp;IF(SCORE_H12_Liberation!$C$22&lt;0,"R15-2.0"&amp;", ","")&amp;IF(SCORE_H12_Liberation!$C$15&lt;0,"R09-1.0"&amp;", ","")&amp;IF(SCORE_H12_Liberation!$C$18&lt;0,"R12-0.75"&amp;", ",""),LEN(IF(SCORE_H12_Liberation!$C$9&gt;0,"R04+2.0"&amp;", ","")&amp;IF(SCORE_H12_Liberation!$C$5&gt;0,"R01+0.5"&amp;", ","")&amp;IF(SCORE_H12_Liberation!$C$6&gt;0,"R02+1.0"&amp;", ","")&amp;IF(SCORE_H12_Liberation!$C$22&lt;0,"R15-2.0"&amp;", ","")&amp;IF(SCORE_H12_Liberation!$C$15&lt;0,"R09-1.0"&amp;", ","")&amp;IF(SCORE_H12_Liberation!$C$18&lt;0,"R12-0.75"&amp;", ",""))-2),"—"),"—")</f>
        <v>—</v>
      </c>
      <c r="F20" s="1329" t="str">
        <f ca="1">IFERROR(CONCATENATE("H12 — Liberation: Liberation · foreign lands · expenditure · bed pleasures · moksha · losses",CHAR(10),"Score: ",IF(SCORE_AllHouses!$S$16&gt;=6,"⬆ Strongly supported (+6 to +10) — multiple beneficial factors converge. ",IF(SCORE_AllHouses!$S$16&gt;=3,"↑ Generally positive (+3 to +5) — more strength than weakness. ",IF(SCORE_AllHouses!$S$16&gt;=1,"→ Moderately placed (+1 to +2) — some support with minor challenges. ",IF(SCORE_AllHouses!$S$16&gt;=-1,"↔ Neutral (0 to -1) — balanced or contested forces. ",IF(SCORE_AllHouses!$S$16&gt;=-4,"↓ Under pressure (-2 to -4) — challenges outweigh strength. ","⬇ Severely stressed (-5 to -10) — multiple concurrent afflictions. "))))),CHAR(10),"LPI index: ",IF(OUTPUT_LifePressureIndex_Full!$O$28&gt;=3,"Active — 9-layer composite confirms activation. ",IF(OUTPUT_LifePressureIndex_Full!$O$28&lt;=-2,"Suppressed — multi-layer index shows inhibition. ","Neutral — 9-layer index balanced. ")),CHAR(10),"Dasha: "&amp;CALC_DashaActive!$B$14&amp;" Mahadasha active. "),"—")</f>
        <v xml:space="preserve">H12 — Liberation: Liberation · foreign lands · expenditure · bed pleasures · moksha · losses
Score: ↔ Neutral (0 to -1) — balanced or contested forces. 
LPI index: Neutral — 9-layer index balanced. 
Dasha: Mars Mahadasha active. </v>
      </c>
      <c r="G20" s="1615"/>
      <c r="H20" s="1615"/>
    </row>
  </sheetData>
  <mergeCells count="18">
    <mergeCell ref="G18:H18"/>
    <mergeCell ref="G19:H19"/>
    <mergeCell ref="G20:H20"/>
    <mergeCell ref="A13:H13"/>
    <mergeCell ref="G14:H14"/>
    <mergeCell ref="G15:H15"/>
    <mergeCell ref="G16:H16"/>
    <mergeCell ref="A17:H17"/>
    <mergeCell ref="G8:H8"/>
    <mergeCell ref="A9:F9"/>
    <mergeCell ref="G10:H10"/>
    <mergeCell ref="G11:H11"/>
    <mergeCell ref="G12:H12"/>
    <mergeCell ref="A1:F1"/>
    <mergeCell ref="A2:F2"/>
    <mergeCell ref="A5:H5"/>
    <mergeCell ref="G6:H6"/>
    <mergeCell ref="G7:H7"/>
  </mergeCells>
  <pageMargins left="0.75" right="0.75" top="1" bottom="1" header="0.511811023622047" footer="0.511811023622047"/>
  <pageSetup paperSize="9" orientation="portrait" horizontalDpi="300" verticalDpi="300"/>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tabColor rgb="FF00838F"/>
  </sheetPr>
  <dimension ref="A1:I22"/>
  <sheetViews>
    <sheetView zoomScaleNormal="100" workbookViewId="0"/>
  </sheetViews>
  <sheetFormatPr defaultColWidth="8.609375" defaultRowHeight="15" x14ac:dyDescent="0.2"/>
  <cols>
    <col min="1" max="1" width="20.04296875" customWidth="1"/>
    <col min="2" max="6" width="11.97265625" customWidth="1"/>
    <col min="7" max="7" width="39.953125" customWidth="1"/>
  </cols>
  <sheetData>
    <row r="1" spans="1:9" ht="27.75" customHeight="1" x14ac:dyDescent="0.2">
      <c r="A1" s="1612" t="s">
        <v>5240</v>
      </c>
      <c r="B1" s="1612"/>
      <c r="C1" s="1612"/>
      <c r="D1" s="1612"/>
      <c r="E1" s="1612"/>
      <c r="F1" s="1612"/>
      <c r="G1" s="1612"/>
      <c r="I1" s="601" t="s">
        <v>2214</v>
      </c>
    </row>
    <row r="2" spans="1:9" ht="24" customHeight="1" x14ac:dyDescent="0.2">
      <c r="A2" s="1523" t="s">
        <v>5241</v>
      </c>
      <c r="B2" s="1523"/>
      <c r="C2" s="1523"/>
      <c r="D2" s="1523"/>
      <c r="E2" s="1523"/>
      <c r="F2" s="1523"/>
      <c r="G2" s="1523"/>
    </row>
    <row r="4" spans="1:9" ht="18" customHeight="1" x14ac:dyDescent="0.2">
      <c r="A4" s="1524" t="s">
        <v>5242</v>
      </c>
      <c r="B4" s="1524"/>
      <c r="C4" s="1524"/>
      <c r="D4" s="1524"/>
      <c r="E4" s="1524"/>
      <c r="F4" s="1524"/>
      <c r="G4" s="1524"/>
    </row>
    <row r="5" spans="1:9" ht="90" customHeight="1" x14ac:dyDescent="0.2">
      <c r="A5" s="1526" t="s">
        <v>5243</v>
      </c>
      <c r="B5" s="1526"/>
      <c r="C5" s="1526"/>
      <c r="D5" s="1526"/>
      <c r="E5" s="1526"/>
      <c r="F5" s="1526"/>
      <c r="G5" s="1526"/>
    </row>
    <row r="7" spans="1:9" ht="18" customHeight="1" x14ac:dyDescent="0.2">
      <c r="A7" s="1524" t="s">
        <v>5244</v>
      </c>
      <c r="B7" s="1524"/>
      <c r="C7" s="1524"/>
      <c r="D7" s="1524"/>
      <c r="E7" s="1524"/>
      <c r="F7" s="1524"/>
      <c r="G7" s="1524"/>
    </row>
    <row r="8" spans="1:9" ht="15.75" customHeight="1" x14ac:dyDescent="0.2">
      <c r="A8" s="545" t="s">
        <v>5245</v>
      </c>
      <c r="B8" s="545" t="s">
        <v>4146</v>
      </c>
      <c r="C8" s="545" t="s">
        <v>2045</v>
      </c>
      <c r="D8" s="545"/>
      <c r="E8" s="545"/>
      <c r="F8" s="545"/>
      <c r="G8" s="545"/>
    </row>
    <row r="9" spans="1:9" ht="19.5" customHeight="1" x14ac:dyDescent="0.2">
      <c r="A9" s="909" t="s">
        <v>5246</v>
      </c>
      <c r="B9" s="1335">
        <f>IFERROR(COUNTA(REF_EmpiricaSchema!$B$28:$B$47)-COUNTIF(REF_EmpiricaSchema!$B$28:$B$47,"—"),0)</f>
        <v>3</v>
      </c>
      <c r="C9" s="550" t="s">
        <v>5247</v>
      </c>
      <c r="D9" s="638"/>
      <c r="E9" s="638"/>
      <c r="F9" s="638"/>
      <c r="G9" s="638"/>
    </row>
    <row r="10" spans="1:9" ht="19.5" customHeight="1" x14ac:dyDescent="0.2">
      <c r="A10" s="906" t="s">
        <v>5248</v>
      </c>
      <c r="B10" s="1336">
        <f>IFERROR(COUNTIF(REF_EmpiricaSchema!$K$28:$K$47,1),0)</f>
        <v>0</v>
      </c>
      <c r="C10" s="554" t="s">
        <v>5249</v>
      </c>
      <c r="D10" s="636"/>
      <c r="E10" s="636"/>
      <c r="F10" s="636"/>
      <c r="G10" s="636"/>
    </row>
    <row r="11" spans="1:9" ht="19.5" customHeight="1" x14ac:dyDescent="0.2">
      <c r="A11" s="909" t="s">
        <v>5250</v>
      </c>
      <c r="B11" s="1335">
        <f>IFERROR(COUNTIF(REF_EmpiricaSchema!$K$28:$K$47,0),0)</f>
        <v>0</v>
      </c>
      <c r="C11" s="550" t="s">
        <v>5251</v>
      </c>
      <c r="D11" s="638"/>
      <c r="E11" s="638"/>
      <c r="F11" s="638"/>
      <c r="G11" s="638"/>
    </row>
    <row r="12" spans="1:9" ht="19.5" customHeight="1" x14ac:dyDescent="0.2">
      <c r="A12" s="906" t="s">
        <v>5252</v>
      </c>
      <c r="B12" s="1336" t="str">
        <f>IFERROR(IF(B9+B10=0,"← Enter events first",TEXT(B9/(B9+B10),"0%")),"—")</f>
        <v>100%</v>
      </c>
      <c r="C12" s="554" t="s">
        <v>5253</v>
      </c>
      <c r="D12" s="636"/>
      <c r="E12" s="636"/>
      <c r="F12" s="636"/>
      <c r="G12" s="636"/>
    </row>
    <row r="13" spans="1:9" ht="19.5" customHeight="1" x14ac:dyDescent="0.2">
      <c r="A13" s="909" t="s">
        <v>5254</v>
      </c>
      <c r="B13" s="1335">
        <f>IFERROR(COUNTIFS(REF_EmpiricaSchema!$H$28:$H$47,"&gt;="&amp;3,REF_EmpiricaSchema!$K$28:$K$47,1),0)</f>
        <v>0</v>
      </c>
      <c r="C13" s="550" t="s">
        <v>5255</v>
      </c>
      <c r="D13" s="638"/>
      <c r="E13" s="638"/>
      <c r="F13" s="638"/>
      <c r="G13" s="638"/>
    </row>
    <row r="14" spans="1:9" ht="19.5" customHeight="1" x14ac:dyDescent="0.2">
      <c r="A14" s="906" t="s">
        <v>5256</v>
      </c>
      <c r="B14" s="1336">
        <f>IFERROR(COUNTIFS(REF_EmpiricaSchema!$H$28:$H$47,"&lt;="&amp;-2,REF_EmpiricaSchema!$K$28:$K$47,0),0)</f>
        <v>0</v>
      </c>
      <c r="C14" s="554" t="s">
        <v>5257</v>
      </c>
      <c r="D14" s="636"/>
      <c r="E14" s="636"/>
      <c r="F14" s="636"/>
      <c r="G14" s="636"/>
    </row>
    <row r="15" spans="1:9" ht="19.5" customHeight="1" x14ac:dyDescent="0.2">
      <c r="A15" s="909" t="s">
        <v>5258</v>
      </c>
      <c r="B15" s="1335" t="str">
        <f>IFERROR(IF(B8&lt;10,"⚠ Too few events — minimum 10 needed",IF(B8&lt;30,"~ Some data — continue entering more","✓ Sufficient data — patterns emerging")),"← Enter events in REF_EmpiricaSchema")</f>
        <v>✓ Sufficient data — patterns emerging</v>
      </c>
      <c r="C15" s="550" t="s">
        <v>5259</v>
      </c>
      <c r="D15" s="638"/>
      <c r="E15" s="638"/>
      <c r="F15" s="638"/>
      <c r="G15" s="638"/>
    </row>
    <row r="18" spans="1:7" ht="18" customHeight="1" x14ac:dyDescent="0.2">
      <c r="A18" s="1524" t="s">
        <v>5260</v>
      </c>
      <c r="B18" s="1524"/>
      <c r="C18" s="1524"/>
      <c r="D18" s="1524"/>
      <c r="E18" s="1524"/>
      <c r="F18" s="1524"/>
      <c r="G18" s="1524"/>
    </row>
    <row r="19" spans="1:7" ht="15.75" customHeight="1" x14ac:dyDescent="0.2">
      <c r="A19" s="545" t="s">
        <v>5261</v>
      </c>
      <c r="B19" s="545" t="s">
        <v>5262</v>
      </c>
      <c r="C19" s="545" t="s">
        <v>5263</v>
      </c>
      <c r="D19" s="545" t="s">
        <v>5264</v>
      </c>
      <c r="E19" s="545" t="s">
        <v>5214</v>
      </c>
      <c r="F19" s="545"/>
      <c r="G19" s="545"/>
    </row>
    <row r="20" spans="1:7" ht="19.5" customHeight="1" x14ac:dyDescent="0.2">
      <c r="A20" s="572" t="s">
        <v>5265</v>
      </c>
      <c r="B20" s="1337">
        <f>IFERROR(COUNTIFS(REF_EmpiricaSchema!$O$28:$O$47,1,REF_EmpiricaSchema!$K$28:$K$47,1),0)</f>
        <v>0</v>
      </c>
      <c r="C20" s="1337">
        <f>IFERROR(COUNTIFS(REF_EmpiricaSchema!$O$28:$O$47,1,REF_EmpiricaSchema!$K$28:$K$47,0),0)</f>
        <v>0</v>
      </c>
      <c r="D20" s="1338" t="str">
        <f>IFERROR(IF(B20+C20=0,"—",TEXT(B20/(B20+C20),"0%")),"—")</f>
        <v>—</v>
      </c>
      <c r="E20" s="550" t="str">
        <f>IFERROR(IF(D20="—","← Need data",IF(VALUE(LEFT(D20,LEN(D20)-1))&gt;65,"✓ Weight confirmed","⚠ Review weight")),"—")</f>
        <v>← Need data</v>
      </c>
      <c r="F20" s="574"/>
      <c r="G20" s="574"/>
    </row>
    <row r="21" spans="1:7" ht="19.5" customHeight="1" x14ac:dyDescent="0.2">
      <c r="A21" s="593" t="s">
        <v>5266</v>
      </c>
      <c r="B21" s="1339">
        <f>IFERROR(COUNTIFS(REF_EmpiricaSchema!$Q$28:$Q$47,1,REF_EmpiricaSchema!$K$28:$K$47,0),0)</f>
        <v>0</v>
      </c>
      <c r="C21" s="1339">
        <f>IFERROR(COUNTIFS(REF_EmpiricaSchema!$Q$28:$Q$47,1,REF_EmpiricaSchema!$K$28:$K$47,1),0)</f>
        <v>0</v>
      </c>
      <c r="D21" s="1340" t="str">
        <f>IFERROR(IF(B21+C21=0,"—",TEXT(B21/(B21+C21),"0%")),"—")</f>
        <v>—</v>
      </c>
      <c r="E21" s="554" t="str">
        <f>IFERROR(IF(D21="—","← Need data","When R09 fires alone, does difficulty manifest?"),"—")</f>
        <v>← Need data</v>
      </c>
      <c r="F21" s="576"/>
      <c r="G21" s="576"/>
    </row>
    <row r="22" spans="1:7" ht="19.5" customHeight="1" x14ac:dyDescent="0.2">
      <c r="A22" s="572" t="s">
        <v>5267</v>
      </c>
      <c r="B22" s="1337">
        <f>IFERROR(COUNTIFS(REF_EmpiricaSchema!$H$28:$H$47,"&lt;="&amp;-3,REF_EmpiricaSchema!$K$28:$K$47,0),0)</f>
        <v>0</v>
      </c>
      <c r="C22" s="1337">
        <f>IFERROR(COUNTIFS(REF_EmpiricaSchema!$H$28:$H$47,"&lt;="&amp;-3,REF_EmpiricaSchema!$K$28:$K$47,1),0)</f>
        <v>0</v>
      </c>
      <c r="D22" s="1338" t="str">
        <f>IFERROR(IF(B22+C22=0,"—",TEXT(B22/(B22+C22),"0%")),"—")</f>
        <v>—</v>
      </c>
      <c r="E22" s="550" t="str">
        <f>IFERROR(IF(D22="—","← Need data","Are scores ≤-3 reliably challenging?"),"—")</f>
        <v>← Need data</v>
      </c>
      <c r="F22" s="574"/>
      <c r="G22" s="574"/>
    </row>
  </sheetData>
  <mergeCells count="6">
    <mergeCell ref="A18:G18"/>
    <mergeCell ref="A1:G1"/>
    <mergeCell ref="A2:G2"/>
    <mergeCell ref="A4:G4"/>
    <mergeCell ref="A5:G5"/>
    <mergeCell ref="A7:G7"/>
  </mergeCells>
  <pageMargins left="0.75" right="0.75" top="1" bottom="1" header="0.511811023622047" footer="0.511811023622047"/>
  <pageSetup paperSize="9" orientation="portrait" horizontalDpi="300" verticalDpi="300"/>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tabColor rgb="FF37474F"/>
  </sheetPr>
  <dimension ref="A1:L32"/>
  <sheetViews>
    <sheetView zoomScaleNormal="100" workbookViewId="0"/>
  </sheetViews>
  <sheetFormatPr defaultColWidth="8.609375" defaultRowHeight="15" x14ac:dyDescent="0.2"/>
  <cols>
    <col min="1" max="1" width="7.93359375" customWidth="1"/>
    <col min="2" max="2" width="18.0234375" customWidth="1"/>
    <col min="3" max="3" width="39.953125" customWidth="1"/>
    <col min="4" max="4" width="9.953125" customWidth="1"/>
    <col min="5" max="5" width="4.9765625" customWidth="1"/>
    <col min="6" max="6" width="22.05859375" customWidth="1"/>
    <col min="7" max="7" width="16.0078125" customWidth="1"/>
    <col min="8" max="8" width="50.04296875" customWidth="1"/>
  </cols>
  <sheetData>
    <row r="1" spans="1:12" ht="30" customHeight="1" x14ac:dyDescent="0.2">
      <c r="A1" s="1617" t="s">
        <v>5268</v>
      </c>
      <c r="B1" s="1617"/>
      <c r="C1" s="1617"/>
      <c r="D1" s="1617"/>
      <c r="E1" s="1617"/>
      <c r="F1" s="1617"/>
      <c r="L1" s="29" t="str">
        <f>HYPERLINK("#'00_INDEX'!A1","&lt;- Index")</f>
        <v>&lt;- Index</v>
      </c>
    </row>
    <row r="2" spans="1:12" ht="18" customHeight="1" x14ac:dyDescent="0.2">
      <c r="A2" s="1618" t="s">
        <v>5269</v>
      </c>
      <c r="B2" s="1618"/>
      <c r="C2" s="1618"/>
      <c r="D2" s="1618"/>
      <c r="E2" s="1618"/>
      <c r="F2" s="1618"/>
    </row>
    <row r="4" spans="1:12" ht="19.5" customHeight="1" x14ac:dyDescent="0.2">
      <c r="A4" s="180" t="s">
        <v>2393</v>
      </c>
      <c r="B4" s="180" t="s">
        <v>3141</v>
      </c>
      <c r="C4" s="180" t="s">
        <v>3193</v>
      </c>
      <c r="D4" s="180" t="s">
        <v>2043</v>
      </c>
      <c r="E4" s="1341" t="s">
        <v>5270</v>
      </c>
      <c r="F4" s="1341" t="s">
        <v>5271</v>
      </c>
      <c r="G4" s="814" t="s">
        <v>5272</v>
      </c>
      <c r="H4" s="814" t="s">
        <v>5273</v>
      </c>
    </row>
    <row r="5" spans="1:12" ht="18" customHeight="1" x14ac:dyDescent="0.2">
      <c r="A5" s="100" t="s">
        <v>3365</v>
      </c>
      <c r="B5" s="1342" t="s">
        <v>4527</v>
      </c>
      <c r="C5" s="1343" t="s">
        <v>4529</v>
      </c>
      <c r="D5" s="1344" t="s">
        <v>3546</v>
      </c>
      <c r="E5" s="1345"/>
      <c r="F5" s="1346" t="s">
        <v>3261</v>
      </c>
      <c r="G5" s="1347" t="s">
        <v>5274</v>
      </c>
      <c r="H5" s="1115" t="s">
        <v>5275</v>
      </c>
    </row>
    <row r="6" spans="1:12" ht="18" customHeight="1" x14ac:dyDescent="0.2">
      <c r="A6" s="100" t="s">
        <v>3016</v>
      </c>
      <c r="B6" s="1342" t="s">
        <v>4527</v>
      </c>
      <c r="C6" s="1343" t="s">
        <v>4531</v>
      </c>
      <c r="D6" s="1344" t="s">
        <v>5276</v>
      </c>
      <c r="E6" s="1345"/>
      <c r="F6" s="1346" t="s">
        <v>5277</v>
      </c>
      <c r="G6" s="1348" t="s">
        <v>5278</v>
      </c>
      <c r="H6" s="1115" t="s">
        <v>5279</v>
      </c>
    </row>
    <row r="7" spans="1:12" ht="18" customHeight="1" x14ac:dyDescent="0.2">
      <c r="A7" s="100" t="s">
        <v>3065</v>
      </c>
      <c r="B7" s="1343" t="s">
        <v>4527</v>
      </c>
      <c r="C7" s="1343" t="s">
        <v>4534</v>
      </c>
      <c r="D7" s="1344" t="s">
        <v>1085</v>
      </c>
      <c r="E7" s="1345" t="s">
        <v>5280</v>
      </c>
      <c r="F7" s="1346" t="s">
        <v>3244</v>
      </c>
      <c r="G7" s="1348" t="s">
        <v>5278</v>
      </c>
      <c r="H7" s="1115" t="s">
        <v>5281</v>
      </c>
    </row>
    <row r="8" spans="1:12" ht="18" customHeight="1" x14ac:dyDescent="0.2">
      <c r="A8" s="101" t="s">
        <v>3015</v>
      </c>
      <c r="B8" s="1349" t="s">
        <v>4536</v>
      </c>
      <c r="C8" s="1350" t="s">
        <v>4537</v>
      </c>
      <c r="D8" s="1351" t="s">
        <v>5282</v>
      </c>
      <c r="E8" s="1352"/>
      <c r="F8" s="1353" t="s">
        <v>3251</v>
      </c>
      <c r="G8" s="1348" t="s">
        <v>5278</v>
      </c>
      <c r="H8" s="1115" t="s">
        <v>5283</v>
      </c>
    </row>
    <row r="9" spans="1:12" ht="18" customHeight="1" x14ac:dyDescent="0.2">
      <c r="A9" s="101" t="s">
        <v>3092</v>
      </c>
      <c r="B9" s="1350" t="s">
        <v>4536</v>
      </c>
      <c r="C9" s="1350" t="s">
        <v>3093</v>
      </c>
      <c r="D9" s="1351" t="s">
        <v>3546</v>
      </c>
      <c r="E9" s="1352" t="s">
        <v>5280</v>
      </c>
      <c r="F9" s="1353" t="s">
        <v>5284</v>
      </c>
      <c r="G9" s="1348" t="s">
        <v>5278</v>
      </c>
      <c r="H9" s="1115" t="s">
        <v>5285</v>
      </c>
    </row>
    <row r="10" spans="1:12" ht="18" customHeight="1" x14ac:dyDescent="0.2">
      <c r="A10" s="101" t="s">
        <v>3028</v>
      </c>
      <c r="B10" s="1350" t="s">
        <v>4536</v>
      </c>
      <c r="C10" s="1350" t="s">
        <v>4540</v>
      </c>
      <c r="D10" s="1351" t="s">
        <v>5276</v>
      </c>
      <c r="E10" s="1352"/>
      <c r="F10" s="1353" t="s">
        <v>5286</v>
      </c>
      <c r="G10" s="1348" t="s">
        <v>5278</v>
      </c>
      <c r="H10" s="1115" t="s">
        <v>5287</v>
      </c>
    </row>
    <row r="11" spans="1:12" ht="18" customHeight="1" x14ac:dyDescent="0.2">
      <c r="A11" s="101" t="s">
        <v>3112</v>
      </c>
      <c r="B11" s="1350" t="s">
        <v>4536</v>
      </c>
      <c r="C11" s="1350" t="s">
        <v>4542</v>
      </c>
      <c r="D11" s="1351" t="s">
        <v>3546</v>
      </c>
      <c r="E11" s="1352" t="s">
        <v>5280</v>
      </c>
      <c r="F11" s="1353" t="s">
        <v>3244</v>
      </c>
      <c r="G11" s="1348" t="s">
        <v>5278</v>
      </c>
      <c r="H11" s="1115" t="s">
        <v>5288</v>
      </c>
    </row>
    <row r="12" spans="1:12" ht="18" customHeight="1" x14ac:dyDescent="0.2">
      <c r="A12" s="101" t="s">
        <v>3033</v>
      </c>
      <c r="B12" s="1350" t="s">
        <v>4536</v>
      </c>
      <c r="C12" s="1350" t="s">
        <v>3034</v>
      </c>
      <c r="D12" s="1351" t="s">
        <v>1085</v>
      </c>
      <c r="E12" s="1352"/>
      <c r="F12" s="1353" t="s">
        <v>5289</v>
      </c>
      <c r="G12" s="1114" t="s">
        <v>5290</v>
      </c>
      <c r="H12" s="1115" t="s">
        <v>5291</v>
      </c>
    </row>
    <row r="13" spans="1:12" ht="18" customHeight="1" x14ac:dyDescent="0.2">
      <c r="A13" s="99" t="s">
        <v>3050</v>
      </c>
      <c r="B13" s="1354" t="s">
        <v>4545</v>
      </c>
      <c r="C13" s="1355" t="s">
        <v>4546</v>
      </c>
      <c r="D13" s="1356" t="s">
        <v>5292</v>
      </c>
      <c r="E13" s="1357"/>
      <c r="F13" s="1358" t="s">
        <v>5277</v>
      </c>
      <c r="G13" s="1348" t="s">
        <v>5278</v>
      </c>
      <c r="H13" s="1115" t="s">
        <v>5293</v>
      </c>
    </row>
    <row r="14" spans="1:12" ht="18" customHeight="1" x14ac:dyDescent="0.2">
      <c r="A14" s="99" t="s">
        <v>3066</v>
      </c>
      <c r="B14" s="1355" t="s">
        <v>4545</v>
      </c>
      <c r="C14" s="1355" t="s">
        <v>4548</v>
      </c>
      <c r="D14" s="1356" t="s">
        <v>5292</v>
      </c>
      <c r="E14" s="1357"/>
      <c r="F14" s="1358" t="s">
        <v>3244</v>
      </c>
      <c r="G14" s="1348" t="s">
        <v>5278</v>
      </c>
      <c r="H14" s="1115" t="s">
        <v>5294</v>
      </c>
    </row>
    <row r="15" spans="1:12" ht="18" customHeight="1" x14ac:dyDescent="0.2">
      <c r="A15" s="99" t="s">
        <v>3061</v>
      </c>
      <c r="B15" s="1355" t="s">
        <v>4545</v>
      </c>
      <c r="C15" s="1355" t="s">
        <v>3062</v>
      </c>
      <c r="D15" s="1356" t="s">
        <v>4550</v>
      </c>
      <c r="E15" s="1357"/>
      <c r="F15" s="1358" t="s">
        <v>5286</v>
      </c>
      <c r="G15" s="1348" t="s">
        <v>5278</v>
      </c>
      <c r="H15" s="1115" t="s">
        <v>5295</v>
      </c>
    </row>
    <row r="16" spans="1:12" ht="18" customHeight="1" x14ac:dyDescent="0.2">
      <c r="A16" s="99" t="s">
        <v>3095</v>
      </c>
      <c r="B16" s="1355" t="s">
        <v>4545</v>
      </c>
      <c r="C16" s="1355" t="s">
        <v>4552</v>
      </c>
      <c r="D16" s="1356" t="s">
        <v>3564</v>
      </c>
      <c r="E16" s="1357"/>
      <c r="F16" s="1358" t="s">
        <v>5289</v>
      </c>
      <c r="G16" s="1114" t="s">
        <v>5290</v>
      </c>
      <c r="H16" s="1115" t="s">
        <v>5296</v>
      </c>
    </row>
    <row r="17" spans="1:8" ht="18" customHeight="1" x14ac:dyDescent="0.2">
      <c r="A17" s="1103" t="s">
        <v>3036</v>
      </c>
      <c r="B17" s="1359" t="s">
        <v>4554</v>
      </c>
      <c r="C17" s="1359" t="s">
        <v>4555</v>
      </c>
      <c r="D17" s="1356" t="s">
        <v>5292</v>
      </c>
      <c r="E17" s="1360"/>
      <c r="F17" s="1358" t="s">
        <v>5286</v>
      </c>
      <c r="G17" s="1348" t="s">
        <v>5278</v>
      </c>
      <c r="H17" s="1115" t="s">
        <v>5297</v>
      </c>
    </row>
    <row r="18" spans="1:8" ht="18" customHeight="1" x14ac:dyDescent="0.2">
      <c r="A18" s="1103" t="s">
        <v>3054</v>
      </c>
      <c r="B18" s="1359" t="s">
        <v>4554</v>
      </c>
      <c r="C18" s="1359" t="s">
        <v>4557</v>
      </c>
      <c r="D18" s="1356" t="s">
        <v>3561</v>
      </c>
      <c r="E18" s="1360" t="s">
        <v>5280</v>
      </c>
      <c r="F18" s="1358" t="s">
        <v>3244</v>
      </c>
      <c r="G18" s="1348" t="s">
        <v>5278</v>
      </c>
      <c r="H18" s="1115" t="s">
        <v>5298</v>
      </c>
    </row>
    <row r="19" spans="1:8" ht="18" customHeight="1" x14ac:dyDescent="0.2">
      <c r="A19" s="1103" t="s">
        <v>3041</v>
      </c>
      <c r="B19" s="1354" t="s">
        <v>4554</v>
      </c>
      <c r="C19" s="1359" t="s">
        <v>3042</v>
      </c>
      <c r="D19" s="1356" t="s">
        <v>4559</v>
      </c>
      <c r="E19" s="1360"/>
      <c r="F19" s="1358" t="s">
        <v>5286</v>
      </c>
      <c r="G19" s="1348" t="s">
        <v>5278</v>
      </c>
      <c r="H19" s="1115" t="s">
        <v>5299</v>
      </c>
    </row>
    <row r="20" spans="1:8" ht="18" customHeight="1" x14ac:dyDescent="0.2">
      <c r="A20" s="1103" t="s">
        <v>3058</v>
      </c>
      <c r="B20" s="1359" t="s">
        <v>4554</v>
      </c>
      <c r="C20" s="1359" t="s">
        <v>3059</v>
      </c>
      <c r="D20" s="1356" t="s">
        <v>5292</v>
      </c>
      <c r="E20" s="1360"/>
      <c r="F20" s="1358" t="s">
        <v>5286</v>
      </c>
      <c r="G20" s="1348" t="s">
        <v>5278</v>
      </c>
      <c r="H20" s="1115" t="s">
        <v>5300</v>
      </c>
    </row>
    <row r="21" spans="1:8" ht="18" customHeight="1" x14ac:dyDescent="0.2">
      <c r="A21" s="1109" t="s">
        <v>3083</v>
      </c>
      <c r="B21" s="1361" t="s">
        <v>4562</v>
      </c>
      <c r="C21" s="1361" t="s">
        <v>3084</v>
      </c>
      <c r="D21" s="1362" t="s">
        <v>3546</v>
      </c>
      <c r="E21" s="1363"/>
      <c r="F21" s="1364" t="s">
        <v>5301</v>
      </c>
      <c r="G21" s="1348" t="s">
        <v>5278</v>
      </c>
      <c r="H21" s="1115" t="s">
        <v>5302</v>
      </c>
    </row>
    <row r="22" spans="1:8" ht="18" customHeight="1" x14ac:dyDescent="0.2">
      <c r="A22" s="1109" t="s">
        <v>3390</v>
      </c>
      <c r="B22" s="1361" t="s">
        <v>4562</v>
      </c>
      <c r="C22" s="1361" t="s">
        <v>4564</v>
      </c>
      <c r="D22" s="1362" t="s">
        <v>3561</v>
      </c>
      <c r="E22" s="1363"/>
      <c r="F22" s="1364" t="s">
        <v>5301</v>
      </c>
      <c r="G22" s="1348" t="s">
        <v>5278</v>
      </c>
      <c r="H22" s="1115" t="s">
        <v>5303</v>
      </c>
    </row>
    <row r="23" spans="1:8" ht="15" customHeight="1" x14ac:dyDescent="0.2">
      <c r="A23" s="1365" t="s">
        <v>3046</v>
      </c>
      <c r="B23" s="1366" t="s">
        <v>3624</v>
      </c>
      <c r="C23" s="1125" t="s">
        <v>3047</v>
      </c>
      <c r="D23" s="1367" t="s">
        <v>5292</v>
      </c>
      <c r="F23" s="1368" t="s">
        <v>3261</v>
      </c>
      <c r="G23" s="1348" t="s">
        <v>5278</v>
      </c>
      <c r="H23" s="1115" t="s">
        <v>5304</v>
      </c>
    </row>
    <row r="24" spans="1:8" ht="15" customHeight="1" x14ac:dyDescent="0.2">
      <c r="A24" s="1365" t="s">
        <v>3025</v>
      </c>
      <c r="B24" s="1124" t="s">
        <v>3372</v>
      </c>
      <c r="C24" s="1125" t="s">
        <v>3026</v>
      </c>
      <c r="D24" s="1367" t="s">
        <v>3546</v>
      </c>
      <c r="F24" s="1368" t="s">
        <v>3293</v>
      </c>
      <c r="G24" s="1348" t="s">
        <v>5278</v>
      </c>
      <c r="H24" s="1115" t="s">
        <v>5305</v>
      </c>
    </row>
    <row r="25" spans="1:8" ht="21.75" customHeight="1" x14ac:dyDescent="0.2">
      <c r="A25" s="1619" t="s">
        <v>3022</v>
      </c>
      <c r="B25" s="1619"/>
      <c r="C25" s="1619"/>
      <c r="D25" s="1619"/>
      <c r="E25" s="1619"/>
      <c r="F25" s="1619"/>
      <c r="G25" s="1114" t="s">
        <v>5290</v>
      </c>
      <c r="H25" s="1115" t="s">
        <v>5306</v>
      </c>
    </row>
    <row r="26" spans="1:8" ht="18" customHeight="1" x14ac:dyDescent="0.2">
      <c r="A26" s="1369" t="s">
        <v>3079</v>
      </c>
      <c r="B26" s="1370" t="s">
        <v>3242</v>
      </c>
      <c r="C26" s="1371" t="s">
        <v>3080</v>
      </c>
      <c r="D26" s="1344" t="s">
        <v>5307</v>
      </c>
      <c r="E26" s="1345"/>
      <c r="F26" s="1346" t="s">
        <v>5308</v>
      </c>
      <c r="G26" s="1372" t="s">
        <v>5309</v>
      </c>
      <c r="H26" s="1115" t="s">
        <v>5310</v>
      </c>
    </row>
    <row r="27" spans="1:8" ht="18" customHeight="1" x14ac:dyDescent="0.2">
      <c r="A27" s="69" t="s">
        <v>5311</v>
      </c>
      <c r="B27" s="1373"/>
      <c r="C27" s="300" t="s">
        <v>5312</v>
      </c>
      <c r="D27" s="1374"/>
      <c r="E27" s="1374"/>
      <c r="F27" s="1373" t="s">
        <v>5313</v>
      </c>
    </row>
    <row r="28" spans="1:8" ht="18" customHeight="1" x14ac:dyDescent="0.2">
      <c r="A28" s="470" t="s">
        <v>5314</v>
      </c>
      <c r="B28" s="1375"/>
      <c r="C28" s="715" t="s">
        <v>5315</v>
      </c>
      <c r="D28" s="1376"/>
      <c r="E28" s="1376"/>
      <c r="F28" s="1375" t="s">
        <v>5316</v>
      </c>
    </row>
    <row r="29" spans="1:8" ht="18" customHeight="1" x14ac:dyDescent="0.2">
      <c r="A29" s="1377" t="s">
        <v>2113</v>
      </c>
      <c r="B29" s="1378"/>
      <c r="C29" s="1379" t="s">
        <v>5317</v>
      </c>
      <c r="D29" s="1380"/>
      <c r="E29" s="1380"/>
      <c r="F29" s="1378" t="s">
        <v>5318</v>
      </c>
    </row>
    <row r="30" spans="1:8" ht="18" customHeight="1" x14ac:dyDescent="0.2">
      <c r="A30" s="1103" t="s">
        <v>5319</v>
      </c>
      <c r="B30" s="1359"/>
      <c r="C30" s="1381" t="s">
        <v>5320</v>
      </c>
      <c r="D30" s="1360"/>
      <c r="E30" s="1360"/>
      <c r="F30" s="1359" t="s">
        <v>5321</v>
      </c>
    </row>
    <row r="31" spans="1:8" ht="18" customHeight="1" x14ac:dyDescent="0.2">
      <c r="A31" s="99" t="s">
        <v>5322</v>
      </c>
      <c r="B31" s="1355"/>
      <c r="C31" s="307" t="s">
        <v>5323</v>
      </c>
      <c r="D31" s="1357"/>
      <c r="E31" s="1357"/>
      <c r="F31" s="1355" t="s">
        <v>5324</v>
      </c>
    </row>
    <row r="32" spans="1:8" ht="18" customHeight="1" x14ac:dyDescent="0.2">
      <c r="A32" s="99" t="s">
        <v>5325</v>
      </c>
      <c r="B32" s="1355"/>
      <c r="C32" s="307" t="s">
        <v>5326</v>
      </c>
      <c r="D32" s="1357"/>
      <c r="E32" s="1357"/>
      <c r="F32" s="1355" t="s">
        <v>5327</v>
      </c>
    </row>
  </sheetData>
  <mergeCells count="3">
    <mergeCell ref="A1:F1"/>
    <mergeCell ref="A2:F2"/>
    <mergeCell ref="A25:F25"/>
  </mergeCells>
  <pageMargins left="0.75" right="0.75" top="1" bottom="1" header="0.511811023622047" footer="0.511811023622047"/>
  <pageSetup paperSize="9" orientation="portrait" horizontalDpi="300" verticalDpi="300"/>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tabColor rgb="FF37474F"/>
  </sheetPr>
  <dimension ref="A1:H44"/>
  <sheetViews>
    <sheetView zoomScaleNormal="100" workbookViewId="0"/>
  </sheetViews>
  <sheetFormatPr defaultColWidth="8.609375" defaultRowHeight="15" x14ac:dyDescent="0.2"/>
  <cols>
    <col min="1" max="1" width="7.93359375" customWidth="1"/>
    <col min="2" max="2" width="20.04296875" customWidth="1"/>
    <col min="3" max="4" width="11.97265625" customWidth="1"/>
    <col min="5" max="5" width="22.05859375" customWidth="1"/>
    <col min="6" max="6" width="16.0078125" customWidth="1"/>
    <col min="7" max="7" width="59.99609375" customWidth="1"/>
  </cols>
  <sheetData>
    <row r="1" spans="1:8" ht="27.75" customHeight="1" x14ac:dyDescent="0.2">
      <c r="A1" s="1620" t="s">
        <v>5328</v>
      </c>
      <c r="B1" s="1620"/>
      <c r="C1" s="1620"/>
      <c r="D1" s="1620"/>
      <c r="E1" s="1620"/>
      <c r="F1" s="1620"/>
      <c r="G1" s="1620"/>
      <c r="H1" s="29" t="str">
        <f>HYPERLINK("#'00_INDEX'!A1","&lt;- Index")</f>
        <v>&lt;- Index</v>
      </c>
    </row>
    <row r="2" spans="1:8" ht="18" customHeight="1" x14ac:dyDescent="0.2">
      <c r="A2" s="1621" t="s">
        <v>5329</v>
      </c>
      <c r="B2" s="1621"/>
      <c r="C2" s="1621"/>
      <c r="D2" s="1621"/>
      <c r="E2" s="1621"/>
      <c r="F2" s="1621"/>
      <c r="G2" s="1621"/>
    </row>
    <row r="4" spans="1:8" ht="18" customHeight="1" x14ac:dyDescent="0.2">
      <c r="A4" s="814" t="s">
        <v>2393</v>
      </c>
      <c r="B4" s="814" t="s">
        <v>3141</v>
      </c>
      <c r="C4" s="814" t="s">
        <v>5330</v>
      </c>
      <c r="D4" s="814" t="s">
        <v>5331</v>
      </c>
      <c r="E4" s="814" t="s">
        <v>5271</v>
      </c>
      <c r="F4" s="814" t="s">
        <v>5272</v>
      </c>
      <c r="G4" s="814" t="s">
        <v>5332</v>
      </c>
    </row>
    <row r="5" spans="1:8" ht="27.75" customHeight="1" x14ac:dyDescent="0.2">
      <c r="A5" s="1382" t="s">
        <v>3365</v>
      </c>
      <c r="B5" s="1383" t="s">
        <v>3367</v>
      </c>
      <c r="C5" s="1384" t="s">
        <v>5276</v>
      </c>
      <c r="D5" s="1385" t="s">
        <v>3546</v>
      </c>
      <c r="E5" s="1383" t="s">
        <v>3261</v>
      </c>
      <c r="F5" s="1386" t="s">
        <v>5274</v>
      </c>
      <c r="G5" s="1387" t="s">
        <v>5275</v>
      </c>
    </row>
    <row r="6" spans="1:8" ht="27.75" customHeight="1" x14ac:dyDescent="0.2">
      <c r="A6" s="1388" t="s">
        <v>3016</v>
      </c>
      <c r="B6" s="1389" t="s">
        <v>3367</v>
      </c>
      <c r="C6" s="1390" t="s">
        <v>5276</v>
      </c>
      <c r="D6" s="1391" t="s">
        <v>5276</v>
      </c>
      <c r="E6" s="1389" t="s">
        <v>5277</v>
      </c>
      <c r="F6" s="1392" t="s">
        <v>5278</v>
      </c>
      <c r="G6" s="1393" t="s">
        <v>5279</v>
      </c>
    </row>
    <row r="7" spans="1:8" ht="27.75" customHeight="1" x14ac:dyDescent="0.2">
      <c r="A7" s="1382" t="s">
        <v>3065</v>
      </c>
      <c r="B7" s="1383" t="s">
        <v>3367</v>
      </c>
      <c r="C7" s="1384" t="s">
        <v>3546</v>
      </c>
      <c r="D7" s="1385" t="s">
        <v>1085</v>
      </c>
      <c r="E7" s="1383" t="s">
        <v>3244</v>
      </c>
      <c r="F7" s="1394" t="s">
        <v>5278</v>
      </c>
      <c r="G7" s="1387" t="s">
        <v>5281</v>
      </c>
    </row>
    <row r="8" spans="1:8" ht="27.75" customHeight="1" x14ac:dyDescent="0.2">
      <c r="A8" s="1388" t="s">
        <v>3015</v>
      </c>
      <c r="B8" s="1389" t="s">
        <v>3372</v>
      </c>
      <c r="C8" s="1390" t="s">
        <v>5282</v>
      </c>
      <c r="D8" s="1391" t="s">
        <v>5282</v>
      </c>
      <c r="E8" s="1389" t="s">
        <v>3251</v>
      </c>
      <c r="F8" s="1392" t="s">
        <v>5278</v>
      </c>
      <c r="G8" s="1393" t="s">
        <v>5283</v>
      </c>
    </row>
    <row r="9" spans="1:8" ht="27.75" customHeight="1" x14ac:dyDescent="0.2">
      <c r="A9" s="1382" t="s">
        <v>3092</v>
      </c>
      <c r="B9" s="1383" t="s">
        <v>3372</v>
      </c>
      <c r="C9" s="1395" t="s">
        <v>3546</v>
      </c>
      <c r="D9" s="1396" t="s">
        <v>3546</v>
      </c>
      <c r="E9" s="1383" t="s">
        <v>5284</v>
      </c>
      <c r="F9" s="1394" t="s">
        <v>5278</v>
      </c>
      <c r="G9" s="1387" t="s">
        <v>5285</v>
      </c>
    </row>
    <row r="10" spans="1:8" ht="27.75" customHeight="1" x14ac:dyDescent="0.2">
      <c r="A10" s="1388" t="s">
        <v>3028</v>
      </c>
      <c r="B10" s="1389" t="s">
        <v>3372</v>
      </c>
      <c r="C10" s="1390" t="s">
        <v>5276</v>
      </c>
      <c r="D10" s="1391" t="s">
        <v>5276</v>
      </c>
      <c r="E10" s="1389" t="s">
        <v>5286</v>
      </c>
      <c r="F10" s="1392" t="s">
        <v>5278</v>
      </c>
      <c r="G10" s="1393" t="s">
        <v>5287</v>
      </c>
    </row>
    <row r="11" spans="1:8" ht="27.75" customHeight="1" x14ac:dyDescent="0.2">
      <c r="A11" s="1382" t="s">
        <v>3112</v>
      </c>
      <c r="B11" s="1383" t="s">
        <v>3372</v>
      </c>
      <c r="C11" s="1395" t="s">
        <v>3546</v>
      </c>
      <c r="D11" s="1396" t="s">
        <v>3546</v>
      </c>
      <c r="E11" s="1383" t="s">
        <v>3244</v>
      </c>
      <c r="F11" s="1394" t="s">
        <v>5278</v>
      </c>
      <c r="G11" s="1387" t="s">
        <v>5288</v>
      </c>
    </row>
    <row r="12" spans="1:8" ht="27.75" customHeight="1" x14ac:dyDescent="0.2">
      <c r="A12" s="1388" t="s">
        <v>3033</v>
      </c>
      <c r="B12" s="1389" t="s">
        <v>3372</v>
      </c>
      <c r="C12" s="1397" t="s">
        <v>5276</v>
      </c>
      <c r="D12" s="1398" t="s">
        <v>1085</v>
      </c>
      <c r="E12" s="1389" t="s">
        <v>5289</v>
      </c>
      <c r="F12" s="1399" t="s">
        <v>5290</v>
      </c>
      <c r="G12" s="1393" t="s">
        <v>5291</v>
      </c>
    </row>
    <row r="13" spans="1:8" ht="27.75" customHeight="1" x14ac:dyDescent="0.2">
      <c r="A13" s="1382" t="s">
        <v>3050</v>
      </c>
      <c r="B13" s="1383" t="s">
        <v>4621</v>
      </c>
      <c r="C13" s="1395" t="s">
        <v>5292</v>
      </c>
      <c r="D13" s="1396" t="s">
        <v>5292</v>
      </c>
      <c r="E13" s="1383" t="s">
        <v>5277</v>
      </c>
      <c r="F13" s="1394" t="s">
        <v>5278</v>
      </c>
      <c r="G13" s="1387" t="s">
        <v>5293</v>
      </c>
    </row>
    <row r="14" spans="1:8" ht="27.75" customHeight="1" x14ac:dyDescent="0.2">
      <c r="A14" s="1388" t="s">
        <v>3066</v>
      </c>
      <c r="B14" s="1389" t="s">
        <v>4621</v>
      </c>
      <c r="C14" s="1390" t="s">
        <v>5292</v>
      </c>
      <c r="D14" s="1391" t="s">
        <v>5292</v>
      </c>
      <c r="E14" s="1389" t="s">
        <v>3244</v>
      </c>
      <c r="F14" s="1392" t="s">
        <v>5278</v>
      </c>
      <c r="G14" s="1393" t="s">
        <v>5294</v>
      </c>
    </row>
    <row r="15" spans="1:8" ht="27.75" customHeight="1" x14ac:dyDescent="0.2">
      <c r="A15" s="1382" t="s">
        <v>3061</v>
      </c>
      <c r="B15" s="1383" t="s">
        <v>4621</v>
      </c>
      <c r="C15" s="1384" t="s">
        <v>5292</v>
      </c>
      <c r="D15" s="1385" t="s">
        <v>4550</v>
      </c>
      <c r="E15" s="1383" t="s">
        <v>5286</v>
      </c>
      <c r="F15" s="1394" t="s">
        <v>5278</v>
      </c>
      <c r="G15" s="1387" t="s">
        <v>5295</v>
      </c>
    </row>
    <row r="16" spans="1:8" ht="27.75" customHeight="1" x14ac:dyDescent="0.2">
      <c r="A16" s="1388" t="s">
        <v>3095</v>
      </c>
      <c r="B16" s="1389" t="s">
        <v>4621</v>
      </c>
      <c r="C16" s="1397" t="s">
        <v>5292</v>
      </c>
      <c r="D16" s="1398" t="s">
        <v>3564</v>
      </c>
      <c r="E16" s="1389" t="s">
        <v>5289</v>
      </c>
      <c r="F16" s="1399" t="s">
        <v>5290</v>
      </c>
      <c r="G16" s="1393" t="s">
        <v>5296</v>
      </c>
    </row>
    <row r="17" spans="1:7" ht="27.75" customHeight="1" x14ac:dyDescent="0.2">
      <c r="A17" s="1382" t="s">
        <v>3036</v>
      </c>
      <c r="B17" s="1383" t="s">
        <v>3624</v>
      </c>
      <c r="C17" s="1395" t="s">
        <v>5292</v>
      </c>
      <c r="D17" s="1396" t="s">
        <v>5292</v>
      </c>
      <c r="E17" s="1383" t="s">
        <v>5286</v>
      </c>
      <c r="F17" s="1394" t="s">
        <v>5278</v>
      </c>
      <c r="G17" s="1387" t="s">
        <v>5297</v>
      </c>
    </row>
    <row r="18" spans="1:7" ht="27.75" customHeight="1" x14ac:dyDescent="0.2">
      <c r="A18" s="1388" t="s">
        <v>3054</v>
      </c>
      <c r="B18" s="1389" t="s">
        <v>3624</v>
      </c>
      <c r="C18" s="1390" t="s">
        <v>3561</v>
      </c>
      <c r="D18" s="1391" t="s">
        <v>3561</v>
      </c>
      <c r="E18" s="1389" t="s">
        <v>3244</v>
      </c>
      <c r="F18" s="1392" t="s">
        <v>5278</v>
      </c>
      <c r="G18" s="1393" t="s">
        <v>5298</v>
      </c>
    </row>
    <row r="19" spans="1:7" ht="27.75" customHeight="1" x14ac:dyDescent="0.2">
      <c r="A19" s="1382" t="s">
        <v>3041</v>
      </c>
      <c r="B19" s="1383" t="s">
        <v>3624</v>
      </c>
      <c r="C19" s="1384" t="s">
        <v>5292</v>
      </c>
      <c r="D19" s="1385" t="s">
        <v>4559</v>
      </c>
      <c r="E19" s="1383" t="s">
        <v>5286</v>
      </c>
      <c r="F19" s="1394" t="s">
        <v>5278</v>
      </c>
      <c r="G19" s="1387" t="s">
        <v>5299</v>
      </c>
    </row>
    <row r="20" spans="1:7" ht="27.75" customHeight="1" x14ac:dyDescent="0.2">
      <c r="A20" s="1388" t="s">
        <v>3058</v>
      </c>
      <c r="B20" s="1389" t="s">
        <v>3624</v>
      </c>
      <c r="C20" s="1390" t="s">
        <v>5292</v>
      </c>
      <c r="D20" s="1391" t="s">
        <v>5292</v>
      </c>
      <c r="E20" s="1389" t="s">
        <v>5286</v>
      </c>
      <c r="F20" s="1392" t="s">
        <v>5278</v>
      </c>
      <c r="G20" s="1393" t="s">
        <v>5300</v>
      </c>
    </row>
    <row r="21" spans="1:7" ht="27.75" customHeight="1" x14ac:dyDescent="0.2">
      <c r="A21" s="1382" t="s">
        <v>3083</v>
      </c>
      <c r="B21" s="1383" t="s">
        <v>4639</v>
      </c>
      <c r="C21" s="1395" t="s">
        <v>3546</v>
      </c>
      <c r="D21" s="1396" t="s">
        <v>3546</v>
      </c>
      <c r="E21" s="1383" t="s">
        <v>5301</v>
      </c>
      <c r="F21" s="1394" t="s">
        <v>5278</v>
      </c>
      <c r="G21" s="1387" t="s">
        <v>5302</v>
      </c>
    </row>
    <row r="22" spans="1:7" ht="27.75" customHeight="1" x14ac:dyDescent="0.2">
      <c r="A22" s="1388" t="s">
        <v>3390</v>
      </c>
      <c r="B22" s="1389" t="s">
        <v>4639</v>
      </c>
      <c r="C22" s="1390" t="s">
        <v>3561</v>
      </c>
      <c r="D22" s="1391" t="s">
        <v>3561</v>
      </c>
      <c r="E22" s="1389" t="s">
        <v>5301</v>
      </c>
      <c r="F22" s="1392" t="s">
        <v>5278</v>
      </c>
      <c r="G22" s="1393" t="s">
        <v>5303</v>
      </c>
    </row>
    <row r="23" spans="1:7" ht="27.75" customHeight="1" x14ac:dyDescent="0.2">
      <c r="A23" s="1382" t="s">
        <v>3046</v>
      </c>
      <c r="B23" s="1383" t="s">
        <v>3624</v>
      </c>
      <c r="C23" s="1395" t="s">
        <v>5292</v>
      </c>
      <c r="D23" s="1396" t="s">
        <v>5292</v>
      </c>
      <c r="E23" s="1383" t="s">
        <v>3261</v>
      </c>
      <c r="F23" s="1394" t="s">
        <v>5278</v>
      </c>
      <c r="G23" s="1387" t="s">
        <v>5304</v>
      </c>
    </row>
    <row r="24" spans="1:7" ht="27.75" customHeight="1" x14ac:dyDescent="0.2">
      <c r="A24" s="1388" t="s">
        <v>3025</v>
      </c>
      <c r="B24" s="1389" t="s">
        <v>3372</v>
      </c>
      <c r="C24" s="1390" t="s">
        <v>3546</v>
      </c>
      <c r="D24" s="1391" t="s">
        <v>3546</v>
      </c>
      <c r="E24" s="1389" t="s">
        <v>3293</v>
      </c>
      <c r="F24" s="1392" t="s">
        <v>5278</v>
      </c>
      <c r="G24" s="1393" t="s">
        <v>5305</v>
      </c>
    </row>
    <row r="25" spans="1:7" ht="27.75" customHeight="1" x14ac:dyDescent="0.2">
      <c r="A25" s="1382" t="s">
        <v>3022</v>
      </c>
      <c r="B25" s="1383" t="s">
        <v>3372</v>
      </c>
      <c r="C25" s="1395" t="s">
        <v>3546</v>
      </c>
      <c r="D25" s="1396" t="s">
        <v>3546</v>
      </c>
      <c r="E25" s="1383" t="s">
        <v>5333</v>
      </c>
      <c r="F25" s="1400" t="s">
        <v>5290</v>
      </c>
      <c r="G25" s="1387" t="s">
        <v>5306</v>
      </c>
    </row>
    <row r="26" spans="1:7" ht="27.75" customHeight="1" x14ac:dyDescent="0.2">
      <c r="A26" s="1388" t="s">
        <v>3079</v>
      </c>
      <c r="B26" s="1389" t="s">
        <v>3242</v>
      </c>
      <c r="C26" s="1397" t="s">
        <v>1116</v>
      </c>
      <c r="D26" s="1398" t="s">
        <v>5307</v>
      </c>
      <c r="E26" s="1389" t="s">
        <v>5308</v>
      </c>
      <c r="F26" s="1401" t="s">
        <v>5309</v>
      </c>
      <c r="G26" s="1393" t="s">
        <v>5310</v>
      </c>
    </row>
    <row r="27" spans="1:7" ht="27.75" customHeight="1" x14ac:dyDescent="0.2">
      <c r="A27" s="823" t="s">
        <v>3399</v>
      </c>
      <c r="B27" s="824" t="s">
        <v>3372</v>
      </c>
      <c r="C27" s="1402" t="s">
        <v>3546</v>
      </c>
      <c r="D27" s="1403" t="s">
        <v>3546</v>
      </c>
      <c r="E27" s="1404" t="s">
        <v>3288</v>
      </c>
      <c r="F27" s="1405" t="s">
        <v>5278</v>
      </c>
      <c r="G27" s="1387" t="s">
        <v>5334</v>
      </c>
    </row>
    <row r="28" spans="1:7" ht="21.75" customHeight="1" x14ac:dyDescent="0.2">
      <c r="A28" s="1622" t="s">
        <v>5335</v>
      </c>
      <c r="B28" s="1622"/>
      <c r="C28" s="1622"/>
      <c r="D28" s="1622"/>
      <c r="E28" s="1622"/>
      <c r="F28" s="1622"/>
      <c r="G28" s="1622"/>
    </row>
    <row r="29" spans="1:7" ht="15.75" customHeight="1" x14ac:dyDescent="0.2">
      <c r="A29" s="1623" t="s">
        <v>5336</v>
      </c>
      <c r="B29" s="1623"/>
      <c r="C29" s="1623"/>
      <c r="D29" s="1623"/>
      <c r="E29" s="1623"/>
      <c r="F29" s="1623"/>
      <c r="G29" s="1623"/>
    </row>
    <row r="30" spans="1:7" ht="36" customHeight="1" x14ac:dyDescent="0.2">
      <c r="A30" s="1561" t="s">
        <v>5337</v>
      </c>
      <c r="B30" s="1561"/>
      <c r="C30" s="1561"/>
      <c r="D30" s="1561"/>
      <c r="E30" s="1561"/>
      <c r="F30" s="1561"/>
      <c r="G30" s="1561"/>
    </row>
    <row r="31" spans="1:7" ht="15.75" customHeight="1" x14ac:dyDescent="0.2">
      <c r="A31" s="1623" t="s">
        <v>5338</v>
      </c>
      <c r="B31" s="1623"/>
      <c r="C31" s="1623"/>
      <c r="D31" s="1623"/>
      <c r="E31" s="1623"/>
      <c r="F31" s="1623"/>
      <c r="G31" s="1623"/>
    </row>
    <row r="32" spans="1:7" ht="36" customHeight="1" x14ac:dyDescent="0.2">
      <c r="A32" s="1561" t="s">
        <v>5339</v>
      </c>
      <c r="B32" s="1561"/>
      <c r="C32" s="1561"/>
      <c r="D32" s="1561"/>
      <c r="E32" s="1561"/>
      <c r="F32" s="1561"/>
      <c r="G32" s="1561"/>
    </row>
    <row r="33" spans="1:7" ht="15.75" customHeight="1" x14ac:dyDescent="0.2">
      <c r="A33" s="1624" t="s">
        <v>5340</v>
      </c>
      <c r="B33" s="1624"/>
      <c r="C33" s="1624"/>
      <c r="D33" s="1624"/>
      <c r="E33" s="1624"/>
      <c r="F33" s="1624"/>
      <c r="G33" s="1624"/>
    </row>
    <row r="34" spans="1:7" ht="36" customHeight="1" x14ac:dyDescent="0.2">
      <c r="A34" s="1561" t="s">
        <v>5341</v>
      </c>
      <c r="B34" s="1561"/>
      <c r="C34" s="1561"/>
      <c r="D34" s="1561"/>
      <c r="E34" s="1561"/>
      <c r="F34" s="1561"/>
      <c r="G34" s="1561"/>
    </row>
    <row r="35" spans="1:7" ht="15.75" customHeight="1" x14ac:dyDescent="0.2">
      <c r="A35" s="1625" t="s">
        <v>5342</v>
      </c>
      <c r="B35" s="1625"/>
      <c r="C35" s="1625"/>
      <c r="D35" s="1625"/>
      <c r="E35" s="1625"/>
      <c r="F35" s="1625"/>
      <c r="G35" s="1625"/>
    </row>
    <row r="36" spans="1:7" ht="36" customHeight="1" x14ac:dyDescent="0.2">
      <c r="A36" s="1561" t="s">
        <v>5343</v>
      </c>
      <c r="B36" s="1561"/>
      <c r="C36" s="1561"/>
      <c r="D36" s="1561"/>
      <c r="E36" s="1561"/>
      <c r="F36" s="1561"/>
      <c r="G36" s="1561"/>
    </row>
    <row r="37" spans="1:7" ht="15.75" customHeight="1" x14ac:dyDescent="0.2">
      <c r="A37" s="1624" t="s">
        <v>5344</v>
      </c>
      <c r="B37" s="1624"/>
      <c r="C37" s="1624"/>
      <c r="D37" s="1624"/>
      <c r="E37" s="1624"/>
      <c r="F37" s="1624"/>
      <c r="G37" s="1624"/>
    </row>
    <row r="38" spans="1:7" ht="36" customHeight="1" x14ac:dyDescent="0.2">
      <c r="A38" s="1561" t="s">
        <v>5345</v>
      </c>
      <c r="B38" s="1561"/>
      <c r="C38" s="1561"/>
      <c r="D38" s="1561"/>
      <c r="E38" s="1561"/>
      <c r="F38" s="1561"/>
      <c r="G38" s="1561"/>
    </row>
    <row r="39" spans="1:7" ht="15.75" customHeight="1" x14ac:dyDescent="0.2">
      <c r="A39" s="1623" t="s">
        <v>5346</v>
      </c>
      <c r="B39" s="1623"/>
      <c r="C39" s="1623"/>
      <c r="D39" s="1623"/>
      <c r="E39" s="1623"/>
      <c r="F39" s="1623"/>
      <c r="G39" s="1623"/>
    </row>
    <row r="40" spans="1:7" ht="36" customHeight="1" x14ac:dyDescent="0.2">
      <c r="A40" s="1561" t="s">
        <v>5347</v>
      </c>
      <c r="B40" s="1561"/>
      <c r="C40" s="1561"/>
      <c r="D40" s="1561"/>
      <c r="E40" s="1561"/>
      <c r="F40" s="1561"/>
      <c r="G40" s="1561"/>
    </row>
    <row r="41" spans="1:7" ht="15.75" customHeight="1" x14ac:dyDescent="0.2">
      <c r="A41" s="1626" t="s">
        <v>5348</v>
      </c>
      <c r="B41" s="1626"/>
      <c r="C41" s="1626"/>
      <c r="D41" s="1626"/>
      <c r="E41" s="1626"/>
      <c r="F41" s="1626"/>
      <c r="G41" s="1626"/>
    </row>
    <row r="42" spans="1:7" ht="36" customHeight="1" x14ac:dyDescent="0.2">
      <c r="A42" s="1561" t="s">
        <v>5349</v>
      </c>
      <c r="B42" s="1561"/>
      <c r="C42" s="1561"/>
      <c r="D42" s="1561"/>
      <c r="E42" s="1561"/>
      <c r="F42" s="1561"/>
      <c r="G42" s="1561"/>
    </row>
    <row r="43" spans="1:7" ht="15.75" customHeight="1" x14ac:dyDescent="0.2">
      <c r="A43" s="1626" t="s">
        <v>5350</v>
      </c>
      <c r="B43" s="1626"/>
      <c r="C43" s="1626"/>
      <c r="D43" s="1626"/>
      <c r="E43" s="1626"/>
      <c r="F43" s="1626"/>
      <c r="G43" s="1626"/>
    </row>
    <row r="44" spans="1:7" ht="36" customHeight="1" x14ac:dyDescent="0.2">
      <c r="A44" s="1561" t="s">
        <v>5351</v>
      </c>
      <c r="B44" s="1561"/>
      <c r="C44" s="1561"/>
      <c r="D44" s="1561"/>
      <c r="E44" s="1561"/>
      <c r="F44" s="1561"/>
      <c r="G44" s="1561"/>
    </row>
  </sheetData>
  <mergeCells count="19">
    <mergeCell ref="A41:G41"/>
    <mergeCell ref="A42:G42"/>
    <mergeCell ref="A43:G43"/>
    <mergeCell ref="A44:G44"/>
    <mergeCell ref="A36:G36"/>
    <mergeCell ref="A37:G37"/>
    <mergeCell ref="A38:G38"/>
    <mergeCell ref="A39:G39"/>
    <mergeCell ref="A40:G40"/>
    <mergeCell ref="A31:G31"/>
    <mergeCell ref="A32:G32"/>
    <mergeCell ref="A33:G33"/>
    <mergeCell ref="A34:G34"/>
    <mergeCell ref="A35:G35"/>
    <mergeCell ref="A1:G1"/>
    <mergeCell ref="A2:G2"/>
    <mergeCell ref="A28:G28"/>
    <mergeCell ref="A29:G29"/>
    <mergeCell ref="A30:G30"/>
  </mergeCells>
  <pageMargins left="0.75" right="0.75" top="1" bottom="1" header="0.511811023622047" footer="0.511811023622047"/>
  <pageSetup paperSize="9" orientation="portrait" horizontalDpi="300" verticalDpi="300"/>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tabColor rgb="FF37474F"/>
  </sheetPr>
  <dimension ref="A1:H16"/>
  <sheetViews>
    <sheetView zoomScaleNormal="100" workbookViewId="0"/>
  </sheetViews>
  <sheetFormatPr defaultColWidth="8.609375" defaultRowHeight="15" x14ac:dyDescent="0.2"/>
  <cols>
    <col min="1" max="1" width="16.0078125" customWidth="1"/>
    <col min="2" max="2" width="20.04296875" customWidth="1"/>
    <col min="3" max="3" width="16.0078125" customWidth="1"/>
    <col min="4" max="4" width="55.01953125" customWidth="1"/>
    <col min="5" max="6" width="20.04296875" customWidth="1"/>
    <col min="7" max="7" width="45.0625" customWidth="1"/>
  </cols>
  <sheetData>
    <row r="1" spans="1:8" ht="21.75" customHeight="1" x14ac:dyDescent="0.2">
      <c r="A1" s="1522" t="s">
        <v>5352</v>
      </c>
      <c r="B1" s="1522"/>
      <c r="C1" s="1522"/>
      <c r="D1" s="1522"/>
      <c r="E1" s="1522"/>
      <c r="F1" s="1522"/>
      <c r="G1" s="1522"/>
      <c r="H1" s="601" t="s">
        <v>2214</v>
      </c>
    </row>
    <row r="2" spans="1:8" ht="30" customHeight="1" x14ac:dyDescent="0.2">
      <c r="A2" s="1523" t="s">
        <v>5353</v>
      </c>
      <c r="B2" s="1523"/>
      <c r="C2" s="1523"/>
      <c r="D2" s="1523"/>
      <c r="E2" s="1523"/>
      <c r="F2" s="1523"/>
      <c r="G2" s="1523"/>
    </row>
    <row r="4" spans="1:8" ht="18" customHeight="1" x14ac:dyDescent="0.2">
      <c r="A4" s="1521" t="s">
        <v>5354</v>
      </c>
      <c r="B4" s="1521"/>
      <c r="C4" s="1521"/>
      <c r="D4" s="1521"/>
      <c r="E4" s="1521"/>
      <c r="F4" s="1521"/>
      <c r="G4" s="1521"/>
    </row>
    <row r="5" spans="1:8" ht="15.75" customHeight="1" x14ac:dyDescent="0.2">
      <c r="A5" s="545" t="s">
        <v>2393</v>
      </c>
      <c r="B5" s="545" t="s">
        <v>3193</v>
      </c>
      <c r="C5" s="545" t="s">
        <v>5355</v>
      </c>
      <c r="D5" s="545" t="s">
        <v>5356</v>
      </c>
      <c r="E5" s="545" t="s">
        <v>3848</v>
      </c>
      <c r="F5" s="545" t="s">
        <v>5357</v>
      </c>
      <c r="G5" s="545" t="s">
        <v>5358</v>
      </c>
    </row>
    <row r="6" spans="1:8" ht="30" customHeight="1" x14ac:dyDescent="0.2">
      <c r="A6" s="578" t="s">
        <v>5359</v>
      </c>
      <c r="B6" s="1294" t="s">
        <v>5360</v>
      </c>
      <c r="C6" s="1311" t="s">
        <v>5361</v>
      </c>
      <c r="D6" s="550" t="s">
        <v>5362</v>
      </c>
      <c r="E6" s="610" t="s">
        <v>5363</v>
      </c>
      <c r="F6" s="1406" t="s">
        <v>1593</v>
      </c>
      <c r="G6" s="606" t="s">
        <v>5364</v>
      </c>
    </row>
    <row r="7" spans="1:8" ht="30" customHeight="1" x14ac:dyDescent="0.2">
      <c r="A7" s="580" t="s">
        <v>5365</v>
      </c>
      <c r="B7" s="1291" t="s">
        <v>5366</v>
      </c>
      <c r="C7" s="1312" t="s">
        <v>5361</v>
      </c>
      <c r="D7" s="554" t="s">
        <v>5367</v>
      </c>
      <c r="E7" s="612" t="s">
        <v>5363</v>
      </c>
      <c r="F7" s="1407" t="s">
        <v>5368</v>
      </c>
      <c r="G7" s="608" t="s">
        <v>5369</v>
      </c>
    </row>
    <row r="8" spans="1:8" ht="30" customHeight="1" x14ac:dyDescent="0.2">
      <c r="A8" s="578" t="s">
        <v>5370</v>
      </c>
      <c r="B8" s="1294" t="s">
        <v>5371</v>
      </c>
      <c r="C8" s="1311" t="s">
        <v>5372</v>
      </c>
      <c r="D8" s="550" t="s">
        <v>5373</v>
      </c>
      <c r="E8" s="1038" t="s">
        <v>5374</v>
      </c>
      <c r="F8" s="1406" t="s">
        <v>5375</v>
      </c>
      <c r="G8" s="606" t="s">
        <v>5376</v>
      </c>
    </row>
    <row r="9" spans="1:8" ht="30" customHeight="1" x14ac:dyDescent="0.2">
      <c r="A9" s="580" t="s">
        <v>5377</v>
      </c>
      <c r="B9" s="1291" t="s">
        <v>5378</v>
      </c>
      <c r="C9" s="1312" t="s">
        <v>5379</v>
      </c>
      <c r="D9" s="554" t="s">
        <v>5380</v>
      </c>
      <c r="E9" s="612" t="s">
        <v>5363</v>
      </c>
      <c r="F9" s="1407" t="s">
        <v>1593</v>
      </c>
      <c r="G9" s="608" t="s">
        <v>5381</v>
      </c>
    </row>
    <row r="10" spans="1:8" ht="30" customHeight="1" x14ac:dyDescent="0.2">
      <c r="A10" s="578" t="s">
        <v>5382</v>
      </c>
      <c r="B10" s="1294" t="s">
        <v>5383</v>
      </c>
      <c r="C10" s="1311" t="s">
        <v>5361</v>
      </c>
      <c r="D10" s="550" t="s">
        <v>5384</v>
      </c>
      <c r="E10" s="610" t="s">
        <v>5363</v>
      </c>
      <c r="F10" s="1406" t="s">
        <v>1593</v>
      </c>
      <c r="G10" s="606" t="s">
        <v>5385</v>
      </c>
    </row>
    <row r="11" spans="1:8" ht="30" customHeight="1" x14ac:dyDescent="0.2">
      <c r="A11" s="580" t="s">
        <v>5386</v>
      </c>
      <c r="B11" s="1291" t="s">
        <v>5387</v>
      </c>
      <c r="C11" s="1312" t="s">
        <v>5388</v>
      </c>
      <c r="D11" s="554" t="s">
        <v>5389</v>
      </c>
      <c r="E11" s="1408" t="s">
        <v>5390</v>
      </c>
      <c r="F11" s="1407" t="s">
        <v>5391</v>
      </c>
      <c r="G11" s="608" t="s">
        <v>5392</v>
      </c>
    </row>
    <row r="12" spans="1:8" ht="30" customHeight="1" x14ac:dyDescent="0.2">
      <c r="A12" s="578" t="s">
        <v>5393</v>
      </c>
      <c r="B12" s="1294" t="s">
        <v>5394</v>
      </c>
      <c r="C12" s="1311" t="s">
        <v>5395</v>
      </c>
      <c r="D12" s="550" t="s">
        <v>5396</v>
      </c>
      <c r="E12" s="610" t="s">
        <v>5397</v>
      </c>
      <c r="F12" s="1406" t="s">
        <v>2410</v>
      </c>
      <c r="G12" s="606" t="s">
        <v>5398</v>
      </c>
    </row>
    <row r="13" spans="1:8" ht="30" customHeight="1" x14ac:dyDescent="0.2">
      <c r="A13" s="580" t="s">
        <v>5399</v>
      </c>
      <c r="B13" s="1291" t="s">
        <v>5400</v>
      </c>
      <c r="C13" s="1312" t="s">
        <v>5401</v>
      </c>
      <c r="D13" s="554" t="s">
        <v>5402</v>
      </c>
      <c r="E13" s="567" t="s">
        <v>5403</v>
      </c>
      <c r="F13" s="1407" t="s">
        <v>2410</v>
      </c>
      <c r="G13" s="608" t="s">
        <v>5404</v>
      </c>
    </row>
    <row r="15" spans="1:8" ht="18" customHeight="1" x14ac:dyDescent="0.2">
      <c r="A15" s="1521" t="s">
        <v>5405</v>
      </c>
      <c r="B15" s="1521"/>
      <c r="C15" s="1521"/>
      <c r="D15" s="1521"/>
      <c r="E15" s="1521"/>
      <c r="F15" s="1521"/>
      <c r="G15" s="1521"/>
    </row>
    <row r="16" spans="1:8" ht="96" customHeight="1" x14ac:dyDescent="0.2">
      <c r="A16" s="1579" t="s">
        <v>5406</v>
      </c>
      <c r="B16" s="1579"/>
      <c r="C16" s="1579"/>
      <c r="D16" s="1579"/>
      <c r="E16" s="1579"/>
      <c r="F16" s="1579"/>
      <c r="G16" s="1579"/>
    </row>
  </sheetData>
  <mergeCells count="5">
    <mergeCell ref="A1:G1"/>
    <mergeCell ref="A2:G2"/>
    <mergeCell ref="A4:G4"/>
    <mergeCell ref="A15:G15"/>
    <mergeCell ref="A16:G16"/>
  </mergeCells>
  <pageMargins left="0.75" right="0.75" top="1" bottom="1" header="0.511811023622047" footer="0.511811023622047"/>
  <pageSetup paperSize="9" orientation="portrait" horizontalDpi="300" verticalDpi="300"/>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tabColor rgb="FF37474F"/>
  </sheetPr>
  <dimension ref="A1:L19"/>
  <sheetViews>
    <sheetView zoomScaleNormal="100" workbookViewId="0"/>
  </sheetViews>
  <sheetFormatPr defaultColWidth="8.609375" defaultRowHeight="15" x14ac:dyDescent="0.2"/>
  <cols>
    <col min="1" max="1" width="25.9609375" customWidth="1"/>
    <col min="2" max="2" width="20.04296875" customWidth="1"/>
    <col min="3" max="3" width="71.96875" customWidth="1"/>
  </cols>
  <sheetData>
    <row r="1" spans="1:12" ht="25.5" customHeight="1" x14ac:dyDescent="0.2">
      <c r="A1" s="1627" t="s">
        <v>5407</v>
      </c>
      <c r="B1" s="1627"/>
      <c r="C1" s="1627"/>
      <c r="L1" s="29" t="str">
        <f>HYPERLINK("#'00_INDEX'!A1","&lt;- Index")</f>
        <v>&lt;- Index</v>
      </c>
    </row>
    <row r="3" spans="1:12" ht="27.75" customHeight="1" x14ac:dyDescent="0.2">
      <c r="A3" s="1341" t="s">
        <v>343</v>
      </c>
      <c r="B3" s="1341" t="s">
        <v>5408</v>
      </c>
      <c r="C3" s="1341" t="s">
        <v>5409</v>
      </c>
    </row>
    <row r="4" spans="1:12" ht="27.75" customHeight="1" x14ac:dyDescent="0.2">
      <c r="A4" s="1409" t="s">
        <v>5410</v>
      </c>
      <c r="B4" s="1410" t="s">
        <v>5411</v>
      </c>
      <c r="C4" s="1411" t="s">
        <v>5412</v>
      </c>
    </row>
    <row r="5" spans="1:12" ht="27.75" customHeight="1" x14ac:dyDescent="0.2">
      <c r="A5" s="1412" t="s">
        <v>642</v>
      </c>
      <c r="B5" s="1413" t="s">
        <v>5413</v>
      </c>
      <c r="C5" s="1414" t="s">
        <v>5414</v>
      </c>
    </row>
    <row r="6" spans="1:12" ht="27.75" customHeight="1" x14ac:dyDescent="0.2">
      <c r="A6" s="1409" t="s">
        <v>367</v>
      </c>
      <c r="B6" s="1410" t="s">
        <v>5415</v>
      </c>
      <c r="C6" s="1411" t="s">
        <v>5416</v>
      </c>
    </row>
    <row r="7" spans="1:12" ht="27.75" customHeight="1" x14ac:dyDescent="0.2">
      <c r="A7" s="1412" t="s">
        <v>411</v>
      </c>
      <c r="B7" s="1413" t="s">
        <v>5417</v>
      </c>
      <c r="C7" s="1414" t="s">
        <v>5418</v>
      </c>
    </row>
    <row r="8" spans="1:12" ht="27.75" customHeight="1" x14ac:dyDescent="0.2">
      <c r="A8" s="1409" t="s">
        <v>417</v>
      </c>
      <c r="B8" s="1410" t="s">
        <v>5419</v>
      </c>
      <c r="C8" s="1411" t="s">
        <v>5420</v>
      </c>
    </row>
    <row r="9" spans="1:12" ht="27.75" customHeight="1" x14ac:dyDescent="0.2">
      <c r="A9" s="1412" t="s">
        <v>5421</v>
      </c>
      <c r="B9" s="1413" t="s">
        <v>5422</v>
      </c>
      <c r="C9" s="1414" t="s">
        <v>5423</v>
      </c>
    </row>
    <row r="10" spans="1:12" ht="27.75" customHeight="1" x14ac:dyDescent="0.2">
      <c r="A10" s="1409" t="s">
        <v>384</v>
      </c>
      <c r="B10" s="1410" t="s">
        <v>5424</v>
      </c>
      <c r="C10" s="1411" t="s">
        <v>5425</v>
      </c>
    </row>
    <row r="11" spans="1:12" ht="27.75" customHeight="1" x14ac:dyDescent="0.2">
      <c r="A11" s="1412" t="s">
        <v>388</v>
      </c>
      <c r="B11" s="1413" t="s">
        <v>5426</v>
      </c>
      <c r="C11" s="1414" t="s">
        <v>5427</v>
      </c>
    </row>
    <row r="12" spans="1:12" ht="27.75" customHeight="1" x14ac:dyDescent="0.2">
      <c r="A12" s="1409" t="s">
        <v>399</v>
      </c>
      <c r="B12" s="1410" t="s">
        <v>5426</v>
      </c>
      <c r="C12" s="1411" t="s">
        <v>5428</v>
      </c>
    </row>
    <row r="13" spans="1:12" ht="27.75" customHeight="1" x14ac:dyDescent="0.2">
      <c r="A13" s="1412" t="s">
        <v>5429</v>
      </c>
      <c r="B13" s="1413" t="s">
        <v>5430</v>
      </c>
      <c r="C13" s="1414" t="s">
        <v>5431</v>
      </c>
    </row>
    <row r="14" spans="1:12" ht="27.75" customHeight="1" x14ac:dyDescent="0.2">
      <c r="A14" s="1409" t="s">
        <v>422</v>
      </c>
      <c r="B14" s="1410" t="s">
        <v>1752</v>
      </c>
      <c r="C14" s="1411" t="s">
        <v>5432</v>
      </c>
    </row>
    <row r="15" spans="1:12" ht="27.75" customHeight="1" x14ac:dyDescent="0.2">
      <c r="A15" s="1412" t="s">
        <v>5433</v>
      </c>
      <c r="B15" s="1413" t="s">
        <v>5434</v>
      </c>
      <c r="C15" s="1414" t="s">
        <v>5435</v>
      </c>
    </row>
    <row r="16" spans="1:12" ht="27.75" customHeight="1" x14ac:dyDescent="0.2">
      <c r="A16" s="1409" t="s">
        <v>517</v>
      </c>
      <c r="B16" s="1410" t="s">
        <v>5436</v>
      </c>
      <c r="C16" s="1411" t="s">
        <v>5437</v>
      </c>
    </row>
    <row r="17" spans="1:3" ht="27.75" customHeight="1" x14ac:dyDescent="0.2">
      <c r="A17" s="1412" t="s">
        <v>5438</v>
      </c>
      <c r="B17" s="1413" t="s">
        <v>5439</v>
      </c>
      <c r="C17" s="1414" t="s">
        <v>5440</v>
      </c>
    </row>
    <row r="18" spans="1:3" ht="27.75" customHeight="1" x14ac:dyDescent="0.2">
      <c r="A18" s="1415" t="s">
        <v>5441</v>
      </c>
      <c r="B18" s="1416" t="s">
        <v>5441</v>
      </c>
      <c r="C18" s="1417" t="s">
        <v>5442</v>
      </c>
    </row>
    <row r="19" spans="1:3" ht="27.75" customHeight="1" x14ac:dyDescent="0.2">
      <c r="A19" s="1382" t="s">
        <v>475</v>
      </c>
      <c r="B19" s="1418" t="s">
        <v>5443</v>
      </c>
      <c r="C19" s="1419" t="s">
        <v>5444</v>
      </c>
    </row>
  </sheetData>
  <mergeCells count="1">
    <mergeCell ref="A1:C1"/>
  </mergeCells>
  <pageMargins left="0.75" right="0.75" top="1" bottom="1" header="0.511811023622047" footer="0.511811023622047"/>
  <pageSetup paperSize="9" orientation="portrait" horizontalDpi="300" verticalDpi="300"/>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tabColor rgb="FF37474F"/>
  </sheetPr>
  <dimension ref="A1:L23"/>
  <sheetViews>
    <sheetView zoomScaleNormal="100" workbookViewId="0"/>
  </sheetViews>
  <sheetFormatPr defaultColWidth="8.609375" defaultRowHeight="15" x14ac:dyDescent="0.2"/>
  <cols>
    <col min="1" max="1" width="29.99609375" customWidth="1"/>
    <col min="2" max="2" width="71.96875" customWidth="1"/>
    <col min="3" max="3" width="23.9453125" customWidth="1"/>
  </cols>
  <sheetData>
    <row r="1" spans="1:12" ht="30" customHeight="1" x14ac:dyDescent="0.2">
      <c r="A1" s="1628" t="s">
        <v>5445</v>
      </c>
      <c r="B1" s="1628"/>
      <c r="L1" s="29" t="str">
        <f>HYPERLINK("#'00_INDEX'!A1","&lt;- Index")</f>
        <v>&lt;- Index</v>
      </c>
    </row>
    <row r="3" spans="1:12" ht="49.5" customHeight="1" x14ac:dyDescent="0.2">
      <c r="A3" s="1420" t="s">
        <v>5446</v>
      </c>
      <c r="B3" s="1421" t="s">
        <v>5447</v>
      </c>
      <c r="C3" s="1422" t="str">
        <f>HYPERLINK("#'INPUT_BirthData'!A1","→ INPUT_BirthData")</f>
        <v>→ INPUT_BirthData</v>
      </c>
    </row>
    <row r="4" spans="1:12" ht="6" customHeight="1" x14ac:dyDescent="0.2"/>
    <row r="5" spans="1:12" ht="49.5" customHeight="1" x14ac:dyDescent="0.2">
      <c r="A5" s="1423" t="s">
        <v>5448</v>
      </c>
      <c r="B5" s="1424" t="s">
        <v>5449</v>
      </c>
    </row>
    <row r="6" spans="1:12" ht="6" customHeight="1" x14ac:dyDescent="0.2"/>
    <row r="7" spans="1:12" ht="49.5" customHeight="1" x14ac:dyDescent="0.2">
      <c r="A7" s="1420" t="s">
        <v>5450</v>
      </c>
      <c r="B7" s="1421" t="s">
        <v>5451</v>
      </c>
      <c r="C7" s="1422" t="str">
        <f>HYPERLINK("#'INPUT_Chart'!A1","→ INPUT_Chart")</f>
        <v>→ INPUT_Chart</v>
      </c>
    </row>
    <row r="8" spans="1:12" ht="6" customHeight="1" x14ac:dyDescent="0.2"/>
    <row r="9" spans="1:12" ht="49.5" customHeight="1" x14ac:dyDescent="0.2">
      <c r="A9" s="1423" t="s">
        <v>5452</v>
      </c>
      <c r="B9" s="1424" t="s">
        <v>5453</v>
      </c>
      <c r="C9" s="1425" t="str">
        <f>HYPERLINK("#'CALC_PlanetPositions'!A1","→ CALC_PlanetPositions")</f>
        <v>→ CALC_PlanetPositions</v>
      </c>
    </row>
    <row r="10" spans="1:12" ht="6" customHeight="1" x14ac:dyDescent="0.2"/>
    <row r="11" spans="1:12" ht="49.5" customHeight="1" x14ac:dyDescent="0.2">
      <c r="A11" s="1420" t="s">
        <v>5454</v>
      </c>
      <c r="B11" s="1421" t="s">
        <v>5455</v>
      </c>
      <c r="C11" s="1422" t="str">
        <f>HYPERLINK("#'CALC_BhaveshMap'!A1","→ CALC_BhaveshMap")</f>
        <v>→ CALC_BhaveshMap</v>
      </c>
    </row>
    <row r="12" spans="1:12" ht="6" customHeight="1" x14ac:dyDescent="0.2"/>
    <row r="13" spans="1:12" ht="42" customHeight="1" x14ac:dyDescent="0.2">
      <c r="A13" s="1423" t="s">
        <v>5456</v>
      </c>
      <c r="B13" s="1426" t="s">
        <v>5457</v>
      </c>
      <c r="C13" s="1425" t="str">
        <f>HYPERLINK("#'CALC_Ashtakavarga'!A1","→ CALC_Ashtakavarga")</f>
        <v>→ CALC_Ashtakavarga</v>
      </c>
    </row>
    <row r="14" spans="1:12" ht="6" customHeight="1" x14ac:dyDescent="0.2">
      <c r="A14" s="851" t="s">
        <v>5458</v>
      </c>
    </row>
    <row r="15" spans="1:12" ht="42" customHeight="1" x14ac:dyDescent="0.2">
      <c r="A15" s="1427" t="s">
        <v>5459</v>
      </c>
      <c r="B15" s="1428" t="s">
        <v>5460</v>
      </c>
      <c r="C15" s="1422" t="str">
        <f>HYPERLINK("#'INPUT_BirthData'!A1","→ INPUT_BirthData")</f>
        <v>→ INPUT_BirthData</v>
      </c>
    </row>
    <row r="16" spans="1:12" ht="6" customHeight="1" x14ac:dyDescent="0.2">
      <c r="A16" s="1429" t="s">
        <v>5461</v>
      </c>
      <c r="B16" t="s">
        <v>5462</v>
      </c>
    </row>
    <row r="17" spans="1:3" ht="42" customHeight="1" x14ac:dyDescent="0.2">
      <c r="A17" s="1430" t="s">
        <v>5463</v>
      </c>
      <c r="B17" s="1426" t="s">
        <v>5464</v>
      </c>
    </row>
    <row r="18" spans="1:3" ht="15" customHeight="1" x14ac:dyDescent="0.2">
      <c r="A18" s="1429" t="s">
        <v>5465</v>
      </c>
      <c r="B18" t="s">
        <v>5466</v>
      </c>
    </row>
    <row r="19" spans="1:3" ht="42" customHeight="1" x14ac:dyDescent="0.2">
      <c r="A19" s="1431" t="s">
        <v>5467</v>
      </c>
      <c r="B19" s="1428" t="s">
        <v>5468</v>
      </c>
      <c r="C19" s="1422" t="str">
        <f>HYPERLINK("#'OUTPUT_Summary'!A1","→ OUTPUT_Summary")</f>
        <v>→ OUTPUT_Summary</v>
      </c>
    </row>
    <row r="20" spans="1:3" ht="15" customHeight="1" x14ac:dyDescent="0.2">
      <c r="A20" s="1429" t="s">
        <v>5469</v>
      </c>
      <c r="B20" t="s">
        <v>5470</v>
      </c>
    </row>
    <row r="21" spans="1:3" ht="42" customHeight="1" x14ac:dyDescent="0.2">
      <c r="A21" s="1430" t="s">
        <v>5471</v>
      </c>
      <c r="B21" s="1426" t="s">
        <v>5472</v>
      </c>
    </row>
    <row r="23" spans="1:3" ht="42" customHeight="1" x14ac:dyDescent="0.2">
      <c r="A23" s="823" t="s">
        <v>5473</v>
      </c>
      <c r="B23" s="1428" t="s">
        <v>5474</v>
      </c>
    </row>
  </sheetData>
  <mergeCells count="1">
    <mergeCell ref="A1:B1"/>
  </mergeCells>
  <pageMargins left="0.75" right="0.75" top="1" bottom="1" header="0.511811023622047" footer="0.511811023622047"/>
  <pageSetup paperSize="9" orientation="portrait" horizontalDpi="300" verticalDpi="300"/>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tabColor rgb="FF37474F"/>
  </sheetPr>
  <dimension ref="A1:M35"/>
  <sheetViews>
    <sheetView zoomScaleNormal="100" workbookViewId="0"/>
  </sheetViews>
  <sheetFormatPr defaultColWidth="8.609375" defaultRowHeight="15" x14ac:dyDescent="0.2"/>
  <cols>
    <col min="1" max="1" width="20.04296875" customWidth="1"/>
    <col min="2" max="2" width="29.99609375" customWidth="1"/>
    <col min="3" max="3" width="13.98828125" customWidth="1"/>
    <col min="4" max="4" width="39.953125" customWidth="1"/>
    <col min="5" max="5" width="13.98828125" customWidth="1"/>
  </cols>
  <sheetData>
    <row r="1" spans="1:13" ht="21.75" customHeight="1" x14ac:dyDescent="0.2">
      <c r="A1" s="1530" t="s">
        <v>5475</v>
      </c>
      <c r="B1" s="1530"/>
      <c r="C1" s="1530"/>
      <c r="D1" s="1530"/>
      <c r="E1" s="1530"/>
      <c r="F1" s="1530"/>
      <c r="G1" s="1530"/>
      <c r="H1" s="1530"/>
      <c r="I1" s="1530"/>
      <c r="J1" s="1530"/>
      <c r="K1" s="1530"/>
      <c r="L1" s="1530"/>
      <c r="M1" s="641" t="s">
        <v>2214</v>
      </c>
    </row>
    <row r="2" spans="1:13" ht="15.75" customHeight="1" x14ac:dyDescent="0.2">
      <c r="A2" s="1531" t="s">
        <v>5476</v>
      </c>
      <c r="B2" s="1531"/>
      <c r="C2" s="1531"/>
      <c r="D2" s="1531"/>
      <c r="E2" s="1531"/>
      <c r="F2" s="1531"/>
      <c r="G2" s="1531"/>
      <c r="H2" s="1531"/>
      <c r="I2" s="1531"/>
      <c r="J2" s="1531"/>
      <c r="K2" s="1531"/>
      <c r="L2" s="1531"/>
    </row>
    <row r="4" spans="1:13" ht="15" customHeight="1" x14ac:dyDescent="0.2">
      <c r="A4" s="545" t="s">
        <v>3228</v>
      </c>
      <c r="B4" s="545" t="s">
        <v>5477</v>
      </c>
      <c r="C4" s="545" t="s">
        <v>3230</v>
      </c>
      <c r="D4" s="545" t="s">
        <v>5478</v>
      </c>
      <c r="E4" s="545" t="s">
        <v>5479</v>
      </c>
      <c r="F4" s="545"/>
      <c r="G4" s="545"/>
      <c r="H4" s="545"/>
      <c r="I4" s="545"/>
      <c r="J4" s="545"/>
      <c r="K4" s="545"/>
      <c r="L4" s="545"/>
    </row>
    <row r="5" spans="1:13" ht="18" customHeight="1" x14ac:dyDescent="0.2">
      <c r="A5" s="1432" t="s">
        <v>265</v>
      </c>
      <c r="B5" s="1433" t="s">
        <v>3233</v>
      </c>
      <c r="C5" s="1434" t="s">
        <v>3234</v>
      </c>
      <c r="D5" s="1435" t="s">
        <v>3235</v>
      </c>
      <c r="E5" s="1436" t="s">
        <v>5480</v>
      </c>
      <c r="F5" s="1616"/>
      <c r="G5" s="1616"/>
      <c r="H5" s="1616"/>
      <c r="I5" s="1616"/>
      <c r="J5" s="1616"/>
      <c r="K5" s="1616"/>
      <c r="L5" s="1616"/>
    </row>
    <row r="6" spans="1:13" ht="18" customHeight="1" x14ac:dyDescent="0.2">
      <c r="A6" s="1437" t="s">
        <v>3237</v>
      </c>
      <c r="B6" s="1438" t="s">
        <v>3238</v>
      </c>
      <c r="C6" s="1439" t="s">
        <v>3239</v>
      </c>
      <c r="D6" s="1440" t="s">
        <v>3240</v>
      </c>
      <c r="E6" s="1441" t="s">
        <v>5480</v>
      </c>
      <c r="F6" s="1615"/>
      <c r="G6" s="1615"/>
      <c r="H6" s="1615"/>
      <c r="I6" s="1615"/>
      <c r="J6" s="1615"/>
      <c r="K6" s="1615"/>
      <c r="L6" s="1615"/>
    </row>
    <row r="7" spans="1:13" ht="18" customHeight="1" x14ac:dyDescent="0.2">
      <c r="A7" s="1432" t="s">
        <v>3242</v>
      </c>
      <c r="B7" s="1433" t="s">
        <v>3243</v>
      </c>
      <c r="C7" s="1434" t="s">
        <v>3244</v>
      </c>
      <c r="D7" s="1435" t="s">
        <v>3240</v>
      </c>
      <c r="E7" s="1436" t="s">
        <v>5480</v>
      </c>
      <c r="F7" s="1616"/>
      <c r="G7" s="1616"/>
      <c r="H7" s="1616"/>
      <c r="I7" s="1616"/>
      <c r="J7" s="1616"/>
      <c r="K7" s="1616"/>
      <c r="L7" s="1616"/>
    </row>
    <row r="8" spans="1:13" ht="18" customHeight="1" x14ac:dyDescent="0.2">
      <c r="A8" s="1437" t="s">
        <v>3246</v>
      </c>
      <c r="B8" s="1438" t="s">
        <v>3247</v>
      </c>
      <c r="C8" s="1439" t="s">
        <v>3244</v>
      </c>
      <c r="D8" s="1440" t="s">
        <v>3248</v>
      </c>
      <c r="E8" s="1441" t="s">
        <v>5480</v>
      </c>
      <c r="F8" s="1615"/>
      <c r="G8" s="1615"/>
      <c r="H8" s="1615"/>
      <c r="I8" s="1615"/>
      <c r="J8" s="1615"/>
      <c r="K8" s="1615"/>
      <c r="L8" s="1615"/>
    </row>
    <row r="9" spans="1:13" ht="18" customHeight="1" x14ac:dyDescent="0.2">
      <c r="A9" s="1432" t="s">
        <v>539</v>
      </c>
      <c r="B9" s="1433" t="s">
        <v>3250</v>
      </c>
      <c r="C9" s="1434" t="s">
        <v>3251</v>
      </c>
      <c r="D9" s="1435" t="s">
        <v>3252</v>
      </c>
      <c r="E9" s="1436" t="s">
        <v>5480</v>
      </c>
      <c r="F9" s="1616"/>
      <c r="G9" s="1616"/>
      <c r="H9" s="1616"/>
      <c r="I9" s="1616"/>
      <c r="J9" s="1616"/>
      <c r="K9" s="1616"/>
      <c r="L9" s="1616"/>
    </row>
    <row r="10" spans="1:13" ht="18" customHeight="1" x14ac:dyDescent="0.2">
      <c r="A10" s="1437" t="s">
        <v>543</v>
      </c>
      <c r="B10" s="1438" t="s">
        <v>3254</v>
      </c>
      <c r="C10" s="1439" t="s">
        <v>3251</v>
      </c>
      <c r="D10" s="1440" t="s">
        <v>3255</v>
      </c>
      <c r="E10" s="1441" t="s">
        <v>5480</v>
      </c>
      <c r="F10" s="1615"/>
      <c r="G10" s="1615"/>
      <c r="H10" s="1615"/>
      <c r="I10" s="1615"/>
      <c r="J10" s="1615"/>
      <c r="K10" s="1615"/>
      <c r="L10" s="1615"/>
    </row>
    <row r="11" spans="1:13" ht="18" customHeight="1" x14ac:dyDescent="0.2">
      <c r="A11" s="1432" t="s">
        <v>3257</v>
      </c>
      <c r="B11" s="1433" t="s">
        <v>3258</v>
      </c>
      <c r="C11" s="1434" t="s">
        <v>3251</v>
      </c>
      <c r="D11" s="1435" t="s">
        <v>3259</v>
      </c>
      <c r="E11" s="1436" t="s">
        <v>5480</v>
      </c>
      <c r="F11" s="1616"/>
      <c r="G11" s="1616"/>
      <c r="H11" s="1616"/>
      <c r="I11" s="1616"/>
      <c r="J11" s="1616"/>
      <c r="K11" s="1616"/>
      <c r="L11" s="1616"/>
    </row>
    <row r="12" spans="1:13" ht="18" customHeight="1" x14ac:dyDescent="0.2">
      <c r="A12" s="1437" t="s">
        <v>1078</v>
      </c>
      <c r="B12" s="1438" t="s">
        <v>1077</v>
      </c>
      <c r="C12" s="1439" t="s">
        <v>3261</v>
      </c>
      <c r="D12" s="1440" t="s">
        <v>3262</v>
      </c>
      <c r="E12" s="1441" t="s">
        <v>5480</v>
      </c>
      <c r="F12" s="1615"/>
      <c r="G12" s="1615"/>
      <c r="H12" s="1615"/>
      <c r="I12" s="1615"/>
      <c r="J12" s="1615"/>
      <c r="K12" s="1615"/>
      <c r="L12" s="1615"/>
    </row>
    <row r="13" spans="1:13" ht="18" customHeight="1" x14ac:dyDescent="0.2">
      <c r="A13" s="1432" t="s">
        <v>1100</v>
      </c>
      <c r="B13" s="1433" t="s">
        <v>1099</v>
      </c>
      <c r="C13" s="1434" t="s">
        <v>3261</v>
      </c>
      <c r="D13" s="1435" t="s">
        <v>3262</v>
      </c>
      <c r="E13" s="1436" t="s">
        <v>5480</v>
      </c>
      <c r="F13" s="1616"/>
      <c r="G13" s="1616"/>
      <c r="H13" s="1616"/>
      <c r="I13" s="1616"/>
      <c r="J13" s="1616"/>
      <c r="K13" s="1616"/>
      <c r="L13" s="1616"/>
    </row>
    <row r="14" spans="1:13" ht="18" customHeight="1" x14ac:dyDescent="0.2">
      <c r="A14" s="1437" t="s">
        <v>402</v>
      </c>
      <c r="B14" s="1438" t="s">
        <v>3265</v>
      </c>
      <c r="C14" s="1439" t="s">
        <v>3261</v>
      </c>
      <c r="D14" s="1440" t="s">
        <v>3266</v>
      </c>
      <c r="E14" s="1441" t="s">
        <v>5480</v>
      </c>
      <c r="F14" s="1615"/>
      <c r="G14" s="1615"/>
      <c r="H14" s="1615"/>
      <c r="I14" s="1615"/>
      <c r="J14" s="1615"/>
      <c r="K14" s="1615"/>
      <c r="L14" s="1615"/>
    </row>
    <row r="15" spans="1:13" ht="18" customHeight="1" x14ac:dyDescent="0.2">
      <c r="A15" s="1432" t="s">
        <v>2060</v>
      </c>
      <c r="B15" s="1433" t="s">
        <v>3268</v>
      </c>
      <c r="C15" s="1434" t="s">
        <v>3269</v>
      </c>
      <c r="D15" s="1435" t="s">
        <v>3270</v>
      </c>
      <c r="E15" s="1436" t="s">
        <v>5480</v>
      </c>
      <c r="F15" s="1616"/>
      <c r="G15" s="1616"/>
      <c r="H15" s="1616"/>
      <c r="I15" s="1616"/>
      <c r="J15" s="1616"/>
      <c r="K15" s="1616"/>
      <c r="L15" s="1616"/>
    </row>
    <row r="16" spans="1:13" ht="18" customHeight="1" x14ac:dyDescent="0.2">
      <c r="A16" s="1437" t="s">
        <v>3272</v>
      </c>
      <c r="B16" s="1438" t="s">
        <v>3273</v>
      </c>
      <c r="C16" s="1439" t="s">
        <v>3274</v>
      </c>
      <c r="D16" s="1440" t="s">
        <v>44</v>
      </c>
      <c r="E16" s="1441" t="s">
        <v>5480</v>
      </c>
      <c r="F16" s="1615"/>
      <c r="G16" s="1615"/>
      <c r="H16" s="1615"/>
      <c r="I16" s="1615"/>
      <c r="J16" s="1615"/>
      <c r="K16" s="1615"/>
      <c r="L16" s="1615"/>
    </row>
    <row r="17" spans="1:12" ht="18" customHeight="1" x14ac:dyDescent="0.2">
      <c r="A17" s="1432" t="s">
        <v>3276</v>
      </c>
      <c r="B17" s="1433" t="s">
        <v>3277</v>
      </c>
      <c r="C17" s="1434" t="s">
        <v>3274</v>
      </c>
      <c r="D17" s="1435" t="s">
        <v>3164</v>
      </c>
      <c r="E17" s="1436" t="s">
        <v>5480</v>
      </c>
      <c r="F17" s="1616"/>
      <c r="G17" s="1616"/>
      <c r="H17" s="1616"/>
      <c r="I17" s="1616"/>
      <c r="J17" s="1616"/>
      <c r="K17" s="1616"/>
      <c r="L17" s="1616"/>
    </row>
    <row r="18" spans="1:12" ht="18" customHeight="1" x14ac:dyDescent="0.2">
      <c r="A18" s="1437" t="s">
        <v>3279</v>
      </c>
      <c r="B18" s="1438" t="s">
        <v>3280</v>
      </c>
      <c r="C18" s="1439" t="s">
        <v>3281</v>
      </c>
      <c r="D18" s="1440" t="s">
        <v>48</v>
      </c>
      <c r="E18" s="1441" t="s">
        <v>5480</v>
      </c>
      <c r="F18" s="1615"/>
      <c r="G18" s="1615"/>
      <c r="H18" s="1615"/>
      <c r="I18" s="1615"/>
      <c r="J18" s="1615"/>
      <c r="K18" s="1615"/>
      <c r="L18" s="1615"/>
    </row>
    <row r="19" spans="1:12" ht="18" customHeight="1" x14ac:dyDescent="0.2">
      <c r="A19" s="1432" t="s">
        <v>2159</v>
      </c>
      <c r="B19" s="1433" t="s">
        <v>3283</v>
      </c>
      <c r="C19" s="1434" t="s">
        <v>3261</v>
      </c>
      <c r="D19" s="1435" t="s">
        <v>3284</v>
      </c>
      <c r="E19" s="1436" t="s">
        <v>5480</v>
      </c>
      <c r="F19" s="1616"/>
      <c r="G19" s="1616"/>
      <c r="H19" s="1616"/>
      <c r="I19" s="1616"/>
      <c r="J19" s="1616"/>
      <c r="K19" s="1616"/>
      <c r="L19" s="1616"/>
    </row>
    <row r="20" spans="1:12" ht="18" customHeight="1" x14ac:dyDescent="0.2">
      <c r="A20" s="1437" t="s">
        <v>3286</v>
      </c>
      <c r="B20" s="1438" t="s">
        <v>3287</v>
      </c>
      <c r="C20" s="1439" t="s">
        <v>3288</v>
      </c>
      <c r="D20" s="1440" t="s">
        <v>3289</v>
      </c>
      <c r="E20" s="1441" t="s">
        <v>5480</v>
      </c>
      <c r="F20" s="1615"/>
      <c r="G20" s="1615"/>
      <c r="H20" s="1615"/>
      <c r="I20" s="1615"/>
      <c r="J20" s="1615"/>
      <c r="K20" s="1615"/>
      <c r="L20" s="1615"/>
    </row>
    <row r="21" spans="1:12" ht="18" customHeight="1" x14ac:dyDescent="0.2">
      <c r="A21" s="1432" t="s">
        <v>3291</v>
      </c>
      <c r="B21" s="1433" t="s">
        <v>3292</v>
      </c>
      <c r="C21" s="1434" t="s">
        <v>3293</v>
      </c>
      <c r="D21" s="1435" t="s">
        <v>41</v>
      </c>
      <c r="E21" s="1436" t="s">
        <v>5480</v>
      </c>
      <c r="F21" s="1616"/>
      <c r="G21" s="1616"/>
      <c r="H21" s="1616"/>
      <c r="I21" s="1616"/>
      <c r="J21" s="1616"/>
      <c r="K21" s="1616"/>
      <c r="L21" s="1616"/>
    </row>
    <row r="22" spans="1:12" ht="18" customHeight="1" x14ac:dyDescent="0.2">
      <c r="A22" s="1437" t="s">
        <v>3295</v>
      </c>
      <c r="B22" s="1438" t="s">
        <v>3296</v>
      </c>
      <c r="C22" s="1439" t="s">
        <v>3293</v>
      </c>
      <c r="D22" s="1440" t="s">
        <v>3297</v>
      </c>
      <c r="E22" s="1441" t="s">
        <v>5480</v>
      </c>
      <c r="F22" s="1615"/>
      <c r="G22" s="1615"/>
      <c r="H22" s="1615"/>
      <c r="I22" s="1615"/>
      <c r="J22" s="1615"/>
      <c r="K22" s="1615"/>
      <c r="L22" s="1615"/>
    </row>
    <row r="23" spans="1:12" ht="18" customHeight="1" x14ac:dyDescent="0.2">
      <c r="A23" s="1432" t="s">
        <v>3299</v>
      </c>
      <c r="B23" s="1433" t="s">
        <v>3300</v>
      </c>
      <c r="C23" s="1434" t="s">
        <v>3261</v>
      </c>
      <c r="D23" s="1435" t="s">
        <v>3301</v>
      </c>
      <c r="E23" s="1436" t="s">
        <v>5480</v>
      </c>
      <c r="F23" s="1616"/>
      <c r="G23" s="1616"/>
      <c r="H23" s="1616"/>
      <c r="I23" s="1616"/>
      <c r="J23" s="1616"/>
      <c r="K23" s="1616"/>
      <c r="L23" s="1616"/>
    </row>
    <row r="24" spans="1:12" ht="18" customHeight="1" x14ac:dyDescent="0.2">
      <c r="A24" s="1437" t="s">
        <v>3303</v>
      </c>
      <c r="B24" s="1438" t="s">
        <v>3304</v>
      </c>
      <c r="C24" s="1439" t="s">
        <v>3261</v>
      </c>
      <c r="D24" s="1440" t="s">
        <v>3305</v>
      </c>
      <c r="E24" s="1441" t="s">
        <v>5480</v>
      </c>
      <c r="F24" s="1615"/>
      <c r="G24" s="1615"/>
      <c r="H24" s="1615"/>
      <c r="I24" s="1615"/>
      <c r="J24" s="1615"/>
      <c r="K24" s="1615"/>
      <c r="L24" s="1615"/>
    </row>
    <row r="25" spans="1:12" ht="18" customHeight="1" x14ac:dyDescent="0.2">
      <c r="A25" s="1432" t="s">
        <v>3307</v>
      </c>
      <c r="B25" s="1433" t="s">
        <v>3308</v>
      </c>
      <c r="C25" s="1434" t="s">
        <v>3309</v>
      </c>
      <c r="D25" s="1435" t="s">
        <v>3310</v>
      </c>
      <c r="E25" s="1436" t="s">
        <v>5480</v>
      </c>
      <c r="F25" s="1616"/>
      <c r="G25" s="1616"/>
      <c r="H25" s="1616"/>
      <c r="I25" s="1616"/>
      <c r="J25" s="1616"/>
      <c r="K25" s="1616"/>
      <c r="L25" s="1616"/>
    </row>
    <row r="26" spans="1:12" ht="18" customHeight="1" x14ac:dyDescent="0.2">
      <c r="A26" s="1437" t="s">
        <v>3312</v>
      </c>
      <c r="B26" s="1438" t="s">
        <v>3313</v>
      </c>
      <c r="C26" s="1439" t="s">
        <v>3314</v>
      </c>
      <c r="D26" s="1440" t="s">
        <v>3315</v>
      </c>
      <c r="E26" s="1441" t="s">
        <v>5480</v>
      </c>
      <c r="F26" s="1615"/>
      <c r="G26" s="1615"/>
      <c r="H26" s="1615"/>
      <c r="I26" s="1615"/>
      <c r="J26" s="1615"/>
      <c r="K26" s="1615"/>
      <c r="L26" s="1615"/>
    </row>
    <row r="27" spans="1:12" ht="18" customHeight="1" x14ac:dyDescent="0.2">
      <c r="A27" s="1432" t="s">
        <v>3317</v>
      </c>
      <c r="B27" s="1433" t="s">
        <v>3318</v>
      </c>
      <c r="C27" s="1434" t="s">
        <v>3319</v>
      </c>
      <c r="D27" s="1435" t="s">
        <v>3320</v>
      </c>
      <c r="E27" s="1436" t="s">
        <v>5480</v>
      </c>
      <c r="F27" s="1616"/>
      <c r="G27" s="1616"/>
      <c r="H27" s="1616"/>
      <c r="I27" s="1616"/>
      <c r="J27" s="1616"/>
      <c r="K27" s="1616"/>
      <c r="L27" s="1616"/>
    </row>
    <row r="28" spans="1:12" ht="18" customHeight="1" x14ac:dyDescent="0.2">
      <c r="A28" s="1437" t="s">
        <v>3322</v>
      </c>
      <c r="B28" s="1438" t="s">
        <v>3323</v>
      </c>
      <c r="C28" s="1439" t="s">
        <v>3324</v>
      </c>
      <c r="D28" s="1440" t="s">
        <v>3325</v>
      </c>
      <c r="E28" s="1441" t="s">
        <v>5480</v>
      </c>
      <c r="F28" s="1615"/>
      <c r="G28" s="1615"/>
      <c r="H28" s="1615"/>
      <c r="I28" s="1615"/>
      <c r="J28" s="1615"/>
      <c r="K28" s="1615"/>
      <c r="L28" s="1615"/>
    </row>
    <row r="29" spans="1:12" ht="18" customHeight="1" x14ac:dyDescent="0.2">
      <c r="A29" s="1432" t="s">
        <v>3327</v>
      </c>
      <c r="B29" s="1433" t="s">
        <v>3328</v>
      </c>
      <c r="C29" s="1434" t="s">
        <v>2319</v>
      </c>
      <c r="D29" s="1435" t="s">
        <v>59</v>
      </c>
      <c r="E29" s="1436" t="s">
        <v>5480</v>
      </c>
      <c r="F29" s="1616"/>
      <c r="G29" s="1616"/>
      <c r="H29" s="1616"/>
      <c r="I29" s="1616"/>
      <c r="J29" s="1616"/>
      <c r="K29" s="1616"/>
      <c r="L29" s="1616"/>
    </row>
    <row r="30" spans="1:12" ht="18" customHeight="1" x14ac:dyDescent="0.2">
      <c r="A30" s="1437" t="s">
        <v>3330</v>
      </c>
      <c r="B30" s="1438" t="s">
        <v>3331</v>
      </c>
      <c r="C30" s="1439" t="s">
        <v>3261</v>
      </c>
      <c r="D30" s="1440" t="s">
        <v>3332</v>
      </c>
      <c r="E30" s="1441" t="s">
        <v>5480</v>
      </c>
      <c r="F30" s="1615"/>
      <c r="G30" s="1615"/>
      <c r="H30" s="1615"/>
      <c r="I30" s="1615"/>
      <c r="J30" s="1615"/>
      <c r="K30" s="1615"/>
      <c r="L30" s="1615"/>
    </row>
    <row r="31" spans="1:12" ht="18" customHeight="1" x14ac:dyDescent="0.2">
      <c r="A31" s="1432" t="s">
        <v>3334</v>
      </c>
      <c r="B31" s="1433" t="s">
        <v>3335</v>
      </c>
      <c r="C31" s="1434" t="s">
        <v>3336</v>
      </c>
      <c r="D31" s="1435" t="s">
        <v>66</v>
      </c>
      <c r="E31" s="1436" t="s">
        <v>5480</v>
      </c>
      <c r="F31" s="1616"/>
      <c r="G31" s="1616"/>
      <c r="H31" s="1616"/>
      <c r="I31" s="1616"/>
      <c r="J31" s="1616"/>
      <c r="K31" s="1616"/>
      <c r="L31" s="1616"/>
    </row>
    <row r="32" spans="1:12" ht="18" customHeight="1" x14ac:dyDescent="0.2">
      <c r="A32" s="1437" t="s">
        <v>3338</v>
      </c>
      <c r="B32" s="1438" t="s">
        <v>3339</v>
      </c>
      <c r="C32" s="1439" t="s">
        <v>3340</v>
      </c>
      <c r="D32" s="1440" t="s">
        <v>3341</v>
      </c>
      <c r="E32" s="1441" t="s">
        <v>5480</v>
      </c>
      <c r="F32" s="1615"/>
      <c r="G32" s="1615"/>
      <c r="H32" s="1615"/>
      <c r="I32" s="1615"/>
      <c r="J32" s="1615"/>
      <c r="K32" s="1615"/>
      <c r="L32" s="1615"/>
    </row>
    <row r="33" spans="1:12" ht="18" customHeight="1" x14ac:dyDescent="0.2">
      <c r="A33" s="1432" t="s">
        <v>1176</v>
      </c>
      <c r="B33" s="1433" t="s">
        <v>3343</v>
      </c>
      <c r="C33" s="1434" t="s">
        <v>3344</v>
      </c>
      <c r="D33" s="1435" t="s">
        <v>3345</v>
      </c>
      <c r="E33" s="1436" t="s">
        <v>5480</v>
      </c>
      <c r="F33" s="1616"/>
      <c r="G33" s="1616"/>
      <c r="H33" s="1616"/>
      <c r="I33" s="1616"/>
      <c r="J33" s="1616"/>
      <c r="K33" s="1616"/>
      <c r="L33" s="1616"/>
    </row>
    <row r="34" spans="1:12" ht="18" customHeight="1" x14ac:dyDescent="0.2">
      <c r="A34" s="1437" t="s">
        <v>3347</v>
      </c>
      <c r="B34" s="1438" t="s">
        <v>3348</v>
      </c>
      <c r="C34" s="1439" t="s">
        <v>3349</v>
      </c>
      <c r="D34" s="1440" t="s">
        <v>174</v>
      </c>
      <c r="E34" s="1441" t="s">
        <v>5480</v>
      </c>
      <c r="F34" s="1615"/>
      <c r="G34" s="1615"/>
      <c r="H34" s="1615"/>
      <c r="I34" s="1615"/>
      <c r="J34" s="1615"/>
      <c r="K34" s="1615"/>
      <c r="L34" s="1615"/>
    </row>
    <row r="35" spans="1:12" ht="18" customHeight="1" x14ac:dyDescent="0.2">
      <c r="A35" s="1432" t="s">
        <v>3351</v>
      </c>
      <c r="B35" s="1433" t="s">
        <v>3352</v>
      </c>
      <c r="C35" s="1434" t="s">
        <v>3353</v>
      </c>
      <c r="D35" s="1435" t="s">
        <v>140</v>
      </c>
      <c r="E35" s="1436" t="s">
        <v>5480</v>
      </c>
      <c r="F35" s="1616"/>
      <c r="G35" s="1616"/>
      <c r="H35" s="1616"/>
      <c r="I35" s="1616"/>
      <c r="J35" s="1616"/>
      <c r="K35" s="1616"/>
      <c r="L35" s="1616"/>
    </row>
  </sheetData>
  <mergeCells count="33">
    <mergeCell ref="F33:L33"/>
    <mergeCell ref="F34:L34"/>
    <mergeCell ref="F35:L35"/>
    <mergeCell ref="F28:L28"/>
    <mergeCell ref="F29:L29"/>
    <mergeCell ref="F30:L30"/>
    <mergeCell ref="F31:L31"/>
    <mergeCell ref="F32:L32"/>
    <mergeCell ref="F23:L23"/>
    <mergeCell ref="F24:L24"/>
    <mergeCell ref="F25:L25"/>
    <mergeCell ref="F26:L26"/>
    <mergeCell ref="F27:L27"/>
    <mergeCell ref="F18:L18"/>
    <mergeCell ref="F19:L19"/>
    <mergeCell ref="F20:L20"/>
    <mergeCell ref="F21:L21"/>
    <mergeCell ref="F22:L22"/>
    <mergeCell ref="F13:L13"/>
    <mergeCell ref="F14:L14"/>
    <mergeCell ref="F15:L15"/>
    <mergeCell ref="F16:L16"/>
    <mergeCell ref="F17:L17"/>
    <mergeCell ref="F8:L8"/>
    <mergeCell ref="F9:L9"/>
    <mergeCell ref="F10:L10"/>
    <mergeCell ref="F11:L11"/>
    <mergeCell ref="F12:L12"/>
    <mergeCell ref="A1:L1"/>
    <mergeCell ref="A2:L2"/>
    <mergeCell ref="F5:L5"/>
    <mergeCell ref="F6:L6"/>
    <mergeCell ref="F7:L7"/>
  </mergeCells>
  <pageMargins left="0.75" right="0.75" top="1" bottom="1" header="0.511811023622047" footer="0.511811023622047"/>
  <pageSetup paperSize="9" orientation="portrait" horizontalDpi="300" verticalDpi="300"/>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tabColor rgb="FF37474F"/>
  </sheetPr>
  <dimension ref="A1:M24"/>
  <sheetViews>
    <sheetView zoomScaleNormal="100" workbookViewId="0"/>
  </sheetViews>
  <sheetFormatPr defaultColWidth="8.609375" defaultRowHeight="15" x14ac:dyDescent="0.2"/>
  <cols>
    <col min="1" max="1" width="4.9765625" customWidth="1"/>
    <col min="2" max="2" width="22.05859375" customWidth="1"/>
    <col min="3" max="3" width="13.98828125" customWidth="1"/>
  </cols>
  <sheetData>
    <row r="1" spans="1:13" ht="21.75" customHeight="1" x14ac:dyDescent="0.2">
      <c r="A1" s="1530" t="s">
        <v>5481</v>
      </c>
      <c r="B1" s="1530"/>
      <c r="C1" s="1530"/>
      <c r="D1" s="1530"/>
      <c r="E1" s="1530"/>
      <c r="F1" s="1530"/>
      <c r="G1" s="1530"/>
      <c r="H1" s="1530"/>
      <c r="I1" s="1530"/>
      <c r="J1" s="1530"/>
      <c r="K1" s="1530"/>
      <c r="L1" s="1530"/>
      <c r="M1" s="641" t="s">
        <v>2214</v>
      </c>
    </row>
    <row r="2" spans="1:13" ht="15.75" customHeight="1" x14ac:dyDescent="0.2">
      <c r="A2" s="1629" t="s">
        <v>5482</v>
      </c>
      <c r="B2" s="1629"/>
      <c r="C2" s="1629"/>
      <c r="D2" s="1629"/>
      <c r="E2" s="1629"/>
      <c r="F2" s="1629"/>
      <c r="G2" s="1629"/>
      <c r="H2" s="1629"/>
      <c r="I2" s="1629"/>
      <c r="J2" s="1629"/>
      <c r="K2" s="1629"/>
      <c r="L2" s="1629"/>
    </row>
    <row r="4" spans="1:13" ht="18" customHeight="1" x14ac:dyDescent="0.2">
      <c r="A4" s="1521" t="s">
        <v>5483</v>
      </c>
      <c r="B4" s="1521"/>
      <c r="C4" s="1521"/>
      <c r="D4" s="1521"/>
      <c r="E4" s="1521"/>
      <c r="F4" s="1521"/>
      <c r="G4" s="1521"/>
      <c r="H4" s="1521"/>
      <c r="I4" s="1521"/>
      <c r="J4" s="1521"/>
      <c r="K4" s="1521"/>
      <c r="L4" s="1521"/>
    </row>
    <row r="5" spans="1:13" ht="15" customHeight="1" x14ac:dyDescent="0.2">
      <c r="A5" s="545" t="s">
        <v>5484</v>
      </c>
      <c r="B5" s="545" t="s">
        <v>5485</v>
      </c>
      <c r="C5" s="545" t="s">
        <v>5486</v>
      </c>
      <c r="D5" s="545"/>
      <c r="E5" s="545"/>
      <c r="F5" s="545"/>
      <c r="G5" s="545"/>
      <c r="H5" s="545"/>
      <c r="I5" s="545"/>
      <c r="J5" s="545"/>
      <c r="K5" s="545"/>
      <c r="L5" s="545"/>
    </row>
    <row r="6" spans="1:13" ht="21.75" customHeight="1" x14ac:dyDescent="0.2">
      <c r="A6" s="547" t="s">
        <v>5487</v>
      </c>
      <c r="B6" s="650" t="s">
        <v>5488</v>
      </c>
      <c r="C6" s="1442" t="s">
        <v>5489</v>
      </c>
      <c r="D6" s="1615"/>
      <c r="E6" s="1615"/>
      <c r="F6" s="1615"/>
      <c r="G6" s="1615"/>
      <c r="H6" s="1615"/>
      <c r="I6" s="1615"/>
      <c r="J6" s="1615"/>
      <c r="K6" s="1615"/>
      <c r="L6" s="1615"/>
    </row>
    <row r="7" spans="1:13" ht="21.75" customHeight="1" x14ac:dyDescent="0.2">
      <c r="A7" s="643" t="s">
        <v>5490</v>
      </c>
      <c r="B7" s="644" t="s">
        <v>5491</v>
      </c>
      <c r="C7" s="1443" t="s">
        <v>5492</v>
      </c>
      <c r="D7" s="1616"/>
      <c r="E7" s="1616"/>
      <c r="F7" s="1616"/>
      <c r="G7" s="1616"/>
      <c r="H7" s="1616"/>
      <c r="I7" s="1616"/>
      <c r="J7" s="1616"/>
      <c r="K7" s="1616"/>
      <c r="L7" s="1616"/>
    </row>
    <row r="8" spans="1:13" ht="21.75" customHeight="1" x14ac:dyDescent="0.2">
      <c r="A8" s="547" t="s">
        <v>5493</v>
      </c>
      <c r="B8" s="650" t="s">
        <v>5494</v>
      </c>
      <c r="C8" s="1442" t="s">
        <v>5495</v>
      </c>
      <c r="D8" s="1615"/>
      <c r="E8" s="1615"/>
      <c r="F8" s="1615"/>
      <c r="G8" s="1615"/>
      <c r="H8" s="1615"/>
      <c r="I8" s="1615"/>
      <c r="J8" s="1615"/>
      <c r="K8" s="1615"/>
      <c r="L8" s="1615"/>
    </row>
    <row r="9" spans="1:13" ht="21.75" customHeight="1" x14ac:dyDescent="0.2">
      <c r="A9" s="643" t="s">
        <v>5496</v>
      </c>
      <c r="B9" s="644" t="s">
        <v>5497</v>
      </c>
      <c r="C9" s="1443" t="s">
        <v>5498</v>
      </c>
      <c r="D9" s="1616"/>
      <c r="E9" s="1616"/>
      <c r="F9" s="1616"/>
      <c r="G9" s="1616"/>
      <c r="H9" s="1616"/>
      <c r="I9" s="1616"/>
      <c r="J9" s="1616"/>
      <c r="K9" s="1616"/>
      <c r="L9" s="1616"/>
    </row>
    <row r="11" spans="1:13" ht="18" customHeight="1" x14ac:dyDescent="0.2">
      <c r="A11" s="1521" t="s">
        <v>5499</v>
      </c>
      <c r="B11" s="1521"/>
      <c r="C11" s="1521"/>
      <c r="D11" s="1521"/>
      <c r="E11" s="1521"/>
      <c r="F11" s="1521"/>
      <c r="G11" s="1521"/>
      <c r="H11" s="1521"/>
      <c r="I11" s="1521"/>
      <c r="J11" s="1521"/>
      <c r="K11" s="1521"/>
      <c r="L11" s="1521"/>
    </row>
    <row r="12" spans="1:13" ht="15" customHeight="1" x14ac:dyDescent="0.2">
      <c r="A12" s="545" t="s">
        <v>2276</v>
      </c>
      <c r="B12" s="545" t="s">
        <v>3192</v>
      </c>
      <c r="C12" s="545" t="s">
        <v>5500</v>
      </c>
      <c r="D12" s="545" t="s">
        <v>5501</v>
      </c>
      <c r="E12" s="545" t="s">
        <v>5502</v>
      </c>
      <c r="F12" s="545" t="s">
        <v>5503</v>
      </c>
      <c r="G12" s="545" t="s">
        <v>5504</v>
      </c>
      <c r="H12" s="545" t="s">
        <v>5505</v>
      </c>
      <c r="I12" s="545"/>
      <c r="J12" s="545"/>
      <c r="K12" s="545"/>
      <c r="L12" s="545"/>
    </row>
    <row r="13" spans="1:13" ht="15.75" customHeight="1" x14ac:dyDescent="0.2">
      <c r="A13" s="1444">
        <v>1</v>
      </c>
      <c r="B13" s="1445" t="s">
        <v>5225</v>
      </c>
      <c r="C13" s="1446">
        <f>IFERROR(SCORE_AllHouses!$J$5,0)</f>
        <v>-0.5</v>
      </c>
      <c r="D13" s="1630" t="s">
        <v>5506</v>
      </c>
      <c r="E13" s="1630"/>
      <c r="F13" s="1630"/>
      <c r="G13" s="1630"/>
      <c r="H13" s="1630"/>
      <c r="I13" s="1630"/>
      <c r="J13" s="1630"/>
      <c r="K13" s="1630"/>
      <c r="L13" s="1630"/>
    </row>
    <row r="14" spans="1:13" ht="15.75" customHeight="1" x14ac:dyDescent="0.2">
      <c r="A14" s="1447">
        <v>2</v>
      </c>
      <c r="B14" s="1448" t="s">
        <v>5229</v>
      </c>
      <c r="C14" s="1449">
        <f>IFERROR(SCORE_AllHouses!$J$6,0)</f>
        <v>-2.25</v>
      </c>
      <c r="D14" s="1631" t="s">
        <v>5506</v>
      </c>
      <c r="E14" s="1631"/>
      <c r="F14" s="1631"/>
      <c r="G14" s="1631"/>
      <c r="H14" s="1631"/>
      <c r="I14" s="1631"/>
      <c r="J14" s="1631"/>
      <c r="K14" s="1631"/>
      <c r="L14" s="1631"/>
    </row>
    <row r="15" spans="1:13" ht="15.75" customHeight="1" x14ac:dyDescent="0.2">
      <c r="A15" s="1444">
        <v>3</v>
      </c>
      <c r="B15" s="1445" t="s">
        <v>5233</v>
      </c>
      <c r="C15" s="1446">
        <f>IFERROR(SCORE_AllHouses!$J$7,0)</f>
        <v>-0.5</v>
      </c>
      <c r="D15" s="1630" t="s">
        <v>5506</v>
      </c>
      <c r="E15" s="1630"/>
      <c r="F15" s="1630"/>
      <c r="G15" s="1630"/>
      <c r="H15" s="1630"/>
      <c r="I15" s="1630"/>
      <c r="J15" s="1630"/>
      <c r="K15" s="1630"/>
      <c r="L15" s="1630"/>
    </row>
    <row r="16" spans="1:13" ht="15.75" customHeight="1" x14ac:dyDescent="0.2">
      <c r="A16" s="1447">
        <v>4</v>
      </c>
      <c r="B16" s="1448" t="s">
        <v>5237</v>
      </c>
      <c r="C16" s="1449">
        <f>IFERROR(SCORE_AllHouses!$J$8,0)</f>
        <v>1</v>
      </c>
      <c r="D16" s="1631" t="s">
        <v>5506</v>
      </c>
      <c r="E16" s="1631"/>
      <c r="F16" s="1631"/>
      <c r="G16" s="1631"/>
      <c r="H16" s="1631"/>
      <c r="I16" s="1631"/>
      <c r="J16" s="1631"/>
      <c r="K16" s="1631"/>
      <c r="L16" s="1631"/>
    </row>
    <row r="17" spans="1:12" ht="15.75" customHeight="1" x14ac:dyDescent="0.2">
      <c r="A17" s="1444">
        <v>5</v>
      </c>
      <c r="B17" s="1445" t="s">
        <v>5226</v>
      </c>
      <c r="C17" s="1446">
        <f>IFERROR(SCORE_AllHouses!$J$9,0)</f>
        <v>1.25</v>
      </c>
      <c r="D17" s="1630" t="s">
        <v>5506</v>
      </c>
      <c r="E17" s="1630"/>
      <c r="F17" s="1630"/>
      <c r="G17" s="1630"/>
      <c r="H17" s="1630"/>
      <c r="I17" s="1630"/>
      <c r="J17" s="1630"/>
      <c r="K17" s="1630"/>
      <c r="L17" s="1630"/>
    </row>
    <row r="18" spans="1:12" ht="15.75" customHeight="1" x14ac:dyDescent="0.2">
      <c r="A18" s="1447">
        <v>6</v>
      </c>
      <c r="B18" s="1448" t="s">
        <v>5230</v>
      </c>
      <c r="C18" s="1449">
        <f>IFERROR(SCORE_AllHouses!$J$10,0)</f>
        <v>0</v>
      </c>
      <c r="D18" s="1631" t="s">
        <v>5506</v>
      </c>
      <c r="E18" s="1631"/>
      <c r="F18" s="1631"/>
      <c r="G18" s="1631"/>
      <c r="H18" s="1631"/>
      <c r="I18" s="1631"/>
      <c r="J18" s="1631"/>
      <c r="K18" s="1631"/>
      <c r="L18" s="1631"/>
    </row>
    <row r="19" spans="1:12" ht="15.75" customHeight="1" x14ac:dyDescent="0.2">
      <c r="A19" s="1444">
        <v>7</v>
      </c>
      <c r="B19" s="1445" t="s">
        <v>5234</v>
      </c>
      <c r="C19" s="1446">
        <f>IFERROR(SCORE_AllHouses!$J$11,0)</f>
        <v>-2.5</v>
      </c>
      <c r="D19" s="1630" t="s">
        <v>5506</v>
      </c>
      <c r="E19" s="1630"/>
      <c r="F19" s="1630"/>
      <c r="G19" s="1630"/>
      <c r="H19" s="1630"/>
      <c r="I19" s="1630"/>
      <c r="J19" s="1630"/>
      <c r="K19" s="1630"/>
      <c r="L19" s="1630"/>
    </row>
    <row r="20" spans="1:12" ht="15.75" customHeight="1" x14ac:dyDescent="0.2">
      <c r="A20" s="1447">
        <v>8</v>
      </c>
      <c r="B20" s="1448" t="s">
        <v>5238</v>
      </c>
      <c r="C20" s="1449">
        <f>IFERROR(SCORE_AllHouses!$J$12,0)</f>
        <v>-2</v>
      </c>
      <c r="D20" s="1631" t="s">
        <v>5506</v>
      </c>
      <c r="E20" s="1631"/>
      <c r="F20" s="1631"/>
      <c r="G20" s="1631"/>
      <c r="H20" s="1631"/>
      <c r="I20" s="1631"/>
      <c r="J20" s="1631"/>
      <c r="K20" s="1631"/>
      <c r="L20" s="1631"/>
    </row>
    <row r="21" spans="1:12" ht="15.75" customHeight="1" x14ac:dyDescent="0.2">
      <c r="A21" s="1444">
        <v>9</v>
      </c>
      <c r="B21" s="1445" t="s">
        <v>5227</v>
      </c>
      <c r="C21" s="1446">
        <f>IFERROR(SCORE_AllHouses!$J$13,0)</f>
        <v>-1.75</v>
      </c>
      <c r="D21" s="1630" t="s">
        <v>5506</v>
      </c>
      <c r="E21" s="1630"/>
      <c r="F21" s="1630"/>
      <c r="G21" s="1630"/>
      <c r="H21" s="1630"/>
      <c r="I21" s="1630"/>
      <c r="J21" s="1630"/>
      <c r="K21" s="1630"/>
      <c r="L21" s="1630"/>
    </row>
    <row r="22" spans="1:12" ht="15.75" customHeight="1" x14ac:dyDescent="0.2">
      <c r="A22" s="1447">
        <v>10</v>
      </c>
      <c r="B22" s="1448" t="s">
        <v>5231</v>
      </c>
      <c r="C22" s="1449">
        <f>IFERROR(SCORE_AllHouses!$J$14,0)</f>
        <v>-1</v>
      </c>
      <c r="D22" s="1631" t="s">
        <v>5506</v>
      </c>
      <c r="E22" s="1631"/>
      <c r="F22" s="1631"/>
      <c r="G22" s="1631"/>
      <c r="H22" s="1631"/>
      <c r="I22" s="1631"/>
      <c r="J22" s="1631"/>
      <c r="K22" s="1631"/>
      <c r="L22" s="1631"/>
    </row>
    <row r="23" spans="1:12" ht="15.75" customHeight="1" x14ac:dyDescent="0.2">
      <c r="A23" s="1444">
        <v>11</v>
      </c>
      <c r="B23" s="1445" t="s">
        <v>5235</v>
      </c>
      <c r="C23" s="1446">
        <f>IFERROR(SCORE_AllHouses!$J$15,0)</f>
        <v>-2</v>
      </c>
      <c r="D23" s="1630" t="s">
        <v>5506</v>
      </c>
      <c r="E23" s="1630"/>
      <c r="F23" s="1630"/>
      <c r="G23" s="1630"/>
      <c r="H23" s="1630"/>
      <c r="I23" s="1630"/>
      <c r="J23" s="1630"/>
      <c r="K23" s="1630"/>
      <c r="L23" s="1630"/>
    </row>
    <row r="24" spans="1:12" ht="15.75" customHeight="1" x14ac:dyDescent="0.2">
      <c r="A24" s="1447">
        <v>12</v>
      </c>
      <c r="B24" s="1448" t="s">
        <v>5239</v>
      </c>
      <c r="C24" s="1449">
        <f>IFERROR(SCORE_AllHouses!$J$16,0)</f>
        <v>-0.25</v>
      </c>
      <c r="D24" s="1631" t="s">
        <v>5506</v>
      </c>
      <c r="E24" s="1631"/>
      <c r="F24" s="1631"/>
      <c r="G24" s="1631"/>
      <c r="H24" s="1631"/>
      <c r="I24" s="1631"/>
      <c r="J24" s="1631"/>
      <c r="K24" s="1631"/>
      <c r="L24" s="1631"/>
    </row>
  </sheetData>
  <mergeCells count="20">
    <mergeCell ref="D20:L20"/>
    <mergeCell ref="D21:L21"/>
    <mergeCell ref="D22:L22"/>
    <mergeCell ref="D23:L23"/>
    <mergeCell ref="D24:L24"/>
    <mergeCell ref="D15:L15"/>
    <mergeCell ref="D16:L16"/>
    <mergeCell ref="D17:L17"/>
    <mergeCell ref="D18:L18"/>
    <mergeCell ref="D19:L19"/>
    <mergeCell ref="D8:L8"/>
    <mergeCell ref="D9:L9"/>
    <mergeCell ref="A11:L11"/>
    <mergeCell ref="D13:L13"/>
    <mergeCell ref="D14:L14"/>
    <mergeCell ref="A1:L1"/>
    <mergeCell ref="A2:L2"/>
    <mergeCell ref="A4:L4"/>
    <mergeCell ref="D6:L6"/>
    <mergeCell ref="D7:L7"/>
  </mergeCells>
  <pageMargins left="0.75" right="0.75" top="1" bottom="1" header="0.511811023622047" footer="0.511811023622047"/>
  <pageSetup paperSize="9" orientation="portrait" horizontalDpi="300" verticalDpi="300"/>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tabColor rgb="FF37474F"/>
  </sheetPr>
  <dimension ref="A1:D21"/>
  <sheetViews>
    <sheetView zoomScaleNormal="100" workbookViewId="0"/>
  </sheetViews>
  <sheetFormatPr defaultColWidth="8.609375" defaultRowHeight="15" x14ac:dyDescent="0.2"/>
  <cols>
    <col min="1" max="1" width="22.05859375" customWidth="1"/>
    <col min="2" max="2" width="20.04296875" customWidth="1"/>
    <col min="3" max="3" width="59.99609375" customWidth="1"/>
  </cols>
  <sheetData>
    <row r="1" spans="1:4" ht="21.75" customHeight="1" x14ac:dyDescent="0.2">
      <c r="A1" s="1522" t="s">
        <v>5507</v>
      </c>
      <c r="B1" s="1522"/>
      <c r="C1" s="1522"/>
      <c r="D1" s="601" t="s">
        <v>2214</v>
      </c>
    </row>
    <row r="2" spans="1:4" ht="24" customHeight="1" x14ac:dyDescent="0.2">
      <c r="A2" s="1523" t="s">
        <v>5508</v>
      </c>
      <c r="B2" s="1523"/>
      <c r="C2" s="1523"/>
    </row>
    <row r="4" spans="1:4" ht="18" customHeight="1" x14ac:dyDescent="0.2">
      <c r="A4" s="1524" t="s">
        <v>5509</v>
      </c>
      <c r="B4" s="1524"/>
      <c r="C4" s="1524"/>
    </row>
    <row r="5" spans="1:4" ht="18" customHeight="1" x14ac:dyDescent="0.2">
      <c r="A5" s="909" t="s">
        <v>5510</v>
      </c>
      <c r="C5" s="566" t="s">
        <v>5511</v>
      </c>
    </row>
    <row r="6" spans="1:4" ht="18" customHeight="1" x14ac:dyDescent="0.2">
      <c r="A6" s="906" t="s">
        <v>5512</v>
      </c>
      <c r="C6" s="577" t="s">
        <v>5513</v>
      </c>
    </row>
    <row r="7" spans="1:4" ht="18" customHeight="1" x14ac:dyDescent="0.2">
      <c r="A7" s="909" t="s">
        <v>5514</v>
      </c>
      <c r="C7" s="575" t="s">
        <v>5515</v>
      </c>
    </row>
    <row r="8" spans="1:4" ht="18" customHeight="1" x14ac:dyDescent="0.2">
      <c r="A8" s="906" t="s">
        <v>5516</v>
      </c>
      <c r="C8" s="577" t="s">
        <v>5517</v>
      </c>
    </row>
    <row r="9" spans="1:4" ht="18" customHeight="1" x14ac:dyDescent="0.2">
      <c r="A9" s="909" t="s">
        <v>5518</v>
      </c>
      <c r="C9" s="575" t="s">
        <v>5519</v>
      </c>
    </row>
    <row r="10" spans="1:4" ht="18" customHeight="1" x14ac:dyDescent="0.2">
      <c r="A10" s="906" t="s">
        <v>5520</v>
      </c>
      <c r="C10" s="577" t="s">
        <v>5521</v>
      </c>
    </row>
    <row r="11" spans="1:4" ht="18" customHeight="1" x14ac:dyDescent="0.2">
      <c r="A11" s="909" t="s">
        <v>5522</v>
      </c>
      <c r="C11" s="575" t="s">
        <v>5523</v>
      </c>
    </row>
    <row r="12" spans="1:4" ht="18" customHeight="1" x14ac:dyDescent="0.2">
      <c r="A12" s="906" t="s">
        <v>5524</v>
      </c>
      <c r="C12" s="577" t="s">
        <v>5525</v>
      </c>
    </row>
    <row r="13" spans="1:4" ht="18" customHeight="1" x14ac:dyDescent="0.2">
      <c r="A13" s="909" t="s">
        <v>5526</v>
      </c>
      <c r="C13" s="575" t="s">
        <v>5527</v>
      </c>
    </row>
    <row r="14" spans="1:4" ht="18" customHeight="1" x14ac:dyDescent="0.2">
      <c r="A14" s="906" t="s">
        <v>5528</v>
      </c>
      <c r="C14" s="571" t="s">
        <v>5529</v>
      </c>
    </row>
    <row r="15" spans="1:4" ht="18" customHeight="1" x14ac:dyDescent="0.2">
      <c r="A15" s="909" t="s">
        <v>5530</v>
      </c>
      <c r="C15" s="602" t="s">
        <v>5531</v>
      </c>
    </row>
    <row r="16" spans="1:4" ht="18" customHeight="1" x14ac:dyDescent="0.2">
      <c r="A16" s="906" t="s">
        <v>5532</v>
      </c>
      <c r="C16" s="577" t="s">
        <v>5533</v>
      </c>
    </row>
    <row r="17" spans="1:3" ht="18" customHeight="1" x14ac:dyDescent="0.2">
      <c r="A17" s="909" t="s">
        <v>5534</v>
      </c>
      <c r="C17" s="575" t="s">
        <v>5535</v>
      </c>
    </row>
    <row r="18" spans="1:3" ht="79.5" customHeight="1" x14ac:dyDescent="0.2">
      <c r="A18" s="1450" t="s">
        <v>5536</v>
      </c>
      <c r="C18" s="1451" t="s">
        <v>5537</v>
      </c>
    </row>
    <row r="19" spans="1:3" ht="49.5" customHeight="1" x14ac:dyDescent="0.2">
      <c r="A19" s="1450" t="s">
        <v>5538</v>
      </c>
      <c r="C19" s="1452" t="s">
        <v>5539</v>
      </c>
    </row>
    <row r="20" spans="1:3" ht="409.5" customHeight="1" x14ac:dyDescent="0.2">
      <c r="A20" s="1632" t="s">
        <v>5540</v>
      </c>
      <c r="B20" s="1632"/>
      <c r="C20" s="1632"/>
    </row>
    <row r="21" spans="1:3" ht="409.5" customHeight="1" x14ac:dyDescent="0.2">
      <c r="A21" s="1633" t="s">
        <v>5540</v>
      </c>
      <c r="B21" s="1633"/>
      <c r="C21" s="1633"/>
    </row>
  </sheetData>
  <mergeCells count="5">
    <mergeCell ref="A1:C1"/>
    <mergeCell ref="A2:C2"/>
    <mergeCell ref="A4:C4"/>
    <mergeCell ref="A20:C20"/>
    <mergeCell ref="A21:C21"/>
  </mergeCells>
  <pageMargins left="0.75" right="0.75" top="1" bottom="1" header="0.511811023622047" footer="0.511811023622047"/>
  <pageSetup paperSize="9" orientation="portrait" horizontalDpi="300" verticalDpi="300"/>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B12"/>
  <sheetViews>
    <sheetView workbookViewId="0"/>
  </sheetViews>
  <sheetFormatPr defaultColWidth="8.875" defaultRowHeight="15" x14ac:dyDescent="0.2"/>
  <cols>
    <col min="1" max="1" width="22.05859375" customWidth="1"/>
    <col min="2" max="2" width="89.99609375" customWidth="1"/>
  </cols>
  <sheetData>
    <row r="1" spans="1:2" x14ac:dyDescent="0.2">
      <c r="A1" t="s">
        <v>5565</v>
      </c>
    </row>
    <row r="2" spans="1:2" x14ac:dyDescent="0.2">
      <c r="A2" t="s">
        <v>5566</v>
      </c>
    </row>
    <row r="4" spans="1:2" x14ac:dyDescent="0.2">
      <c r="A4" t="s">
        <v>5567</v>
      </c>
      <c r="B4" t="s">
        <v>5568</v>
      </c>
    </row>
    <row r="5" spans="1:2" x14ac:dyDescent="0.2">
      <c r="A5" t="s">
        <v>5569</v>
      </c>
      <c r="B5" t="s">
        <v>5570</v>
      </c>
    </row>
    <row r="6" spans="1:2" x14ac:dyDescent="0.2">
      <c r="A6" t="s">
        <v>5571</v>
      </c>
      <c r="B6" t="s">
        <v>5572</v>
      </c>
    </row>
    <row r="8" spans="1:2" x14ac:dyDescent="0.2">
      <c r="A8" t="s">
        <v>5573</v>
      </c>
    </row>
    <row r="9" spans="1:2" x14ac:dyDescent="0.2">
      <c r="A9" t="s">
        <v>5574</v>
      </c>
    </row>
    <row r="11" spans="1:2" x14ac:dyDescent="0.2">
      <c r="A11" t="s">
        <v>5575</v>
      </c>
    </row>
    <row r="12" spans="1:2" x14ac:dyDescent="0.2">
      <c r="A12" t="s">
        <v>5576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DocSecurity>0</DocSecurity>
  <ScaleCrop>false</ScaleCrop>
  <HeadingPairs>
    <vt:vector size="2" baseType="variant">
      <vt:variant>
        <vt:lpstr>Worksheets</vt:lpstr>
      </vt:variant>
      <vt:variant>
        <vt:i4>178</vt:i4>
      </vt:variant>
    </vt:vector>
  </HeadingPairs>
  <TitlesOfParts>
    <vt:vector size="178" baseType="lpstr">
      <vt:lpstr>00_INDEX</vt:lpstr>
      <vt:lpstr>INPUT_BirthData</vt:lpstr>
      <vt:lpstr>INPUT_Chart</vt:lpstr>
      <vt:lpstr>INPUT_Gochar</vt:lpstr>
      <vt:lpstr>INPUT_Chart_Scenario</vt:lpstr>
      <vt:lpstr>REF_Zodiac</vt:lpstr>
      <vt:lpstr>REF_Zodiac_Lookup</vt:lpstr>
      <vt:lpstr>REF_Planets</vt:lpstr>
      <vt:lpstr>REF_Planets_Lookup</vt:lpstr>
      <vt:lpstr>REF_Dignity</vt:lpstr>
      <vt:lpstr>REF_Nakshatra</vt:lpstr>
      <vt:lpstr>REF_Aspects</vt:lpstr>
      <vt:lpstr>REF_Houses</vt:lpstr>
      <vt:lpstr>REF_NaisargikaFriendship</vt:lpstr>
      <vt:lpstr>REF_ShubhAshubh</vt:lpstr>
      <vt:lpstr>REF_DivisionalRules</vt:lpstr>
      <vt:lpstr>REF_DashaSequence</vt:lpstr>
      <vt:lpstr>REF_PushkaraNavamsha</vt:lpstr>
      <vt:lpstr>REF_Config</vt:lpstr>
      <vt:lpstr>REF_ArgalaRules</vt:lpstr>
      <vt:lpstr>REF_ArudhaRules</vt:lpstr>
      <vt:lpstr>REF_GrahaYuddha</vt:lpstr>
      <vt:lpstr>REF_AvasthaRules</vt:lpstr>
      <vt:lpstr>REF_VimshopakaBala</vt:lpstr>
      <vt:lpstr>REF_NarayanaDasaRules</vt:lpstr>
      <vt:lpstr>REF_D60SignMap</vt:lpstr>
      <vt:lpstr>REF_KPSubLordTable</vt:lpstr>
      <vt:lpstr>CALC_KPSubLord</vt:lpstr>
      <vt:lpstr>REF_APIFieldMap</vt:lpstr>
      <vt:lpstr>REF_RuleInteractionMatrix</vt:lpstr>
      <vt:lpstr>REF_EmpiricaSchema</vt:lpstr>
      <vt:lpstr>REF_StudentGlossary</vt:lpstr>
      <vt:lpstr>REF_SchoolConfig</vt:lpstr>
      <vt:lpstr>CALC_PlanetLongitudes</vt:lpstr>
      <vt:lpstr>CALC_PlanetPositions</vt:lpstr>
      <vt:lpstr>CALC_BhaveshMap</vt:lpstr>
      <vt:lpstr>CALC_KarakMap</vt:lpstr>
      <vt:lpstr>CALC_LagneshStrength</vt:lpstr>
      <vt:lpstr>CALC_TatkalikFriendship</vt:lpstr>
      <vt:lpstr>CALC_PanchadhaMaitri</vt:lpstr>
      <vt:lpstr>CALC_CombustionCheck</vt:lpstr>
      <vt:lpstr>CALC_DigBala</vt:lpstr>
      <vt:lpstr>CALC_RetrogradeFix</vt:lpstr>
      <vt:lpstr>CALC_CharaKarak</vt:lpstr>
      <vt:lpstr>CALC_DashaActive</vt:lpstr>
      <vt:lpstr>CALC_DashaModifier</vt:lpstr>
      <vt:lpstr>CALC_Ashtakavarga</vt:lpstr>
      <vt:lpstr>REF_ShadbalaData</vt:lpstr>
      <vt:lpstr>CALC_Shadbala</vt:lpstr>
      <vt:lpstr>CALC_Gochar</vt:lpstr>
      <vt:lpstr>CALC_D9_Navamsha</vt:lpstr>
      <vt:lpstr>CALC_DivisionalMap</vt:lpstr>
      <vt:lpstr>CALC_ChandraLagna</vt:lpstr>
      <vt:lpstr>CALC_SuryaLagna</vt:lpstr>
      <vt:lpstr>CALC_YogakarakaMap</vt:lpstr>
      <vt:lpstr>CALC_GrahaYuddha</vt:lpstr>
      <vt:lpstr>CALC_Argala</vt:lpstr>
      <vt:lpstr>CALC_BhavatBhavam</vt:lpstr>
      <vt:lpstr>CALC_ArudhaPada</vt:lpstr>
      <vt:lpstr>CALC_RasiDrishti</vt:lpstr>
      <vt:lpstr>CALC_Avasthas</vt:lpstr>
      <vt:lpstr>CALC_Karakamsha</vt:lpstr>
      <vt:lpstr>CALC_D9_BhaveshMap</vt:lpstr>
      <vt:lpstr>CALC_D10_Dashamsha</vt:lpstr>
      <vt:lpstr>CALC_AntarDasha</vt:lpstr>
      <vt:lpstr>CALC_NarayanaDasa</vt:lpstr>
      <vt:lpstr>CALC_NarayanaDasa_Antardasha</vt:lpstr>
      <vt:lpstr>CALC_Compatibility</vt:lpstr>
      <vt:lpstr>CALC_D60_Shastiamsha</vt:lpstr>
      <vt:lpstr>CALC_SwissEphemeris</vt:lpstr>
      <vt:lpstr>CALC_SwissEphemeris_Live</vt:lpstr>
      <vt:lpstr>CALC_RuleInteractionEngine</vt:lpstr>
      <vt:lpstr>CALC_CompositeVargaScore</vt:lpstr>
      <vt:lpstr>CALC_VimshopakaBala</vt:lpstr>
      <vt:lpstr>CALC_SchoolAdjustedScore</vt:lpstr>
      <vt:lpstr>CALC_PredictiveTimeline</vt:lpstr>
      <vt:lpstr>SCORE_AllHouses</vt:lpstr>
      <vt:lpstr>SCORE_DrillDown</vt:lpstr>
      <vt:lpstr>SCORE_H1_Self</vt:lpstr>
      <vt:lpstr>SCORE_H2_Wealth</vt:lpstr>
      <vt:lpstr>SCORE_H3_Courage</vt:lpstr>
      <vt:lpstr>SCORE_H4_Home</vt:lpstr>
      <vt:lpstr>SCORE_H5_Intellect</vt:lpstr>
      <vt:lpstr>SCORE_H6_Conflicts</vt:lpstr>
      <vt:lpstr>SCORE_H7_Partnerships</vt:lpstr>
      <vt:lpstr>SCORE_H8_Longevity</vt:lpstr>
      <vt:lpstr>SCORE_H9_Fortune</vt:lpstr>
      <vt:lpstr>SCORE_H10_Career</vt:lpstr>
      <vt:lpstr>SCORE_H11_Gains</vt:lpstr>
      <vt:lpstr>SCORE_H12_Liberation</vt:lpstr>
      <vt:lpstr>SCORE_H1_Chandra</vt:lpstr>
      <vt:lpstr>SCORE_H2_Chandra</vt:lpstr>
      <vt:lpstr>SCORE_H3_Chandra</vt:lpstr>
      <vt:lpstr>SCORE_H4_Chandra</vt:lpstr>
      <vt:lpstr>SCORE_H5_Chandra</vt:lpstr>
      <vt:lpstr>SCORE_H6_Chandra</vt:lpstr>
      <vt:lpstr>SCORE_H7_Chandra</vt:lpstr>
      <vt:lpstr>SCORE_H8_Chandra</vt:lpstr>
      <vt:lpstr>SCORE_H9_Chandra</vt:lpstr>
      <vt:lpstr>SCORE_H10_Chandra</vt:lpstr>
      <vt:lpstr>SCORE_H11_Chandra</vt:lpstr>
      <vt:lpstr>SCORE_H12_Chandra</vt:lpstr>
      <vt:lpstr>SCORE_H1_Surya</vt:lpstr>
      <vt:lpstr>SCORE_H2_Surya</vt:lpstr>
      <vt:lpstr>SCORE_H3_Surya</vt:lpstr>
      <vt:lpstr>SCORE_H4_Surya</vt:lpstr>
      <vt:lpstr>SCORE_H5_Surya</vt:lpstr>
      <vt:lpstr>SCORE_H6_Surya</vt:lpstr>
      <vt:lpstr>SCORE_H7_Surya</vt:lpstr>
      <vt:lpstr>SCORE_H8_Surya</vt:lpstr>
      <vt:lpstr>SCORE_H9_Surya</vt:lpstr>
      <vt:lpstr>SCORE_H10_Surya</vt:lpstr>
      <vt:lpstr>SCORE_H11_Surya</vt:lpstr>
      <vt:lpstr>SCORE_H12_Surya</vt:lpstr>
      <vt:lpstr>SCORE_H1_D9</vt:lpstr>
      <vt:lpstr>SCORE_H2_D9</vt:lpstr>
      <vt:lpstr>SCORE_H3_D9</vt:lpstr>
      <vt:lpstr>SCORE_H4_D9</vt:lpstr>
      <vt:lpstr>SCORE_H5_D9</vt:lpstr>
      <vt:lpstr>SCORE_H6_D9</vt:lpstr>
      <vt:lpstr>SCORE_H7_D9</vt:lpstr>
      <vt:lpstr>SCORE_H8_D9</vt:lpstr>
      <vt:lpstr>SCORE_H9_D9</vt:lpstr>
      <vt:lpstr>SCORE_H10_D9</vt:lpstr>
      <vt:lpstr>SCORE_H11_D9</vt:lpstr>
      <vt:lpstr>SCORE_H12_D9</vt:lpstr>
      <vt:lpstr>SCORE_H1_D10</vt:lpstr>
      <vt:lpstr>SCORE_H2_D10</vt:lpstr>
      <vt:lpstr>SCORE_H3_D10</vt:lpstr>
      <vt:lpstr>SCORE_H4_D10</vt:lpstr>
      <vt:lpstr>SCORE_H5_D10</vt:lpstr>
      <vt:lpstr>SCORE_H6_D10</vt:lpstr>
      <vt:lpstr>SCORE_H7_D10</vt:lpstr>
      <vt:lpstr>SCORE_H8_D10</vt:lpstr>
      <vt:lpstr>SCORE_H9_D10</vt:lpstr>
      <vt:lpstr>SCORE_H10_D10</vt:lpstr>
      <vt:lpstr>SCORE_H11_D10</vt:lpstr>
      <vt:lpstr>SCORE_H12_D10</vt:lpstr>
      <vt:lpstr>SCORE_Karakamsha</vt:lpstr>
      <vt:lpstr>SCORE_H2_Karakamsha</vt:lpstr>
      <vt:lpstr>SCORE_H3_Karakamsha</vt:lpstr>
      <vt:lpstr>SCORE_H4_Karakamsha</vt:lpstr>
      <vt:lpstr>SCORE_H5_Karakamsha</vt:lpstr>
      <vt:lpstr>SCORE_H6_Karakamsha</vt:lpstr>
      <vt:lpstr>SCORE_H7_Karakamsha</vt:lpstr>
      <vt:lpstr>SCORE_H8_Karakamsha</vt:lpstr>
      <vt:lpstr>SCORE_H9_Karakamsha</vt:lpstr>
      <vt:lpstr>SCORE_H10_Karakamsha</vt:lpstr>
      <vt:lpstr>SCORE_H11_Karakamsha</vt:lpstr>
      <vt:lpstr>SCORE_H12_Karakamsha</vt:lpstr>
      <vt:lpstr>SCORE_Karakamsha_AllHouses</vt:lpstr>
      <vt:lpstr>YOGA_Mahapurush</vt:lpstr>
      <vt:lpstr>YOGA_DhanaRaja</vt:lpstr>
      <vt:lpstr>YOGA_Graha</vt:lpstr>
      <vt:lpstr>YOGA_Viparita</vt:lpstr>
      <vt:lpstr>YOGA_NeechaBhanga</vt:lpstr>
      <vt:lpstr>OUTPUT_Summary</vt:lpstr>
      <vt:lpstr>OUTPUT_LifeDomains</vt:lpstr>
      <vt:lpstr>OUTPUT_DrillDown</vt:lpstr>
      <vt:lpstr>OUTPUT_MultiLagna</vt:lpstr>
      <vt:lpstr>OUTPUT_LifePressureIndex</vt:lpstr>
      <vt:lpstr>OUTPUT_LifePressureIndex_Full</vt:lpstr>
      <vt:lpstr>OUTPUT_DashaTimeline</vt:lpstr>
      <vt:lpstr>OUTPUT_TransitAnalysis</vt:lpstr>
      <vt:lpstr>OUTPUT_D9Analysis</vt:lpstr>
      <vt:lpstr>OUTPUT_StrengthDashboard</vt:lpstr>
      <vt:lpstr>OUTPUT_Compatibility</vt:lpstr>
      <vt:lpstr>OUTPUT_NarrativeReport</vt:lpstr>
      <vt:lpstr>OUTPUT_ValidationDashboard</vt:lpstr>
      <vt:lpstr>LEGEND_ScoringRules</vt:lpstr>
      <vt:lpstr>NOTES_BPHSCompliance</vt:lpstr>
      <vt:lpstr>NOTES_NarayanaDasaCompliance</vt:lpstr>
      <vt:lpstr>NOTES_Zodiac</vt:lpstr>
      <vt:lpstr>HOWTO_ManualEntry</vt:lpstr>
      <vt:lpstr>UX_StudentMode</vt:lpstr>
      <vt:lpstr>UX_CounterfactualExplorer</vt:lpstr>
      <vt:lpstr>API_ProkeralaScript</vt:lpstr>
      <vt:lpstr>NOTES_VBAMacro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Harshvardhan Sachdev</cp:lastModifiedBy>
  <cp:revision>44</cp:revision>
  <dcterms:created xsi:type="dcterms:W3CDTF">2026-03-14T18:42:16Z</dcterms:created>
  <dcterms:modified xsi:type="dcterms:W3CDTF">2026-03-18T06:58:02Z</dcterms:modified>
  <dc:language>en-US</dc:language>
</cp:coreProperties>
</file>